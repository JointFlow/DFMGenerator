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chael\New StandaloneTestModels\"/>
    </mc:Choice>
  </mc:AlternateContent>
  <xr:revisionPtr revIDLastSave="0" documentId="8_{F284D9F0-0C1F-4DDE-B96B-3A9134E81C6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79" i="91" l="1"/>
  <c r="AK79" i="91"/>
  <c r="AL78" i="91"/>
  <c r="AK78" i="91"/>
  <c r="AL77" i="91"/>
  <c r="AK77" i="91"/>
  <c r="AL76" i="91"/>
  <c r="AK76" i="91"/>
  <c r="AL75" i="91"/>
  <c r="AK75" i="91"/>
  <c r="AL74" i="91"/>
  <c r="AK74" i="91"/>
  <c r="AL73" i="91"/>
  <c r="AK73" i="91"/>
  <c r="AL72" i="91"/>
  <c r="AK72" i="91"/>
  <c r="AL71" i="91"/>
  <c r="AK71" i="91"/>
  <c r="AL70" i="91"/>
  <c r="AK70" i="91"/>
  <c r="AL69" i="91"/>
  <c r="AK69" i="91"/>
  <c r="AL68" i="91"/>
  <c r="AK68" i="91"/>
  <c r="AL67" i="91"/>
  <c r="AK67" i="91"/>
  <c r="AL66" i="91"/>
  <c r="AK66" i="91"/>
  <c r="AL65" i="91"/>
  <c r="AK65" i="91"/>
  <c r="AL64" i="91"/>
  <c r="AK64" i="91"/>
  <c r="AL63" i="91"/>
  <c r="AK63" i="91"/>
  <c r="AL62" i="91"/>
  <c r="AK62" i="91"/>
  <c r="AL61" i="91"/>
  <c r="AK61" i="91"/>
  <c r="AL60" i="91"/>
  <c r="AK60" i="91"/>
  <c r="AL59" i="91"/>
  <c r="AK59" i="91"/>
  <c r="AL58" i="91"/>
  <c r="AK58" i="91"/>
  <c r="AL57" i="91"/>
  <c r="AK57" i="91"/>
  <c r="AL56" i="91"/>
  <c r="AK56" i="91"/>
  <c r="AL55" i="91"/>
  <c r="AK55" i="91"/>
  <c r="AL54" i="91"/>
  <c r="AK54" i="91"/>
  <c r="AL53" i="91"/>
  <c r="AK53" i="91"/>
  <c r="AL52" i="91"/>
  <c r="AK52" i="91"/>
  <c r="AL51" i="91"/>
  <c r="AK51" i="91"/>
  <c r="AL50" i="91"/>
  <c r="AK50" i="91"/>
  <c r="AL49" i="91"/>
  <c r="AK49" i="91"/>
  <c r="AL48" i="91"/>
  <c r="AK48" i="91"/>
  <c r="AL47" i="91"/>
  <c r="AK47" i="91"/>
  <c r="AL46" i="91"/>
  <c r="AK46" i="91"/>
  <c r="AL45" i="91"/>
  <c r="AK45" i="91"/>
  <c r="AL44" i="91"/>
  <c r="AK44" i="91"/>
  <c r="AL43" i="91"/>
  <c r="AK43" i="91"/>
  <c r="AL42" i="91"/>
  <c r="AK42" i="91"/>
  <c r="AL41" i="91"/>
  <c r="AK41" i="91"/>
  <c r="AL40" i="91"/>
  <c r="AK40" i="91"/>
  <c r="AL39" i="91"/>
  <c r="AK39" i="91"/>
  <c r="AL38" i="91"/>
  <c r="AK38" i="91"/>
  <c r="AL37" i="91"/>
  <c r="AK37" i="91"/>
  <c r="AL36" i="91"/>
  <c r="AK36" i="91"/>
  <c r="AL35" i="91"/>
  <c r="AK35" i="91"/>
  <c r="AL34" i="91"/>
  <c r="AK34" i="91"/>
  <c r="AL33" i="91"/>
  <c r="AK33" i="91"/>
  <c r="AL32" i="91"/>
  <c r="AK32" i="91"/>
  <c r="AL31" i="91"/>
  <c r="AK31" i="91"/>
  <c r="AL30" i="91"/>
  <c r="AK30" i="91"/>
  <c r="AL29" i="91"/>
  <c r="AK29" i="91"/>
  <c r="AL28" i="91"/>
  <c r="AK28" i="91"/>
  <c r="AL27" i="91"/>
  <c r="AK27" i="91"/>
  <c r="AL26" i="91"/>
  <c r="AK26" i="91"/>
  <c r="AL25" i="91"/>
  <c r="AK25" i="91"/>
  <c r="AL24" i="91"/>
  <c r="AK24" i="91"/>
  <c r="AL23" i="91"/>
  <c r="AK23" i="91"/>
  <c r="AL22" i="91"/>
  <c r="AK22" i="91"/>
  <c r="AL21" i="91"/>
  <c r="AK21" i="91"/>
  <c r="AL20" i="91"/>
  <c r="AK20" i="91"/>
  <c r="AL19" i="91"/>
  <c r="AK19" i="91"/>
  <c r="AL18" i="91"/>
  <c r="AK18" i="91"/>
  <c r="AL17" i="91"/>
  <c r="AK17" i="91"/>
  <c r="AL16" i="91"/>
  <c r="AK16" i="91"/>
  <c r="AL15" i="91"/>
  <c r="AK15" i="91"/>
  <c r="AL14" i="91"/>
  <c r="AK14" i="91"/>
  <c r="AL13" i="91"/>
  <c r="AK13" i="91"/>
  <c r="AL12" i="91"/>
  <c r="AK12" i="91"/>
  <c r="AL11" i="91"/>
  <c r="AK11" i="91"/>
  <c r="AL10" i="91"/>
  <c r="AK10" i="91"/>
  <c r="AL9" i="91"/>
  <c r="AK9" i="91"/>
  <c r="AL8" i="91"/>
  <c r="AK8" i="91"/>
  <c r="AL7" i="91"/>
  <c r="AK7" i="91"/>
  <c r="AL6" i="91"/>
  <c r="AK6" i="91"/>
  <c r="AL5" i="91"/>
  <c r="AK5" i="91"/>
  <c r="AL4" i="91"/>
  <c r="AK4" i="91"/>
  <c r="AL3" i="91"/>
  <c r="AK3" i="91"/>
  <c r="AL2" i="91"/>
  <c r="AM2" i="91" s="1"/>
  <c r="AM3" i="91" s="1"/>
  <c r="AM4" i="91" s="1"/>
  <c r="AM5" i="91" s="1"/>
  <c r="AM6" i="91" s="1"/>
  <c r="AM7" i="91" s="1"/>
  <c r="AM8" i="91" s="1"/>
  <c r="AM9" i="91" s="1"/>
  <c r="AM10" i="91" s="1"/>
  <c r="AM11" i="91" s="1"/>
  <c r="AM12" i="91" s="1"/>
  <c r="AM13" i="91" s="1"/>
  <c r="AM14" i="91" s="1"/>
  <c r="AM15" i="91" s="1"/>
  <c r="AM16" i="91" s="1"/>
  <c r="AM17" i="91" s="1"/>
  <c r="AM18" i="91" s="1"/>
  <c r="AM19" i="91" s="1"/>
  <c r="AM20" i="91" s="1"/>
  <c r="AM21" i="91" s="1"/>
  <c r="AM22" i="91" s="1"/>
  <c r="AM23" i="91" s="1"/>
  <c r="AM24" i="91" s="1"/>
  <c r="AM25" i="91" s="1"/>
  <c r="AM26" i="91" s="1"/>
  <c r="AM27" i="91" s="1"/>
  <c r="AM28" i="91" s="1"/>
  <c r="AM29" i="91" s="1"/>
  <c r="AM30" i="91" s="1"/>
  <c r="AM31" i="91" s="1"/>
  <c r="AM32" i="91" s="1"/>
  <c r="AM33" i="91" s="1"/>
  <c r="AM34" i="91" s="1"/>
  <c r="AM35" i="91" s="1"/>
  <c r="AM36" i="91" s="1"/>
  <c r="AM37" i="91" s="1"/>
  <c r="AM38" i="91" s="1"/>
  <c r="AM39" i="91" s="1"/>
  <c r="AM40" i="91" s="1"/>
  <c r="AM41" i="91" s="1"/>
  <c r="AM42" i="91" s="1"/>
  <c r="AM43" i="91" s="1"/>
  <c r="AM44" i="91" s="1"/>
  <c r="AM45" i="91" s="1"/>
  <c r="AM46" i="91" s="1"/>
  <c r="AM47" i="91" s="1"/>
  <c r="AM48" i="91" s="1"/>
  <c r="AM49" i="91" s="1"/>
  <c r="AM50" i="91" s="1"/>
  <c r="AM51" i="91" s="1"/>
  <c r="AM52" i="91" s="1"/>
  <c r="AM53" i="91" s="1"/>
  <c r="AM54" i="91" s="1"/>
  <c r="AM55" i="91" s="1"/>
  <c r="AM56" i="91" s="1"/>
  <c r="AM57" i="91" s="1"/>
  <c r="AM58" i="91" s="1"/>
  <c r="AM59" i="91" s="1"/>
  <c r="AM60" i="91" s="1"/>
  <c r="AM61" i="91" s="1"/>
  <c r="AM62" i="91" s="1"/>
  <c r="AM63" i="91" s="1"/>
  <c r="AM64" i="91" s="1"/>
  <c r="AM65" i="91" s="1"/>
  <c r="AM66" i="91" s="1"/>
  <c r="AM67" i="91" s="1"/>
  <c r="AM68" i="91" s="1"/>
  <c r="AM69" i="91" s="1"/>
  <c r="AM70" i="91" s="1"/>
  <c r="AM71" i="91" s="1"/>
  <c r="AM72" i="91" s="1"/>
  <c r="AM73" i="91" s="1"/>
  <c r="AM74" i="91" s="1"/>
  <c r="AM75" i="91" s="1"/>
  <c r="AM76" i="91" s="1"/>
  <c r="AM77" i="91" s="1"/>
  <c r="AM78" i="91" s="1"/>
  <c r="AM79" i="91" s="1"/>
  <c r="AK2" i="91"/>
  <c r="A227" i="90"/>
  <c r="A216" i="90"/>
  <c r="C216" i="90" l="1"/>
  <c r="D216" i="90"/>
  <c r="E216" i="90"/>
  <c r="F216" i="90"/>
  <c r="G216" i="90"/>
  <c r="H216" i="90"/>
  <c r="I216" i="90"/>
  <c r="J216" i="90"/>
  <c r="K216" i="90"/>
  <c r="L216" i="90"/>
  <c r="M216" i="90"/>
  <c r="N216" i="90"/>
  <c r="O216" i="90"/>
  <c r="P216" i="90"/>
  <c r="Q216" i="90"/>
  <c r="R216" i="90"/>
  <c r="S216" i="90"/>
  <c r="T216" i="90"/>
  <c r="U216" i="90"/>
  <c r="V216" i="90"/>
  <c r="C227" i="90"/>
  <c r="D227" i="90"/>
  <c r="E227" i="90"/>
  <c r="F227" i="90"/>
  <c r="G227" i="90"/>
  <c r="H227" i="90"/>
  <c r="I227" i="90"/>
  <c r="J227" i="90"/>
  <c r="K227" i="90"/>
  <c r="L227" i="90"/>
  <c r="M227" i="90"/>
  <c r="N227" i="90"/>
  <c r="O227" i="90"/>
  <c r="P227" i="90"/>
  <c r="Q227" i="90"/>
  <c r="R227" i="90"/>
  <c r="S227" i="90"/>
  <c r="T227" i="90"/>
  <c r="U227" i="90"/>
  <c r="V227" i="90"/>
  <c r="B227" i="90"/>
  <c r="B216" i="90"/>
  <c r="AA17" i="91" l="1"/>
  <c r="AA9" i="91"/>
  <c r="V231" i="90"/>
  <c r="U231" i="90"/>
  <c r="T231" i="90"/>
  <c r="S231" i="90"/>
  <c r="R231" i="90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B231" i="90"/>
  <c r="V230" i="90"/>
  <c r="U230" i="90"/>
  <c r="T230" i="90"/>
  <c r="S230" i="90"/>
  <c r="R230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B230" i="90"/>
  <c r="V229" i="90"/>
  <c r="U229" i="90"/>
  <c r="T229" i="90"/>
  <c r="S229" i="90"/>
  <c r="R229" i="90"/>
  <c r="Q229" i="90"/>
  <c r="P229" i="90"/>
  <c r="O229" i="90"/>
  <c r="N229" i="90"/>
  <c r="M229" i="90"/>
  <c r="L229" i="90"/>
  <c r="K229" i="90"/>
  <c r="J229" i="90"/>
  <c r="I229" i="90"/>
  <c r="H229" i="90"/>
  <c r="G229" i="90"/>
  <c r="F229" i="90"/>
  <c r="E229" i="90"/>
  <c r="D229" i="90"/>
  <c r="C229" i="90"/>
  <c r="B229" i="90"/>
  <c r="V228" i="90"/>
  <c r="U228" i="90"/>
  <c r="T228" i="90"/>
  <c r="S228" i="90"/>
  <c r="R228" i="90"/>
  <c r="Q228" i="90"/>
  <c r="P228" i="90"/>
  <c r="O228" i="90"/>
  <c r="N228" i="90"/>
  <c r="M228" i="90"/>
  <c r="L228" i="90"/>
  <c r="K228" i="90"/>
  <c r="J228" i="90"/>
  <c r="I228" i="90"/>
  <c r="H228" i="90"/>
  <c r="G228" i="90"/>
  <c r="F228" i="90"/>
  <c r="E228" i="90"/>
  <c r="D228" i="90"/>
  <c r="C228" i="90"/>
  <c r="B228" i="90"/>
  <c r="V220" i="90"/>
  <c r="U220" i="90"/>
  <c r="T220" i="90"/>
  <c r="S220" i="90"/>
  <c r="R220" i="90"/>
  <c r="Q220" i="90"/>
  <c r="P220" i="90"/>
  <c r="O220" i="90"/>
  <c r="N220" i="90"/>
  <c r="M220" i="90"/>
  <c r="L220" i="90"/>
  <c r="K220" i="90"/>
  <c r="J220" i="90"/>
  <c r="I220" i="90"/>
  <c r="H220" i="90"/>
  <c r="G220" i="90"/>
  <c r="F220" i="90"/>
  <c r="E220" i="90"/>
  <c r="D220" i="90"/>
  <c r="C220" i="90"/>
  <c r="B220" i="90"/>
  <c r="V219" i="90"/>
  <c r="U219" i="90"/>
  <c r="T219" i="90"/>
  <c r="S219" i="90"/>
  <c r="R219" i="90"/>
  <c r="Q219" i="90"/>
  <c r="P219" i="90"/>
  <c r="O219" i="90"/>
  <c r="N219" i="90"/>
  <c r="M219" i="90"/>
  <c r="L219" i="90"/>
  <c r="K219" i="90"/>
  <c r="J219" i="90"/>
  <c r="I219" i="90"/>
  <c r="H219" i="90"/>
  <c r="G219" i="90"/>
  <c r="F219" i="90"/>
  <c r="E219" i="90"/>
  <c r="D219" i="90"/>
  <c r="C219" i="90"/>
  <c r="B219" i="90"/>
  <c r="V218" i="90"/>
  <c r="U218" i="90"/>
  <c r="T218" i="90"/>
  <c r="S218" i="90"/>
  <c r="R218" i="90"/>
  <c r="Q218" i="90"/>
  <c r="P218" i="90"/>
  <c r="O218" i="90"/>
  <c r="N218" i="90"/>
  <c r="M218" i="90"/>
  <c r="L218" i="90"/>
  <c r="K218" i="90"/>
  <c r="J218" i="90"/>
  <c r="I218" i="90"/>
  <c r="H218" i="90"/>
  <c r="G218" i="90"/>
  <c r="F218" i="90"/>
  <c r="E218" i="90"/>
  <c r="D218" i="90"/>
  <c r="C218" i="90"/>
  <c r="B218" i="90"/>
  <c r="V217" i="90"/>
  <c r="U217" i="90"/>
  <c r="T217" i="90"/>
  <c r="S217" i="90"/>
  <c r="R217" i="90"/>
  <c r="Q217" i="90"/>
  <c r="P217" i="90"/>
  <c r="O217" i="90"/>
  <c r="N217" i="90"/>
  <c r="M217" i="90"/>
  <c r="L217" i="90"/>
  <c r="K217" i="90"/>
  <c r="J217" i="90"/>
  <c r="I217" i="90"/>
  <c r="H217" i="90"/>
  <c r="G217" i="90"/>
  <c r="F217" i="90"/>
  <c r="E217" i="90"/>
  <c r="D217" i="90"/>
  <c r="C217" i="90"/>
  <c r="B217" i="90"/>
  <c r="E221" i="90" l="1"/>
  <c r="E222" i="90"/>
  <c r="E223" i="90"/>
  <c r="E224" i="90"/>
  <c r="I221" i="90"/>
  <c r="I223" i="90"/>
  <c r="I224" i="90"/>
  <c r="I222" i="90"/>
  <c r="M222" i="90"/>
  <c r="M223" i="90"/>
  <c r="M224" i="90"/>
  <c r="M221" i="90"/>
  <c r="Q221" i="90"/>
  <c r="Q222" i="90"/>
  <c r="Q224" i="90"/>
  <c r="Q223" i="90"/>
  <c r="U221" i="90"/>
  <c r="U222" i="90"/>
  <c r="U223" i="90"/>
  <c r="U224" i="90"/>
  <c r="C232" i="90"/>
  <c r="C233" i="90"/>
  <c r="C234" i="90"/>
  <c r="C235" i="90"/>
  <c r="G232" i="90"/>
  <c r="G233" i="90"/>
  <c r="G234" i="90"/>
  <c r="G235" i="90"/>
  <c r="K232" i="90"/>
  <c r="K233" i="90"/>
  <c r="K234" i="90"/>
  <c r="K235" i="90"/>
  <c r="O232" i="90"/>
  <c r="O233" i="90"/>
  <c r="O234" i="90"/>
  <c r="O235" i="90"/>
  <c r="S232" i="90"/>
  <c r="S233" i="90"/>
  <c r="S234" i="90"/>
  <c r="S235" i="90"/>
  <c r="B224" i="90"/>
  <c r="B222" i="90"/>
  <c r="B223" i="90"/>
  <c r="B221" i="90"/>
  <c r="F221" i="90"/>
  <c r="F222" i="90"/>
  <c r="F223" i="90"/>
  <c r="F224" i="90"/>
  <c r="J221" i="90"/>
  <c r="J222" i="90"/>
  <c r="J223" i="90"/>
  <c r="J224" i="90"/>
  <c r="N224" i="90"/>
  <c r="N222" i="90"/>
  <c r="N223" i="90"/>
  <c r="N221" i="90"/>
  <c r="R223" i="90"/>
  <c r="R224" i="90"/>
  <c r="R221" i="90"/>
  <c r="R222" i="90"/>
  <c r="V222" i="90"/>
  <c r="V223" i="90"/>
  <c r="V221" i="90"/>
  <c r="V224" i="90"/>
  <c r="D232" i="90"/>
  <c r="D233" i="90"/>
  <c r="D234" i="90"/>
  <c r="D235" i="90"/>
  <c r="H232" i="90"/>
  <c r="H233" i="90"/>
  <c r="H234" i="90"/>
  <c r="H235" i="90"/>
  <c r="L232" i="90"/>
  <c r="L233" i="90"/>
  <c r="L234" i="90"/>
  <c r="L235" i="90"/>
  <c r="P232" i="90"/>
  <c r="P233" i="90"/>
  <c r="P234" i="90"/>
  <c r="P235" i="90"/>
  <c r="T232" i="90"/>
  <c r="T233" i="90"/>
  <c r="T234" i="90"/>
  <c r="T235" i="90"/>
  <c r="C221" i="90"/>
  <c r="C222" i="90"/>
  <c r="C223" i="90"/>
  <c r="C224" i="90"/>
  <c r="G221" i="90"/>
  <c r="G222" i="90"/>
  <c r="G223" i="90"/>
  <c r="G224" i="90"/>
  <c r="K221" i="90"/>
  <c r="K222" i="90"/>
  <c r="K223" i="90"/>
  <c r="K224" i="90"/>
  <c r="O221" i="90"/>
  <c r="O222" i="90"/>
  <c r="O223" i="90"/>
  <c r="O224" i="90"/>
  <c r="S221" i="90"/>
  <c r="S222" i="90"/>
  <c r="S223" i="90"/>
  <c r="S224" i="90"/>
  <c r="E232" i="90"/>
  <c r="E233" i="90"/>
  <c r="E234" i="90"/>
  <c r="E235" i="90"/>
  <c r="I233" i="90"/>
  <c r="I234" i="90"/>
  <c r="I235" i="90"/>
  <c r="I232" i="90"/>
  <c r="M232" i="90"/>
  <c r="M233" i="90"/>
  <c r="M234" i="90"/>
  <c r="M235" i="90"/>
  <c r="Q233" i="90"/>
  <c r="Q234" i="90"/>
  <c r="Q235" i="90"/>
  <c r="Q232" i="90"/>
  <c r="U233" i="90"/>
  <c r="U234" i="90"/>
  <c r="U235" i="90"/>
  <c r="U232" i="90"/>
  <c r="D224" i="90"/>
  <c r="D221" i="90"/>
  <c r="D222" i="90"/>
  <c r="D223" i="90"/>
  <c r="H223" i="90"/>
  <c r="H224" i="90"/>
  <c r="H221" i="90"/>
  <c r="H222" i="90"/>
  <c r="L221" i="90"/>
  <c r="L222" i="90"/>
  <c r="L223" i="90"/>
  <c r="L224" i="90"/>
  <c r="P223" i="90"/>
  <c r="P224" i="90"/>
  <c r="P221" i="90"/>
  <c r="P222" i="90"/>
  <c r="T224" i="90"/>
  <c r="T221" i="90"/>
  <c r="T222" i="90"/>
  <c r="T223" i="90"/>
  <c r="B235" i="90"/>
  <c r="B234" i="90"/>
  <c r="B233" i="90"/>
  <c r="B232" i="90"/>
  <c r="F232" i="90"/>
  <c r="F233" i="90"/>
  <c r="F234" i="90"/>
  <c r="F235" i="90"/>
  <c r="J234" i="90"/>
  <c r="J235" i="90"/>
  <c r="J232" i="90"/>
  <c r="J233" i="90"/>
  <c r="N233" i="90"/>
  <c r="N232" i="90"/>
  <c r="N234" i="90"/>
  <c r="N235" i="90"/>
  <c r="R233" i="90"/>
  <c r="R234" i="90"/>
  <c r="R235" i="90"/>
  <c r="R232" i="90"/>
  <c r="V235" i="90"/>
  <c r="V232" i="90"/>
  <c r="V233" i="90"/>
  <c r="V234" i="90"/>
</calcChain>
</file>

<file path=xl/sharedStrings.xml><?xml version="1.0" encoding="utf-8"?>
<sst xmlns="http://schemas.openxmlformats.org/spreadsheetml/2006/main" count="4073" uniqueCount="88">
  <si>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</si>
  <si>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</si>
  <si>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</si>
  <si>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</si>
  <si>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</si>
  <si>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</si>
  <si>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</si>
  <si>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</si>
  <si>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</si>
  <si>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</si>
  <si>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</si>
  <si>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</si>
  <si>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</si>
  <si>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</si>
  <si>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</si>
  <si>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</si>
  <si>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</si>
  <si>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</si>
  <si>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</si>
  <si>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</si>
  <si>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</si>
  <si>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</si>
  <si>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</si>
  <si>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</si>
  <si>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</si>
  <si>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</si>
  <si>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</si>
  <si>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</si>
  <si>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</si>
  <si>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</si>
  <si>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</si>
  <si>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</si>
  <si>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</si>
  <si>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</si>
  <si>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</si>
  <si>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</si>
  <si>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</si>
  <si>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</si>
  <si>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</si>
  <si>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</si>
  <si>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</si>
  <si>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</si>
  <si>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</si>
  <si>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</si>
  <si>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</si>
  <si>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</si>
  <si>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</si>
  <si>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</si>
  <si>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</si>
  <si>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</si>
  <si>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</si>
  <si>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</si>
  <si>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</si>
  <si>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</si>
  <si>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</si>
  <si>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</si>
  <si>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</si>
  <si>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</si>
  <si>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</si>
  <si>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</si>
  <si>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</si>
  <si>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</si>
  <si>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</si>
  <si>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</si>
  <si>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</si>
  <si>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</si>
  <si>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</si>
  <si>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Slip pitch</t>
  </si>
  <si>
    <t>FS 0 Vertical</t>
  </si>
  <si>
    <t>FS 0 InclinedSteep</t>
  </si>
  <si>
    <t>FS 1 Vertical</t>
  </si>
  <si>
    <t>FS 1 InclinedSteep</t>
  </si>
  <si>
    <t>Displacement sense</t>
  </si>
  <si>
    <t>Clear zone volume</t>
  </si>
  <si>
    <t>NotActivated</t>
  </si>
  <si>
    <t>LeftLateral</t>
  </si>
  <si>
    <t>Normal</t>
  </si>
  <si>
    <t>RightLateral</t>
  </si>
  <si>
    <t>Growing</t>
  </si>
  <si>
    <t>ResidualActivity</t>
  </si>
  <si>
    <t>Deactivated</t>
  </si>
  <si>
    <t>StressShadow</t>
  </si>
  <si>
    <t>OutOfBounds</t>
  </si>
  <si>
    <t>Start Points</t>
  </si>
  <si>
    <t>End Points</t>
  </si>
  <si>
    <t>Propagating</t>
  </si>
  <si>
    <t>Tip type</t>
  </si>
  <si>
    <t>Terminating fracture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</si>
</sst>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Implicit_Fracs!$AG$4:$AG$157</c:f>
              <c:numCache>
                <c:formatCode>General</c:formatCode>
                <c:ptCount val="154"/>
                <c:pt idx="0">
                  <c:v>0</c:v>
                </c:pt>
                <c:pt idx="1">
                  <c:v>6.36619772367562E-3</c:v>
                </c:pt>
                <c:pt idx="2">
                  <c:v>1.26093144908916E-2</c:v>
                </c:pt>
                <c:pt idx="3">
                  <c:v>1.87904619027719E-2</c:v>
                </c:pt>
                <c:pt idx="4">
                  <c:v>2.4909155571923101E-2</c:v>
                </c:pt>
                <c:pt idx="5">
                  <c:v>3.0965077678270201E-2</c:v>
                </c:pt>
                <c:pt idx="6">
                  <c:v>3.6957920765147902E-2</c:v>
                </c:pt>
                <c:pt idx="7">
                  <c:v>4.28873678294222E-2</c:v>
                </c:pt>
                <c:pt idx="8">
                  <c:v>4.8753088011430898E-2</c:v>
                </c:pt>
                <c:pt idx="9">
                  <c:v>5.4554736207696297E-2</c:v>
                </c:pt>
                <c:pt idx="10">
                  <c:v>6.0291954110912399E-2</c:v>
                </c:pt>
                <c:pt idx="11">
                  <c:v>6.5964371696501906E-2</c:v>
                </c:pt>
                <c:pt idx="12">
                  <c:v>7.1571608708190695E-2</c:v>
                </c:pt>
                <c:pt idx="13">
                  <c:v>7.7113275961331301E-2</c:v>
                </c:pt>
                <c:pt idx="14">
                  <c:v>8.2588976416279797E-2</c:v>
                </c:pt>
                <c:pt idx="15">
                  <c:v>8.7998306033894094E-2</c:v>
                </c:pt>
                <c:pt idx="16">
                  <c:v>9.3340854446515895E-2</c:v>
                </c:pt>
                <c:pt idx="17">
                  <c:v>9.8616205480923605E-2</c:v>
                </c:pt>
                <c:pt idx="18">
                  <c:v>0.103823937565622</c:v>
                </c:pt>
                <c:pt idx="19">
                  <c:v>0.108963624048679</c:v>
                </c:pt>
                <c:pt idx="20">
                  <c:v>0.114034833446345</c:v>
                </c:pt>
                <c:pt idx="21">
                  <c:v>0.119037129637692</c:v>
                </c:pt>
                <c:pt idx="22">
                  <c:v>0.123970072016652</c:v>
                </c:pt>
                <c:pt idx="23">
                  <c:v>0.128833215609852</c:v>
                </c:pt>
                <c:pt idx="24">
                  <c:v>0.13362611116652101</c:v>
                </c:pt>
                <c:pt idx="25">
                  <c:v>0.138348270589707</c:v>
                </c:pt>
                <c:pt idx="26">
                  <c:v>0.14299916416171299</c:v>
                </c:pt>
                <c:pt idx="27">
                  <c:v>0.14757825115707901</c:v>
                </c:pt>
                <c:pt idx="28">
                  <c:v>0.15208497968455501</c:v>
                </c:pt>
                <c:pt idx="29">
                  <c:v>0.15651878650798801</c:v>
                </c:pt>
                <c:pt idx="30">
                  <c:v>0.16087909684695001</c:v>
                </c:pt>
                <c:pt idx="31">
                  <c:v>0.165165324157655</c:v>
                </c:pt>
                <c:pt idx="32">
                  <c:v>0.16937686989460499</c:v>
                </c:pt>
                <c:pt idx="33">
                  <c:v>0.173513123253211</c:v>
                </c:pt>
                <c:pt idx="34">
                  <c:v>0.17757346089345799</c:v>
                </c:pt>
                <c:pt idx="35">
                  <c:v>0.18155724664459499</c:v>
                </c:pt>
                <c:pt idx="36">
                  <c:v>0.18546383119066001</c:v>
                </c:pt>
                <c:pt idx="37">
                  <c:v>0.18929255173658199</c:v>
                </c:pt>
                <c:pt idx="38">
                  <c:v>0.19304273165442601</c:v>
                </c:pt>
                <c:pt idx="39">
                  <c:v>0.19671368010929399</c:v>
                </c:pt>
                <c:pt idx="40">
                  <c:v>0.200304691664275</c:v>
                </c:pt>
                <c:pt idx="41">
                  <c:v>0.20381504586372301</c:v>
                </c:pt>
                <c:pt idx="42">
                  <c:v>0.207244006794047</c:v>
                </c:pt>
                <c:pt idx="43">
                  <c:v>0.21059082262110401</c:v>
                </c:pt>
                <c:pt idx="44">
                  <c:v>0.21385472510317</c:v>
                </c:pt>
                <c:pt idx="45">
                  <c:v>0.217034929078357</c:v>
                </c:pt>
                <c:pt idx="46">
                  <c:v>0.220130631925232</c:v>
                </c:pt>
                <c:pt idx="47">
                  <c:v>0.223141012995272</c:v>
                </c:pt>
                <c:pt idx="48">
                  <c:v>0.226065233015698</c:v>
                </c:pt>
                <c:pt idx="49">
                  <c:v>0.228902433461037</c:v>
                </c:pt>
                <c:pt idx="50">
                  <c:v>0.23165173589167901</c:v>
                </c:pt>
                <c:pt idx="51">
                  <c:v>0.23431224125752201</c:v>
                </c:pt>
                <c:pt idx="52">
                  <c:v>0.236883029164629</c:v>
                </c:pt>
                <c:pt idx="53">
                  <c:v>0.23936315710268</c:v>
                </c:pt>
                <c:pt idx="54">
                  <c:v>0.241751659630774</c:v>
                </c:pt>
                <c:pt idx="55">
                  <c:v>0.24404754751897501</c:v>
                </c:pt>
                <c:pt idx="56">
                  <c:v>0.24624980684273801</c:v>
                </c:pt>
                <c:pt idx="57">
                  <c:v>0.24835739802714801</c:v>
                </c:pt>
                <c:pt idx="58">
                  <c:v>0.25036925483762401</c:v>
                </c:pt>
                <c:pt idx="59">
                  <c:v>0.25228428331346298</c:v>
                </c:pt>
                <c:pt idx="60">
                  <c:v>0.25410136064029099</c:v>
                </c:pt>
                <c:pt idx="61">
                  <c:v>0.25581933395714601</c:v>
                </c:pt>
                <c:pt idx="62">
                  <c:v>0.25743701909356498</c:v>
                </c:pt>
                <c:pt idx="63">
                  <c:v>0.25895319923159199</c:v>
                </c:pt>
                <c:pt idx="64">
                  <c:v>0.26036662348724998</c:v>
                </c:pt>
                <c:pt idx="65">
                  <c:v>0.26167600540546598</c:v>
                </c:pt>
                <c:pt idx="66">
                  <c:v>0.26288002136190303</c:v>
                </c:pt>
                <c:pt idx="67">
                  <c:v>0.26397730886461401</c:v>
                </c:pt>
                <c:pt idx="68">
                  <c:v>0.26496646474767199</c:v>
                </c:pt>
                <c:pt idx="69">
                  <c:v>0.26584604324829902</c:v>
                </c:pt>
                <c:pt idx="70">
                  <c:v>0.26661455395813</c:v>
                </c:pt>
                <c:pt idx="71">
                  <c:v>0.26727045963840701</c:v>
                </c:pt>
                <c:pt idx="72">
                  <c:v>0.267812173887852</c:v>
                </c:pt>
                <c:pt idx="73">
                  <c:v>0.26823805865089201</c:v>
                </c:pt>
                <c:pt idx="74">
                  <c:v>0.268546421552671</c:v>
                </c:pt>
                <c:pt idx="75">
                  <c:v>0.268735513045887</c:v>
                </c:pt>
                <c:pt idx="76">
                  <c:v>0.26880352335297297</c:v>
                </c:pt>
                <c:pt idx="77">
                  <c:v>0.268748579185426</c:v>
                </c:pt>
                <c:pt idx="78">
                  <c:v>0.26856874022014499</c:v>
                </c:pt>
                <c:pt idx="79">
                  <c:v>0.26826199531051498</c:v>
                </c:pt>
                <c:pt idx="80">
                  <c:v>0.26782625840753199</c:v>
                </c:pt>
                <c:pt idx="81">
                  <c:v>0.267259364163557</c:v>
                </c:pt>
                <c:pt idx="82">
                  <c:v>0.26655906318823902</c:v>
                </c:pt>
                <c:pt idx="83">
                  <c:v>0.265723016922703</c:v>
                </c:pt>
                <c:pt idx="84">
                  <c:v>0.26474879209421798</c:v>
                </c:pt>
                <c:pt idx="85">
                  <c:v>0.26363385470919698</c:v>
                </c:pt>
                <c:pt idx="86">
                  <c:v>0.26237556353741698</c:v>
                </c:pt>
                <c:pt idx="87">
                  <c:v>0.26097116303477902</c:v>
                </c:pt>
                <c:pt idx="88">
                  <c:v>0.25941777564560098</c:v>
                </c:pt>
                <c:pt idx="89">
                  <c:v>0.25771239341826102</c:v>
                </c:pt>
                <c:pt idx="90">
                  <c:v>0.25585186885994299</c:v>
                </c:pt>
                <c:pt idx="91">
                  <c:v>0.25383290494703697</c:v>
                </c:pt>
                <c:pt idx="92">
                  <c:v>0.25165204419739301</c:v>
                </c:pt>
                <c:pt idx="93">
                  <c:v>0.24930565669890301</c:v>
                </c:pt>
                <c:pt idx="94">
                  <c:v>0.24678992697569399</c:v>
                </c:pt>
                <c:pt idx="95">
                  <c:v>0.244100839558341</c:v>
                </c:pt>
                <c:pt idx="96">
                  <c:v>0.24123416310795401</c:v>
                </c:pt>
                <c:pt idx="97">
                  <c:v>0.238185432925478</c:v>
                </c:pt>
                <c:pt idx="98">
                  <c:v>0.23494993165729999</c:v>
                </c:pt>
                <c:pt idx="99">
                  <c:v>0.23152266798615201</c:v>
                </c:pt>
                <c:pt idx="100">
                  <c:v>0.22789835307293299</c:v>
                </c:pt>
                <c:pt idx="101">
                  <c:v>0.22407137449095901</c:v>
                </c:pt>
                <c:pt idx="102">
                  <c:v>0.22003576737078301</c:v>
                </c:pt>
                <c:pt idx="103">
                  <c:v>0.215785182453201</c:v>
                </c:pt>
                <c:pt idx="104">
                  <c:v>0.211312850734407</c:v>
                </c:pt>
                <c:pt idx="105">
                  <c:v>0.206611544386469</c:v>
                </c:pt>
                <c:pt idx="106">
                  <c:v>0.20167353365850599</c:v>
                </c:pt>
                <c:pt idx="107">
                  <c:v>0.19649053952554801</c:v>
                </c:pt>
                <c:pt idx="108">
                  <c:v>0.191053681978819</c:v>
                </c:pt>
                <c:pt idx="109">
                  <c:v>0.185353424085894</c:v>
                </c:pt>
                <c:pt idx="110">
                  <c:v>0.17937951236011501</c:v>
                </c:pt>
                <c:pt idx="111">
                  <c:v>0.17312091467889601</c:v>
                </c:pt>
                <c:pt idx="112">
                  <c:v>0.16656575816660801</c:v>
                </c:pt>
                <c:pt idx="113">
                  <c:v>0.15970127142281901</c:v>
                </c:pt>
                <c:pt idx="114">
                  <c:v>0.15251373876332999</c:v>
                </c:pt>
                <c:pt idx="115">
                  <c:v>0.14498847967096101</c:v>
                </c:pt>
                <c:pt idx="116">
                  <c:v>0.13710987604788799</c:v>
                </c:pt>
                <c:pt idx="117">
                  <c:v>0.12886148603974301</c:v>
                </c:pt>
                <c:pt idx="118">
                  <c:v>0.12022631153075899</c:v>
                </c:pt>
                <c:pt idx="119">
                  <c:v>0.111187337010064</c:v>
                </c:pt>
                <c:pt idx="120">
                  <c:v>0.101728549981175</c:v>
                </c:pt>
                <c:pt idx="121">
                  <c:v>9.1836826462923904E-2</c:v>
                </c:pt>
                <c:pt idx="122">
                  <c:v>8.1505399360499498E-2</c:v>
                </c:pt>
                <c:pt idx="123">
                  <c:v>7.0740290523381003E-2</c:v>
                </c:pt>
                <c:pt idx="124">
                  <c:v>5.9572437527932003E-2</c:v>
                </c:pt>
                <c:pt idx="125">
                  <c:v>4.8081038999223398E-2</c:v>
                </c:pt>
                <c:pt idx="126">
                  <c:v>3.6439316469384302E-2</c:v>
                </c:pt>
                <c:pt idx="127">
                  <c:v>2.50039708574867E-2</c:v>
                </c:pt>
                <c:pt idx="128">
                  <c:v>1.4476325621573E-2</c:v>
                </c:pt>
                <c:pt idx="129">
                  <c:v>6.0850631484081303E-3</c:v>
                </c:pt>
                <c:pt idx="130">
                  <c:v>1.7870521752804101E-3</c:v>
                </c:pt>
                <c:pt idx="131">
                  <c:v>1.35948969820727E-3</c:v>
                </c:pt>
                <c:pt idx="132">
                  <c:v>9.9568552913395308E-4</c:v>
                </c:pt>
                <c:pt idx="133">
                  <c:v>7.2653563003749499E-4</c:v>
                </c:pt>
                <c:pt idx="134">
                  <c:v>5.2724489267887901E-4</c:v>
                </c:pt>
                <c:pt idx="135">
                  <c:v>3.8056729035611302E-4</c:v>
                </c:pt>
                <c:pt idx="136">
                  <c:v>2.7321847858753699E-4</c:v>
                </c:pt>
                <c:pt idx="137">
                  <c:v>1.95087775471381E-4</c:v>
                </c:pt>
                <c:pt idx="138">
                  <c:v>1.3853530548235801E-4</c:v>
                </c:pt>
                <c:pt idx="139" formatCode="0.00E+00">
                  <c:v>9.7827169063551296E-5</c:v>
                </c:pt>
                <c:pt idx="140" formatCode="0.00E+00">
                  <c:v>6.86872347651622E-5</c:v>
                </c:pt>
                <c:pt idx="141" formatCode="0.00E+00">
                  <c:v>4.7945851517648103E-5</c:v>
                </c:pt>
                <c:pt idx="142" formatCode="0.00E+00">
                  <c:v>3.3267367822507097E-5</c:v>
                </c:pt>
                <c:pt idx="143" formatCode="0.00E+00">
                  <c:v>2.2940663155998699E-5</c:v>
                </c:pt>
                <c:pt idx="144" formatCode="0.00E+00">
                  <c:v>1.5719389942261999E-5</c:v>
                </c:pt>
                <c:pt idx="145" formatCode="0.00E+00">
                  <c:v>1.0701001029396399E-5</c:v>
                </c:pt>
                <c:pt idx="146" formatCode="0.00E+00">
                  <c:v>7.2357563252793101E-6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Implicit_Fracs!$AH$4:$AH$157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 formatCode="0.00E+00">
                  <c:v>9.1122118764879807E-5</c:v>
                </c:pt>
                <c:pt idx="3">
                  <c:v>2.4455080545776701E-4</c:v>
                </c:pt>
                <c:pt idx="4">
                  <c:v>4.6036897046757702E-4</c:v>
                </c:pt>
                <c:pt idx="5">
                  <c:v>7.3881903023814797E-4</c:v>
                </c:pt>
                <c:pt idx="6">
                  <c:v>1.08018178854467E-3</c:v>
                </c:pt>
                <c:pt idx="7">
                  <c:v>1.48475814422871E-3</c:v>
                </c:pt>
                <c:pt idx="8">
                  <c:v>1.9528660434530499E-3</c:v>
                </c:pt>
                <c:pt idx="9">
                  <c:v>2.4848392175793898E-3</c:v>
                </c:pt>
                <c:pt idx="10">
                  <c:v>3.0810256951775599E-3</c:v>
                </c:pt>
                <c:pt idx="11">
                  <c:v>3.74178612124846E-3</c:v>
                </c:pt>
                <c:pt idx="12">
                  <c:v>4.46749212865494E-3</c:v>
                </c:pt>
                <c:pt idx="13">
                  <c:v>5.25852490650623E-3</c:v>
                </c:pt>
                <c:pt idx="14">
                  <c:v>6.1152740108557898E-3</c:v>
                </c:pt>
                <c:pt idx="15">
                  <c:v>7.0381364075494399E-3</c:v>
                </c:pt>
                <c:pt idx="16">
                  <c:v>8.0275157144689101E-3</c:v>
                </c:pt>
                <c:pt idx="17">
                  <c:v>9.0838216057758606E-3</c:v>
                </c:pt>
                <c:pt idx="18">
                  <c:v>1.0207469344097801E-2</c:v>
                </c:pt>
                <c:pt idx="19">
                  <c:v>1.13988794125364E-2</c:v>
                </c:pt>
                <c:pt idx="20">
                  <c:v>1.26584772244169E-2</c:v>
                </c:pt>
                <c:pt idx="21">
                  <c:v>1.3986692893912101E-2</c:v>
                </c:pt>
                <c:pt idx="22">
                  <c:v>1.5383961054819199E-2</c:v>
                </c:pt>
                <c:pt idx="23">
                  <c:v>1.6850720717949901E-2</c:v>
                </c:pt>
                <c:pt idx="24">
                  <c:v>1.83874151599751E-2</c:v>
                </c:pt>
                <c:pt idx="25">
                  <c:v>1.9994525319362699E-2</c:v>
                </c:pt>
                <c:pt idx="26">
                  <c:v>2.1672572661570199E-2</c:v>
                </c:pt>
                <c:pt idx="27">
                  <c:v>2.3422089650818E-2</c:v>
                </c:pt>
                <c:pt idx="28">
                  <c:v>2.5243619874061402E-2</c:v>
                </c:pt>
                <c:pt idx="29">
                  <c:v>2.71377181903667E-2</c:v>
                </c:pt>
                <c:pt idx="30">
                  <c:v>2.91049509039139E-2</c:v>
                </c:pt>
                <c:pt idx="31">
                  <c:v>3.1145895959248202E-2</c:v>
                </c:pt>
                <c:pt idx="32">
                  <c:v>3.3261143157779997E-2</c:v>
                </c:pt>
                <c:pt idx="33">
                  <c:v>3.5451294394808201E-2</c:v>
                </c:pt>
                <c:pt idx="34">
                  <c:v>3.7716963916586001E-2</c:v>
                </c:pt>
                <c:pt idx="35">
                  <c:v>4.0058778597160602E-2</c:v>
                </c:pt>
                <c:pt idx="36">
                  <c:v>4.2477378234892303E-2</c:v>
                </c:pt>
                <c:pt idx="37">
                  <c:v>4.49734158687317E-2</c:v>
                </c:pt>
                <c:pt idx="38">
                  <c:v>4.7547558114454401E-2</c:v>
                </c:pt>
                <c:pt idx="39">
                  <c:v>5.0200485521203098E-2</c:v>
                </c:pt>
                <c:pt idx="40">
                  <c:v>5.2932892948799999E-2</c:v>
                </c:pt>
                <c:pt idx="41">
                  <c:v>5.5745489966414201E-2</c:v>
                </c:pt>
                <c:pt idx="42">
                  <c:v>5.8639001273270402E-2</c:v>
                </c:pt>
                <c:pt idx="43">
                  <c:v>6.1614167142199298E-2</c:v>
                </c:pt>
                <c:pt idx="44">
                  <c:v>6.4671743886959204E-2</c:v>
                </c:pt>
                <c:pt idx="45">
                  <c:v>6.7812504354328396E-2</c:v>
                </c:pt>
                <c:pt idx="46">
                  <c:v>7.1037238442120704E-2</c:v>
                </c:pt>
                <c:pt idx="47">
                  <c:v>7.4346753644351601E-2</c:v>
                </c:pt>
                <c:pt idx="48">
                  <c:v>7.7741875624971202E-2</c:v>
                </c:pt>
                <c:pt idx="49">
                  <c:v>8.1223448821613004E-2</c:v>
                </c:pt>
                <c:pt idx="50">
                  <c:v>8.4792337081025307E-2</c:v>
                </c:pt>
                <c:pt idx="51">
                  <c:v>8.8449424327955994E-2</c:v>
                </c:pt>
                <c:pt idx="52">
                  <c:v>9.2195615269404702E-2</c:v>
                </c:pt>
                <c:pt idx="53">
                  <c:v>9.6031836136358795E-2</c:v>
                </c:pt>
                <c:pt idx="54">
                  <c:v>9.9959035465255003E-2</c:v>
                </c:pt>
                <c:pt idx="55">
                  <c:v>0.103978184921654</c:v>
                </c:pt>
                <c:pt idx="56">
                  <c:v>0.10809028016875501</c:v>
                </c:pt>
                <c:pt idx="57">
                  <c:v>0.112296341783663</c:v>
                </c:pt>
                <c:pt idx="58">
                  <c:v>0.116597416224526</c:v>
                </c:pt>
                <c:pt idx="59">
                  <c:v>0.120994576851918</c:v>
                </c:pt>
                <c:pt idx="60">
                  <c:v>0.125488925008163</c:v>
                </c:pt>
                <c:pt idx="61">
                  <c:v>0.13008159115857401</c:v>
                </c:pt>
                <c:pt idx="62">
                  <c:v>0.134773736098945</c:v>
                </c:pt>
                <c:pt idx="63">
                  <c:v>0.13956655223398901</c:v>
                </c:pt>
                <c:pt idx="64">
                  <c:v>0.14446126493184699</c:v>
                </c:pt>
                <c:pt idx="65">
                  <c:v>0.14945913396025901</c:v>
                </c:pt>
                <c:pt idx="66">
                  <c:v>0.15456145501038901</c:v>
                </c:pt>
                <c:pt idx="67">
                  <c:v>0.15976956131501699</c:v>
                </c:pt>
                <c:pt idx="68">
                  <c:v>0.165084825368224</c:v>
                </c:pt>
                <c:pt idx="69">
                  <c:v>0.170508660754491</c:v>
                </c:pt>
                <c:pt idx="70">
                  <c:v>0.17604252409582599</c:v>
                </c:pt>
                <c:pt idx="71">
                  <c:v>0.181687917126335</c:v>
                </c:pt>
                <c:pt idx="72">
                  <c:v>0.18744638890457099</c:v>
                </c:pt>
                <c:pt idx="73">
                  <c:v>0.19331953817497499</c:v>
                </c:pt>
                <c:pt idx="74">
                  <c:v>0.19930901589087599</c:v>
                </c:pt>
                <c:pt idx="75">
                  <c:v>0.205416527912678</c:v>
                </c:pt>
                <c:pt idx="76">
                  <c:v>0.21164383789630201</c:v>
                </c:pt>
                <c:pt idx="77">
                  <c:v>0.21799277038841999</c:v>
                </c:pt>
                <c:pt idx="78">
                  <c:v>0.22446521414677401</c:v>
                </c:pt>
                <c:pt idx="79">
                  <c:v>0.23106312570573401</c:v>
                </c:pt>
                <c:pt idx="80">
                  <c:v>0.237788533209352</c:v>
                </c:pt>
                <c:pt idx="81">
                  <c:v>0.24464354053662299</c:v>
                </c:pt>
                <c:pt idx="82">
                  <c:v>0.25163033174622002</c:v>
                </c:pt>
                <c:pt idx="83">
                  <c:v>0.25875117587100899</c:v>
                </c:pt>
                <c:pt idx="84">
                  <c:v>0.26600843209592401</c:v>
                </c:pt>
                <c:pt idx="85">
                  <c:v>0.27340455535656999</c:v>
                </c:pt>
                <c:pt idx="86">
                  <c:v>0.28094210240005202</c:v>
                </c:pt>
                <c:pt idx="87">
                  <c:v>0.28862373835424998</c:v>
                </c:pt>
                <c:pt idx="88">
                  <c:v>0.296452243856975</c:v>
                </c:pt>
                <c:pt idx="89">
                  <c:v>0.30443052280236499</c:v>
                </c:pt>
                <c:pt idx="90">
                  <c:v>0.31256161076837802</c:v>
                </c:pt>
                <c:pt idx="91">
                  <c:v>0.32084868419663298</c:v>
                </c:pt>
                <c:pt idx="92">
                  <c:v>0.32929507040396699</c:v>
                </c:pt>
                <c:pt idx="93">
                  <c:v>0.33790425851409001</c:v>
                </c:pt>
                <c:pt idx="94">
                  <c:v>0.34667991140765497</c:v>
                </c:pt>
                <c:pt idx="95">
                  <c:v>0.35562587879990198</c:v>
                </c:pt>
                <c:pt idx="96">
                  <c:v>0.36474621156664799</c:v>
                </c:pt>
                <c:pt idx="97">
                  <c:v>0.37404517745181098</c:v>
                </c:pt>
                <c:pt idx="98">
                  <c:v>0.38352727830234101</c:v>
                </c:pt>
                <c:pt idx="99">
                  <c:v>0.39319726898898799</c:v>
                </c:pt>
                <c:pt idx="100">
                  <c:v>0.40306017818286599</c:v>
                </c:pt>
                <c:pt idx="101">
                  <c:v>0.41312133116672201</c:v>
                </c:pt>
                <c:pt idx="102">
                  <c:v>0.423386374863993</c:v>
                </c:pt>
                <c:pt idx="103">
                  <c:v>0.43386130526463701</c:v>
                </c:pt>
                <c:pt idx="104">
                  <c:v>0.44455249740846198</c:v>
                </c:pt>
                <c:pt idx="105">
                  <c:v>0.45546673804597598</c:v>
                </c:pt>
                <c:pt idx="106">
                  <c:v>0.46661126102012601</c:v>
                </c:pt>
                <c:pt idx="107">
                  <c:v>0.47799378527841901</c:v>
                </c:pt>
                <c:pt idx="108">
                  <c:v>0.48962255520180198</c:v>
                </c:pt>
                <c:pt idx="109">
                  <c:v>0.50150638257160196</c:v>
                </c:pt>
                <c:pt idx="110">
                  <c:v>0.51365468890752497</c:v>
                </c:pt>
                <c:pt idx="111">
                  <c:v>0.52607754596473499</c:v>
                </c:pt>
                <c:pt idx="112">
                  <c:v>0.53878571066133096</c:v>
                </c:pt>
                <c:pt idx="113">
                  <c:v>0.55179064826212998</c:v>
                </c:pt>
                <c:pt idx="114">
                  <c:v>0.56510453367327196</c:v>
                </c:pt>
                <c:pt idx="115">
                  <c:v>0.57874021418469201</c:v>
                </c:pt>
                <c:pt idx="116">
                  <c:v>0.59271110616085698</c:v>
                </c:pt>
                <c:pt idx="117">
                  <c:v>0.60703097987639698</c:v>
                </c:pt>
                <c:pt idx="118">
                  <c:v>0.621713555207696</c:v>
                </c:pt>
                <c:pt idx="119">
                  <c:v>0.636771775594555</c:v>
                </c:pt>
                <c:pt idx="120">
                  <c:v>0.65221652829802201</c:v>
                </c:pt>
                <c:pt idx="121">
                  <c:v>0.66805439579308201</c:v>
                </c:pt>
                <c:pt idx="122">
                  <c:v>0.68428367646900801</c:v>
                </c:pt>
                <c:pt idx="123">
                  <c:v>0.70088723973615896</c:v>
                </c:pt>
                <c:pt idx="124">
                  <c:v>0.71781944709078405</c:v>
                </c:pt>
                <c:pt idx="125">
                  <c:v>0.73498172104528703</c:v>
                </c:pt>
                <c:pt idx="126">
                  <c:v>0.752176342966133</c:v>
                </c:pt>
                <c:pt idx="127">
                  <c:v>0.76902090868096895</c:v>
                </c:pt>
                <c:pt idx="128">
                  <c:v>0.78481265127257605</c:v>
                </c:pt>
                <c:pt idx="129">
                  <c:v>0.79848643344390802</c:v>
                </c:pt>
                <c:pt idx="130">
                  <c:v>0.80456729011638695</c:v>
                </c:pt>
                <c:pt idx="131">
                  <c:v>0.810166238406135</c:v>
                </c:pt>
                <c:pt idx="132">
                  <c:v>0.81560378669972999</c:v>
                </c:pt>
                <c:pt idx="133">
                  <c:v>0.82103030964692003</c:v>
                </c:pt>
                <c:pt idx="134">
                  <c:v>0.82644108044328501</c:v>
                </c:pt>
                <c:pt idx="135">
                  <c:v>0.83183662284027504</c:v>
                </c:pt>
                <c:pt idx="136">
                  <c:v>0.83721711226661599</c:v>
                </c:pt>
                <c:pt idx="137">
                  <c:v>0.84258260256861395</c:v>
                </c:pt>
                <c:pt idx="138">
                  <c:v>0.84793304135596703</c:v>
                </c:pt>
                <c:pt idx="139">
                  <c:v>0.85326828849229897</c:v>
                </c:pt>
                <c:pt idx="140">
                  <c:v>0.858588131365006</c:v>
                </c:pt>
                <c:pt idx="141">
                  <c:v>0.86389229730797401</c:v>
                </c:pt>
                <c:pt idx="142">
                  <c:v>0.869180463505967</c:v>
                </c:pt>
                <c:pt idx="143">
                  <c:v>0.87445226475118198</c:v>
                </c:pt>
                <c:pt idx="144">
                  <c:v>0.87970729941285097</c:v>
                </c:pt>
                <c:pt idx="145">
                  <c:v>0.88494513394692598</c:v>
                </c:pt>
                <c:pt idx="146">
                  <c:v>0.89016530622909695</c:v>
                </c:pt>
                <c:pt idx="147">
                  <c:v>0.89017254198542195</c:v>
                </c:pt>
                <c:pt idx="148">
                  <c:v>0.89017254198542195</c:v>
                </c:pt>
                <c:pt idx="149">
                  <c:v>0.89017254198542195</c:v>
                </c:pt>
                <c:pt idx="150">
                  <c:v>0.89017254198542195</c:v>
                </c:pt>
                <c:pt idx="151">
                  <c:v>0.89017254198542195</c:v>
                </c:pt>
                <c:pt idx="152">
                  <c:v>0.89017254198542195</c:v>
                </c:pt>
                <c:pt idx="153">
                  <c:v>0.89017254198542195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Implicit_Fracs!$AI$4:$AI$157</c:f>
              <c:numCache>
                <c:formatCode>General</c:formatCode>
                <c:ptCount val="154"/>
                <c:pt idx="0">
                  <c:v>1</c:v>
                </c:pt>
                <c:pt idx="1">
                  <c:v>0.99574674595823998</c:v>
                </c:pt>
                <c:pt idx="2">
                  <c:v>0.987298502291592</c:v>
                </c:pt>
                <c:pt idx="3">
                  <c:v>0.97819457394506404</c:v>
                </c:pt>
                <c:pt idx="4">
                  <c:v>0.96912786710194199</c:v>
                </c:pt>
                <c:pt idx="5">
                  <c:v>0.96023583312206096</c:v>
                </c:pt>
                <c:pt idx="6">
                  <c:v>0.95151835938191798</c:v>
                </c:pt>
                <c:pt idx="7">
                  <c:v>0.94294613606785405</c:v>
                </c:pt>
                <c:pt idx="8">
                  <c:v>0.93448992809519704</c:v>
                </c:pt>
                <c:pt idx="9">
                  <c:v>0.92612701713844803</c:v>
                </c:pt>
                <c:pt idx="10">
                  <c:v>0.91784118187061503</c:v>
                </c:pt>
                <c:pt idx="11">
                  <c:v>0.909621223592323</c:v>
                </c:pt>
                <c:pt idx="12">
                  <c:v>0.90145949671965997</c:v>
                </c:pt>
                <c:pt idx="13">
                  <c:v>0.893350777827154</c:v>
                </c:pt>
                <c:pt idx="14">
                  <c:v>0.88529147209589298</c:v>
                </c:pt>
                <c:pt idx="15">
                  <c:v>0.87727907857323895</c:v>
                </c:pt>
                <c:pt idx="16">
                  <c:v>0.86931183591372296</c:v>
                </c:pt>
                <c:pt idx="17">
                  <c:v>0.86138848866634299</c:v>
                </c:pt>
                <c:pt idx="18">
                  <c:v>0.85350813251063895</c:v>
                </c:pt>
                <c:pt idx="19">
                  <c:v>0.84567011084765598</c:v>
                </c:pt>
                <c:pt idx="20">
                  <c:v>0.83787394483472799</c:v>
                </c:pt>
                <c:pt idx="21">
                  <c:v>0.830119285340989</c:v>
                </c:pt>
                <c:pt idx="22">
                  <c:v>0.82240587941730803</c:v>
                </c:pt>
                <c:pt idx="23">
                  <c:v>0.81473354649937901</c:v>
                </c:pt>
                <c:pt idx="24">
                  <c:v>0.80708425230449599</c:v>
                </c:pt>
                <c:pt idx="25">
                  <c:v>0.79944187586381499</c:v>
                </c:pt>
                <c:pt idx="26">
                  <c:v>0.79180762136730998</c:v>
                </c:pt>
                <c:pt idx="27">
                  <c:v>0.78418257539779501</c:v>
                </c:pt>
                <c:pt idx="28">
                  <c:v>0.77656772401414598</c:v>
                </c:pt>
                <c:pt idx="29">
                  <c:v>0.768963966895434</c:v>
                </c:pt>
                <c:pt idx="30">
                  <c:v>0.76137212913393504</c:v>
                </c:pt>
                <c:pt idx="31">
                  <c:v>0.75379297113232802</c:v>
                </c:pt>
                <c:pt idx="32">
                  <c:v>0.74622719696072404</c:v>
                </c:pt>
                <c:pt idx="33">
                  <c:v>0.73867546145379004</c:v>
                </c:pt>
                <c:pt idx="34">
                  <c:v>0.73113837627053602</c:v>
                </c:pt>
                <c:pt idx="35">
                  <c:v>0.72361651509482805</c:v>
                </c:pt>
                <c:pt idx="36">
                  <c:v>0.71611041812010101</c:v>
                </c:pt>
                <c:pt idx="37">
                  <c:v>0.70862059593453497</c:v>
                </c:pt>
                <c:pt idx="38">
                  <c:v>0.70114753290167997</c:v>
                </c:pt>
                <c:pt idx="39">
                  <c:v>0.69369169011436305</c:v>
                </c:pt>
                <c:pt idx="40">
                  <c:v>0.68625350798615703</c:v>
                </c:pt>
                <c:pt idx="41">
                  <c:v>0.67883340853371699</c:v>
                </c:pt>
                <c:pt idx="42">
                  <c:v>0.67143179739441206</c:v>
                </c:pt>
                <c:pt idx="43">
                  <c:v>0.66404906561650301</c:v>
                </c:pt>
                <c:pt idx="44">
                  <c:v>0.656685591253101</c:v>
                </c:pt>
                <c:pt idx="45">
                  <c:v>0.64934174078642504</c:v>
                </c:pt>
                <c:pt idx="46">
                  <c:v>0.64201787040477198</c:v>
                </c:pt>
                <c:pt idx="47">
                  <c:v>0.63471432715133902</c:v>
                </c:pt>
                <c:pt idx="48">
                  <c:v>0.62743144996118005</c:v>
                </c:pt>
                <c:pt idx="49">
                  <c:v>0.62016957060040701</c:v>
                </c:pt>
                <c:pt idx="50">
                  <c:v>0.61292901451966997</c:v>
                </c:pt>
                <c:pt idx="51">
                  <c:v>0.60571010163235794</c:v>
                </c:pt>
                <c:pt idx="52">
                  <c:v>0.59851314702662495</c:v>
                </c:pt>
                <c:pt idx="53">
                  <c:v>0.591338461619073</c:v>
                </c:pt>
                <c:pt idx="54">
                  <c:v>0.58418635275703301</c:v>
                </c:pt>
                <c:pt idx="55">
                  <c:v>0.57705712477543103</c:v>
                </c:pt>
                <c:pt idx="56">
                  <c:v>0.56995107951362101</c:v>
                </c:pt>
                <c:pt idx="57">
                  <c:v>0.56286851679680205</c:v>
                </c:pt>
                <c:pt idx="58">
                  <c:v>0.55580973488623597</c:v>
                </c:pt>
                <c:pt idx="59">
                  <c:v>0.54877503090194502</c:v>
                </c:pt>
                <c:pt idx="60">
                  <c:v>0.54176470122118703</c:v>
                </c:pt>
                <c:pt idx="61">
                  <c:v>0.53477904185570002</c:v>
                </c:pt>
                <c:pt idx="62">
                  <c:v>0.52781834881037104</c:v>
                </c:pt>
                <c:pt idx="63">
                  <c:v>0.52088291842581402</c:v>
                </c:pt>
                <c:pt idx="64">
                  <c:v>0.51397304770700403</c:v>
                </c:pt>
                <c:pt idx="65">
                  <c:v>0.50708903464004995</c:v>
                </c:pt>
                <c:pt idx="66">
                  <c:v>0.50023117849903798</c:v>
                </c:pt>
                <c:pt idx="67">
                  <c:v>0.49339978014459901</c:v>
                </c:pt>
                <c:pt idx="68">
                  <c:v>0.486595142315978</c:v>
                </c:pt>
                <c:pt idx="69">
                  <c:v>0.47981756991812702</c:v>
                </c:pt>
                <c:pt idx="70">
                  <c:v>0.47306737030534102</c:v>
                </c:pt>
                <c:pt idx="71">
                  <c:v>0.46634485356292799</c:v>
                </c:pt>
                <c:pt idx="72">
                  <c:v>0.45965033278836998</c:v>
                </c:pt>
                <c:pt idx="73">
                  <c:v>0.452984124373431</c:v>
                </c:pt>
                <c:pt idx="74">
                  <c:v>0.44634654828863901</c:v>
                </c:pt>
                <c:pt idx="75">
                  <c:v>0.43973792837167303</c:v>
                </c:pt>
                <c:pt idx="76">
                  <c:v>0.43315859262119999</c:v>
                </c:pt>
                <c:pt idx="77">
                  <c:v>0.42660887349777199</c:v>
                </c:pt>
                <c:pt idx="78">
                  <c:v>0.42008910823350998</c:v>
                </c:pt>
                <c:pt idx="79">
                  <c:v>0.41359963915241799</c:v>
                </c:pt>
                <c:pt idx="80">
                  <c:v>0.407140814003359</c:v>
                </c:pt>
                <c:pt idx="81">
                  <c:v>0.40071298630784802</c:v>
                </c:pt>
                <c:pt idx="82">
                  <c:v>0.39431651572510301</c:v>
                </c:pt>
                <c:pt idx="83">
                  <c:v>0.38795176843706503</c:v>
                </c:pt>
                <c:pt idx="84">
                  <c:v>0.38161911755641897</c:v>
                </c:pt>
                <c:pt idx="85">
                  <c:v>0.37531894356103102</c:v>
                </c:pt>
                <c:pt idx="86">
                  <c:v>0.36905163475873698</c:v>
                </c:pt>
                <c:pt idx="87">
                  <c:v>0.36281758778692802</c:v>
                </c:pt>
                <c:pt idx="88">
                  <c:v>0.35661720815210701</c:v>
                </c:pt>
                <c:pt idx="89">
                  <c:v>0.350450910815373</c:v>
                </c:pt>
                <c:pt idx="90">
                  <c:v>0.34431912083081101</c:v>
                </c:pt>
                <c:pt idx="91">
                  <c:v>0.33822227404490601</c:v>
                </c:pt>
                <c:pt idx="92">
                  <c:v>0.33216081786657098</c:v>
                </c:pt>
                <c:pt idx="93">
                  <c:v>0.326135212119116</c:v>
                </c:pt>
                <c:pt idx="94">
                  <c:v>0.32014592998760799</c:v>
                </c:pt>
                <c:pt idx="95">
                  <c:v>0.31419345907770202</c:v>
                </c:pt>
                <c:pt idx="96">
                  <c:v>0.30827830260526101</c:v>
                </c:pt>
                <c:pt idx="97">
                  <c:v>0.30240098074003702</c:v>
                </c:pt>
                <c:pt idx="98">
                  <c:v>0.29656203213169302</c:v>
                </c:pt>
                <c:pt idx="99">
                  <c:v>0.29076201565267401</c:v>
                </c:pt>
                <c:pt idx="100">
                  <c:v>0.28500151240023203</c:v>
                </c:pt>
                <c:pt idx="101">
                  <c:v>0.27928112800993499</c:v>
                </c:pt>
                <c:pt idx="102">
                  <c:v>0.27360149534560402</c:v>
                </c:pt>
                <c:pt idx="103">
                  <c:v>0.26796327764693401</c:v>
                </c:pt>
                <c:pt idx="104">
                  <c:v>0.26236717223719502</c:v>
                </c:pt>
                <c:pt idx="105">
                  <c:v>0.25681391492087402</c:v>
                </c:pt>
                <c:pt idx="106">
                  <c:v>0.25130428523731502</c:v>
                </c:pt>
                <c:pt idx="107">
                  <c:v>0.245839112784451</c:v>
                </c:pt>
                <c:pt idx="108">
                  <c:v>0.24041928489084599</c:v>
                </c:pt>
                <c:pt idx="109">
                  <c:v>0.23504575600119801</c:v>
                </c:pt>
                <c:pt idx="110">
                  <c:v>0.229719559258767</c:v>
                </c:pt>
                <c:pt idx="111">
                  <c:v>0.22444182093165599</c:v>
                </c:pt>
                <c:pt idx="112">
                  <c:v>0.219213778557596</c:v>
                </c:pt>
                <c:pt idx="113">
                  <c:v>0.214036804003159</c:v>
                </c:pt>
                <c:pt idx="114">
                  <c:v>0.208912433091517</c:v>
                </c:pt>
                <c:pt idx="115">
                  <c:v>0.20384240411409199</c:v>
                </c:pt>
                <c:pt idx="116">
                  <c:v>0.19882870850598899</c:v>
                </c:pt>
                <c:pt idx="117">
                  <c:v>0.193873658385742</c:v>
                </c:pt>
                <c:pt idx="118">
                  <c:v>0.188979977765694</c:v>
                </c:pt>
                <c:pt idx="119">
                  <c:v>0.18415092736150299</c:v>
                </c:pt>
                <c:pt idx="120">
                  <c:v>0.179390477498446</c:v>
                </c:pt>
                <c:pt idx="121">
                  <c:v>0.17470355001295301</c:v>
                </c:pt>
                <c:pt idx="122">
                  <c:v>0.170096357911383</c:v>
                </c:pt>
                <c:pt idx="123">
                  <c:v>0.16557687696811399</c:v>
                </c:pt>
                <c:pt idx="124">
                  <c:v>0.16115546848878401</c:v>
                </c:pt>
                <c:pt idx="125">
                  <c:v>0.156845564948665</c:v>
                </c:pt>
                <c:pt idx="126">
                  <c:v>0.15266384075636599</c:v>
                </c:pt>
                <c:pt idx="127">
                  <c:v>0.14862718984166601</c:v>
                </c:pt>
                <c:pt idx="128">
                  <c:v>0.14473421949437501</c:v>
                </c:pt>
                <c:pt idx="129">
                  <c:v>0.14086480743372701</c:v>
                </c:pt>
                <c:pt idx="130">
                  <c:v>0.13955550991882801</c:v>
                </c:pt>
                <c:pt idx="131">
                  <c:v>0.13581540946214801</c:v>
                </c:pt>
                <c:pt idx="132">
                  <c:v>0.13218058045765299</c:v>
                </c:pt>
                <c:pt idx="133">
                  <c:v>0.12852321131928299</c:v>
                </c:pt>
                <c:pt idx="134">
                  <c:v>0.124865913827062</c:v>
                </c:pt>
                <c:pt idx="135">
                  <c:v>0.121221767475007</c:v>
                </c:pt>
                <c:pt idx="136">
                  <c:v>0.11760095799803701</c:v>
                </c:pt>
                <c:pt idx="137">
                  <c:v>0.1140112714788</c:v>
                </c:pt>
                <c:pt idx="138">
                  <c:v>0.11045865191747101</c:v>
                </c:pt>
                <c:pt idx="139">
                  <c:v>0.10694763961546</c:v>
                </c:pt>
                <c:pt idx="140">
                  <c:v>0.10348171430386301</c:v>
                </c:pt>
                <c:pt idx="141">
                  <c:v>0.100063560377599</c:v>
                </c:pt>
                <c:pt idx="142">
                  <c:v>9.6695269777179002E-2</c:v>
                </c:pt>
                <c:pt idx="143">
                  <c:v>9.3378495734345202E-2</c:v>
                </c:pt>
                <c:pt idx="144">
                  <c:v>9.0114568284768298E-2</c:v>
                </c:pt>
                <c:pt idx="145">
                  <c:v>8.6904580343205404E-2</c:v>
                </c:pt>
                <c:pt idx="146">
                  <c:v>8.37494513153485E-2</c:v>
                </c:pt>
                <c:pt idx="147">
                  <c:v>8.37494513153485E-2</c:v>
                </c:pt>
                <c:pt idx="148">
                  <c:v>8.37494513153485E-2</c:v>
                </c:pt>
                <c:pt idx="149">
                  <c:v>7.20382772443839E-2</c:v>
                </c:pt>
                <c:pt idx="150">
                  <c:v>6.3981542598682398E-2</c:v>
                </c:pt>
                <c:pt idx="151">
                  <c:v>5.6086483405831E-2</c:v>
                </c:pt>
                <c:pt idx="152">
                  <c:v>5.60867055885515E-2</c:v>
                </c:pt>
                <c:pt idx="153">
                  <c:v>5.60867055885515E-2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Implicit_Fracs!$AD$4:$AD$157</c:f>
              <c:numCache>
                <c:formatCode>General</c:formatCode>
                <c:ptCount val="154"/>
                <c:pt idx="0">
                  <c:v>1.6E-2</c:v>
                </c:pt>
                <c:pt idx="1">
                  <c:v>2.2611650941480099E-2</c:v>
                </c:pt>
                <c:pt idx="2">
                  <c:v>2.41201987028767E-2</c:v>
                </c:pt>
                <c:pt idx="3">
                  <c:v>2.4971062985404101E-2</c:v>
                </c:pt>
                <c:pt idx="4">
                  <c:v>2.55277807407037E-2</c:v>
                </c:pt>
                <c:pt idx="5">
                  <c:v>2.5914365909117401E-2</c:v>
                </c:pt>
                <c:pt idx="6">
                  <c:v>2.61889472654592E-2</c:v>
                </c:pt>
                <c:pt idx="7">
                  <c:v>2.6383697967002601E-2</c:v>
                </c:pt>
                <c:pt idx="8">
                  <c:v>2.6518390681476E-2</c:v>
                </c:pt>
                <c:pt idx="9">
                  <c:v>2.66060938673344E-2</c:v>
                </c:pt>
                <c:pt idx="10">
                  <c:v>2.6655921911782E-2</c:v>
                </c:pt>
                <c:pt idx="11">
                  <c:v>2.66745006070024E-2</c:v>
                </c:pt>
                <c:pt idx="12">
                  <c:v>2.6666808284705999E-2</c:v>
                </c:pt>
                <c:pt idx="13">
                  <c:v>2.6636687531046799E-2</c:v>
                </c:pt>
                <c:pt idx="14">
                  <c:v>2.6587171466405699E-2</c:v>
                </c:pt>
                <c:pt idx="15">
                  <c:v>2.6520700015384101E-2</c:v>
                </c:pt>
                <c:pt idx="16">
                  <c:v>2.6439268009635301E-2</c:v>
                </c:pt>
                <c:pt idx="17">
                  <c:v>2.63445294700923E-2</c:v>
                </c:pt>
                <c:pt idx="18">
                  <c:v>2.6237872818856301E-2</c:v>
                </c:pt>
                <c:pt idx="19">
                  <c:v>2.61204762727014E-2</c:v>
                </c:pt>
                <c:pt idx="20">
                  <c:v>2.5993349399135699E-2</c:v>
                </c:pt>
                <c:pt idx="21">
                  <c:v>2.58573648051862E-2</c:v>
                </c:pt>
                <c:pt idx="22">
                  <c:v>2.57132826568446E-2</c:v>
                </c:pt>
                <c:pt idx="23">
                  <c:v>2.5561769901309098E-2</c:v>
                </c:pt>
                <c:pt idx="24">
                  <c:v>2.5403415515727001E-2</c:v>
                </c:pt>
                <c:pt idx="25">
                  <c:v>2.52387335162686E-2</c:v>
                </c:pt>
                <c:pt idx="26">
                  <c:v>2.5068174051175E-2</c:v>
                </c:pt>
                <c:pt idx="27">
                  <c:v>2.48921404848945E-2</c:v>
                </c:pt>
                <c:pt idx="28">
                  <c:v>2.4710995902301799E-2</c:v>
                </c:pt>
                <c:pt idx="29">
                  <c:v>2.4525068510623999E-2</c:v>
                </c:pt>
                <c:pt idx="30">
                  <c:v>2.4334656157355999E-2</c:v>
                </c:pt>
                <c:pt idx="31">
                  <c:v>2.41400301334408E-2</c:v>
                </c:pt>
                <c:pt idx="32">
                  <c:v>2.3941438394196699E-2</c:v>
                </c:pt>
                <c:pt idx="33">
                  <c:v>2.37391083025702E-2</c:v>
                </c:pt>
                <c:pt idx="34">
                  <c:v>2.3533248977932901E-2</c:v>
                </c:pt>
                <c:pt idx="35">
                  <c:v>2.3324053317132699E-2</c:v>
                </c:pt>
                <c:pt idx="36">
                  <c:v>2.31116997416594E-2</c:v>
                </c:pt>
                <c:pt idx="37">
                  <c:v>2.2896353714689899E-2</c:v>
                </c:pt>
                <c:pt idx="38">
                  <c:v>2.26781690638009E-2</c:v>
                </c:pt>
                <c:pt idx="39">
                  <c:v>2.24572891387812E-2</c:v>
                </c:pt>
                <c:pt idx="40">
                  <c:v>2.2233847828885E-2</c:v>
                </c:pt>
                <c:pt idx="41">
                  <c:v>2.2007970459759701E-2</c:v>
                </c:pt>
                <c:pt idx="42">
                  <c:v>2.17797745869533E-2</c:v>
                </c:pt>
                <c:pt idx="43">
                  <c:v>2.1549370700189401E-2</c:v>
                </c:pt>
                <c:pt idx="44">
                  <c:v>2.1316862850372001E-2</c:v>
                </c:pt>
                <c:pt idx="45">
                  <c:v>2.10823492094468E-2</c:v>
                </c:pt>
                <c:pt idx="46">
                  <c:v>2.0845922571730902E-2</c:v>
                </c:pt>
                <c:pt idx="47">
                  <c:v>2.0607670804057801E-2</c:v>
                </c:pt>
                <c:pt idx="48">
                  <c:v>2.0367677251028699E-2</c:v>
                </c:pt>
                <c:pt idx="49">
                  <c:v>2.0126021100785398E-2</c:v>
                </c:pt>
                <c:pt idx="50">
                  <c:v>1.9882777715967099E-2</c:v>
                </c:pt>
                <c:pt idx="51">
                  <c:v>1.9638018933892099E-2</c:v>
                </c:pt>
                <c:pt idx="52">
                  <c:v>1.93918133394709E-2</c:v>
                </c:pt>
                <c:pt idx="53">
                  <c:v>1.9144226513902001E-2</c:v>
                </c:pt>
                <c:pt idx="54">
                  <c:v>1.88953212618224E-2</c:v>
                </c:pt>
                <c:pt idx="55">
                  <c:v>1.86451578192437E-2</c:v>
                </c:pt>
                <c:pt idx="56">
                  <c:v>1.83937940443335E-2</c:v>
                </c:pt>
                <c:pt idx="57">
                  <c:v>1.8141285592847198E-2</c:v>
                </c:pt>
                <c:pt idx="58">
                  <c:v>1.78876860798107E-2</c:v>
                </c:pt>
                <c:pt idx="59">
                  <c:v>1.7633047228872299E-2</c:v>
                </c:pt>
                <c:pt idx="60">
                  <c:v>1.7377419010581902E-2</c:v>
                </c:pt>
                <c:pt idx="61">
                  <c:v>1.71208497707219E-2</c:v>
                </c:pt>
                <c:pt idx="62">
                  <c:v>1.6863386349693799E-2</c:v>
                </c:pt>
                <c:pt idx="63">
                  <c:v>1.6605074193862802E-2</c:v>
                </c:pt>
                <c:pt idx="64">
                  <c:v>1.6345957459671E-2</c:v>
                </c:pt>
                <c:pt idx="65">
                  <c:v>1.6086079111252399E-2</c:v>
                </c:pt>
                <c:pt idx="66">
                  <c:v>1.5825481012218399E-2</c:v>
                </c:pt>
                <c:pt idx="67">
                  <c:v>1.5564204012216001E-2</c:v>
                </c:pt>
                <c:pt idx="68">
                  <c:v>1.53022880288188E-2</c:v>
                </c:pt>
                <c:pt idx="69">
                  <c:v>1.50397721252608E-2</c:v>
                </c:pt>
                <c:pt idx="70">
                  <c:v>1.4776694584487901E-2</c:v>
                </c:pt>
                <c:pt idx="71">
                  <c:v>1.4513092979969999E-2</c:v>
                </c:pt>
                <c:pt idx="72">
                  <c:v>1.42490042436909E-2</c:v>
                </c:pt>
                <c:pt idx="73">
                  <c:v>1.39844647317116E-2</c:v>
                </c:pt>
                <c:pt idx="74">
                  <c:v>1.37195102876845E-2</c:v>
                </c:pt>
                <c:pt idx="75">
                  <c:v>1.3454176304685799E-2</c:v>
                </c:pt>
                <c:pt idx="76">
                  <c:v>1.31884977857268E-2</c:v>
                </c:pt>
                <c:pt idx="77">
                  <c:v>1.2922509403298E-2</c:v>
                </c:pt>
                <c:pt idx="78">
                  <c:v>1.26562455583057E-2</c:v>
                </c:pt>
                <c:pt idx="79">
                  <c:v>1.2389740438763799E-2</c:v>
                </c:pt>
                <c:pt idx="80">
                  <c:v>1.212302807862E-2</c:v>
                </c:pt>
                <c:pt idx="81">
                  <c:v>1.1856142417106599E-2</c:v>
                </c:pt>
                <c:pt idx="82">
                  <c:v>1.1589117359035899E-2</c:v>
                </c:pt>
                <c:pt idx="83">
                  <c:v>1.1321986836489099E-2</c:v>
                </c:pt>
                <c:pt idx="84">
                  <c:v>1.10547848723865E-2</c:v>
                </c:pt>
                <c:pt idx="85">
                  <c:v>1.07875456464771E-2</c:v>
                </c:pt>
                <c:pt idx="86">
                  <c:v>1.05203035643471E-2</c:v>
                </c:pt>
                <c:pt idx="87">
                  <c:v>1.02530933301168E-2</c:v>
                </c:pt>
                <c:pt idx="88">
                  <c:v>9.9859500235929492E-3</c:v>
                </c:pt>
                <c:pt idx="89">
                  <c:v>9.7189091827452907E-3</c:v>
                </c:pt>
                <c:pt idx="90">
                  <c:v>9.4520068925158102E-3</c:v>
                </c:pt>
                <c:pt idx="91">
                  <c:v>9.1852798811285098E-3</c:v>
                </c:pt>
                <c:pt idx="92">
                  <c:v>8.9187656252653E-3</c:v>
                </c:pt>
                <c:pt idx="93">
                  <c:v>8.6525024657165793E-3</c:v>
                </c:pt>
                <c:pt idx="94">
                  <c:v>8.3865297354107794E-3</c:v>
                </c:pt>
                <c:pt idx="95">
                  <c:v>8.1208879020912093E-3</c:v>
                </c:pt>
                <c:pt idx="96">
                  <c:v>7.8556187283612307E-3</c:v>
                </c:pt>
                <c:pt idx="97">
                  <c:v>7.5907654523760196E-3</c:v>
                </c:pt>
                <c:pt idx="98">
                  <c:v>7.3263729931593597E-3</c:v>
                </c:pt>
                <c:pt idx="99">
                  <c:v>7.0624881854000898E-3</c:v>
                </c:pt>
                <c:pt idx="100">
                  <c:v>6.7991600496888601E-3</c:v>
                </c:pt>
                <c:pt idx="101">
                  <c:v>6.5364401055628997E-3</c:v>
                </c:pt>
                <c:pt idx="102">
                  <c:v>6.2743827365247702E-3</c:v>
                </c:pt>
                <c:pt idx="103">
                  <c:v>6.0130456185144999E-3</c:v>
                </c:pt>
                <c:pt idx="104">
                  <c:v>5.7524902263250098E-3</c:v>
                </c:pt>
                <c:pt idx="105">
                  <c:v>5.4927824363815202E-3</c:v>
                </c:pt>
                <c:pt idx="106">
                  <c:v>5.2339932494957402E-3</c:v>
                </c:pt>
                <c:pt idx="107">
                  <c:v>4.9761996641211398E-3</c:v>
                </c:pt>
                <c:pt idx="108">
                  <c:v>4.7194857399247498E-3</c:v>
                </c:pt>
                <c:pt idx="109">
                  <c:v>4.4639439041226003E-3</c:v>
                </c:pt>
                <c:pt idx="110">
                  <c:v>4.2096765703620396E-3</c:v>
                </c:pt>
                <c:pt idx="111">
                  <c:v>3.9567981640350703E-3</c:v>
                </c:pt>
                <c:pt idx="112">
                  <c:v>3.70543768180596E-3</c:v>
                </c:pt>
                <c:pt idx="113">
                  <c:v>3.4557419614746599E-3</c:v>
                </c:pt>
                <c:pt idx="114">
                  <c:v>3.2078799081807301E-3</c:v>
                </c:pt>
                <c:pt idx="115">
                  <c:v>2.9620480255191199E-3</c:v>
                </c:pt>
                <c:pt idx="116">
                  <c:v>2.71847775304125E-3</c:v>
                </c:pt>
                <c:pt idx="117">
                  <c:v>2.4774453433339299E-3</c:v>
                </c:pt>
                <c:pt idx="118">
                  <c:v>2.23928536895345E-3</c:v>
                </c:pt>
                <c:pt idx="119">
                  <c:v>2.0044095089909201E-3</c:v>
                </c:pt>
                <c:pt idx="120">
                  <c:v>1.77333315520288E-3</c:v>
                </c:pt>
                <c:pt idx="121">
                  <c:v>1.54671381061942E-3</c:v>
                </c:pt>
                <c:pt idx="122">
                  <c:v>1.32540756822555E-3</c:v>
                </c:pt>
                <c:pt idx="123">
                  <c:v>1.11055363638389E-3</c:v>
                </c:pt>
                <c:pt idx="124">
                  <c:v>9.0370234571950602E-4</c:v>
                </c:pt>
                <c:pt idx="125">
                  <c:v>7.0700841640147696E-4</c:v>
                </c:pt>
                <c:pt idx="126">
                  <c:v>5.23510337909115E-4</c:v>
                </c:pt>
                <c:pt idx="127">
                  <c:v>3.5746939288943303E-4</c:v>
                </c:pt>
                <c:pt idx="128">
                  <c:v>2.1450397977291E-4</c:v>
                </c:pt>
                <c:pt idx="129">
                  <c:v>1.00617734277393E-4</c:v>
                </c:pt>
                <c:pt idx="130" formatCode="0.00E+00">
                  <c:v>8.2639364478828906E-5</c:v>
                </c:pt>
                <c:pt idx="131" formatCode="0.00E+00">
                  <c:v>6.3370463670603999E-5</c:v>
                </c:pt>
                <c:pt idx="132" formatCode="0.00E+00">
                  <c:v>4.7302722565071099E-5</c:v>
                </c:pt>
                <c:pt idx="133" formatCode="0.00E+00">
                  <c:v>3.5187081574267198E-5</c:v>
                </c:pt>
                <c:pt idx="134" formatCode="0.00E+00">
                  <c:v>2.6059117828659799E-5</c:v>
                </c:pt>
                <c:pt idx="135" formatCode="0.00E+00">
                  <c:v>1.92120890580202E-5</c:v>
                </c:pt>
                <c:pt idx="136" formatCode="0.00E+00">
                  <c:v>1.4098460421257201E-5</c:v>
                </c:pt>
                <c:pt idx="137" formatCode="0.00E+00">
                  <c:v>1.02965782368963E-5</c:v>
                </c:pt>
                <c:pt idx="138" formatCode="0.00E+00">
                  <c:v>7.4830304334009997E-6</c:v>
                </c:pt>
                <c:pt idx="139" formatCode="0.00E+00">
                  <c:v>5.41080342289349E-6</c:v>
                </c:pt>
                <c:pt idx="140" formatCode="0.00E+00">
                  <c:v>3.89205454125099E-6</c:v>
                </c:pt>
                <c:pt idx="141" formatCode="0.00E+00">
                  <c:v>2.7845763176821499E-6</c:v>
                </c:pt>
                <c:pt idx="142" formatCode="0.00E+00">
                  <c:v>1.9812044787128101E-6</c:v>
                </c:pt>
                <c:pt idx="143" formatCode="0.00E+00">
                  <c:v>1.40156447075035E-6</c:v>
                </c:pt>
                <c:pt idx="144" formatCode="0.00E+00">
                  <c:v>9.8566812996001894E-7</c:v>
                </c:pt>
                <c:pt idx="145" formatCode="0.00E+00">
                  <c:v>6.8896786780945295E-7</c:v>
                </c:pt>
                <c:pt idx="146" formatCode="0.00E+00">
                  <c:v>4.7855403461262301E-7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Implicit_Fracs!$AE$4:$AE$157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2.2572700674604001E-4</c:v>
                </c:pt>
                <c:pt idx="3">
                  <c:v>4.6602460758151298E-4</c:v>
                </c:pt>
                <c:pt idx="4">
                  <c:v>7.1560341280182396E-4</c:v>
                </c:pt>
                <c:pt idx="5">
                  <c:v>9.7205165570332902E-4</c:v>
                </c:pt>
                <c:pt idx="6">
                  <c:v>1.2339482484212099E-3</c:v>
                </c:pt>
                <c:pt idx="7">
                  <c:v>1.50034832580758E-3</c:v>
                </c:pt>
                <c:pt idx="8">
                  <c:v>1.77057674632196E-3</c:v>
                </c:pt>
                <c:pt idx="9">
                  <c:v>2.04412655655853E-3</c:v>
                </c:pt>
                <c:pt idx="10">
                  <c:v>2.3206026026784299E-3</c:v>
                </c:pt>
                <c:pt idx="11">
                  <c:v>2.5996876152279899E-3</c:v>
                </c:pt>
                <c:pt idx="12">
                  <c:v>2.8811206200499702E-3</c:v>
                </c:pt>
                <c:pt idx="13">
                  <c:v>3.1646825846655601E-3</c:v>
                </c:pt>
                <c:pt idx="14">
                  <c:v>3.45018653183866E-3</c:v>
                </c:pt>
                <c:pt idx="15">
                  <c:v>3.7374705233662901E-3</c:v>
                </c:pt>
                <c:pt idx="16">
                  <c:v>4.0263925501517299E-3</c:v>
                </c:pt>
                <c:pt idx="17">
                  <c:v>4.3168267250400898E-3</c:v>
                </c:pt>
                <c:pt idx="18">
                  <c:v>4.6086603887057201E-3</c:v>
                </c:pt>
                <c:pt idx="19">
                  <c:v>4.9017918700604898E-3</c:v>
                </c:pt>
                <c:pt idx="20">
                  <c:v>5.1961287254801702E-3</c:v>
                </c:pt>
                <c:pt idx="21">
                  <c:v>5.49158633479601E-3</c:v>
                </c:pt>
                <c:pt idx="22">
                  <c:v>5.7880867675512001E-3</c:v>
                </c:pt>
                <c:pt idx="23">
                  <c:v>6.08555785708701E-3</c:v>
                </c:pt>
                <c:pt idx="24">
                  <c:v>6.3839324366306701E-3</c:v>
                </c:pt>
                <c:pt idx="25">
                  <c:v>6.6831539194579896E-3</c:v>
                </c:pt>
                <c:pt idx="26">
                  <c:v>6.9831752656896798E-3</c:v>
                </c:pt>
                <c:pt idx="27">
                  <c:v>7.2839525513874598E-3</c:v>
                </c:pt>
                <c:pt idx="28">
                  <c:v>7.5854446211987003E-3</c:v>
                </c:pt>
                <c:pt idx="29">
                  <c:v>7.8876127898671305E-3</c:v>
                </c:pt>
                <c:pt idx="30">
                  <c:v>8.1904205842180007E-3</c:v>
                </c:pt>
                <c:pt idx="31">
                  <c:v>8.4938335188974798E-3</c:v>
                </c:pt>
                <c:pt idx="32">
                  <c:v>8.7978189004481004E-3</c:v>
                </c:pt>
                <c:pt idx="33">
                  <c:v>9.1023456553133396E-3</c:v>
                </c:pt>
                <c:pt idx="34">
                  <c:v>9.4073841781623993E-3</c:v>
                </c:pt>
                <c:pt idx="35">
                  <c:v>9.7129061975616895E-3</c:v>
                </c:pt>
                <c:pt idx="36">
                  <c:v>1.0018884656525499E-2</c:v>
                </c:pt>
                <c:pt idx="37">
                  <c:v>1.0325293605889499E-2</c:v>
                </c:pt>
                <c:pt idx="38">
                  <c:v>1.06321081087785E-2</c:v>
                </c:pt>
                <c:pt idx="39">
                  <c:v>1.09393041547147E-2</c:v>
                </c:pt>
                <c:pt idx="40">
                  <c:v>1.1246858582131401E-2</c:v>
                </c:pt>
                <c:pt idx="41">
                  <c:v>1.15547490082439E-2</c:v>
                </c:pt>
                <c:pt idx="42">
                  <c:v>1.18629537653772E-2</c:v>
                </c:pt>
                <c:pt idx="43">
                  <c:v>1.2171451842980701E-2</c:v>
                </c:pt>
                <c:pt idx="44">
                  <c:v>1.2480222834665799E-2</c:v>
                </c:pt>
                <c:pt idx="45">
                  <c:v>1.2789246889689E-2</c:v>
                </c:pt>
                <c:pt idx="46">
                  <c:v>1.30985046683818E-2</c:v>
                </c:pt>
                <c:pt idx="47">
                  <c:v>1.34079773010898E-2</c:v>
                </c:pt>
                <c:pt idx="48">
                  <c:v>1.3717646350242601E-2</c:v>
                </c:pt>
                <c:pt idx="49">
                  <c:v>1.40274937752161E-2</c:v>
                </c:pt>
                <c:pt idx="50">
                  <c:v>1.4337501899692901E-2</c:v>
                </c:pt>
                <c:pt idx="51">
                  <c:v>1.46476533812626E-2</c:v>
                </c:pt>
                <c:pt idx="52">
                  <c:v>1.4957931183025601E-2</c:v>
                </c:pt>
                <c:pt idx="53">
                  <c:v>1.5268318547000099E-2</c:v>
                </c:pt>
                <c:pt idx="54">
                  <c:v>1.5578798969143E-2</c:v>
                </c:pt>
                <c:pt idx="55">
                  <c:v>1.5889356175825702E-2</c:v>
                </c:pt>
                <c:pt idx="56">
                  <c:v>1.6199974101611201E-2</c:v>
                </c:pt>
                <c:pt idx="57">
                  <c:v>1.65106368682022E-2</c:v>
                </c:pt>
                <c:pt idx="58">
                  <c:v>1.6821328764439598E-2</c:v>
                </c:pt>
                <c:pt idx="59">
                  <c:v>1.7132034227237299E-2</c:v>
                </c:pt>
                <c:pt idx="60">
                  <c:v>1.7442737823358399E-2</c:v>
                </c:pt>
                <c:pt idx="61">
                  <c:v>1.77534242319345E-2</c:v>
                </c:pt>
                <c:pt idx="62">
                  <c:v>1.8064078227648401E-2</c:v>
                </c:pt>
                <c:pt idx="63">
                  <c:v>1.8374684664495801E-2</c:v>
                </c:pt>
                <c:pt idx="64">
                  <c:v>1.86852284600557E-2</c:v>
                </c:pt>
                <c:pt idx="65">
                  <c:v>1.8995694580200301E-2</c:v>
                </c:pt>
                <c:pt idx="66">
                  <c:v>1.9306068024173201E-2</c:v>
                </c:pt>
                <c:pt idx="67">
                  <c:v>1.9616333809981502E-2</c:v>
                </c:pt>
                <c:pt idx="68">
                  <c:v>1.9926476960033301E-2</c:v>
                </c:pt>
                <c:pt idx="69">
                  <c:v>2.0236482486965399E-2</c:v>
                </c:pt>
                <c:pt idx="70">
                  <c:v>2.0546335379603702E-2</c:v>
                </c:pt>
                <c:pt idx="71">
                  <c:v>2.0856020588996899E-2</c:v>
                </c:pt>
                <c:pt idx="72">
                  <c:v>2.1165523014466298E-2</c:v>
                </c:pt>
                <c:pt idx="73">
                  <c:v>2.1474827489612498E-2</c:v>
                </c:pt>
                <c:pt idx="74">
                  <c:v>2.1783918768220601E-2</c:v>
                </c:pt>
                <c:pt idx="75">
                  <c:v>2.2092781509997599E-2</c:v>
                </c:pt>
                <c:pt idx="76">
                  <c:v>2.24014002660788E-2</c:v>
                </c:pt>
                <c:pt idx="77">
                  <c:v>2.2709759464231101E-2</c:v>
                </c:pt>
                <c:pt idx="78">
                  <c:v>2.30178433936781E-2</c:v>
                </c:pt>
                <c:pt idx="79">
                  <c:v>2.33256361894651E-2</c:v>
                </c:pt>
                <c:pt idx="80">
                  <c:v>2.3633121816272799E-2</c:v>
                </c:pt>
                <c:pt idx="81">
                  <c:v>2.39402840515806E-2</c:v>
                </c:pt>
                <c:pt idx="82">
                  <c:v>2.42471064680683E-2</c:v>
                </c:pt>
                <c:pt idx="83">
                  <c:v>2.4553572415130301E-2</c:v>
                </c:pt>
                <c:pt idx="84">
                  <c:v>2.4859664999360001E-2</c:v>
                </c:pt>
                <c:pt idx="85">
                  <c:v>2.5165367063842401E-2</c:v>
                </c:pt>
                <c:pt idx="86">
                  <c:v>2.54706611660694E-2</c:v>
                </c:pt>
                <c:pt idx="87">
                  <c:v>2.57755295542616E-2</c:v>
                </c:pt>
                <c:pt idx="88">
                  <c:v>2.6079954141846599E-2</c:v>
                </c:pt>
                <c:pt idx="89">
                  <c:v>2.63839164798036E-2</c:v>
                </c:pt>
                <c:pt idx="90">
                  <c:v>2.6687397726526702E-2</c:v>
                </c:pt>
                <c:pt idx="91">
                  <c:v>2.69903786148054E-2</c:v>
                </c:pt>
                <c:pt idx="92">
                  <c:v>2.72928394154376E-2</c:v>
                </c:pt>
                <c:pt idx="93">
                  <c:v>2.7594759896902101E-2</c:v>
                </c:pt>
                <c:pt idx="94">
                  <c:v>2.7896119280398798E-2</c:v>
                </c:pt>
                <c:pt idx="95">
                  <c:v>2.8196896189426199E-2</c:v>
                </c:pt>
                <c:pt idx="96">
                  <c:v>2.8497068592885401E-2</c:v>
                </c:pt>
                <c:pt idx="97">
                  <c:v>2.8796613740480301E-2</c:v>
                </c:pt>
                <c:pt idx="98">
                  <c:v>2.9095508088906801E-2</c:v>
                </c:pt>
                <c:pt idx="99">
                  <c:v>2.93937272169673E-2</c:v>
                </c:pt>
                <c:pt idx="100">
                  <c:v>2.96912457273051E-2</c:v>
                </c:pt>
                <c:pt idx="101">
                  <c:v>2.99880371318728E-2</c:v>
                </c:pt>
                <c:pt idx="102">
                  <c:v>3.0284073717513699E-2</c:v>
                </c:pt>
                <c:pt idx="103">
                  <c:v>3.0579326387072999E-2</c:v>
                </c:pt>
                <c:pt idx="104">
                  <c:v>3.0873764470194201E-2</c:v>
                </c:pt>
                <c:pt idx="105">
                  <c:v>3.1167355496298201E-2</c:v>
                </c:pt>
                <c:pt idx="106">
                  <c:v>3.14600649200317E-2</c:v>
                </c:pt>
                <c:pt idx="107">
                  <c:v>3.17518557865E-2</c:v>
                </c:pt>
                <c:pt idx="108">
                  <c:v>3.2042688319577101E-2</c:v>
                </c:pt>
                <c:pt idx="109">
                  <c:v>3.2332519411062299E-2</c:v>
                </c:pt>
                <c:pt idx="110">
                  <c:v>3.2621301980819702E-2</c:v>
                </c:pt>
                <c:pt idx="111">
                  <c:v>3.2908984167321902E-2</c:v>
                </c:pt>
                <c:pt idx="112">
                  <c:v>3.3195508292840001E-2</c:v>
                </c:pt>
                <c:pt idx="113">
                  <c:v>3.3480809525695397E-2</c:v>
                </c:pt>
                <c:pt idx="114">
                  <c:v>3.3764814130199501E-2</c:v>
                </c:pt>
                <c:pt idx="115">
                  <c:v>3.4047437147922202E-2</c:v>
                </c:pt>
                <c:pt idx="116">
                  <c:v>3.4328579283442497E-2</c:v>
                </c:pt>
                <c:pt idx="117">
                  <c:v>3.4608122660348302E-2</c:v>
                </c:pt>
                <c:pt idx="118">
                  <c:v>3.4885924947183899E-2</c:v>
                </c:pt>
                <c:pt idx="119">
                  <c:v>3.5161811092606597E-2</c:v>
                </c:pt>
                <c:pt idx="120">
                  <c:v>3.5435561496163497E-2</c:v>
                </c:pt>
                <c:pt idx="121">
                  <c:v>3.5706894784344599E-2</c:v>
                </c:pt>
                <c:pt idx="122">
                  <c:v>3.5975442330543998E-2</c:v>
                </c:pt>
                <c:pt idx="123">
                  <c:v>3.6240710127143597E-2</c:v>
                </c:pt>
                <c:pt idx="124">
                  <c:v>3.6502021757022503E-2</c:v>
                </c:pt>
                <c:pt idx="125">
                  <c:v>3.6758435857263697E-2</c:v>
                </c:pt>
                <c:pt idx="126">
                  <c:v>3.7008642254125999E-2</c:v>
                </c:pt>
                <c:pt idx="127">
                  <c:v>3.7250907715243198E-2</c:v>
                </c:pt>
                <c:pt idx="128">
                  <c:v>3.74834696028188E-2</c:v>
                </c:pt>
                <c:pt idx="129">
                  <c:v>3.77072983727611E-2</c:v>
                </c:pt>
                <c:pt idx="130">
                  <c:v>3.7988497846314001E-2</c:v>
                </c:pt>
                <c:pt idx="131">
                  <c:v>3.8249483971958799E-2</c:v>
                </c:pt>
                <c:pt idx="132">
                  <c:v>3.8507809347632198E-2</c:v>
                </c:pt>
                <c:pt idx="133">
                  <c:v>3.8770623031797298E-2</c:v>
                </c:pt>
                <c:pt idx="134">
                  <c:v>3.9038050778721398E-2</c:v>
                </c:pt>
                <c:pt idx="135">
                  <c:v>3.93104326772033E-2</c:v>
                </c:pt>
                <c:pt idx="136">
                  <c:v>3.9588073551336103E-2</c:v>
                </c:pt>
                <c:pt idx="137">
                  <c:v>3.9871259878825498E-2</c:v>
                </c:pt>
                <c:pt idx="138">
                  <c:v>4.01602656029506E-2</c:v>
                </c:pt>
                <c:pt idx="139">
                  <c:v>4.0455357178671103E-2</c:v>
                </c:pt>
                <c:pt idx="140">
                  <c:v>4.0756797740112503E-2</c:v>
                </c:pt>
                <c:pt idx="141">
                  <c:v>4.1064850562251003E-2</c:v>
                </c:pt>
                <c:pt idx="142">
                  <c:v>4.1379781957230598E-2</c:v>
                </c:pt>
                <c:pt idx="143">
                  <c:v>4.1701863724087303E-2</c:v>
                </c:pt>
                <c:pt idx="144">
                  <c:v>4.2031375251371003E-2</c:v>
                </c:pt>
                <c:pt idx="145">
                  <c:v>4.2368605355448903E-2</c:v>
                </c:pt>
                <c:pt idx="146">
                  <c:v>4.2713853923076597E-2</c:v>
                </c:pt>
                <c:pt idx="147">
                  <c:v>4.2713853923076597E-2</c:v>
                </c:pt>
                <c:pt idx="148">
                  <c:v>4.2713853923076597E-2</c:v>
                </c:pt>
                <c:pt idx="149">
                  <c:v>4.2713853923076597E-2</c:v>
                </c:pt>
                <c:pt idx="150">
                  <c:v>4.2713853923076597E-2</c:v>
                </c:pt>
                <c:pt idx="151">
                  <c:v>4.2713853923076597E-2</c:v>
                </c:pt>
                <c:pt idx="152">
                  <c:v>4.2713853923076597E-2</c:v>
                </c:pt>
                <c:pt idx="153">
                  <c:v>4.2713853923076597E-2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Implicit_Fracs!$AF$4:$AF$157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Implicit_Fracs!$S$4:$S$157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5.5360499322261803E-3</c:v>
                </c:pt>
                <c:pt idx="150">
                  <c:v>4.3150134241271201E-3</c:v>
                </c:pt>
                <c:pt idx="151">
                  <c:v>1.468012563685E-3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Implicit_Fracs!$T$4:$T$157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5.3844788228929004E-3</c:v>
                </c:pt>
                <c:pt idx="151">
                  <c:v>1.16566699110939E-2</c:v>
                </c:pt>
                <c:pt idx="152">
                  <c:v>1.3124682474778901E-2</c:v>
                </c:pt>
                <c:pt idx="153">
                  <c:v>1.3124682474778901E-2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Implicit_Fracs!$U$4:$U$157</c:f>
              <c:numCache>
                <c:formatCode>General</c:formatCode>
                <c:ptCount val="154"/>
                <c:pt idx="0">
                  <c:v>1</c:v>
                </c:pt>
                <c:pt idx="1">
                  <c:v>1</c:v>
                </c:pt>
                <c:pt idx="2">
                  <c:v>0.99574758331313895</c:v>
                </c:pt>
                <c:pt idx="3">
                  <c:v>0.99080365645933699</c:v>
                </c:pt>
                <c:pt idx="4">
                  <c:v>0.985860630023355</c:v>
                </c:pt>
                <c:pt idx="5">
                  <c:v>0.98105570441256396</c:v>
                </c:pt>
                <c:pt idx="6">
                  <c:v>0.976388574514368</c:v>
                </c:pt>
                <c:pt idx="7">
                  <c:v>0.97182976124601705</c:v>
                </c:pt>
                <c:pt idx="8">
                  <c:v>0.96734987120429805</c:v>
                </c:pt>
                <c:pt idx="9">
                  <c:v>0.96292603332786497</c:v>
                </c:pt>
                <c:pt idx="10">
                  <c:v>0.958541876667651</c:v>
                </c:pt>
                <c:pt idx="11">
                  <c:v>0.95418605490611696</c:v>
                </c:pt>
                <c:pt idx="12">
                  <c:v>0.94985077638090498</c:v>
                </c:pt>
                <c:pt idx="13">
                  <c:v>0.94553067296291904</c:v>
                </c:pt>
                <c:pt idx="14">
                  <c:v>0.94122200647201204</c:v>
                </c:pt>
                <c:pt idx="15">
                  <c:v>0.93692213395888102</c:v>
                </c:pt>
                <c:pt idx="16">
                  <c:v>0.93262915348828801</c:v>
                </c:pt>
                <c:pt idx="17">
                  <c:v>0.928341670474647</c:v>
                </c:pt>
                <c:pt idx="18">
                  <c:v>0.92405864296731499</c:v>
                </c:pt>
                <c:pt idx="19">
                  <c:v>0.91977927829045902</c:v>
                </c:pt>
                <c:pt idx="20">
                  <c:v>0.91550296312650503</c:v>
                </c:pt>
                <c:pt idx="21">
                  <c:v>0.911229215520585</c:v>
                </c:pt>
                <c:pt idx="22">
                  <c:v>0.90695765140009299</c:v>
                </c:pt>
                <c:pt idx="23">
                  <c:v>0.90268796082843505</c:v>
                </c:pt>
                <c:pt idx="24">
                  <c:v>0.89840198195365095</c:v>
                </c:pt>
                <c:pt idx="25">
                  <c:v>0.89408344852645605</c:v>
                </c:pt>
                <c:pt idx="26">
                  <c:v>0.88973340030563697</c:v>
                </c:pt>
                <c:pt idx="27">
                  <c:v>0.88535275772403099</c:v>
                </c:pt>
                <c:pt idx="28">
                  <c:v>0.88094233897560303</c:v>
                </c:pt>
                <c:pt idx="29">
                  <c:v>0.876502874162714</c:v>
                </c:pt>
                <c:pt idx="30">
                  <c:v>0.87203501709147002</c:v>
                </c:pt>
                <c:pt idx="31">
                  <c:v>0.86753935517043401</c:v>
                </c:pt>
                <c:pt idx="32">
                  <c:v>0.863016417768392</c:v>
                </c:pt>
                <c:pt idx="33">
                  <c:v>0.85846668331144305</c:v>
                </c:pt>
                <c:pt idx="34">
                  <c:v>0.85389058534208595</c:v>
                </c:pt>
                <c:pt idx="35">
                  <c:v>0.84928851771837999</c:v>
                </c:pt>
                <c:pt idx="36">
                  <c:v>0.84466083909676104</c:v>
                </c:pt>
                <c:pt idx="37">
                  <c:v>0.84000787681484301</c:v>
                </c:pt>
                <c:pt idx="38">
                  <c:v>0.83532993026925195</c:v>
                </c:pt>
                <c:pt idx="39">
                  <c:v>0.83062727386641</c:v>
                </c:pt>
                <c:pt idx="40">
                  <c:v>0.82590015961063001</c:v>
                </c:pt>
                <c:pt idx="41">
                  <c:v>0.82114881938288597</c:v>
                </c:pt>
                <c:pt idx="42">
                  <c:v>0.81637346695478197</c:v>
                </c:pt>
                <c:pt idx="43">
                  <c:v>0.81157429977502005</c:v>
                </c:pt>
                <c:pt idx="44">
                  <c:v>0.80675150055970302</c:v>
                </c:pt>
                <c:pt idx="45">
                  <c:v>0.80190523871305996</c:v>
                </c:pt>
                <c:pt idx="46">
                  <c:v>0.79703567160106303</c:v>
                </c:pt>
                <c:pt idx="47">
                  <c:v>0.79214294569719501</c:v>
                </c:pt>
                <c:pt idx="48">
                  <c:v>0.78867288473985298</c:v>
                </c:pt>
                <c:pt idx="49">
                  <c:v>0.78228855505353101</c:v>
                </c:pt>
                <c:pt idx="50">
                  <c:v>0.77732713763210204</c:v>
                </c:pt>
                <c:pt idx="51">
                  <c:v>0.78369729297434398</c:v>
                </c:pt>
                <c:pt idx="52">
                  <c:v>0.77847309048793001</c:v>
                </c:pt>
                <c:pt idx="53">
                  <c:v>0.77562890398637896</c:v>
                </c:pt>
                <c:pt idx="54">
                  <c:v>0.77124882481587698</c:v>
                </c:pt>
                <c:pt idx="55">
                  <c:v>0.76727204419649897</c:v>
                </c:pt>
                <c:pt idx="56">
                  <c:v>0.76310697078919998</c:v>
                </c:pt>
                <c:pt idx="57">
                  <c:v>0.75894550880339995</c:v>
                </c:pt>
                <c:pt idx="58">
                  <c:v>0.754761806277082</c:v>
                </c:pt>
                <c:pt idx="59">
                  <c:v>0.75056743784292901</c:v>
                </c:pt>
                <c:pt idx="60">
                  <c:v>0.746365816800176</c:v>
                </c:pt>
                <c:pt idx="61">
                  <c:v>0.74215964577728299</c:v>
                </c:pt>
                <c:pt idx="62">
                  <c:v>0.73795066940722798</c:v>
                </c:pt>
                <c:pt idx="63">
                  <c:v>0.73374004169695095</c:v>
                </c:pt>
                <c:pt idx="64">
                  <c:v>0.72952852686344005</c:v>
                </c:pt>
                <c:pt idx="65">
                  <c:v>0.72531663407332603</c:v>
                </c:pt>
                <c:pt idx="66">
                  <c:v>0.72110470579177199</c:v>
                </c:pt>
                <c:pt idx="67">
                  <c:v>0.71689297560340903</c:v>
                </c:pt>
                <c:pt idx="68">
                  <c:v>0.71268160599126495</c:v>
                </c:pt>
                <c:pt idx="69">
                  <c:v>0.70847071302601194</c:v>
                </c:pt>
                <c:pt idx="70">
                  <c:v>0.70426038253248202</c:v>
                </c:pt>
                <c:pt idx="71">
                  <c:v>0.70005068071333598</c:v>
                </c:pt>
                <c:pt idx="72">
                  <c:v>0.69584166116619395</c:v>
                </c:pt>
                <c:pt idx="73">
                  <c:v>0.69163336955024002</c:v>
                </c:pt>
                <c:pt idx="74">
                  <c:v>0.68742584671740004</c:v>
                </c:pt>
                <c:pt idx="75">
                  <c:v>0.68321913083810004</c:v>
                </c:pt>
                <c:pt idx="76">
                  <c:v>0.67901325886743202</c:v>
                </c:pt>
                <c:pt idx="77">
                  <c:v>0.67480826757837098</c:v>
                </c:pt>
                <c:pt idx="78">
                  <c:v>0.67060419431145701</c:v>
                </c:pt>
                <c:pt idx="79">
                  <c:v>0.66640107754009204</c:v>
                </c:pt>
                <c:pt idx="80">
                  <c:v>0.662198957317916</c:v>
                </c:pt>
                <c:pt idx="81">
                  <c:v>0.65799787565323198</c:v>
                </c:pt>
                <c:pt idx="82">
                  <c:v>0.65379787684149604</c:v>
                </c:pt>
                <c:pt idx="83">
                  <c:v>0.64959900777772495</c:v>
                </c:pt>
                <c:pt idx="84">
                  <c:v>0.64540131826473202</c:v>
                </c:pt>
                <c:pt idx="85">
                  <c:v>0.641204861329295</c:v>
                </c:pt>
                <c:pt idx="86">
                  <c:v>0.63700969355606896</c:v>
                </c:pt>
                <c:pt idx="87">
                  <c:v>0.63281587544769302</c:v>
                </c:pt>
                <c:pt idx="88">
                  <c:v>0.62862347181901401</c:v>
                </c:pt>
                <c:pt idx="89">
                  <c:v>0.624432552233253</c:v>
                </c:pt>
                <c:pt idx="90">
                  <c:v>0.62024319148843599</c:v>
                </c:pt>
                <c:pt idx="91">
                  <c:v>0.61605547016315199</c:v>
                </c:pt>
                <c:pt idx="92">
                  <c:v>0.61186947523193602</c:v>
                </c:pt>
                <c:pt idx="93">
                  <c:v>0.60768530076218896</c:v>
                </c:pt>
                <c:pt idx="94">
                  <c:v>0.60350304870657501</c:v>
                </c:pt>
                <c:pt idx="95">
                  <c:v>0.59932282980741902</c:v>
                </c:pt>
                <c:pt idx="96">
                  <c:v>0.59514476463292498</c:v>
                </c:pt>
                <c:pt idx="97">
                  <c:v>0.59096898476896798</c:v>
                </c:pt>
                <c:pt idx="98">
                  <c:v>0.58679563419532998</c:v>
                </c:pt>
                <c:pt idx="99">
                  <c:v>0.58262487088153303</c:v>
                </c:pt>
                <c:pt idx="100">
                  <c:v>0.57845686864535195</c:v>
                </c:pt>
                <c:pt idx="101">
                  <c:v>0.57429181932720397</c:v>
                </c:pt>
                <c:pt idx="102">
                  <c:v>0.57012993534641299</c:v>
                </c:pt>
                <c:pt idx="103">
                  <c:v>0.56597145272181604</c:v>
                </c:pt>
                <c:pt idx="104">
                  <c:v>0.56181663466046905</c:v>
                </c:pt>
                <c:pt idx="105">
                  <c:v>0.55766577584596499</c:v>
                </c:pt>
                <c:pt idx="106">
                  <c:v>0.55351920759419704</c:v>
                </c:pt>
                <c:pt idx="107">
                  <c:v>0.54937730409274999</c:v>
                </c:pt>
                <c:pt idx="108">
                  <c:v>0.54524049000441799</c:v>
                </c:pt>
                <c:pt idx="109">
                  <c:v>0.54110924980248798</c:v>
                </c:pt>
                <c:pt idx="110">
                  <c:v>0.53698413932390099</c:v>
                </c:pt>
                <c:pt idx="111">
                  <c:v>0.53286580018991803</c:v>
                </c:pt>
                <c:pt idx="112">
                  <c:v>0.52875497797149595</c:v>
                </c:pt>
                <c:pt idx="113">
                  <c:v>0.52465254529750904</c:v>
                </c:pt>
                <c:pt idx="114">
                  <c:v>0.52055953156135004</c:v>
                </c:pt>
                <c:pt idx="115">
                  <c:v>0.51647716154160594</c:v>
                </c:pt>
                <c:pt idx="116">
                  <c:v>0.51240690621565399</c:v>
                </c:pt>
                <c:pt idx="117">
                  <c:v>0.50835055046505395</c:v>
                </c:pt>
                <c:pt idx="118">
                  <c:v>0.50431028448045301</c:v>
                </c:pt>
                <c:pt idx="119">
                  <c:v>0.500288828811152</c:v>
                </c:pt>
                <c:pt idx="120">
                  <c:v>0.49628960762517899</c:v>
                </c:pt>
                <c:pt idx="121">
                  <c:v>0.49231699130054202</c:v>
                </c:pt>
                <c:pt idx="122">
                  <c:v>0.48837663777645102</c:v>
                </c:pt>
                <c:pt idx="123">
                  <c:v>0.48447596879831201</c:v>
                </c:pt>
                <c:pt idx="124">
                  <c:v>0.48062480605053598</c:v>
                </c:pt>
                <c:pt idx="125">
                  <c:v>0.47683609654428</c:v>
                </c:pt>
                <c:pt idx="126">
                  <c:v>0.47312620678401901</c:v>
                </c:pt>
                <c:pt idx="127">
                  <c:v>0.46951230910290798</c:v>
                </c:pt>
                <c:pt idx="128">
                  <c:v>0.46599536787071799</c:v>
                </c:pt>
                <c:pt idx="129">
                  <c:v>0.462466118649346</c:v>
                </c:pt>
                <c:pt idx="130">
                  <c:v>0.46127500050224202</c:v>
                </c:pt>
                <c:pt idx="131">
                  <c:v>0.45781999948480001</c:v>
                </c:pt>
                <c:pt idx="132">
                  <c:v>0.45443023316152498</c:v>
                </c:pt>
                <c:pt idx="133">
                  <c:v>0.450984594352419</c:v>
                </c:pt>
                <c:pt idx="134">
                  <c:v>0.44750280667639197</c:v>
                </c:pt>
                <c:pt idx="135">
                  <c:v>0.44399604227658301</c:v>
                </c:pt>
                <c:pt idx="136">
                  <c:v>0.44047305921378199</c:v>
                </c:pt>
                <c:pt idx="137">
                  <c:v>0.43694057645525802</c:v>
                </c:pt>
                <c:pt idx="138">
                  <c:v>0.43340373320023201</c:v>
                </c:pt>
                <c:pt idx="139">
                  <c:v>0.42986645388933498</c:v>
                </c:pt>
                <c:pt idx="140">
                  <c:v>0.426331737450311</c:v>
                </c:pt>
                <c:pt idx="141">
                  <c:v>0.42280188369358701</c:v>
                </c:pt>
                <c:pt idx="142">
                  <c:v>0.41927866873946701</c:v>
                </c:pt>
                <c:pt idx="143">
                  <c:v>0.41576347978185502</c:v>
                </c:pt>
                <c:pt idx="144">
                  <c:v>0.41225741783422998</c:v>
                </c:pt>
                <c:pt idx="145">
                  <c:v>0.40876137553842001</c:v>
                </c:pt>
                <c:pt idx="146">
                  <c:v>0.40527609573043399</c:v>
                </c:pt>
                <c:pt idx="147">
                  <c:v>0.40527609628226402</c:v>
                </c:pt>
                <c:pt idx="148">
                  <c:v>0.40527609628226402</c:v>
                </c:pt>
                <c:pt idx="149">
                  <c:v>3.84545283890559E-3</c:v>
                </c:pt>
                <c:pt idx="150">
                  <c:v>2.0603309466922098E-3</c:v>
                </c:pt>
                <c:pt idx="151">
                  <c:v>9.75389294280654E-4</c:v>
                </c:pt>
                <c:pt idx="152">
                  <c:v>9.75389294280654E-4</c:v>
                </c:pt>
                <c:pt idx="153">
                  <c:v>9.75389294280654E-4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Implicit_Fracs!$P$4:$P$157</c:f>
              <c:numCache>
                <c:formatCode>General</c:formatCode>
                <c:ptCount val="154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  <c:pt idx="147">
                  <c:v>1.6E-2</c:v>
                </c:pt>
                <c:pt idx="148">
                  <c:v>1.6E-2</c:v>
                </c:pt>
                <c:pt idx="149">
                  <c:v>1.8679544083544001E-2</c:v>
                </c:pt>
                <c:pt idx="150">
                  <c:v>6.9475568356660803E-3</c:v>
                </c:pt>
                <c:pt idx="151">
                  <c:v>9.8981939758218296E-4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Implicit_Fracs!$Q$4:$Q$157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1.17375447045077E-2</c:v>
                </c:pt>
                <c:pt idx="151">
                  <c:v>1.76987786503249E-2</c:v>
                </c:pt>
                <c:pt idx="152">
                  <c:v>1.76987786503249E-2</c:v>
                </c:pt>
                <c:pt idx="153">
                  <c:v>1.76987786503249E-2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Implicit_Fracs!$R$4:$R$157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Implicit_Fracs!$AU$4:$AU$157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Implicit_Fracs!$AV$4:$AV$157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Implicit_Fracs!$AW$4:$AW$157</c:f>
              <c:numCache>
                <c:formatCode>General</c:formatCode>
                <c:ptCount val="15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Implicit_Fracs!$AR$4:$AR$157</c:f>
              <c:numCache>
                <c:formatCode>General</c:formatCode>
                <c:ptCount val="154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  <c:pt idx="147">
                  <c:v>1.6E-2</c:v>
                </c:pt>
                <c:pt idx="148">
                  <c:v>1.6E-2</c:v>
                </c:pt>
                <c:pt idx="149">
                  <c:v>1.6E-2</c:v>
                </c:pt>
                <c:pt idx="150">
                  <c:v>1.6E-2</c:v>
                </c:pt>
                <c:pt idx="151">
                  <c:v>1.6E-2</c:v>
                </c:pt>
                <c:pt idx="152">
                  <c:v>1.6E-2</c:v>
                </c:pt>
                <c:pt idx="153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Implicit_Fracs!$AS$4:$AS$157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Implicit_Fracs!$AT$4:$AT$157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Implicit_Fracs!$BI$4:$BI$157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Implicit_Fracs!$BJ$4:$BJ$157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Implicit_Fracs!$BK$4:$BK$157</c:f>
              <c:numCache>
                <c:formatCode>General</c:formatCode>
                <c:ptCount val="15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Implicit_Fracs!$BF$4:$BF$157</c:f>
              <c:numCache>
                <c:formatCode>General</c:formatCode>
                <c:ptCount val="154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  <c:pt idx="147">
                  <c:v>1.6E-2</c:v>
                </c:pt>
                <c:pt idx="148">
                  <c:v>1.6E-2</c:v>
                </c:pt>
                <c:pt idx="149">
                  <c:v>1.6E-2</c:v>
                </c:pt>
                <c:pt idx="150">
                  <c:v>1.6E-2</c:v>
                </c:pt>
                <c:pt idx="151">
                  <c:v>1.6E-2</c:v>
                </c:pt>
                <c:pt idx="152">
                  <c:v>1.6E-2</c:v>
                </c:pt>
                <c:pt idx="153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Implicit_Fracs!$BG$4:$BG$157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Implicit_Fracs!$BH$4:$BH$157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Implicit_Fracs!$A$220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Implicit_Fracs!$B$216:$V$216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Implicit_Fracs!$B$220:$V$220</c:f>
              <c:numCache>
                <c:formatCode>General</c:formatCode>
                <c:ptCount val="21"/>
                <c:pt idx="0">
                  <c:v>0.90329722446020089</c:v>
                </c:pt>
                <c:pt idx="1">
                  <c:v>0.89980265512371704</c:v>
                </c:pt>
                <c:pt idx="2">
                  <c:v>0.89489217749342731</c:v>
                </c:pt>
                <c:pt idx="3">
                  <c:v>0.88932318125462595</c:v>
                </c:pt>
                <c:pt idx="4">
                  <c:v>0.88814739754444805</c:v>
                </c:pt>
                <c:pt idx="5">
                  <c:v>0.88598015632940097</c:v>
                </c:pt>
                <c:pt idx="6">
                  <c:v>0.88220697998018605</c:v>
                </c:pt>
                <c:pt idx="7">
                  <c:v>0.87590612400363599</c:v>
                </c:pt>
                <c:pt idx="8">
                  <c:v>0.865741676728911</c:v>
                </c:pt>
                <c:pt idx="9">
                  <c:v>0.84986372736610405</c:v>
                </c:pt>
                <c:pt idx="10">
                  <c:v>0.82584660123190901</c:v>
                </c:pt>
                <c:pt idx="11">
                  <c:v>0.79076464272574498</c:v>
                </c:pt>
                <c:pt idx="12">
                  <c:v>0.74151179570343795</c:v>
                </c:pt>
                <c:pt idx="13">
                  <c:v>0.67549947850014702</c:v>
                </c:pt>
                <c:pt idx="14">
                  <c:v>0.59183802167015898</c:v>
                </c:pt>
                <c:pt idx="15">
                  <c:v>0.49283792363324602</c:v>
                </c:pt>
                <c:pt idx="16">
                  <c:v>0.38417127056913097</c:v>
                </c:pt>
                <c:pt idx="17">
                  <c:v>0.274818295292794</c:v>
                </c:pt>
                <c:pt idx="18">
                  <c:v>0.176155707605543</c:v>
                </c:pt>
                <c:pt idx="19">
                  <c:v>9.7899043261933605E-2</c:v>
                </c:pt>
                <c:pt idx="20">
                  <c:v>4.5518500826439601E-2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58.174275602680297</c:v>
                </c:pt>
                <c:pt idx="1">
                  <c:v>50.114412140384999</c:v>
                </c:pt>
                <c:pt idx="2">
                  <c:v>48.1784779642242</c:v>
                </c:pt>
                <c:pt idx="3">
                  <c:v>45.657210713551898</c:v>
                </c:pt>
                <c:pt idx="4">
                  <c:v>42.101516130782997</c:v>
                </c:pt>
                <c:pt idx="5">
                  <c:v>37.703198222793603</c:v>
                </c:pt>
                <c:pt idx="6">
                  <c:v>35.902946054242499</c:v>
                </c:pt>
                <c:pt idx="7">
                  <c:v>35.777304783274502</c:v>
                </c:pt>
                <c:pt idx="8">
                  <c:v>33.280299674069603</c:v>
                </c:pt>
                <c:pt idx="9">
                  <c:v>33.173285269359198</c:v>
                </c:pt>
                <c:pt idx="10">
                  <c:v>31.697554991586198</c:v>
                </c:pt>
                <c:pt idx="11">
                  <c:v>31.051646280529798</c:v>
                </c:pt>
                <c:pt idx="12">
                  <c:v>30.370773835195799</c:v>
                </c:pt>
                <c:pt idx="13">
                  <c:v>29.749622890343499</c:v>
                </c:pt>
                <c:pt idx="14">
                  <c:v>29.204391155681598</c:v>
                </c:pt>
                <c:pt idx="15">
                  <c:v>29.114019215727101</c:v>
                </c:pt>
                <c:pt idx="16">
                  <c:v>28.499732997058199</c:v>
                </c:pt>
                <c:pt idx="17">
                  <c:v>27.881244599761398</c:v>
                </c:pt>
                <c:pt idx="18">
                  <c:v>27.345182665457699</c:v>
                </c:pt>
                <c:pt idx="19">
                  <c:v>26.713013033227298</c:v>
                </c:pt>
                <c:pt idx="20">
                  <c:v>25.621984499788098</c:v>
                </c:pt>
                <c:pt idx="21">
                  <c:v>25.127644339998302</c:v>
                </c:pt>
                <c:pt idx="22">
                  <c:v>25.043130380128702</c:v>
                </c:pt>
                <c:pt idx="23">
                  <c:v>24.661135139488099</c:v>
                </c:pt>
                <c:pt idx="24">
                  <c:v>23.893458381809101</c:v>
                </c:pt>
                <c:pt idx="25">
                  <c:v>23.395936245685899</c:v>
                </c:pt>
                <c:pt idx="26">
                  <c:v>19.935397876940598</c:v>
                </c:pt>
                <c:pt idx="27">
                  <c:v>18.578571443987101</c:v>
                </c:pt>
                <c:pt idx="28">
                  <c:v>17.2869780697484</c:v>
                </c:pt>
                <c:pt idx="29">
                  <c:v>17.286978069747999</c:v>
                </c:pt>
                <c:pt idx="30">
                  <c:v>17.1475489681285</c:v>
                </c:pt>
                <c:pt idx="31">
                  <c:v>17.09020005368</c:v>
                </c:pt>
                <c:pt idx="32">
                  <c:v>15.5281929688619</c:v>
                </c:pt>
                <c:pt idx="33">
                  <c:v>15.1378061635852</c:v>
                </c:pt>
                <c:pt idx="34">
                  <c:v>15.076178657751999</c:v>
                </c:pt>
                <c:pt idx="35">
                  <c:v>14.7968535032687</c:v>
                </c:pt>
                <c:pt idx="36">
                  <c:v>14.7968535032683</c:v>
                </c:pt>
                <c:pt idx="37">
                  <c:v>14.161815298124599</c:v>
                </c:pt>
                <c:pt idx="38">
                  <c:v>12.9807033562317</c:v>
                </c:pt>
                <c:pt idx="39">
                  <c:v>12.328215766500801</c:v>
                </c:pt>
                <c:pt idx="40">
                  <c:v>12.1799510931874</c:v>
                </c:pt>
                <c:pt idx="41">
                  <c:v>11.766773968990099</c:v>
                </c:pt>
                <c:pt idx="42">
                  <c:v>11.3162412797156</c:v>
                </c:pt>
                <c:pt idx="43">
                  <c:v>11.284066800854401</c:v>
                </c:pt>
                <c:pt idx="44">
                  <c:v>10.4644920259479</c:v>
                </c:pt>
                <c:pt idx="45">
                  <c:v>8.3539588167396293</c:v>
                </c:pt>
                <c:pt idx="46">
                  <c:v>8.2785417036310207</c:v>
                </c:pt>
                <c:pt idx="47">
                  <c:v>7.4856830648416501</c:v>
                </c:pt>
                <c:pt idx="48">
                  <c:v>7.4661801260576803</c:v>
                </c:pt>
                <c:pt idx="49">
                  <c:v>6.4594154246861004</c:v>
                </c:pt>
                <c:pt idx="50">
                  <c:v>4.9624609472062797</c:v>
                </c:pt>
                <c:pt idx="51">
                  <c:v>4.6214526438813799</c:v>
                </c:pt>
                <c:pt idx="52">
                  <c:v>4.4879247688706396</c:v>
                </c:pt>
                <c:pt idx="53">
                  <c:v>2.9817251744729298</c:v>
                </c:pt>
                <c:pt idx="54">
                  <c:v>2.8242454698514998</c:v>
                </c:pt>
                <c:pt idx="55">
                  <c:v>2.62346389548647</c:v>
                </c:pt>
                <c:pt idx="56">
                  <c:v>1.7367509792015201</c:v>
                </c:pt>
                <c:pt idx="57">
                  <c:v>1.59374260687473</c:v>
                </c:pt>
                <c:pt idx="58">
                  <c:v>0.63554406144682196</c:v>
                </c:pt>
                <c:pt idx="59">
                  <c:v>0.63554406144682196</c:v>
                </c:pt>
                <c:pt idx="60">
                  <c:v>0.63554406144682196</c:v>
                </c:pt>
                <c:pt idx="61">
                  <c:v>0.63554406144682196</c:v>
                </c:pt>
                <c:pt idx="62">
                  <c:v>0.63554406144682196</c:v>
                </c:pt>
                <c:pt idx="63">
                  <c:v>0.63554406144682196</c:v>
                </c:pt>
                <c:pt idx="64">
                  <c:v>0.63554406144682196</c:v>
                </c:pt>
                <c:pt idx="65">
                  <c:v>0.63554406144682196</c:v>
                </c:pt>
                <c:pt idx="66">
                  <c:v>0.63554406144682196</c:v>
                </c:pt>
                <c:pt idx="67">
                  <c:v>0.63554406144682196</c:v>
                </c:pt>
                <c:pt idx="68">
                  <c:v>0.63554406144682196</c:v>
                </c:pt>
                <c:pt idx="69">
                  <c:v>0.63554406144682196</c:v>
                </c:pt>
                <c:pt idx="70">
                  <c:v>0.50415172292987598</c:v>
                </c:pt>
                <c:pt idx="71">
                  <c:v>0.13999293059099199</c:v>
                </c:pt>
                <c:pt idx="72">
                  <c:v>1.9058289531969301E-2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  <c:pt idx="0">
                  <c:v>3.6358922251675183E-2</c:v>
                </c:pt>
                <c:pt idx="1">
                  <c:v>6.7680429839415801E-2</c:v>
                </c:pt>
                <c:pt idx="2">
                  <c:v>9.7791978567055932E-2</c:v>
                </c:pt>
                <c:pt idx="3">
                  <c:v>0.12632773526302588</c:v>
                </c:pt>
                <c:pt idx="4">
                  <c:v>0.15264118284476524</c:v>
                </c:pt>
                <c:pt idx="5">
                  <c:v>0.17620568173401124</c:v>
                </c:pt>
                <c:pt idx="6">
                  <c:v>0.19864502301791281</c:v>
                </c:pt>
                <c:pt idx="7">
                  <c:v>0.22100583850745936</c:v>
                </c:pt>
                <c:pt idx="8">
                  <c:v>0.24180602580375288</c:v>
                </c:pt>
                <c:pt idx="9">
                  <c:v>0.26253932909710237</c:v>
                </c:pt>
                <c:pt idx="10">
                  <c:v>0.28235030096684377</c:v>
                </c:pt>
                <c:pt idx="11">
                  <c:v>0.30175757989217489</c:v>
                </c:pt>
                <c:pt idx="12">
                  <c:v>0.32073931353917229</c:v>
                </c:pt>
                <c:pt idx="13">
                  <c:v>0.33933282784563695</c:v>
                </c:pt>
                <c:pt idx="14">
                  <c:v>0.35758557231793797</c:v>
                </c:pt>
                <c:pt idx="15">
                  <c:v>0.37578183432776741</c:v>
                </c:pt>
                <c:pt idx="16">
                  <c:v>0.39359416745092879</c:v>
                </c:pt>
                <c:pt idx="17">
                  <c:v>0.41101994532577968</c:v>
                </c:pt>
                <c:pt idx="18">
                  <c:v>0.42811068449169076</c:v>
                </c:pt>
                <c:pt idx="19">
                  <c:v>0.44480631763745782</c:v>
                </c:pt>
                <c:pt idx="20">
                  <c:v>0.46082005794982539</c:v>
                </c:pt>
                <c:pt idx="21">
                  <c:v>0.47652483566232434</c:v>
                </c:pt>
                <c:pt idx="22">
                  <c:v>0.49217679214990478</c:v>
                </c:pt>
                <c:pt idx="23">
                  <c:v>0.5075900016120849</c:v>
                </c:pt>
                <c:pt idx="24">
                  <c:v>0.52252341310071559</c:v>
                </c:pt>
                <c:pt idx="25">
                  <c:v>0.53714587325426932</c:v>
                </c:pt>
                <c:pt idx="26">
                  <c:v>0.54960549692735716</c:v>
                </c:pt>
                <c:pt idx="27">
                  <c:v>0.56121710407984915</c:v>
                </c:pt>
                <c:pt idx="28">
                  <c:v>0.5720214653734419</c:v>
                </c:pt>
                <c:pt idx="29">
                  <c:v>0.58282582666703442</c:v>
                </c:pt>
                <c:pt idx="30">
                  <c:v>0.59354304477211473</c:v>
                </c:pt>
                <c:pt idx="31">
                  <c:v>0.60422441980566477</c:v>
                </c:pt>
                <c:pt idx="32">
                  <c:v>0.61392954041120351</c:v>
                </c:pt>
                <c:pt idx="33">
                  <c:v>0.62339066926344422</c:v>
                </c:pt>
                <c:pt idx="34">
                  <c:v>0.63281328092453926</c:v>
                </c:pt>
                <c:pt idx="35">
                  <c:v>0.6420613143640822</c:v>
                </c:pt>
                <c:pt idx="36">
                  <c:v>0.65130934780362493</c:v>
                </c:pt>
                <c:pt idx="37">
                  <c:v>0.66016048236495284</c:v>
                </c:pt>
                <c:pt idx="38">
                  <c:v>0.66827342196259765</c:v>
                </c:pt>
                <c:pt idx="39">
                  <c:v>0.67597855681666064</c:v>
                </c:pt>
                <c:pt idx="40">
                  <c:v>0.68359102624990276</c:v>
                </c:pt>
                <c:pt idx="41">
                  <c:v>0.69094525998052159</c:v>
                </c:pt>
                <c:pt idx="42">
                  <c:v>0.69801791078034381</c:v>
                </c:pt>
                <c:pt idx="43">
                  <c:v>0.70507045253087786</c:v>
                </c:pt>
                <c:pt idx="44">
                  <c:v>0.71161076004709534</c:v>
                </c:pt>
                <c:pt idx="45">
                  <c:v>0.71683198430755757</c:v>
                </c:pt>
                <c:pt idx="46">
                  <c:v>0.72200607287232699</c:v>
                </c:pt>
                <c:pt idx="47">
                  <c:v>0.72668462478785301</c:v>
                </c:pt>
                <c:pt idx="48">
                  <c:v>0.73135098736663906</c:v>
                </c:pt>
                <c:pt idx="49">
                  <c:v>0.73538812200706782</c:v>
                </c:pt>
                <c:pt idx="50">
                  <c:v>0.7384896600990718</c:v>
                </c:pt>
                <c:pt idx="51">
                  <c:v>0.74137806800149764</c:v>
                </c:pt>
                <c:pt idx="52">
                  <c:v>0.74418302098204181</c:v>
                </c:pt>
                <c:pt idx="53">
                  <c:v>0.7460465992160874</c:v>
                </c:pt>
                <c:pt idx="54">
                  <c:v>0.74781175263474464</c:v>
                </c:pt>
                <c:pt idx="55">
                  <c:v>0.74945141756942368</c:v>
                </c:pt>
                <c:pt idx="56">
                  <c:v>0.75053688693142462</c:v>
                </c:pt>
                <c:pt idx="57">
                  <c:v>0.75153297606072134</c:v>
                </c:pt>
                <c:pt idx="58">
                  <c:v>0.75193019109912562</c:v>
                </c:pt>
                <c:pt idx="59">
                  <c:v>0.75232740613752991</c:v>
                </c:pt>
                <c:pt idx="60">
                  <c:v>0.75272462117593419</c:v>
                </c:pt>
                <c:pt idx="61">
                  <c:v>0.75312183621433848</c:v>
                </c:pt>
                <c:pt idx="62">
                  <c:v>0.75351905125274277</c:v>
                </c:pt>
                <c:pt idx="63">
                  <c:v>0.75391626629114705</c:v>
                </c:pt>
                <c:pt idx="64">
                  <c:v>0.75431348132955134</c:v>
                </c:pt>
                <c:pt idx="65">
                  <c:v>0.75471069636795562</c:v>
                </c:pt>
                <c:pt idx="66">
                  <c:v>0.75510791140635991</c:v>
                </c:pt>
                <c:pt idx="67">
                  <c:v>0.7555051264447642</c:v>
                </c:pt>
                <c:pt idx="68">
                  <c:v>0.75590234148316848</c:v>
                </c:pt>
                <c:pt idx="69">
                  <c:v>0.75629955652157277</c:v>
                </c:pt>
                <c:pt idx="70">
                  <c:v>0.75661465134840389</c:v>
                </c:pt>
                <c:pt idx="71">
                  <c:v>0.75670214693002325</c:v>
                </c:pt>
                <c:pt idx="72">
                  <c:v>0.75671405836098071</c:v>
                </c:pt>
                <c:pt idx="73">
                  <c:v>0.75671405836098071</c:v>
                </c:pt>
                <c:pt idx="74">
                  <c:v>0.75671405836098071</c:v>
                </c:pt>
                <c:pt idx="75">
                  <c:v>0.75671405836098071</c:v>
                </c:pt>
                <c:pt idx="76">
                  <c:v>0.75671405836098071</c:v>
                </c:pt>
                <c:pt idx="77">
                  <c:v>0.75671405836098071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Implicit_Fracs!$A$218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Implicit_Fracs!$B$216:$V$216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Implicit_Fracs!$B$218:$V$218</c:f>
              <c:numCache>
                <c:formatCode>General</c:formatCode>
                <c:ptCount val="21"/>
                <c:pt idx="0">
                  <c:v>6.0412632573401501E-2</c:v>
                </c:pt>
                <c:pt idx="1">
                  <c:v>5.3876255019850106E-2</c:v>
                </c:pt>
                <c:pt idx="2">
                  <c:v>4.3494214051815569E-2</c:v>
                </c:pt>
                <c:pt idx="3">
                  <c:v>4.11818452932496E-2</c:v>
                </c:pt>
                <c:pt idx="4">
                  <c:v>4.0247057323026601E-2</c:v>
                </c:pt>
                <c:pt idx="5">
                  <c:v>3.90712432962151E-2</c:v>
                </c:pt>
                <c:pt idx="6">
                  <c:v>3.7608965502618899E-2</c:v>
                </c:pt>
                <c:pt idx="7">
                  <c:v>3.5813060867777698E-2</c:v>
                </c:pt>
                <c:pt idx="8">
                  <c:v>3.3639707604387697E-2</c:v>
                </c:pt>
                <c:pt idx="9">
                  <c:v>3.10568996964426E-2</c:v>
                </c:pt>
                <c:pt idx="10">
                  <c:v>2.8054228394101301E-2</c:v>
                </c:pt>
                <c:pt idx="11">
                  <c:v>2.4657319280354199E-2</c:v>
                </c:pt>
                <c:pt idx="12">
                  <c:v>2.09421701516838E-2</c:v>
                </c:pt>
                <c:pt idx="13">
                  <c:v>1.7045724747730098E-2</c:v>
                </c:pt>
                <c:pt idx="14">
                  <c:v>1.3164108606033899E-2</c:v>
                </c:pt>
                <c:pt idx="15">
                  <c:v>9.5319500848544698E-3</c:v>
                </c:pt>
                <c:pt idx="16">
                  <c:v>6.3773258389063997E-3</c:v>
                </c:pt>
                <c:pt idx="17">
                  <c:v>3.8704167078657602E-3</c:v>
                </c:pt>
                <c:pt idx="18">
                  <c:v>2.0789047170521602E-3</c:v>
                </c:pt>
                <c:pt idx="19">
                  <c:v>9.5327234868223501E-4</c:v>
                </c:pt>
                <c:pt idx="20">
                  <c:v>3.5599142593371598E-4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58.174275602680297</c:v>
                </c:pt>
                <c:pt idx="1">
                  <c:v>50.114412140384999</c:v>
                </c:pt>
                <c:pt idx="2">
                  <c:v>48.1784779642242</c:v>
                </c:pt>
                <c:pt idx="3">
                  <c:v>45.657210713551898</c:v>
                </c:pt>
                <c:pt idx="4">
                  <c:v>42.101516130782997</c:v>
                </c:pt>
                <c:pt idx="5">
                  <c:v>37.703198222793603</c:v>
                </c:pt>
                <c:pt idx="6">
                  <c:v>35.902946054242499</c:v>
                </c:pt>
                <c:pt idx="7">
                  <c:v>35.777304783274502</c:v>
                </c:pt>
                <c:pt idx="8">
                  <c:v>33.280299674069603</c:v>
                </c:pt>
                <c:pt idx="9">
                  <c:v>33.173285269359198</c:v>
                </c:pt>
                <c:pt idx="10">
                  <c:v>31.697554991586198</c:v>
                </c:pt>
                <c:pt idx="11">
                  <c:v>31.051646280529798</c:v>
                </c:pt>
                <c:pt idx="12">
                  <c:v>30.370773835195799</c:v>
                </c:pt>
                <c:pt idx="13">
                  <c:v>29.749622890343499</c:v>
                </c:pt>
                <c:pt idx="14">
                  <c:v>29.204391155681598</c:v>
                </c:pt>
                <c:pt idx="15">
                  <c:v>29.114019215727101</c:v>
                </c:pt>
                <c:pt idx="16">
                  <c:v>28.499732997058199</c:v>
                </c:pt>
                <c:pt idx="17">
                  <c:v>27.881244599761398</c:v>
                </c:pt>
                <c:pt idx="18">
                  <c:v>27.345182665457699</c:v>
                </c:pt>
                <c:pt idx="19">
                  <c:v>26.713013033227298</c:v>
                </c:pt>
                <c:pt idx="20">
                  <c:v>25.621984499788098</c:v>
                </c:pt>
                <c:pt idx="21">
                  <c:v>25.127644339998302</c:v>
                </c:pt>
                <c:pt idx="22">
                  <c:v>25.043130380128702</c:v>
                </c:pt>
                <c:pt idx="23">
                  <c:v>24.661135139488099</c:v>
                </c:pt>
                <c:pt idx="24">
                  <c:v>23.893458381809101</c:v>
                </c:pt>
                <c:pt idx="25">
                  <c:v>23.395936245685899</c:v>
                </c:pt>
                <c:pt idx="26">
                  <c:v>19.935397876940598</c:v>
                </c:pt>
                <c:pt idx="27">
                  <c:v>18.578571443987101</c:v>
                </c:pt>
                <c:pt idx="28">
                  <c:v>17.2869780697484</c:v>
                </c:pt>
                <c:pt idx="29">
                  <c:v>17.286978069747999</c:v>
                </c:pt>
                <c:pt idx="30">
                  <c:v>17.1475489681285</c:v>
                </c:pt>
                <c:pt idx="31">
                  <c:v>17.09020005368</c:v>
                </c:pt>
                <c:pt idx="32">
                  <c:v>15.5281929688619</c:v>
                </c:pt>
                <c:pt idx="33">
                  <c:v>15.1378061635852</c:v>
                </c:pt>
                <c:pt idx="34">
                  <c:v>15.076178657751999</c:v>
                </c:pt>
                <c:pt idx="35">
                  <c:v>14.7968535032687</c:v>
                </c:pt>
                <c:pt idx="36">
                  <c:v>14.7968535032683</c:v>
                </c:pt>
                <c:pt idx="37">
                  <c:v>14.161815298124599</c:v>
                </c:pt>
                <c:pt idx="38">
                  <c:v>12.9807033562317</c:v>
                </c:pt>
                <c:pt idx="39">
                  <c:v>12.328215766500801</c:v>
                </c:pt>
                <c:pt idx="40">
                  <c:v>12.1799510931874</c:v>
                </c:pt>
                <c:pt idx="41">
                  <c:v>11.766773968990099</c:v>
                </c:pt>
                <c:pt idx="42">
                  <c:v>11.3162412797156</c:v>
                </c:pt>
                <c:pt idx="43">
                  <c:v>11.284066800854401</c:v>
                </c:pt>
                <c:pt idx="44">
                  <c:v>10.4644920259479</c:v>
                </c:pt>
                <c:pt idx="45">
                  <c:v>8.3539588167396293</c:v>
                </c:pt>
                <c:pt idx="46">
                  <c:v>8.2785417036310207</c:v>
                </c:pt>
                <c:pt idx="47">
                  <c:v>7.4856830648416501</c:v>
                </c:pt>
                <c:pt idx="48">
                  <c:v>7.4661801260576803</c:v>
                </c:pt>
                <c:pt idx="49">
                  <c:v>6.4594154246861004</c:v>
                </c:pt>
                <c:pt idx="50">
                  <c:v>4.9624609472062797</c:v>
                </c:pt>
                <c:pt idx="51">
                  <c:v>4.6214526438813799</c:v>
                </c:pt>
                <c:pt idx="52">
                  <c:v>4.4879247688706396</c:v>
                </c:pt>
                <c:pt idx="53">
                  <c:v>2.9817251744729298</c:v>
                </c:pt>
                <c:pt idx="54">
                  <c:v>2.8242454698514998</c:v>
                </c:pt>
                <c:pt idx="55">
                  <c:v>2.62346389548647</c:v>
                </c:pt>
                <c:pt idx="56">
                  <c:v>1.7367509792015201</c:v>
                </c:pt>
                <c:pt idx="57">
                  <c:v>1.59374260687473</c:v>
                </c:pt>
                <c:pt idx="58">
                  <c:v>0.63554406144682196</c:v>
                </c:pt>
                <c:pt idx="59">
                  <c:v>0.63554406144682196</c:v>
                </c:pt>
                <c:pt idx="60">
                  <c:v>0.63554406144682196</c:v>
                </c:pt>
                <c:pt idx="61">
                  <c:v>0.63554406144682196</c:v>
                </c:pt>
                <c:pt idx="62">
                  <c:v>0.63554406144682196</c:v>
                </c:pt>
                <c:pt idx="63">
                  <c:v>0.63554406144682196</c:v>
                </c:pt>
                <c:pt idx="64">
                  <c:v>0.63554406144682196</c:v>
                </c:pt>
                <c:pt idx="65">
                  <c:v>0.63554406144682196</c:v>
                </c:pt>
                <c:pt idx="66">
                  <c:v>0.63554406144682196</c:v>
                </c:pt>
                <c:pt idx="67">
                  <c:v>0.63554406144682196</c:v>
                </c:pt>
                <c:pt idx="68">
                  <c:v>0.63554406144682196</c:v>
                </c:pt>
                <c:pt idx="69">
                  <c:v>0.63554406144682196</c:v>
                </c:pt>
                <c:pt idx="70">
                  <c:v>0.50415172292987598</c:v>
                </c:pt>
                <c:pt idx="71">
                  <c:v>0.13999293059099199</c:v>
                </c:pt>
                <c:pt idx="72">
                  <c:v>1.9058289531969301E-2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  <c:pt idx="0">
                  <c:v>6.2500000000000001E-4</c:v>
                </c:pt>
                <c:pt idx="1">
                  <c:v>1.25E-3</c:v>
                </c:pt>
                <c:pt idx="2">
                  <c:v>1.8749999999999999E-3</c:v>
                </c:pt>
                <c:pt idx="3">
                  <c:v>2.5000000000000001E-3</c:v>
                </c:pt>
                <c:pt idx="4">
                  <c:v>3.1250000000000002E-3</c:v>
                </c:pt>
                <c:pt idx="5">
                  <c:v>3.7499999999999999E-3</c:v>
                </c:pt>
                <c:pt idx="6">
                  <c:v>4.3750000000000004E-3</c:v>
                </c:pt>
                <c:pt idx="7">
                  <c:v>5.0000000000000001E-3</c:v>
                </c:pt>
                <c:pt idx="8">
                  <c:v>5.6249999999999998E-3</c:v>
                </c:pt>
                <c:pt idx="9">
                  <c:v>6.2500000000000003E-3</c:v>
                </c:pt>
                <c:pt idx="10">
                  <c:v>6.875E-3</c:v>
                </c:pt>
                <c:pt idx="11">
                  <c:v>7.4999999999999997E-3</c:v>
                </c:pt>
                <c:pt idx="12">
                  <c:v>8.1250000000000003E-3</c:v>
                </c:pt>
                <c:pt idx="13">
                  <c:v>8.7500000000000008E-3</c:v>
                </c:pt>
                <c:pt idx="14">
                  <c:v>9.3749999999999997E-3</c:v>
                </c:pt>
                <c:pt idx="15">
                  <c:v>0.01</c:v>
                </c:pt>
                <c:pt idx="16">
                  <c:v>1.0625000000000001E-2</c:v>
                </c:pt>
                <c:pt idx="17">
                  <c:v>1.125E-2</c:v>
                </c:pt>
                <c:pt idx="18">
                  <c:v>1.1875E-2</c:v>
                </c:pt>
                <c:pt idx="19">
                  <c:v>1.2500000000000001E-2</c:v>
                </c:pt>
                <c:pt idx="20">
                  <c:v>1.3125E-2</c:v>
                </c:pt>
                <c:pt idx="21">
                  <c:v>1.375E-2</c:v>
                </c:pt>
                <c:pt idx="22">
                  <c:v>1.4375000000000001E-2</c:v>
                </c:pt>
                <c:pt idx="23">
                  <c:v>1.4999999999999999E-2</c:v>
                </c:pt>
                <c:pt idx="24">
                  <c:v>1.5625E-2</c:v>
                </c:pt>
                <c:pt idx="25">
                  <c:v>1.6250000000000001E-2</c:v>
                </c:pt>
                <c:pt idx="26">
                  <c:v>1.6875000000000001E-2</c:v>
                </c:pt>
                <c:pt idx="27">
                  <c:v>1.7500000000000002E-2</c:v>
                </c:pt>
                <c:pt idx="28">
                  <c:v>1.8124999999999999E-2</c:v>
                </c:pt>
                <c:pt idx="29">
                  <c:v>1.8749999999999999E-2</c:v>
                </c:pt>
                <c:pt idx="30">
                  <c:v>1.9375E-2</c:v>
                </c:pt>
                <c:pt idx="31">
                  <c:v>0.02</c:v>
                </c:pt>
                <c:pt idx="32">
                  <c:v>2.0625000000000001E-2</c:v>
                </c:pt>
                <c:pt idx="33">
                  <c:v>2.1250000000000002E-2</c:v>
                </c:pt>
                <c:pt idx="34">
                  <c:v>2.1874999999999999E-2</c:v>
                </c:pt>
                <c:pt idx="35">
                  <c:v>2.2499999999999999E-2</c:v>
                </c:pt>
                <c:pt idx="36">
                  <c:v>2.3125E-2</c:v>
                </c:pt>
                <c:pt idx="37">
                  <c:v>2.375E-2</c:v>
                </c:pt>
                <c:pt idx="38">
                  <c:v>2.4375000000000001E-2</c:v>
                </c:pt>
                <c:pt idx="39">
                  <c:v>2.5000000000000001E-2</c:v>
                </c:pt>
                <c:pt idx="40">
                  <c:v>2.5624999999999998E-2</c:v>
                </c:pt>
                <c:pt idx="41">
                  <c:v>2.6249999999999999E-2</c:v>
                </c:pt>
                <c:pt idx="42">
                  <c:v>2.6875E-2</c:v>
                </c:pt>
                <c:pt idx="43">
                  <c:v>2.75E-2</c:v>
                </c:pt>
                <c:pt idx="44">
                  <c:v>2.8125000000000001E-2</c:v>
                </c:pt>
                <c:pt idx="45">
                  <c:v>2.8750000000000001E-2</c:v>
                </c:pt>
                <c:pt idx="46">
                  <c:v>2.9374999999999998E-2</c:v>
                </c:pt>
                <c:pt idx="47">
                  <c:v>0.03</c:v>
                </c:pt>
                <c:pt idx="48">
                  <c:v>3.0624999999999999E-2</c:v>
                </c:pt>
                <c:pt idx="49">
                  <c:v>3.125E-2</c:v>
                </c:pt>
                <c:pt idx="50">
                  <c:v>3.1875000000000001E-2</c:v>
                </c:pt>
                <c:pt idx="51">
                  <c:v>3.2500000000000001E-2</c:v>
                </c:pt>
                <c:pt idx="52">
                  <c:v>3.3125000000000002E-2</c:v>
                </c:pt>
                <c:pt idx="53">
                  <c:v>3.3750000000000002E-2</c:v>
                </c:pt>
                <c:pt idx="54">
                  <c:v>3.4375000000000003E-2</c:v>
                </c:pt>
                <c:pt idx="55">
                  <c:v>3.5000000000000003E-2</c:v>
                </c:pt>
                <c:pt idx="56">
                  <c:v>3.5624999999999997E-2</c:v>
                </c:pt>
                <c:pt idx="57">
                  <c:v>3.6249999999999998E-2</c:v>
                </c:pt>
                <c:pt idx="58">
                  <c:v>3.6874999999999998E-2</c:v>
                </c:pt>
                <c:pt idx="59">
                  <c:v>3.7499999999999999E-2</c:v>
                </c:pt>
                <c:pt idx="60">
                  <c:v>3.8124999999999999E-2</c:v>
                </c:pt>
                <c:pt idx="61">
                  <c:v>3.875E-2</c:v>
                </c:pt>
                <c:pt idx="62">
                  <c:v>3.9375E-2</c:v>
                </c:pt>
                <c:pt idx="63">
                  <c:v>0.04</c:v>
                </c:pt>
                <c:pt idx="64">
                  <c:v>4.0625000000000001E-2</c:v>
                </c:pt>
                <c:pt idx="65">
                  <c:v>4.1250000000000002E-2</c:v>
                </c:pt>
                <c:pt idx="66">
                  <c:v>4.1875000000000002E-2</c:v>
                </c:pt>
                <c:pt idx="67">
                  <c:v>4.2500000000000003E-2</c:v>
                </c:pt>
                <c:pt idx="68">
                  <c:v>4.3124999999999997E-2</c:v>
                </c:pt>
                <c:pt idx="69">
                  <c:v>4.3749999999999997E-2</c:v>
                </c:pt>
                <c:pt idx="70">
                  <c:v>4.4374999999999998E-2</c:v>
                </c:pt>
                <c:pt idx="71">
                  <c:v>4.4999999999999998E-2</c:v>
                </c:pt>
                <c:pt idx="72">
                  <c:v>4.5624999999999999E-2</c:v>
                </c:pt>
                <c:pt idx="73">
                  <c:v>4.6249999999999999E-2</c:v>
                </c:pt>
                <c:pt idx="74">
                  <c:v>4.6875E-2</c:v>
                </c:pt>
                <c:pt idx="75">
                  <c:v>4.7500000000000001E-2</c:v>
                </c:pt>
                <c:pt idx="76">
                  <c:v>4.8125000000000001E-2</c:v>
                </c:pt>
                <c:pt idx="77">
                  <c:v>4.8750000000000002E-2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Implicit_Fracs!$A$231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Implicit_Fracs!$B$227:$V$227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Implicit_Fracs!$B$231:$V$231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Implicit_Fracs!$A$229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Implicit_Fracs!$B$227:$V$227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Implicit_Fracs!$B$229:$V$229</c:f>
              <c:numCache>
                <c:formatCode>General</c:formatCode>
                <c:ptCount val="21"/>
                <c:pt idx="0">
                  <c:v>3.2000000000000001E-2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Implicit_Fracs!$A$221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Implicit_Fracs!$B$216:$V$216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Implicit_Fracs!$B$221:$V$221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Implicit_Fracs!$A$222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Implicit_Fracs!$B$216:$V$216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Implicit_Fracs!$B$222:$V$222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Implicit_Fracs!$A$232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Implicit_Fracs!$B$227:$V$227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Implicit_Fracs!$B$232:$V$232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Implicit_Fracs!$A$233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Implicit_Fracs!$B$227:$V$227</c:f>
              <c:numCache>
                <c:formatCode>General</c:formatCode>
                <c:ptCount val="21"/>
                <c:pt idx="0">
                  <c:v>0</c:v>
                </c:pt>
                <c:pt idx="1">
                  <c:v>0.25955190384466498</c:v>
                </c:pt>
                <c:pt idx="2">
                  <c:v>0.58647099847871997</c:v>
                </c:pt>
                <c:pt idx="3">
                  <c:v>0.99824256652821797</c:v>
                </c:pt>
                <c:pt idx="4">
                  <c:v>1.51689022901407</c:v>
                </c:pt>
                <c:pt idx="5">
                  <c:v>2.1701538797227</c:v>
                </c:pt>
                <c:pt idx="6">
                  <c:v>2.9929733546852799</c:v>
                </c:pt>
                <c:pt idx="7">
                  <c:v>4.02935719089486</c:v>
                </c:pt>
                <c:pt idx="8">
                  <c:v>5.3347364249064801</c:v>
                </c:pt>
                <c:pt idx="9">
                  <c:v>6.9789293243451</c:v>
                </c:pt>
                <c:pt idx="10">
                  <c:v>9.0498756211208899</c:v>
                </c:pt>
                <c:pt idx="11">
                  <c:v>11.658339971984899</c:v>
                </c:pt>
                <c:pt idx="12">
                  <c:v>14.9438362112266</c:v>
                </c:pt>
                <c:pt idx="13">
                  <c:v>19.082089254437999</c:v>
                </c:pt>
                <c:pt idx="14">
                  <c:v>24.294433753605801</c:v>
                </c:pt>
                <c:pt idx="15">
                  <c:v>30.859652191026999</c:v>
                </c:pt>
                <c:pt idx="16">
                  <c:v>39.128885573036897</c:v>
                </c:pt>
                <c:pt idx="17">
                  <c:v>49.544414222683301</c:v>
                </c:pt>
                <c:pt idx="18">
                  <c:v>62.663313162894099</c:v>
                </c:pt>
                <c:pt idx="19">
                  <c:v>79.187247299382406</c:v>
                </c:pt>
                <c:pt idx="20">
                  <c:v>100</c:v>
                </c:pt>
              </c:numCache>
            </c:numRef>
          </c:xVal>
          <c:yVal>
            <c:numRef>
              <c:f>Implicit_Fracs!$B$233:$V$233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Implicit_Fracs!$F$4:$F$157</c:f>
              <c:numCache>
                <c:formatCode>General</c:formatCode>
                <c:ptCount val="154"/>
                <c:pt idx="0">
                  <c:v>-6.5458908507104701E-4</c:v>
                </c:pt>
                <c:pt idx="1">
                  <c:v>-1.02183576352721E-3</c:v>
                </c:pt>
                <c:pt idx="2">
                  <c:v>-1.0265932256913E-3</c:v>
                </c:pt>
                <c:pt idx="3">
                  <c:v>-1.02957853910651E-3</c:v>
                </c:pt>
                <c:pt idx="4">
                  <c:v>-1.03177266932184E-3</c:v>
                </c:pt>
                <c:pt idx="5">
                  <c:v>-1.0335149669092199E-3</c:v>
                </c:pt>
                <c:pt idx="6">
                  <c:v>-1.03496414957103E-3</c:v>
                </c:pt>
                <c:pt idx="7">
                  <c:v>-1.03620751252535E-3</c:v>
                </c:pt>
                <c:pt idx="8">
                  <c:v>-1.03729829449409E-3</c:v>
                </c:pt>
                <c:pt idx="9">
                  <c:v>-1.0382713945678401E-3</c:v>
                </c:pt>
                <c:pt idx="10">
                  <c:v>-1.03915094665254E-3</c:v>
                </c:pt>
                <c:pt idx="11">
                  <c:v>-1.0399543438861299E-3</c:v>
                </c:pt>
                <c:pt idx="12">
                  <c:v>-1.0406945406233601E-3</c:v>
                </c:pt>
                <c:pt idx="13">
                  <c:v>-1.0413814477563501E-3</c:v>
                </c:pt>
                <c:pt idx="14">
                  <c:v>-1.0420228190159699E-3</c:v>
                </c:pt>
                <c:pt idx="15">
                  <c:v>-1.04262483614202E-3</c:v>
                </c:pt>
                <c:pt idx="16">
                  <c:v>-1.04319250799794E-3</c:v>
                </c:pt>
                <c:pt idx="17">
                  <c:v>-1.0437299504373601E-3</c:v>
                </c:pt>
                <c:pt idx="18">
                  <c:v>-1.04424058730409E-3</c:v>
                </c:pt>
                <c:pt idx="19">
                  <c:v>-1.04472729783544E-3</c:v>
                </c:pt>
                <c:pt idx="20">
                  <c:v>-1.0451925267649701E-3</c:v>
                </c:pt>
                <c:pt idx="21">
                  <c:v>-1.04563836791557E-3</c:v>
                </c:pt>
                <c:pt idx="22">
                  <c:v>-1.0460666285966201E-3</c:v>
                </c:pt>
                <c:pt idx="23">
                  <c:v>-1.0464788798674001E-3</c:v>
                </c:pt>
                <c:pt idx="24">
                  <c:v>-1.04687649623564E-3</c:v>
                </c:pt>
                <c:pt idx="25">
                  <c:v>-1.04726068735102E-3</c:v>
                </c:pt>
                <c:pt idx="26">
                  <c:v>-1.0476325236901201E-3</c:v>
                </c:pt>
                <c:pt idx="27">
                  <c:v>-1.0479929574388599E-3</c:v>
                </c:pt>
                <c:pt idx="28">
                  <c:v>-1.0483428395028601E-3</c:v>
                </c:pt>
                <c:pt idx="29">
                  <c:v>-1.04868293357074E-3</c:v>
                </c:pt>
                <c:pt idx="30">
                  <c:v>-1.0490139278235E-3</c:v>
                </c:pt>
                <c:pt idx="31">
                  <c:v>-1.04933644474818E-3</c:v>
                </c:pt>
                <c:pt idx="32">
                  <c:v>-1.0496510494130899E-3</c:v>
                </c:pt>
                <c:pt idx="33">
                  <c:v>-1.0499582564861101E-3</c:v>
                </c:pt>
                <c:pt idx="34">
                  <c:v>-1.0502585362186299E-3</c:v>
                </c:pt>
                <c:pt idx="35">
                  <c:v>-1.0505523195737099E-3</c:v>
                </c:pt>
                <c:pt idx="36">
                  <c:v>-1.0508400026415501E-3</c:v>
                </c:pt>
                <c:pt idx="37">
                  <c:v>-1.05112195045851E-3</c:v>
                </c:pt>
                <c:pt idx="38">
                  <c:v>-1.0513985003243599E-3</c:v>
                </c:pt>
                <c:pt idx="39">
                  <c:v>-1.0516699646952901E-3</c:v>
                </c:pt>
                <c:pt idx="40">
                  <c:v>-1.0519366337167001E-3</c:v>
                </c:pt>
                <c:pt idx="41">
                  <c:v>-1.05219877744883E-3</c:v>
                </c:pt>
                <c:pt idx="42">
                  <c:v>-1.05245664782936E-3</c:v>
                </c:pt>
                <c:pt idx="43">
                  <c:v>-1.0527104804098999E-3</c:v>
                </c:pt>
                <c:pt idx="44">
                  <c:v>-1.0529604958975599E-3</c:v>
                </c:pt>
                <c:pt idx="45">
                  <c:v>-1.0532069015277601E-3</c:v>
                </c:pt>
                <c:pt idx="46">
                  <c:v>-1.0534498922905801E-3</c:v>
                </c:pt>
                <c:pt idx="47">
                  <c:v>-1.0536896520295001E-3</c:v>
                </c:pt>
                <c:pt idx="48">
                  <c:v>-1.0539263544289399E-3</c:v>
                </c:pt>
                <c:pt idx="49">
                  <c:v>-1.0541601639041801E-3</c:v>
                </c:pt>
                <c:pt idx="50">
                  <c:v>-1.0543912364059001E-3</c:v>
                </c:pt>
                <c:pt idx="51">
                  <c:v>-1.05461972014952E-3</c:v>
                </c:pt>
                <c:pt idx="52">
                  <c:v>-1.05484575627837E-3</c:v>
                </c:pt>
                <c:pt idx="53">
                  <c:v>-1.05506947946846E-3</c:v>
                </c:pt>
                <c:pt idx="54">
                  <c:v>-1.0552910184816701E-3</c:v>
                </c:pt>
                <c:pt idx="55">
                  <c:v>-1.0555104966733699E-3</c:v>
                </c:pt>
                <c:pt idx="56">
                  <c:v>-1.0557280324596601E-3</c:v>
                </c:pt>
                <c:pt idx="57">
                  <c:v>-1.0559437397489799E-3</c:v>
                </c:pt>
                <c:pt idx="58">
                  <c:v>-1.0561577283421E-3</c:v>
                </c:pt>
                <c:pt idx="59">
                  <c:v>-1.0563701043042101E-3</c:v>
                </c:pt>
                <c:pt idx="60">
                  <c:v>-1.0565809703124401E-3</c:v>
                </c:pt>
                <c:pt idx="61">
                  <c:v>-1.0567904259817199E-3</c:v>
                </c:pt>
                <c:pt idx="62">
                  <c:v>-1.0569985681716E-3</c:v>
                </c:pt>
                <c:pt idx="63">
                  <c:v>-1.0572054912766399E-3</c:v>
                </c:pt>
                <c:pt idx="64">
                  <c:v>-1.0574112875024299E-3</c:v>
                </c:pt>
                <c:pt idx="65">
                  <c:v>-1.05761604712938E-3</c:v>
                </c:pt>
                <c:pt idx="66">
                  <c:v>-1.05781985876623E-3</c:v>
                </c:pt>
                <c:pt idx="67">
                  <c:v>-1.05802280959508E-3</c:v>
                </c:pt>
                <c:pt idx="68">
                  <c:v>-1.05822498560958E-3</c:v>
                </c:pt>
                <c:pt idx="69">
                  <c:v>-1.0584264718480701E-3</c:v>
                </c:pt>
                <c:pt idx="70">
                  <c:v>-1.05862735262324E-3</c:v>
                </c:pt>
                <c:pt idx="71">
                  <c:v>-1.05882771174978E-3</c:v>
                </c:pt>
                <c:pt idx="72">
                  <c:v>-1.05902763277179E-3</c:v>
                </c:pt>
                <c:pt idx="73">
                  <c:v>-1.05922719919146E-3</c:v>
                </c:pt>
                <c:pt idx="74">
                  <c:v>-1.0594264947006099E-3</c:v>
                </c:pt>
                <c:pt idx="75">
                  <c:v>-1.05962560341692E-3</c:v>
                </c:pt>
                <c:pt idx="76">
                  <c:v>-1.0598246101265699E-3</c:v>
                </c:pt>
                <c:pt idx="77">
                  <c:v>-1.06002360053515E-3</c:v>
                </c:pt>
                <c:pt idx="78">
                  <c:v>-1.0602226615290501E-3</c:v>
                </c:pt>
                <c:pt idx="79">
                  <c:v>-1.0604218814493601E-3</c:v>
                </c:pt>
                <c:pt idx="80">
                  <c:v>-1.0606213503809199E-3</c:v>
                </c:pt>
                <c:pt idx="81">
                  <c:v>-1.0608211604590601E-3</c:v>
                </c:pt>
                <c:pt idx="82">
                  <c:v>-1.0610214061971799E-3</c:v>
                </c:pt>
                <c:pt idx="83">
                  <c:v>-1.0612221848384799E-3</c:v>
                </c:pt>
                <c:pt idx="84">
                  <c:v>-1.0614235967356901E-3</c:v>
                </c:pt>
                <c:pt idx="85">
                  <c:v>-1.0616257457632301E-3</c:v>
                </c:pt>
                <c:pt idx="86">
                  <c:v>-1.0618287397666699E-3</c:v>
                </c:pt>
                <c:pt idx="87">
                  <c:v>-1.06203269105535E-3</c:v>
                </c:pt>
                <c:pt idx="88">
                  <c:v>-1.0622377169447E-3</c:v>
                </c:pt>
                <c:pt idx="89">
                  <c:v>-1.06244394035602E-3</c:v>
                </c:pt>
                <c:pt idx="90">
                  <c:v>-1.06265149048271E-3</c:v>
                </c:pt>
                <c:pt idx="91">
                  <c:v>-1.06286050353348E-3</c:v>
                </c:pt>
                <c:pt idx="92">
                  <c:v>-1.0630711235650001E-3</c:v>
                </c:pt>
                <c:pt idx="93">
                  <c:v>-1.06328350341858E-3</c:v>
                </c:pt>
                <c:pt idx="94">
                  <c:v>-1.0634978057786301E-3</c:v>
                </c:pt>
                <c:pt idx="95">
                  <c:v>-1.0637142043734499E-3</c:v>
                </c:pt>
                <c:pt idx="96">
                  <c:v>-1.0639328853438699E-3</c:v>
                </c:pt>
                <c:pt idx="97">
                  <c:v>-1.0641540488097001E-3</c:v>
                </c:pt>
                <c:pt idx="98">
                  <c:v>-1.06437791067118E-3</c:v>
                </c:pt>
                <c:pt idx="99">
                  <c:v>-1.06460470469015E-3</c:v>
                </c:pt>
                <c:pt idx="100">
                  <c:v>-1.06483468490647E-3</c:v>
                </c:pt>
                <c:pt idx="101">
                  <c:v>-1.0650681284579001E-3</c:v>
                </c:pt>
                <c:pt idx="102">
                  <c:v>-1.0653053388887E-3</c:v>
                </c:pt>
                <c:pt idx="103">
                  <c:v>-1.0655466500537299E-3</c:v>
                </c:pt>
                <c:pt idx="104">
                  <c:v>-1.0657924307527801E-3</c:v>
                </c:pt>
                <c:pt idx="105">
                  <c:v>-1.06604309026719E-3</c:v>
                </c:pt>
                <c:pt idx="106">
                  <c:v>-1.06629908501919E-3</c:v>
                </c:pt>
                <c:pt idx="107">
                  <c:v>-1.0665609266404101E-3</c:v>
                </c:pt>
                <c:pt idx="108">
                  <c:v>-1.0668291918241599E-3</c:v>
                </c:pt>
                <c:pt idx="109">
                  <c:v>-1.0671045344574301E-3</c:v>
                </c:pt>
                <c:pt idx="110">
                  <c:v>-1.0673877006969199E-3</c:v>
                </c:pt>
                <c:pt idx="111">
                  <c:v>-1.06767954788907E-3</c:v>
                </c:pt>
                <c:pt idx="112">
                  <c:v>-1.0679810685711799E-3</c:v>
                </c:pt>
                <c:pt idx="113">
                  <c:v>-1.0682934212787099E-3</c:v>
                </c:pt>
                <c:pt idx="114">
                  <c:v>-1.06861797060305E-3</c:v>
                </c:pt>
                <c:pt idx="115">
                  <c:v>-1.0689563400260501E-3</c:v>
                </c:pt>
                <c:pt idx="116">
                  <c:v>-1.0693104827174101E-3</c:v>
                </c:pt>
                <c:pt idx="117">
                  <c:v>-1.0696827780897599E-3</c:v>
                </c:pt>
                <c:pt idx="118">
                  <c:v>-1.0700761661112401E-3</c:v>
                </c:pt>
                <c:pt idx="119">
                  <c:v>-1.0704943383529799E-3</c:v>
                </c:pt>
                <c:pt idx="120">
                  <c:v>-1.07094201670494E-3</c:v>
                </c:pt>
                <c:pt idx="121">
                  <c:v>-1.0714253719395501E-3</c:v>
                </c:pt>
                <c:pt idx="122">
                  <c:v>-1.0719526736494699E-3</c:v>
                </c:pt>
                <c:pt idx="123">
                  <c:v>-1.07253533948198E-3</c:v>
                </c:pt>
                <c:pt idx="124">
                  <c:v>-1.0731897082636699E-3</c:v>
                </c:pt>
                <c:pt idx="125">
                  <c:v>-1.0739402042051201E-3</c:v>
                </c:pt>
                <c:pt idx="126">
                  <c:v>-1.0748253686512501E-3</c:v>
                </c:pt>
                <c:pt idx="127">
                  <c:v>-1.07591034360727E-3</c:v>
                </c:pt>
                <c:pt idx="128">
                  <c:v>-1.0773156922224999E-3</c:v>
                </c:pt>
                <c:pt idx="129">
                  <c:v>-1.07929627161644E-3</c:v>
                </c:pt>
                <c:pt idx="130">
                  <c:v>-1.08254649711757E-3</c:v>
                </c:pt>
                <c:pt idx="131">
                  <c:v>-1.0854999264897601E-3</c:v>
                </c:pt>
                <c:pt idx="132">
                  <c:v>-1.0884189788496999E-3</c:v>
                </c:pt>
                <c:pt idx="133">
                  <c:v>-1.0913847651102899E-3</c:v>
                </c:pt>
                <c:pt idx="134">
                  <c:v>-1.0944006161476001E-3</c:v>
                </c:pt>
                <c:pt idx="135">
                  <c:v>-1.09747189714688E-3</c:v>
                </c:pt>
                <c:pt idx="136">
                  <c:v>-1.10060334839363E-3</c:v>
                </c:pt>
                <c:pt idx="137">
                  <c:v>-1.10379933374922E-3</c:v>
                </c:pt>
                <c:pt idx="138">
                  <c:v>-1.10706395401329E-3</c:v>
                </c:pt>
                <c:pt idx="139">
                  <c:v>-1.11040114191712E-3</c:v>
                </c:pt>
                <c:pt idx="140">
                  <c:v>-1.1138147397863299E-3</c:v>
                </c:pt>
                <c:pt idx="141">
                  <c:v>-1.11730856353085E-3</c:v>
                </c:pt>
                <c:pt idx="142">
                  <c:v>-1.12088645587768E-3</c:v>
                </c:pt>
                <c:pt idx="143">
                  <c:v>-1.12455233123489E-3</c:v>
                </c:pt>
                <c:pt idx="144">
                  <c:v>-1.1283102141431301E-3</c:v>
                </c:pt>
                <c:pt idx="145">
                  <c:v>-1.13216427291867E-3</c:v>
                </c:pt>
                <c:pt idx="146">
                  <c:v>-1.1361188498050501E-3</c:v>
                </c:pt>
                <c:pt idx="147">
                  <c:v>-1.1401784887187E-3</c:v>
                </c:pt>
                <c:pt idx="148">
                  <c:v>-2.2375928817661701E-3</c:v>
                </c:pt>
                <c:pt idx="149">
                  <c:v>-3.0791369700718298E-3</c:v>
                </c:pt>
                <c:pt idx="150">
                  <c:v>-3.09269221901855E-3</c:v>
                </c:pt>
                <c:pt idx="151">
                  <c:v>-3.1128235838692002E-3</c:v>
                </c:pt>
                <c:pt idx="152">
                  <c:v>-5.1128235838692002E-3</c:v>
                </c:pt>
                <c:pt idx="153">
                  <c:v>-5.1128235838692002E-3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17-4E86-8435-030297F544E3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Implicit_Fracs!$C$4:$C$157</c:f>
              <c:numCache>
                <c:formatCode>General</c:formatCode>
                <c:ptCount val="154"/>
                <c:pt idx="0">
                  <c:v>6.5458908507104702E-2</c:v>
                </c:pt>
                <c:pt idx="1">
                  <c:v>0.102183576352721</c:v>
                </c:pt>
                <c:pt idx="2">
                  <c:v>0.10265932256913</c:v>
                </c:pt>
                <c:pt idx="3">
                  <c:v>0.102957853910651</c:v>
                </c:pt>
                <c:pt idx="4">
                  <c:v>0.103177266932184</c:v>
                </c:pt>
                <c:pt idx="5">
                  <c:v>0.103351496690922</c:v>
                </c:pt>
                <c:pt idx="6">
                  <c:v>0.103496414957103</c:v>
                </c:pt>
                <c:pt idx="7">
                  <c:v>0.103620751252535</c:v>
                </c:pt>
                <c:pt idx="8">
                  <c:v>0.10372982944940901</c:v>
                </c:pt>
                <c:pt idx="9">
                  <c:v>0.103827139456784</c:v>
                </c:pt>
                <c:pt idx="10">
                  <c:v>0.103915094665254</c:v>
                </c:pt>
                <c:pt idx="11">
                  <c:v>0.103995434388613</c:v>
                </c:pt>
                <c:pt idx="12">
                  <c:v>0.104069454062336</c:v>
                </c:pt>
                <c:pt idx="13">
                  <c:v>0.104138144775635</c:v>
                </c:pt>
                <c:pt idx="14">
                  <c:v>0.104202281901597</c:v>
                </c:pt>
                <c:pt idx="15">
                  <c:v>0.104262483614202</c:v>
                </c:pt>
                <c:pt idx="16">
                  <c:v>0.104319250799794</c:v>
                </c:pt>
                <c:pt idx="17">
                  <c:v>0.104372995043736</c:v>
                </c:pt>
                <c:pt idx="18">
                  <c:v>0.104424058730409</c:v>
                </c:pt>
                <c:pt idx="19">
                  <c:v>0.10447272978354399</c:v>
                </c:pt>
                <c:pt idx="20">
                  <c:v>0.104519252676497</c:v>
                </c:pt>
                <c:pt idx="21">
                  <c:v>0.10456383679155699</c:v>
                </c:pt>
                <c:pt idx="22">
                  <c:v>0.104606662859662</c:v>
                </c:pt>
                <c:pt idx="23">
                  <c:v>0.10464788798674</c:v>
                </c:pt>
                <c:pt idx="24">
                  <c:v>0.104687649623564</c:v>
                </c:pt>
                <c:pt idx="25">
                  <c:v>0.104726068735102</c:v>
                </c:pt>
                <c:pt idx="26">
                  <c:v>0.104763252369012</c:v>
                </c:pt>
                <c:pt idx="27">
                  <c:v>0.104799295743886</c:v>
                </c:pt>
                <c:pt idx="28">
                  <c:v>0.104834283950286</c:v>
                </c:pt>
                <c:pt idx="29">
                  <c:v>0.104868293357074</c:v>
                </c:pt>
                <c:pt idx="30">
                  <c:v>0.10490139278235</c:v>
                </c:pt>
                <c:pt idx="31">
                  <c:v>0.104933644474818</c:v>
                </c:pt>
                <c:pt idx="32">
                  <c:v>0.10496510494130901</c:v>
                </c:pt>
                <c:pt idx="33">
                  <c:v>0.104995825648611</c:v>
                </c:pt>
                <c:pt idx="34">
                  <c:v>0.10502585362186299</c:v>
                </c:pt>
                <c:pt idx="35">
                  <c:v>0.105055231957371</c:v>
                </c:pt>
                <c:pt idx="36">
                  <c:v>0.105084000264155</c:v>
                </c:pt>
                <c:pt idx="37">
                  <c:v>0.105112195045851</c:v>
                </c:pt>
                <c:pt idx="38">
                  <c:v>0.10513985003243601</c:v>
                </c:pt>
                <c:pt idx="39">
                  <c:v>0.105166996469529</c:v>
                </c:pt>
                <c:pt idx="40">
                  <c:v>0.10519366337166999</c:v>
                </c:pt>
                <c:pt idx="41">
                  <c:v>0.10521987774488301</c:v>
                </c:pt>
                <c:pt idx="42">
                  <c:v>0.105245664782936</c:v>
                </c:pt>
                <c:pt idx="43">
                  <c:v>0.10527104804099</c:v>
                </c:pt>
                <c:pt idx="44">
                  <c:v>0.105296049589756</c:v>
                </c:pt>
                <c:pt idx="45">
                  <c:v>0.10532069015277599</c:v>
                </c:pt>
                <c:pt idx="46">
                  <c:v>0.10534498922905799</c:v>
                </c:pt>
                <c:pt idx="47">
                  <c:v>0.10536896520295</c:v>
                </c:pt>
                <c:pt idx="48">
                  <c:v>0.105392635442894</c:v>
                </c:pt>
                <c:pt idx="49">
                  <c:v>0.105416016390418</c:v>
                </c:pt>
                <c:pt idx="50">
                  <c:v>0.10543912364058999</c:v>
                </c:pt>
                <c:pt idx="51">
                  <c:v>0.105461972014952</c:v>
                </c:pt>
                <c:pt idx="52">
                  <c:v>0.105484575627837</c:v>
                </c:pt>
                <c:pt idx="53">
                  <c:v>0.10550694794684599</c:v>
                </c:pt>
                <c:pt idx="54">
                  <c:v>0.105529101848167</c:v>
                </c:pt>
                <c:pt idx="55">
                  <c:v>0.105551049667337</c:v>
                </c:pt>
                <c:pt idx="56">
                  <c:v>0.105572803245966</c:v>
                </c:pt>
                <c:pt idx="57">
                  <c:v>0.105594373974898</c:v>
                </c:pt>
                <c:pt idx="58">
                  <c:v>0.10561577283421</c:v>
                </c:pt>
                <c:pt idx="59">
                  <c:v>0.10563701043042099</c:v>
                </c:pt>
                <c:pt idx="60">
                  <c:v>0.105658097031244</c:v>
                </c:pt>
                <c:pt idx="61">
                  <c:v>0.105679042598172</c:v>
                </c:pt>
                <c:pt idx="62">
                  <c:v>0.10569985681716</c:v>
                </c:pt>
                <c:pt idx="63">
                  <c:v>0.105720549127664</c:v>
                </c:pt>
                <c:pt idx="64">
                  <c:v>0.105741128750243</c:v>
                </c:pt>
                <c:pt idx="65">
                  <c:v>0.105761604712938</c:v>
                </c:pt>
                <c:pt idx="66">
                  <c:v>0.105781985876624</c:v>
                </c:pt>
                <c:pt idx="67">
                  <c:v>0.105802280959508</c:v>
                </c:pt>
                <c:pt idx="68">
                  <c:v>0.105822498560958</c:v>
                </c:pt>
                <c:pt idx="69">
                  <c:v>0.105842647184807</c:v>
                </c:pt>
                <c:pt idx="70">
                  <c:v>0.105862735262324</c:v>
                </c:pt>
                <c:pt idx="71">
                  <c:v>0.105882771174978</c:v>
                </c:pt>
                <c:pt idx="72">
                  <c:v>0.105902763277179</c:v>
                </c:pt>
                <c:pt idx="73">
                  <c:v>0.10592271991914599</c:v>
                </c:pt>
                <c:pt idx="74">
                  <c:v>0.105942649470061</c:v>
                </c:pt>
                <c:pt idx="75">
                  <c:v>0.10596256034169201</c:v>
                </c:pt>
                <c:pt idx="76">
                  <c:v>0.105982461012657</c:v>
                </c:pt>
                <c:pt idx="77">
                  <c:v>0.106002360053515</c:v>
                </c:pt>
                <c:pt idx="78">
                  <c:v>0.106022266152905</c:v>
                </c:pt>
                <c:pt idx="79">
                  <c:v>0.106042188144936</c:v>
                </c:pt>
                <c:pt idx="80">
                  <c:v>0.106062135038092</c:v>
                </c:pt>
                <c:pt idx="81">
                  <c:v>0.10608211604590601</c:v>
                </c:pt>
                <c:pt idx="82">
                  <c:v>0.106102140619718</c:v>
                </c:pt>
                <c:pt idx="83">
                  <c:v>0.10612221848384799</c:v>
                </c:pt>
                <c:pt idx="84">
                  <c:v>0.106142359673569</c:v>
                </c:pt>
                <c:pt idx="85">
                  <c:v>0.106162574576323</c:v>
                </c:pt>
                <c:pt idx="86">
                  <c:v>0.10618287397666699</c:v>
                </c:pt>
                <c:pt idx="87">
                  <c:v>0.106203269105535</c:v>
                </c:pt>
                <c:pt idx="88">
                  <c:v>0.10622377169447</c:v>
                </c:pt>
                <c:pt idx="89">
                  <c:v>0.106244394035602</c:v>
                </c:pt>
                <c:pt idx="90">
                  <c:v>0.106265149048271</c:v>
                </c:pt>
                <c:pt idx="91">
                  <c:v>0.106286050353348</c:v>
                </c:pt>
                <c:pt idx="92">
                  <c:v>0.10630711235650001</c:v>
                </c:pt>
                <c:pt idx="93">
                  <c:v>0.106328350341859</c:v>
                </c:pt>
                <c:pt idx="94">
                  <c:v>0.106349780577863</c:v>
                </c:pt>
                <c:pt idx="95">
                  <c:v>0.106371420437345</c:v>
                </c:pt>
                <c:pt idx="96">
                  <c:v>0.106393288534387</c:v>
                </c:pt>
                <c:pt idx="97">
                  <c:v>0.10641540488097</c:v>
                </c:pt>
                <c:pt idx="98">
                  <c:v>0.106437791067118</c:v>
                </c:pt>
                <c:pt idx="99">
                  <c:v>0.10646047046901499</c:v>
                </c:pt>
                <c:pt idx="100">
                  <c:v>0.10648346849064701</c:v>
                </c:pt>
                <c:pt idx="101">
                  <c:v>0.10650681284579</c:v>
                </c:pt>
                <c:pt idx="102">
                  <c:v>0.10653053388887</c:v>
                </c:pt>
                <c:pt idx="103">
                  <c:v>0.106554665005373</c:v>
                </c:pt>
                <c:pt idx="104">
                  <c:v>0.106579243075278</c:v>
                </c:pt>
                <c:pt idx="105">
                  <c:v>0.106604309026719</c:v>
                </c:pt>
                <c:pt idx="106">
                  <c:v>0.106629908501919</c:v>
                </c:pt>
                <c:pt idx="107">
                  <c:v>0.106656092664041</c:v>
                </c:pt>
                <c:pt idx="108">
                  <c:v>0.106682919182416</c:v>
                </c:pt>
                <c:pt idx="109">
                  <c:v>0.10671045344574299</c:v>
                </c:pt>
                <c:pt idx="110">
                  <c:v>0.106738770069693</c:v>
                </c:pt>
                <c:pt idx="111">
                  <c:v>0.10676795478890699</c:v>
                </c:pt>
                <c:pt idx="112">
                  <c:v>0.10679810685711801</c:v>
                </c:pt>
                <c:pt idx="113">
                  <c:v>0.106829342127871</c:v>
                </c:pt>
                <c:pt idx="114">
                  <c:v>0.10686179706030501</c:v>
                </c:pt>
                <c:pt idx="115">
                  <c:v>0.106895634002605</c:v>
                </c:pt>
                <c:pt idx="116">
                  <c:v>0.10693104827174101</c:v>
                </c:pt>
                <c:pt idx="117">
                  <c:v>0.106968277808976</c:v>
                </c:pt>
                <c:pt idx="118">
                  <c:v>0.107007616611124</c:v>
                </c:pt>
                <c:pt idx="119">
                  <c:v>0.107049433835298</c:v>
                </c:pt>
                <c:pt idx="120">
                  <c:v>0.10709420167049501</c:v>
                </c:pt>
                <c:pt idx="121">
                  <c:v>0.107142537193955</c:v>
                </c:pt>
                <c:pt idx="122">
                  <c:v>0.107195267364947</c:v>
                </c:pt>
                <c:pt idx="123">
                  <c:v>0.107253533948198</c:v>
                </c:pt>
                <c:pt idx="124">
                  <c:v>0.107318970826367</c:v>
                </c:pt>
                <c:pt idx="125">
                  <c:v>0.10739402042051201</c:v>
                </c:pt>
                <c:pt idx="126">
                  <c:v>0.107482536865125</c:v>
                </c:pt>
                <c:pt idx="127">
                  <c:v>0.10759103436072701</c:v>
                </c:pt>
                <c:pt idx="128">
                  <c:v>0.10773156922225</c:v>
                </c:pt>
                <c:pt idx="129">
                  <c:v>0.107929627161644</c:v>
                </c:pt>
                <c:pt idx="130">
                  <c:v>0.108254649711757</c:v>
                </c:pt>
                <c:pt idx="131">
                  <c:v>0.108549992648976</c:v>
                </c:pt>
                <c:pt idx="132">
                  <c:v>0.10884189788496999</c:v>
                </c:pt>
                <c:pt idx="133">
                  <c:v>0.109138476511029</c:v>
                </c:pt>
                <c:pt idx="134">
                  <c:v>0.10944006161476</c:v>
                </c:pt>
                <c:pt idx="135">
                  <c:v>0.109747189714688</c:v>
                </c:pt>
                <c:pt idx="136">
                  <c:v>0.11006033483936301</c:v>
                </c:pt>
                <c:pt idx="137">
                  <c:v>0.110379933374922</c:v>
                </c:pt>
                <c:pt idx="138">
                  <c:v>0.110706395401329</c:v>
                </c:pt>
                <c:pt idx="139">
                  <c:v>0.111040114191712</c:v>
                </c:pt>
                <c:pt idx="140">
                  <c:v>0.111381473978633</c:v>
                </c:pt>
                <c:pt idx="141">
                  <c:v>0.111730856353085</c:v>
                </c:pt>
                <c:pt idx="142">
                  <c:v>0.112088645587768</c:v>
                </c:pt>
                <c:pt idx="143">
                  <c:v>0.112455233123489</c:v>
                </c:pt>
                <c:pt idx="144">
                  <c:v>0.112831021414313</c:v>
                </c:pt>
                <c:pt idx="145">
                  <c:v>0.113216427291867</c:v>
                </c:pt>
                <c:pt idx="146">
                  <c:v>0.11361188498050501</c:v>
                </c:pt>
                <c:pt idx="147">
                  <c:v>0.11401784887187</c:v>
                </c:pt>
                <c:pt idx="148">
                  <c:v>0.223759288176617</c:v>
                </c:pt>
                <c:pt idx="149">
                  <c:v>0.30791369700718302</c:v>
                </c:pt>
                <c:pt idx="150">
                  <c:v>0.30926922190185502</c:v>
                </c:pt>
                <c:pt idx="151">
                  <c:v>0.31128235838691898</c:v>
                </c:pt>
                <c:pt idx="152">
                  <c:v>0.51128235838691904</c:v>
                </c:pt>
                <c:pt idx="153">
                  <c:v>0.51128235838691904</c:v>
                </c:pt>
              </c:numCache>
            </c:numRef>
          </c:xVal>
          <c:yVal>
            <c:numRef>
              <c:f>Implicit_Fracs!$G$4:$G$157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 formatCode="0.00E+00">
                  <c:v>-1.0842021724855E-19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-1.0842021724855E-19</c:v>
                </c:pt>
                <c:pt idx="7">
                  <c:v>0</c:v>
                </c:pt>
                <c:pt idx="8" formatCode="0.00E+00">
                  <c:v>-1.0842021724855E-19</c:v>
                </c:pt>
                <c:pt idx="9" formatCode="0.00E+00">
                  <c:v>-1.0842021724855E-19</c:v>
                </c:pt>
                <c:pt idx="10">
                  <c:v>0</c:v>
                </c:pt>
                <c:pt idx="11">
                  <c:v>0</c:v>
                </c:pt>
                <c:pt idx="12" formatCode="0.00E+00">
                  <c:v>-1.0842021724855E-19</c:v>
                </c:pt>
                <c:pt idx="13">
                  <c:v>0</c:v>
                </c:pt>
                <c:pt idx="14" formatCode="0.00E+00">
                  <c:v>-1.0842021724855E-19</c:v>
                </c:pt>
                <c:pt idx="15" formatCode="0.00E+00">
                  <c:v>-1.0842021724855E-19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0E+00">
                  <c:v>-1.0842021724855E-19</c:v>
                </c:pt>
                <c:pt idx="20">
                  <c:v>0</c:v>
                </c:pt>
                <c:pt idx="21" formatCode="0.00E+00">
                  <c:v>-1.0842021724855E-19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 formatCode="0.00E+00">
                  <c:v>-1.0842021724855E-19</c:v>
                </c:pt>
                <c:pt idx="32">
                  <c:v>0</c:v>
                </c:pt>
                <c:pt idx="33" formatCode="0.00E+00">
                  <c:v>-1.0842021724855E-19</c:v>
                </c:pt>
                <c:pt idx="34">
                  <c:v>0</c:v>
                </c:pt>
                <c:pt idx="35" formatCode="0.00E+00">
                  <c:v>-1.0842021724855E-19</c:v>
                </c:pt>
                <c:pt idx="36">
                  <c:v>0</c:v>
                </c:pt>
                <c:pt idx="37">
                  <c:v>0</c:v>
                </c:pt>
                <c:pt idx="38" formatCode="0.00E+00">
                  <c:v>-1.0842021724855E-19</c:v>
                </c:pt>
                <c:pt idx="39">
                  <c:v>0</c:v>
                </c:pt>
                <c:pt idx="40" formatCode="0.00E+00">
                  <c:v>-1.0842021724855E-19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 formatCode="0.00E+00">
                  <c:v>-1.0842021724855E-19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 formatCode="0.00E+00">
                  <c:v>-1.0842021724855E-19</c:v>
                </c:pt>
                <c:pt idx="52" formatCode="0.00E+00">
                  <c:v>-1.0842021724855E-19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 formatCode="0.00E+00">
                  <c:v>-1.0842021724855E-19</c:v>
                </c:pt>
                <c:pt idx="58">
                  <c:v>0</c:v>
                </c:pt>
                <c:pt idx="59">
                  <c:v>0</c:v>
                </c:pt>
                <c:pt idx="60" formatCode="0.00E+00">
                  <c:v>-1.0842021724855E-19</c:v>
                </c:pt>
                <c:pt idx="61">
                  <c:v>0</c:v>
                </c:pt>
                <c:pt idx="62" formatCode="0.00E+00">
                  <c:v>-1.0842021724855E-19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 formatCode="0.00E+00">
                  <c:v>-1.0842021724855E-19</c:v>
                </c:pt>
                <c:pt idx="67" formatCode="0.00E+00">
                  <c:v>-1.0842021724855E-19</c:v>
                </c:pt>
                <c:pt idx="68">
                  <c:v>0</c:v>
                </c:pt>
                <c:pt idx="69" formatCode="0.00E+00">
                  <c:v>-1.0842021724855E-19</c:v>
                </c:pt>
                <c:pt idx="70">
                  <c:v>0</c:v>
                </c:pt>
                <c:pt idx="71" formatCode="0.00E+00">
                  <c:v>-1.0842021724855E-19</c:v>
                </c:pt>
                <c:pt idx="72" formatCode="0.00E+00">
                  <c:v>-1.0842021724855E-19</c:v>
                </c:pt>
                <c:pt idx="73" formatCode="0.00E+00">
                  <c:v>-1.0842021724855E-19</c:v>
                </c:pt>
                <c:pt idx="74">
                  <c:v>0</c:v>
                </c:pt>
                <c:pt idx="75">
                  <c:v>0</c:v>
                </c:pt>
                <c:pt idx="76" formatCode="0.00E+00">
                  <c:v>-1.0842021724855E-19</c:v>
                </c:pt>
                <c:pt idx="77" formatCode="0.00E+00">
                  <c:v>-1.0842021724855E-19</c:v>
                </c:pt>
                <c:pt idx="78" formatCode="0.00E+00">
                  <c:v>-1.0842021724855E-19</c:v>
                </c:pt>
                <c:pt idx="79" formatCode="0.00E+00">
                  <c:v>-1.0842021724855E-19</c:v>
                </c:pt>
                <c:pt idx="80">
                  <c:v>0</c:v>
                </c:pt>
                <c:pt idx="81">
                  <c:v>0</c:v>
                </c:pt>
                <c:pt idx="82" formatCode="0.00E+00">
                  <c:v>-1.0842021724855E-19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 formatCode="0.00E+00">
                  <c:v>-1.0842021724855E-19</c:v>
                </c:pt>
                <c:pt idx="89" formatCode="0.00E+00">
                  <c:v>-1.0842021724855E-19</c:v>
                </c:pt>
                <c:pt idx="90" formatCode="0.00E+00">
                  <c:v>-1.0842021724855E-19</c:v>
                </c:pt>
                <c:pt idx="91">
                  <c:v>0</c:v>
                </c:pt>
                <c:pt idx="92">
                  <c:v>0</c:v>
                </c:pt>
                <c:pt idx="93" formatCode="0.00E+00">
                  <c:v>-1.0842021724855E-19</c:v>
                </c:pt>
                <c:pt idx="94">
                  <c:v>0</c:v>
                </c:pt>
                <c:pt idx="95" formatCode="0.00E+00">
                  <c:v>-1.0842021724855E-19</c:v>
                </c:pt>
                <c:pt idx="96" formatCode="0.00E+00">
                  <c:v>-1.0842021724855E-19</c:v>
                </c:pt>
                <c:pt idx="97">
                  <c:v>0</c:v>
                </c:pt>
                <c:pt idx="98" formatCode="0.00E+00">
                  <c:v>-1.0842021724855E-19</c:v>
                </c:pt>
                <c:pt idx="99" formatCode="0.00E+00">
                  <c:v>-1.0842021724855E-19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 formatCode="0.00E+00">
                  <c:v>-1.0842021724855E-19</c:v>
                </c:pt>
                <c:pt idx="105" formatCode="0.00E+00">
                  <c:v>-1.0842021724855E-19</c:v>
                </c:pt>
                <c:pt idx="106">
                  <c:v>0</c:v>
                </c:pt>
                <c:pt idx="107">
                  <c:v>0</c:v>
                </c:pt>
                <c:pt idx="108" formatCode="0.00E+00">
                  <c:v>-1.0842021724855E-19</c:v>
                </c:pt>
                <c:pt idx="109" formatCode="0.00E+00">
                  <c:v>-1.0842021724855E-19</c:v>
                </c:pt>
                <c:pt idx="110">
                  <c:v>0</c:v>
                </c:pt>
                <c:pt idx="111" formatCode="0.00E+00">
                  <c:v>-1.0842021724855E-19</c:v>
                </c:pt>
                <c:pt idx="112">
                  <c:v>0</c:v>
                </c:pt>
                <c:pt idx="113" formatCode="0.00E+00">
                  <c:v>-1.0842021724855E-19</c:v>
                </c:pt>
                <c:pt idx="114" formatCode="0.00E+00">
                  <c:v>-1.0842021724855E-19</c:v>
                </c:pt>
                <c:pt idx="115" formatCode="0.00E+00">
                  <c:v>-1.0842021724855E-19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 formatCode="0.00E+00">
                  <c:v>-1.0842021724855E-19</c:v>
                </c:pt>
                <c:pt idx="121" formatCode="0.00E+00">
                  <c:v>-1.0842021724855E-19</c:v>
                </c:pt>
                <c:pt idx="122" formatCode="0.00E+00">
                  <c:v>-1.0842021724855E-19</c:v>
                </c:pt>
                <c:pt idx="123" formatCode="0.00E+00">
                  <c:v>-1.0842021724855E-19</c:v>
                </c:pt>
                <c:pt idx="124" formatCode="0.00E+00">
                  <c:v>-1.0842021724855E-19</c:v>
                </c:pt>
                <c:pt idx="125">
                  <c:v>0</c:v>
                </c:pt>
                <c:pt idx="126" formatCode="0.00E+00">
                  <c:v>-1.0842021724855E-19</c:v>
                </c:pt>
                <c:pt idx="127">
                  <c:v>0</c:v>
                </c:pt>
                <c:pt idx="128" formatCode="0.00E+00">
                  <c:v>-1.0842021724855E-19</c:v>
                </c:pt>
                <c:pt idx="129" formatCode="0.00E+00">
                  <c:v>-1.0842021724855E-19</c:v>
                </c:pt>
                <c:pt idx="130" formatCode="0.00E+00">
                  <c:v>-1.0842021724855E-19</c:v>
                </c:pt>
                <c:pt idx="131" formatCode="0.00E+00">
                  <c:v>-1.0842021724855E-19</c:v>
                </c:pt>
                <c:pt idx="132" formatCode="0.00E+00">
                  <c:v>-1.0842021724855E-19</c:v>
                </c:pt>
                <c:pt idx="133">
                  <c:v>0</c:v>
                </c:pt>
                <c:pt idx="134" formatCode="0.00E+00">
                  <c:v>-1.0842021724855E-19</c:v>
                </c:pt>
                <c:pt idx="135" formatCode="0.00E+00">
                  <c:v>-1.0842021724855E-19</c:v>
                </c:pt>
                <c:pt idx="136" formatCode="0.00E+00">
                  <c:v>-1.0842021724855E-19</c:v>
                </c:pt>
                <c:pt idx="137" formatCode="0.00E+00">
                  <c:v>-1.0842021724855E-19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 formatCode="0.00E+00">
                  <c:v>-1.0842021724855E-19</c:v>
                </c:pt>
                <c:pt idx="142">
                  <c:v>0</c:v>
                </c:pt>
                <c:pt idx="143">
                  <c:v>0</c:v>
                </c:pt>
                <c:pt idx="144" formatCode="0.00E+00">
                  <c:v>-1.0842021724855E-19</c:v>
                </c:pt>
                <c:pt idx="145" formatCode="0.00E+00">
                  <c:v>-1.0842021724855E-19</c:v>
                </c:pt>
                <c:pt idx="146" formatCode="0.00E+00">
                  <c:v>-1.0842021724855E-19</c:v>
                </c:pt>
                <c:pt idx="147" formatCode="0.00E+00">
                  <c:v>-1.0842021724855E-19</c:v>
                </c:pt>
                <c:pt idx="148">
                  <c:v>0</c:v>
                </c:pt>
                <c:pt idx="149">
                  <c:v>0</c:v>
                </c:pt>
                <c:pt idx="150" formatCode="0.00E+00">
                  <c:v>2.1684043449710098E-19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0 Vertical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Implicit_Fracs!$C$3:$C$157</c:f>
              <c:numCache>
                <c:formatCode>General</c:formatCode>
                <c:ptCount val="155"/>
                <c:pt idx="0">
                  <c:v>0</c:v>
                </c:pt>
                <c:pt idx="1">
                  <c:v>6.5458908507104702E-2</c:v>
                </c:pt>
                <c:pt idx="2">
                  <c:v>0.102183576352721</c:v>
                </c:pt>
                <c:pt idx="3">
                  <c:v>0.10265932256913</c:v>
                </c:pt>
                <c:pt idx="4">
                  <c:v>0.102957853910651</c:v>
                </c:pt>
                <c:pt idx="5">
                  <c:v>0.103177266932184</c:v>
                </c:pt>
                <c:pt idx="6">
                  <c:v>0.103351496690922</c:v>
                </c:pt>
                <c:pt idx="7">
                  <c:v>0.103496414957103</c:v>
                </c:pt>
                <c:pt idx="8">
                  <c:v>0.103620751252535</c:v>
                </c:pt>
                <c:pt idx="9">
                  <c:v>0.10372982944940901</c:v>
                </c:pt>
                <c:pt idx="10">
                  <c:v>0.103827139456784</c:v>
                </c:pt>
                <c:pt idx="11">
                  <c:v>0.103915094665254</c:v>
                </c:pt>
                <c:pt idx="12">
                  <c:v>0.103995434388613</c:v>
                </c:pt>
                <c:pt idx="13">
                  <c:v>0.104069454062336</c:v>
                </c:pt>
                <c:pt idx="14">
                  <c:v>0.104138144775635</c:v>
                </c:pt>
                <c:pt idx="15">
                  <c:v>0.104202281901597</c:v>
                </c:pt>
                <c:pt idx="16">
                  <c:v>0.104262483614202</c:v>
                </c:pt>
                <c:pt idx="17">
                  <c:v>0.104319250799794</c:v>
                </c:pt>
                <c:pt idx="18">
                  <c:v>0.104372995043736</c:v>
                </c:pt>
                <c:pt idx="19">
                  <c:v>0.104424058730409</c:v>
                </c:pt>
                <c:pt idx="20">
                  <c:v>0.10447272978354399</c:v>
                </c:pt>
                <c:pt idx="21">
                  <c:v>0.104519252676497</c:v>
                </c:pt>
                <c:pt idx="22">
                  <c:v>0.10456383679155699</c:v>
                </c:pt>
                <c:pt idx="23">
                  <c:v>0.104606662859662</c:v>
                </c:pt>
                <c:pt idx="24">
                  <c:v>0.10464788798674</c:v>
                </c:pt>
                <c:pt idx="25">
                  <c:v>0.104687649623564</c:v>
                </c:pt>
                <c:pt idx="26">
                  <c:v>0.104726068735102</c:v>
                </c:pt>
                <c:pt idx="27">
                  <c:v>0.104763252369012</c:v>
                </c:pt>
                <c:pt idx="28">
                  <c:v>0.104799295743886</c:v>
                </c:pt>
                <c:pt idx="29">
                  <c:v>0.104834283950286</c:v>
                </c:pt>
                <c:pt idx="30">
                  <c:v>0.104868293357074</c:v>
                </c:pt>
                <c:pt idx="31">
                  <c:v>0.10490139278235</c:v>
                </c:pt>
                <c:pt idx="32">
                  <c:v>0.104933644474818</c:v>
                </c:pt>
                <c:pt idx="33">
                  <c:v>0.10496510494130901</c:v>
                </c:pt>
                <c:pt idx="34">
                  <c:v>0.104995825648611</c:v>
                </c:pt>
                <c:pt idx="35">
                  <c:v>0.10502585362186299</c:v>
                </c:pt>
                <c:pt idx="36">
                  <c:v>0.105055231957371</c:v>
                </c:pt>
                <c:pt idx="37">
                  <c:v>0.105084000264155</c:v>
                </c:pt>
                <c:pt idx="38">
                  <c:v>0.105112195045851</c:v>
                </c:pt>
                <c:pt idx="39">
                  <c:v>0.10513985003243601</c:v>
                </c:pt>
                <c:pt idx="40">
                  <c:v>0.105166996469529</c:v>
                </c:pt>
                <c:pt idx="41">
                  <c:v>0.10519366337166999</c:v>
                </c:pt>
                <c:pt idx="42">
                  <c:v>0.10521987774488301</c:v>
                </c:pt>
                <c:pt idx="43">
                  <c:v>0.105245664782936</c:v>
                </c:pt>
                <c:pt idx="44">
                  <c:v>0.10527104804099</c:v>
                </c:pt>
                <c:pt idx="45">
                  <c:v>0.105296049589756</c:v>
                </c:pt>
                <c:pt idx="46">
                  <c:v>0.10532069015277599</c:v>
                </c:pt>
                <c:pt idx="47">
                  <c:v>0.10534498922905799</c:v>
                </c:pt>
                <c:pt idx="48">
                  <c:v>0.10536896520295</c:v>
                </c:pt>
                <c:pt idx="49">
                  <c:v>0.105392635442894</c:v>
                </c:pt>
                <c:pt idx="50">
                  <c:v>0.105416016390418</c:v>
                </c:pt>
                <c:pt idx="51">
                  <c:v>0.10543912364058999</c:v>
                </c:pt>
                <c:pt idx="52">
                  <c:v>0.105461972014952</c:v>
                </c:pt>
                <c:pt idx="53">
                  <c:v>0.105484575627837</c:v>
                </c:pt>
                <c:pt idx="54">
                  <c:v>0.10550694794684599</c:v>
                </c:pt>
                <c:pt idx="55">
                  <c:v>0.105529101848167</c:v>
                </c:pt>
                <c:pt idx="56">
                  <c:v>0.105551049667337</c:v>
                </c:pt>
                <c:pt idx="57">
                  <c:v>0.105572803245966</c:v>
                </c:pt>
                <c:pt idx="58">
                  <c:v>0.105594373974898</c:v>
                </c:pt>
                <c:pt idx="59">
                  <c:v>0.10561577283421</c:v>
                </c:pt>
                <c:pt idx="60">
                  <c:v>0.10563701043042099</c:v>
                </c:pt>
                <c:pt idx="61">
                  <c:v>0.105658097031244</c:v>
                </c:pt>
                <c:pt idx="62">
                  <c:v>0.105679042598172</c:v>
                </c:pt>
                <c:pt idx="63">
                  <c:v>0.10569985681716</c:v>
                </c:pt>
                <c:pt idx="64">
                  <c:v>0.105720549127664</c:v>
                </c:pt>
                <c:pt idx="65">
                  <c:v>0.105741128750243</c:v>
                </c:pt>
                <c:pt idx="66">
                  <c:v>0.105761604712938</c:v>
                </c:pt>
                <c:pt idx="67">
                  <c:v>0.105781985876624</c:v>
                </c:pt>
                <c:pt idx="68">
                  <c:v>0.105802280959508</c:v>
                </c:pt>
                <c:pt idx="69">
                  <c:v>0.105822498560958</c:v>
                </c:pt>
                <c:pt idx="70">
                  <c:v>0.105842647184807</c:v>
                </c:pt>
                <c:pt idx="71">
                  <c:v>0.105862735262324</c:v>
                </c:pt>
                <c:pt idx="72">
                  <c:v>0.105882771174978</c:v>
                </c:pt>
                <c:pt idx="73">
                  <c:v>0.105902763277179</c:v>
                </c:pt>
                <c:pt idx="74">
                  <c:v>0.10592271991914599</c:v>
                </c:pt>
                <c:pt idx="75">
                  <c:v>0.105942649470061</c:v>
                </c:pt>
                <c:pt idx="76">
                  <c:v>0.10596256034169201</c:v>
                </c:pt>
                <c:pt idx="77">
                  <c:v>0.105982461012657</c:v>
                </c:pt>
                <c:pt idx="78">
                  <c:v>0.106002360053515</c:v>
                </c:pt>
                <c:pt idx="79">
                  <c:v>0.106022266152905</c:v>
                </c:pt>
                <c:pt idx="80">
                  <c:v>0.106042188144936</c:v>
                </c:pt>
                <c:pt idx="81">
                  <c:v>0.106062135038092</c:v>
                </c:pt>
                <c:pt idx="82">
                  <c:v>0.10608211604590601</c:v>
                </c:pt>
                <c:pt idx="83">
                  <c:v>0.106102140619718</c:v>
                </c:pt>
                <c:pt idx="84">
                  <c:v>0.10612221848384799</c:v>
                </c:pt>
                <c:pt idx="85">
                  <c:v>0.106142359673569</c:v>
                </c:pt>
                <c:pt idx="86">
                  <c:v>0.106162574576323</c:v>
                </c:pt>
                <c:pt idx="87">
                  <c:v>0.10618287397666699</c:v>
                </c:pt>
                <c:pt idx="88">
                  <c:v>0.106203269105535</c:v>
                </c:pt>
                <c:pt idx="89">
                  <c:v>0.10622377169447</c:v>
                </c:pt>
                <c:pt idx="90">
                  <c:v>0.106244394035602</c:v>
                </c:pt>
                <c:pt idx="91">
                  <c:v>0.106265149048271</c:v>
                </c:pt>
                <c:pt idx="92">
                  <c:v>0.106286050353348</c:v>
                </c:pt>
                <c:pt idx="93">
                  <c:v>0.10630711235650001</c:v>
                </c:pt>
                <c:pt idx="94">
                  <c:v>0.106328350341859</c:v>
                </c:pt>
                <c:pt idx="95">
                  <c:v>0.106349780577863</c:v>
                </c:pt>
                <c:pt idx="96">
                  <c:v>0.106371420437345</c:v>
                </c:pt>
                <c:pt idx="97">
                  <c:v>0.106393288534387</c:v>
                </c:pt>
                <c:pt idx="98">
                  <c:v>0.10641540488097</c:v>
                </c:pt>
                <c:pt idx="99">
                  <c:v>0.106437791067118</c:v>
                </c:pt>
                <c:pt idx="100">
                  <c:v>0.10646047046901499</c:v>
                </c:pt>
                <c:pt idx="101">
                  <c:v>0.10648346849064701</c:v>
                </c:pt>
                <c:pt idx="102">
                  <c:v>0.10650681284579</c:v>
                </c:pt>
                <c:pt idx="103">
                  <c:v>0.10653053388887</c:v>
                </c:pt>
                <c:pt idx="104">
                  <c:v>0.106554665005373</c:v>
                </c:pt>
                <c:pt idx="105">
                  <c:v>0.106579243075278</c:v>
                </c:pt>
                <c:pt idx="106">
                  <c:v>0.106604309026719</c:v>
                </c:pt>
                <c:pt idx="107">
                  <c:v>0.106629908501919</c:v>
                </c:pt>
                <c:pt idx="108">
                  <c:v>0.106656092664041</c:v>
                </c:pt>
                <c:pt idx="109">
                  <c:v>0.106682919182416</c:v>
                </c:pt>
                <c:pt idx="110">
                  <c:v>0.10671045344574299</c:v>
                </c:pt>
                <c:pt idx="111">
                  <c:v>0.106738770069693</c:v>
                </c:pt>
                <c:pt idx="112">
                  <c:v>0.10676795478890699</c:v>
                </c:pt>
                <c:pt idx="113">
                  <c:v>0.10679810685711801</c:v>
                </c:pt>
                <c:pt idx="114">
                  <c:v>0.106829342127871</c:v>
                </c:pt>
                <c:pt idx="115">
                  <c:v>0.10686179706030501</c:v>
                </c:pt>
                <c:pt idx="116">
                  <c:v>0.106895634002605</c:v>
                </c:pt>
                <c:pt idx="117">
                  <c:v>0.10693104827174101</c:v>
                </c:pt>
                <c:pt idx="118">
                  <c:v>0.106968277808976</c:v>
                </c:pt>
                <c:pt idx="119">
                  <c:v>0.107007616611124</c:v>
                </c:pt>
                <c:pt idx="120">
                  <c:v>0.107049433835298</c:v>
                </c:pt>
                <c:pt idx="121">
                  <c:v>0.10709420167049501</c:v>
                </c:pt>
                <c:pt idx="122">
                  <c:v>0.107142537193955</c:v>
                </c:pt>
                <c:pt idx="123">
                  <c:v>0.107195267364947</c:v>
                </c:pt>
                <c:pt idx="124">
                  <c:v>0.107253533948198</c:v>
                </c:pt>
                <c:pt idx="125">
                  <c:v>0.107318970826367</c:v>
                </c:pt>
                <c:pt idx="126">
                  <c:v>0.10739402042051201</c:v>
                </c:pt>
                <c:pt idx="127">
                  <c:v>0.107482536865125</c:v>
                </c:pt>
                <c:pt idx="128">
                  <c:v>0.10759103436072701</c:v>
                </c:pt>
                <c:pt idx="129">
                  <c:v>0.10773156922225</c:v>
                </c:pt>
                <c:pt idx="130">
                  <c:v>0.107929627161644</c:v>
                </c:pt>
                <c:pt idx="131">
                  <c:v>0.108254649711757</c:v>
                </c:pt>
                <c:pt idx="132">
                  <c:v>0.108549992648976</c:v>
                </c:pt>
                <c:pt idx="133">
                  <c:v>0.10884189788496999</c:v>
                </c:pt>
                <c:pt idx="134">
                  <c:v>0.109138476511029</c:v>
                </c:pt>
                <c:pt idx="135">
                  <c:v>0.10944006161476</c:v>
                </c:pt>
                <c:pt idx="136">
                  <c:v>0.109747189714688</c:v>
                </c:pt>
                <c:pt idx="137">
                  <c:v>0.11006033483936301</c:v>
                </c:pt>
                <c:pt idx="138">
                  <c:v>0.110379933374922</c:v>
                </c:pt>
                <c:pt idx="139">
                  <c:v>0.110706395401329</c:v>
                </c:pt>
                <c:pt idx="140">
                  <c:v>0.111040114191712</c:v>
                </c:pt>
                <c:pt idx="141">
                  <c:v>0.111381473978633</c:v>
                </c:pt>
                <c:pt idx="142">
                  <c:v>0.111730856353085</c:v>
                </c:pt>
                <c:pt idx="143">
                  <c:v>0.112088645587768</c:v>
                </c:pt>
                <c:pt idx="144">
                  <c:v>0.112455233123489</c:v>
                </c:pt>
                <c:pt idx="145">
                  <c:v>0.112831021414313</c:v>
                </c:pt>
                <c:pt idx="146">
                  <c:v>0.113216427291867</c:v>
                </c:pt>
                <c:pt idx="147">
                  <c:v>0.11361188498050501</c:v>
                </c:pt>
                <c:pt idx="148">
                  <c:v>0.11401784887187</c:v>
                </c:pt>
                <c:pt idx="149">
                  <c:v>0.223759288176617</c:v>
                </c:pt>
                <c:pt idx="150">
                  <c:v>0.30791369700718302</c:v>
                </c:pt>
                <c:pt idx="151">
                  <c:v>0.30926922190185502</c:v>
                </c:pt>
                <c:pt idx="152">
                  <c:v>0.31128235838691898</c:v>
                </c:pt>
                <c:pt idx="153">
                  <c:v>0.51128235838691904</c:v>
                </c:pt>
                <c:pt idx="154">
                  <c:v>0.51128235838691904</c:v>
                </c:pt>
              </c:numCache>
            </c:numRef>
          </c:xVal>
          <c:yVal>
            <c:numRef>
              <c:f>Implicit_Fracs!$I$3:$I$157</c:f>
              <c:numCache>
                <c:formatCode>General</c:formatCode>
                <c:ptCount val="1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2096847.3533616101</c:v>
                </c:pt>
                <c:pt idx="151">
                  <c:v>2116410.87138147</c:v>
                </c:pt>
                <c:pt idx="152">
                  <c:v>2145268.4024215098</c:v>
                </c:pt>
                <c:pt idx="153">
                  <c:v>4983333.3333333395</c:v>
                </c:pt>
                <c:pt idx="154">
                  <c:v>4983333.3333333395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F17-4E86-8435-030297F544E3}"/>
            </c:ext>
          </c:extLst>
        </c:ser>
        <c:ser>
          <c:idx val="7"/>
          <c:order val="3"/>
          <c:tx>
            <c:strRef>
              <c:f>Implicit_Fracs!$AJ$1</c:f>
              <c:strCache>
                <c:ptCount val="1"/>
                <c:pt idx="0">
                  <c:v>FS 1 Vertical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Implicit_Fracs!$C$3:$C$157</c:f>
              <c:numCache>
                <c:formatCode>General</c:formatCode>
                <c:ptCount val="155"/>
                <c:pt idx="0">
                  <c:v>0</c:v>
                </c:pt>
                <c:pt idx="1">
                  <c:v>6.5458908507104702E-2</c:v>
                </c:pt>
                <c:pt idx="2">
                  <c:v>0.102183576352721</c:v>
                </c:pt>
                <c:pt idx="3">
                  <c:v>0.10265932256913</c:v>
                </c:pt>
                <c:pt idx="4">
                  <c:v>0.102957853910651</c:v>
                </c:pt>
                <c:pt idx="5">
                  <c:v>0.103177266932184</c:v>
                </c:pt>
                <c:pt idx="6">
                  <c:v>0.103351496690922</c:v>
                </c:pt>
                <c:pt idx="7">
                  <c:v>0.103496414957103</c:v>
                </c:pt>
                <c:pt idx="8">
                  <c:v>0.103620751252535</c:v>
                </c:pt>
                <c:pt idx="9">
                  <c:v>0.10372982944940901</c:v>
                </c:pt>
                <c:pt idx="10">
                  <c:v>0.103827139456784</c:v>
                </c:pt>
                <c:pt idx="11">
                  <c:v>0.103915094665254</c:v>
                </c:pt>
                <c:pt idx="12">
                  <c:v>0.103995434388613</c:v>
                </c:pt>
                <c:pt idx="13">
                  <c:v>0.104069454062336</c:v>
                </c:pt>
                <c:pt idx="14">
                  <c:v>0.104138144775635</c:v>
                </c:pt>
                <c:pt idx="15">
                  <c:v>0.104202281901597</c:v>
                </c:pt>
                <c:pt idx="16">
                  <c:v>0.104262483614202</c:v>
                </c:pt>
                <c:pt idx="17">
                  <c:v>0.104319250799794</c:v>
                </c:pt>
                <c:pt idx="18">
                  <c:v>0.104372995043736</c:v>
                </c:pt>
                <c:pt idx="19">
                  <c:v>0.104424058730409</c:v>
                </c:pt>
                <c:pt idx="20">
                  <c:v>0.10447272978354399</c:v>
                </c:pt>
                <c:pt idx="21">
                  <c:v>0.104519252676497</c:v>
                </c:pt>
                <c:pt idx="22">
                  <c:v>0.10456383679155699</c:v>
                </c:pt>
                <c:pt idx="23">
                  <c:v>0.104606662859662</c:v>
                </c:pt>
                <c:pt idx="24">
                  <c:v>0.10464788798674</c:v>
                </c:pt>
                <c:pt idx="25">
                  <c:v>0.104687649623564</c:v>
                </c:pt>
                <c:pt idx="26">
                  <c:v>0.104726068735102</c:v>
                </c:pt>
                <c:pt idx="27">
                  <c:v>0.104763252369012</c:v>
                </c:pt>
                <c:pt idx="28">
                  <c:v>0.104799295743886</c:v>
                </c:pt>
                <c:pt idx="29">
                  <c:v>0.104834283950286</c:v>
                </c:pt>
                <c:pt idx="30">
                  <c:v>0.104868293357074</c:v>
                </c:pt>
                <c:pt idx="31">
                  <c:v>0.10490139278235</c:v>
                </c:pt>
                <c:pt idx="32">
                  <c:v>0.104933644474818</c:v>
                </c:pt>
                <c:pt idx="33">
                  <c:v>0.10496510494130901</c:v>
                </c:pt>
                <c:pt idx="34">
                  <c:v>0.104995825648611</c:v>
                </c:pt>
                <c:pt idx="35">
                  <c:v>0.10502585362186299</c:v>
                </c:pt>
                <c:pt idx="36">
                  <c:v>0.105055231957371</c:v>
                </c:pt>
                <c:pt idx="37">
                  <c:v>0.105084000264155</c:v>
                </c:pt>
                <c:pt idx="38">
                  <c:v>0.105112195045851</c:v>
                </c:pt>
                <c:pt idx="39">
                  <c:v>0.10513985003243601</c:v>
                </c:pt>
                <c:pt idx="40">
                  <c:v>0.105166996469529</c:v>
                </c:pt>
                <c:pt idx="41">
                  <c:v>0.10519366337166999</c:v>
                </c:pt>
                <c:pt idx="42">
                  <c:v>0.10521987774488301</c:v>
                </c:pt>
                <c:pt idx="43">
                  <c:v>0.105245664782936</c:v>
                </c:pt>
                <c:pt idx="44">
                  <c:v>0.10527104804099</c:v>
                </c:pt>
                <c:pt idx="45">
                  <c:v>0.105296049589756</c:v>
                </c:pt>
                <c:pt idx="46">
                  <c:v>0.10532069015277599</c:v>
                </c:pt>
                <c:pt idx="47">
                  <c:v>0.10534498922905799</c:v>
                </c:pt>
                <c:pt idx="48">
                  <c:v>0.10536896520295</c:v>
                </c:pt>
                <c:pt idx="49">
                  <c:v>0.105392635442894</c:v>
                </c:pt>
                <c:pt idx="50">
                  <c:v>0.105416016390418</c:v>
                </c:pt>
                <c:pt idx="51">
                  <c:v>0.10543912364058999</c:v>
                </c:pt>
                <c:pt idx="52">
                  <c:v>0.105461972014952</c:v>
                </c:pt>
                <c:pt idx="53">
                  <c:v>0.105484575627837</c:v>
                </c:pt>
                <c:pt idx="54">
                  <c:v>0.10550694794684599</c:v>
                </c:pt>
                <c:pt idx="55">
                  <c:v>0.105529101848167</c:v>
                </c:pt>
                <c:pt idx="56">
                  <c:v>0.105551049667337</c:v>
                </c:pt>
                <c:pt idx="57">
                  <c:v>0.105572803245966</c:v>
                </c:pt>
                <c:pt idx="58">
                  <c:v>0.105594373974898</c:v>
                </c:pt>
                <c:pt idx="59">
                  <c:v>0.10561577283421</c:v>
                </c:pt>
                <c:pt idx="60">
                  <c:v>0.10563701043042099</c:v>
                </c:pt>
                <c:pt idx="61">
                  <c:v>0.105658097031244</c:v>
                </c:pt>
                <c:pt idx="62">
                  <c:v>0.105679042598172</c:v>
                </c:pt>
                <c:pt idx="63">
                  <c:v>0.10569985681716</c:v>
                </c:pt>
                <c:pt idx="64">
                  <c:v>0.105720549127664</c:v>
                </c:pt>
                <c:pt idx="65">
                  <c:v>0.105741128750243</c:v>
                </c:pt>
                <c:pt idx="66">
                  <c:v>0.105761604712938</c:v>
                </c:pt>
                <c:pt idx="67">
                  <c:v>0.105781985876624</c:v>
                </c:pt>
                <c:pt idx="68">
                  <c:v>0.105802280959508</c:v>
                </c:pt>
                <c:pt idx="69">
                  <c:v>0.105822498560958</c:v>
                </c:pt>
                <c:pt idx="70">
                  <c:v>0.105842647184807</c:v>
                </c:pt>
                <c:pt idx="71">
                  <c:v>0.105862735262324</c:v>
                </c:pt>
                <c:pt idx="72">
                  <c:v>0.105882771174978</c:v>
                </c:pt>
                <c:pt idx="73">
                  <c:v>0.105902763277179</c:v>
                </c:pt>
                <c:pt idx="74">
                  <c:v>0.10592271991914599</c:v>
                </c:pt>
                <c:pt idx="75">
                  <c:v>0.105942649470061</c:v>
                </c:pt>
                <c:pt idx="76">
                  <c:v>0.10596256034169201</c:v>
                </c:pt>
                <c:pt idx="77">
                  <c:v>0.105982461012657</c:v>
                </c:pt>
                <c:pt idx="78">
                  <c:v>0.106002360053515</c:v>
                </c:pt>
                <c:pt idx="79">
                  <c:v>0.106022266152905</c:v>
                </c:pt>
                <c:pt idx="80">
                  <c:v>0.106042188144936</c:v>
                </c:pt>
                <c:pt idx="81">
                  <c:v>0.106062135038092</c:v>
                </c:pt>
                <c:pt idx="82">
                  <c:v>0.10608211604590601</c:v>
                </c:pt>
                <c:pt idx="83">
                  <c:v>0.106102140619718</c:v>
                </c:pt>
                <c:pt idx="84">
                  <c:v>0.10612221848384799</c:v>
                </c:pt>
                <c:pt idx="85">
                  <c:v>0.106142359673569</c:v>
                </c:pt>
                <c:pt idx="86">
                  <c:v>0.106162574576323</c:v>
                </c:pt>
                <c:pt idx="87">
                  <c:v>0.10618287397666699</c:v>
                </c:pt>
                <c:pt idx="88">
                  <c:v>0.106203269105535</c:v>
                </c:pt>
                <c:pt idx="89">
                  <c:v>0.10622377169447</c:v>
                </c:pt>
                <c:pt idx="90">
                  <c:v>0.106244394035602</c:v>
                </c:pt>
                <c:pt idx="91">
                  <c:v>0.106265149048271</c:v>
                </c:pt>
                <c:pt idx="92">
                  <c:v>0.106286050353348</c:v>
                </c:pt>
                <c:pt idx="93">
                  <c:v>0.10630711235650001</c:v>
                </c:pt>
                <c:pt idx="94">
                  <c:v>0.106328350341859</c:v>
                </c:pt>
                <c:pt idx="95">
                  <c:v>0.106349780577863</c:v>
                </c:pt>
                <c:pt idx="96">
                  <c:v>0.106371420437345</c:v>
                </c:pt>
                <c:pt idx="97">
                  <c:v>0.106393288534387</c:v>
                </c:pt>
                <c:pt idx="98">
                  <c:v>0.10641540488097</c:v>
                </c:pt>
                <c:pt idx="99">
                  <c:v>0.106437791067118</c:v>
                </c:pt>
                <c:pt idx="100">
                  <c:v>0.10646047046901499</c:v>
                </c:pt>
                <c:pt idx="101">
                  <c:v>0.10648346849064701</c:v>
                </c:pt>
                <c:pt idx="102">
                  <c:v>0.10650681284579</c:v>
                </c:pt>
                <c:pt idx="103">
                  <c:v>0.10653053388887</c:v>
                </c:pt>
                <c:pt idx="104">
                  <c:v>0.106554665005373</c:v>
                </c:pt>
                <c:pt idx="105">
                  <c:v>0.106579243075278</c:v>
                </c:pt>
                <c:pt idx="106">
                  <c:v>0.106604309026719</c:v>
                </c:pt>
                <c:pt idx="107">
                  <c:v>0.106629908501919</c:v>
                </c:pt>
                <c:pt idx="108">
                  <c:v>0.106656092664041</c:v>
                </c:pt>
                <c:pt idx="109">
                  <c:v>0.106682919182416</c:v>
                </c:pt>
                <c:pt idx="110">
                  <c:v>0.10671045344574299</c:v>
                </c:pt>
                <c:pt idx="111">
                  <c:v>0.106738770069693</c:v>
                </c:pt>
                <c:pt idx="112">
                  <c:v>0.10676795478890699</c:v>
                </c:pt>
                <c:pt idx="113">
                  <c:v>0.10679810685711801</c:v>
                </c:pt>
                <c:pt idx="114">
                  <c:v>0.106829342127871</c:v>
                </c:pt>
                <c:pt idx="115">
                  <c:v>0.10686179706030501</c:v>
                </c:pt>
                <c:pt idx="116">
                  <c:v>0.106895634002605</c:v>
                </c:pt>
                <c:pt idx="117">
                  <c:v>0.10693104827174101</c:v>
                </c:pt>
                <c:pt idx="118">
                  <c:v>0.106968277808976</c:v>
                </c:pt>
                <c:pt idx="119">
                  <c:v>0.107007616611124</c:v>
                </c:pt>
                <c:pt idx="120">
                  <c:v>0.107049433835298</c:v>
                </c:pt>
                <c:pt idx="121">
                  <c:v>0.10709420167049501</c:v>
                </c:pt>
                <c:pt idx="122">
                  <c:v>0.107142537193955</c:v>
                </c:pt>
                <c:pt idx="123">
                  <c:v>0.107195267364947</c:v>
                </c:pt>
                <c:pt idx="124">
                  <c:v>0.107253533948198</c:v>
                </c:pt>
                <c:pt idx="125">
                  <c:v>0.107318970826367</c:v>
                </c:pt>
                <c:pt idx="126">
                  <c:v>0.10739402042051201</c:v>
                </c:pt>
                <c:pt idx="127">
                  <c:v>0.107482536865125</c:v>
                </c:pt>
                <c:pt idx="128">
                  <c:v>0.10759103436072701</c:v>
                </c:pt>
                <c:pt idx="129">
                  <c:v>0.10773156922225</c:v>
                </c:pt>
                <c:pt idx="130">
                  <c:v>0.107929627161644</c:v>
                </c:pt>
                <c:pt idx="131">
                  <c:v>0.108254649711757</c:v>
                </c:pt>
                <c:pt idx="132">
                  <c:v>0.108549992648976</c:v>
                </c:pt>
                <c:pt idx="133">
                  <c:v>0.10884189788496999</c:v>
                </c:pt>
                <c:pt idx="134">
                  <c:v>0.109138476511029</c:v>
                </c:pt>
                <c:pt idx="135">
                  <c:v>0.10944006161476</c:v>
                </c:pt>
                <c:pt idx="136">
                  <c:v>0.109747189714688</c:v>
                </c:pt>
                <c:pt idx="137">
                  <c:v>0.11006033483936301</c:v>
                </c:pt>
                <c:pt idx="138">
                  <c:v>0.110379933374922</c:v>
                </c:pt>
                <c:pt idx="139">
                  <c:v>0.110706395401329</c:v>
                </c:pt>
                <c:pt idx="140">
                  <c:v>0.111040114191712</c:v>
                </c:pt>
                <c:pt idx="141">
                  <c:v>0.111381473978633</c:v>
                </c:pt>
                <c:pt idx="142">
                  <c:v>0.111730856353085</c:v>
                </c:pt>
                <c:pt idx="143">
                  <c:v>0.112088645587768</c:v>
                </c:pt>
                <c:pt idx="144">
                  <c:v>0.112455233123489</c:v>
                </c:pt>
                <c:pt idx="145">
                  <c:v>0.112831021414313</c:v>
                </c:pt>
                <c:pt idx="146">
                  <c:v>0.113216427291867</c:v>
                </c:pt>
                <c:pt idx="147">
                  <c:v>0.11361188498050501</c:v>
                </c:pt>
                <c:pt idx="148">
                  <c:v>0.11401784887187</c:v>
                </c:pt>
                <c:pt idx="149">
                  <c:v>0.223759288176617</c:v>
                </c:pt>
                <c:pt idx="150">
                  <c:v>0.30791369700718302</c:v>
                </c:pt>
                <c:pt idx="151">
                  <c:v>0.30926922190185502</c:v>
                </c:pt>
                <c:pt idx="152">
                  <c:v>0.31128235838691898</c:v>
                </c:pt>
                <c:pt idx="153">
                  <c:v>0.51128235838691904</c:v>
                </c:pt>
                <c:pt idx="154">
                  <c:v>0.51128235838691904</c:v>
                </c:pt>
              </c:numCache>
            </c:numRef>
          </c:xVal>
          <c:yVal>
            <c:numRef>
              <c:f>Implicit_Fracs!$AK$3:$AK$157</c:f>
              <c:numCache>
                <c:formatCode>General</c:formatCode>
                <c:ptCount val="1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F17-4E86-8435-030297F544E3}"/>
            </c:ext>
          </c:extLst>
        </c:ser>
        <c:ser>
          <c:idx val="2"/>
          <c:order val="4"/>
          <c:tx>
            <c:strRef>
              <c:f>Implicit_Fracs!$V$1</c:f>
              <c:strCache>
                <c:ptCount val="1"/>
                <c:pt idx="0">
                  <c:v>FS 0 InclinedSteep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Implicit_Fracs!$C$3:$C$157</c:f>
              <c:numCache>
                <c:formatCode>General</c:formatCode>
                <c:ptCount val="155"/>
                <c:pt idx="0">
                  <c:v>0</c:v>
                </c:pt>
                <c:pt idx="1">
                  <c:v>6.5458908507104702E-2</c:v>
                </c:pt>
                <c:pt idx="2">
                  <c:v>0.102183576352721</c:v>
                </c:pt>
                <c:pt idx="3">
                  <c:v>0.10265932256913</c:v>
                </c:pt>
                <c:pt idx="4">
                  <c:v>0.102957853910651</c:v>
                </c:pt>
                <c:pt idx="5">
                  <c:v>0.103177266932184</c:v>
                </c:pt>
                <c:pt idx="6">
                  <c:v>0.103351496690922</c:v>
                </c:pt>
                <c:pt idx="7">
                  <c:v>0.103496414957103</c:v>
                </c:pt>
                <c:pt idx="8">
                  <c:v>0.103620751252535</c:v>
                </c:pt>
                <c:pt idx="9">
                  <c:v>0.10372982944940901</c:v>
                </c:pt>
                <c:pt idx="10">
                  <c:v>0.103827139456784</c:v>
                </c:pt>
                <c:pt idx="11">
                  <c:v>0.103915094665254</c:v>
                </c:pt>
                <c:pt idx="12">
                  <c:v>0.103995434388613</c:v>
                </c:pt>
                <c:pt idx="13">
                  <c:v>0.104069454062336</c:v>
                </c:pt>
                <c:pt idx="14">
                  <c:v>0.104138144775635</c:v>
                </c:pt>
                <c:pt idx="15">
                  <c:v>0.104202281901597</c:v>
                </c:pt>
                <c:pt idx="16">
                  <c:v>0.104262483614202</c:v>
                </c:pt>
                <c:pt idx="17">
                  <c:v>0.104319250799794</c:v>
                </c:pt>
                <c:pt idx="18">
                  <c:v>0.104372995043736</c:v>
                </c:pt>
                <c:pt idx="19">
                  <c:v>0.104424058730409</c:v>
                </c:pt>
                <c:pt idx="20">
                  <c:v>0.10447272978354399</c:v>
                </c:pt>
                <c:pt idx="21">
                  <c:v>0.104519252676497</c:v>
                </c:pt>
                <c:pt idx="22">
                  <c:v>0.10456383679155699</c:v>
                </c:pt>
                <c:pt idx="23">
                  <c:v>0.104606662859662</c:v>
                </c:pt>
                <c:pt idx="24">
                  <c:v>0.10464788798674</c:v>
                </c:pt>
                <c:pt idx="25">
                  <c:v>0.104687649623564</c:v>
                </c:pt>
                <c:pt idx="26">
                  <c:v>0.104726068735102</c:v>
                </c:pt>
                <c:pt idx="27">
                  <c:v>0.104763252369012</c:v>
                </c:pt>
                <c:pt idx="28">
                  <c:v>0.104799295743886</c:v>
                </c:pt>
                <c:pt idx="29">
                  <c:v>0.104834283950286</c:v>
                </c:pt>
                <c:pt idx="30">
                  <c:v>0.104868293357074</c:v>
                </c:pt>
                <c:pt idx="31">
                  <c:v>0.10490139278235</c:v>
                </c:pt>
                <c:pt idx="32">
                  <c:v>0.104933644474818</c:v>
                </c:pt>
                <c:pt idx="33">
                  <c:v>0.10496510494130901</c:v>
                </c:pt>
                <c:pt idx="34">
                  <c:v>0.104995825648611</c:v>
                </c:pt>
                <c:pt idx="35">
                  <c:v>0.10502585362186299</c:v>
                </c:pt>
                <c:pt idx="36">
                  <c:v>0.105055231957371</c:v>
                </c:pt>
                <c:pt idx="37">
                  <c:v>0.105084000264155</c:v>
                </c:pt>
                <c:pt idx="38">
                  <c:v>0.105112195045851</c:v>
                </c:pt>
                <c:pt idx="39">
                  <c:v>0.10513985003243601</c:v>
                </c:pt>
                <c:pt idx="40">
                  <c:v>0.105166996469529</c:v>
                </c:pt>
                <c:pt idx="41">
                  <c:v>0.10519366337166999</c:v>
                </c:pt>
                <c:pt idx="42">
                  <c:v>0.10521987774488301</c:v>
                </c:pt>
                <c:pt idx="43">
                  <c:v>0.105245664782936</c:v>
                </c:pt>
                <c:pt idx="44">
                  <c:v>0.10527104804099</c:v>
                </c:pt>
                <c:pt idx="45">
                  <c:v>0.105296049589756</c:v>
                </c:pt>
                <c:pt idx="46">
                  <c:v>0.10532069015277599</c:v>
                </c:pt>
                <c:pt idx="47">
                  <c:v>0.10534498922905799</c:v>
                </c:pt>
                <c:pt idx="48">
                  <c:v>0.10536896520295</c:v>
                </c:pt>
                <c:pt idx="49">
                  <c:v>0.105392635442894</c:v>
                </c:pt>
                <c:pt idx="50">
                  <c:v>0.105416016390418</c:v>
                </c:pt>
                <c:pt idx="51">
                  <c:v>0.10543912364058999</c:v>
                </c:pt>
                <c:pt idx="52">
                  <c:v>0.105461972014952</c:v>
                </c:pt>
                <c:pt idx="53">
                  <c:v>0.105484575627837</c:v>
                </c:pt>
                <c:pt idx="54">
                  <c:v>0.10550694794684599</c:v>
                </c:pt>
                <c:pt idx="55">
                  <c:v>0.105529101848167</c:v>
                </c:pt>
                <c:pt idx="56">
                  <c:v>0.105551049667337</c:v>
                </c:pt>
                <c:pt idx="57">
                  <c:v>0.105572803245966</c:v>
                </c:pt>
                <c:pt idx="58">
                  <c:v>0.105594373974898</c:v>
                </c:pt>
                <c:pt idx="59">
                  <c:v>0.10561577283421</c:v>
                </c:pt>
                <c:pt idx="60">
                  <c:v>0.10563701043042099</c:v>
                </c:pt>
                <c:pt idx="61">
                  <c:v>0.105658097031244</c:v>
                </c:pt>
                <c:pt idx="62">
                  <c:v>0.105679042598172</c:v>
                </c:pt>
                <c:pt idx="63">
                  <c:v>0.10569985681716</c:v>
                </c:pt>
                <c:pt idx="64">
                  <c:v>0.105720549127664</c:v>
                </c:pt>
                <c:pt idx="65">
                  <c:v>0.105741128750243</c:v>
                </c:pt>
                <c:pt idx="66">
                  <c:v>0.105761604712938</c:v>
                </c:pt>
                <c:pt idx="67">
                  <c:v>0.105781985876624</c:v>
                </c:pt>
                <c:pt idx="68">
                  <c:v>0.105802280959508</c:v>
                </c:pt>
                <c:pt idx="69">
                  <c:v>0.105822498560958</c:v>
                </c:pt>
                <c:pt idx="70">
                  <c:v>0.105842647184807</c:v>
                </c:pt>
                <c:pt idx="71">
                  <c:v>0.105862735262324</c:v>
                </c:pt>
                <c:pt idx="72">
                  <c:v>0.105882771174978</c:v>
                </c:pt>
                <c:pt idx="73">
                  <c:v>0.105902763277179</c:v>
                </c:pt>
                <c:pt idx="74">
                  <c:v>0.10592271991914599</c:v>
                </c:pt>
                <c:pt idx="75">
                  <c:v>0.105942649470061</c:v>
                </c:pt>
                <c:pt idx="76">
                  <c:v>0.10596256034169201</c:v>
                </c:pt>
                <c:pt idx="77">
                  <c:v>0.105982461012657</c:v>
                </c:pt>
                <c:pt idx="78">
                  <c:v>0.106002360053515</c:v>
                </c:pt>
                <c:pt idx="79">
                  <c:v>0.106022266152905</c:v>
                </c:pt>
                <c:pt idx="80">
                  <c:v>0.106042188144936</c:v>
                </c:pt>
                <c:pt idx="81">
                  <c:v>0.106062135038092</c:v>
                </c:pt>
                <c:pt idx="82">
                  <c:v>0.10608211604590601</c:v>
                </c:pt>
                <c:pt idx="83">
                  <c:v>0.106102140619718</c:v>
                </c:pt>
                <c:pt idx="84">
                  <c:v>0.10612221848384799</c:v>
                </c:pt>
                <c:pt idx="85">
                  <c:v>0.106142359673569</c:v>
                </c:pt>
                <c:pt idx="86">
                  <c:v>0.106162574576323</c:v>
                </c:pt>
                <c:pt idx="87">
                  <c:v>0.10618287397666699</c:v>
                </c:pt>
                <c:pt idx="88">
                  <c:v>0.106203269105535</c:v>
                </c:pt>
                <c:pt idx="89">
                  <c:v>0.10622377169447</c:v>
                </c:pt>
                <c:pt idx="90">
                  <c:v>0.106244394035602</c:v>
                </c:pt>
                <c:pt idx="91">
                  <c:v>0.106265149048271</c:v>
                </c:pt>
                <c:pt idx="92">
                  <c:v>0.106286050353348</c:v>
                </c:pt>
                <c:pt idx="93">
                  <c:v>0.10630711235650001</c:v>
                </c:pt>
                <c:pt idx="94">
                  <c:v>0.106328350341859</c:v>
                </c:pt>
                <c:pt idx="95">
                  <c:v>0.106349780577863</c:v>
                </c:pt>
                <c:pt idx="96">
                  <c:v>0.106371420437345</c:v>
                </c:pt>
                <c:pt idx="97">
                  <c:v>0.106393288534387</c:v>
                </c:pt>
                <c:pt idx="98">
                  <c:v>0.10641540488097</c:v>
                </c:pt>
                <c:pt idx="99">
                  <c:v>0.106437791067118</c:v>
                </c:pt>
                <c:pt idx="100">
                  <c:v>0.10646047046901499</c:v>
                </c:pt>
                <c:pt idx="101">
                  <c:v>0.10648346849064701</c:v>
                </c:pt>
                <c:pt idx="102">
                  <c:v>0.10650681284579</c:v>
                </c:pt>
                <c:pt idx="103">
                  <c:v>0.10653053388887</c:v>
                </c:pt>
                <c:pt idx="104">
                  <c:v>0.106554665005373</c:v>
                </c:pt>
                <c:pt idx="105">
                  <c:v>0.106579243075278</c:v>
                </c:pt>
                <c:pt idx="106">
                  <c:v>0.106604309026719</c:v>
                </c:pt>
                <c:pt idx="107">
                  <c:v>0.106629908501919</c:v>
                </c:pt>
                <c:pt idx="108">
                  <c:v>0.106656092664041</c:v>
                </c:pt>
                <c:pt idx="109">
                  <c:v>0.106682919182416</c:v>
                </c:pt>
                <c:pt idx="110">
                  <c:v>0.10671045344574299</c:v>
                </c:pt>
                <c:pt idx="111">
                  <c:v>0.106738770069693</c:v>
                </c:pt>
                <c:pt idx="112">
                  <c:v>0.10676795478890699</c:v>
                </c:pt>
                <c:pt idx="113">
                  <c:v>0.10679810685711801</c:v>
                </c:pt>
                <c:pt idx="114">
                  <c:v>0.106829342127871</c:v>
                </c:pt>
                <c:pt idx="115">
                  <c:v>0.10686179706030501</c:v>
                </c:pt>
                <c:pt idx="116">
                  <c:v>0.106895634002605</c:v>
                </c:pt>
                <c:pt idx="117">
                  <c:v>0.10693104827174101</c:v>
                </c:pt>
                <c:pt idx="118">
                  <c:v>0.106968277808976</c:v>
                </c:pt>
                <c:pt idx="119">
                  <c:v>0.107007616611124</c:v>
                </c:pt>
                <c:pt idx="120">
                  <c:v>0.107049433835298</c:v>
                </c:pt>
                <c:pt idx="121">
                  <c:v>0.10709420167049501</c:v>
                </c:pt>
                <c:pt idx="122">
                  <c:v>0.107142537193955</c:v>
                </c:pt>
                <c:pt idx="123">
                  <c:v>0.107195267364947</c:v>
                </c:pt>
                <c:pt idx="124">
                  <c:v>0.107253533948198</c:v>
                </c:pt>
                <c:pt idx="125">
                  <c:v>0.107318970826367</c:v>
                </c:pt>
                <c:pt idx="126">
                  <c:v>0.10739402042051201</c:v>
                </c:pt>
                <c:pt idx="127">
                  <c:v>0.107482536865125</c:v>
                </c:pt>
                <c:pt idx="128">
                  <c:v>0.10759103436072701</c:v>
                </c:pt>
                <c:pt idx="129">
                  <c:v>0.10773156922225</c:v>
                </c:pt>
                <c:pt idx="130">
                  <c:v>0.107929627161644</c:v>
                </c:pt>
                <c:pt idx="131">
                  <c:v>0.108254649711757</c:v>
                </c:pt>
                <c:pt idx="132">
                  <c:v>0.108549992648976</c:v>
                </c:pt>
                <c:pt idx="133">
                  <c:v>0.10884189788496999</c:v>
                </c:pt>
                <c:pt idx="134">
                  <c:v>0.109138476511029</c:v>
                </c:pt>
                <c:pt idx="135">
                  <c:v>0.10944006161476</c:v>
                </c:pt>
                <c:pt idx="136">
                  <c:v>0.109747189714688</c:v>
                </c:pt>
                <c:pt idx="137">
                  <c:v>0.11006033483936301</c:v>
                </c:pt>
                <c:pt idx="138">
                  <c:v>0.110379933374922</c:v>
                </c:pt>
                <c:pt idx="139">
                  <c:v>0.110706395401329</c:v>
                </c:pt>
                <c:pt idx="140">
                  <c:v>0.111040114191712</c:v>
                </c:pt>
                <c:pt idx="141">
                  <c:v>0.111381473978633</c:v>
                </c:pt>
                <c:pt idx="142">
                  <c:v>0.111730856353085</c:v>
                </c:pt>
                <c:pt idx="143">
                  <c:v>0.112088645587768</c:v>
                </c:pt>
                <c:pt idx="144">
                  <c:v>0.112455233123489</c:v>
                </c:pt>
                <c:pt idx="145">
                  <c:v>0.112831021414313</c:v>
                </c:pt>
                <c:pt idx="146">
                  <c:v>0.113216427291867</c:v>
                </c:pt>
                <c:pt idx="147">
                  <c:v>0.11361188498050501</c:v>
                </c:pt>
                <c:pt idx="148">
                  <c:v>0.11401784887187</c:v>
                </c:pt>
                <c:pt idx="149">
                  <c:v>0.223759288176617</c:v>
                </c:pt>
                <c:pt idx="150">
                  <c:v>0.30791369700718302</c:v>
                </c:pt>
                <c:pt idx="151">
                  <c:v>0.30926922190185502</c:v>
                </c:pt>
                <c:pt idx="152">
                  <c:v>0.31128235838691898</c:v>
                </c:pt>
                <c:pt idx="153">
                  <c:v>0.51128235838691904</c:v>
                </c:pt>
                <c:pt idx="154">
                  <c:v>0.51128235838691904</c:v>
                </c:pt>
              </c:numCache>
            </c:numRef>
          </c:xVal>
          <c:yVal>
            <c:numRef>
              <c:f>Implicit_Fracs!$W$3:$W$157</c:f>
              <c:numCache>
                <c:formatCode>General</c:formatCode>
                <c:ptCount val="155"/>
                <c:pt idx="0">
                  <c:v>0</c:v>
                </c:pt>
                <c:pt idx="1">
                  <c:v>0</c:v>
                </c:pt>
                <c:pt idx="2">
                  <c:v>2131911.6150477598</c:v>
                </c:pt>
                <c:pt idx="3">
                  <c:v>2154458.0168576702</c:v>
                </c:pt>
                <c:pt idx="4">
                  <c:v>2168572.2579509201</c:v>
                </c:pt>
                <c:pt idx="5">
                  <c:v>2178930.38563623</c:v>
                </c:pt>
                <c:pt idx="6">
                  <c:v>2187146.4623671402</c:v>
                </c:pt>
                <c:pt idx="7">
                  <c:v>2193974.3565317602</c:v>
                </c:pt>
                <c:pt idx="8">
                  <c:v>2199828.2764198701</c:v>
                </c:pt>
                <c:pt idx="9">
                  <c:v>2204960.6318469099</c:v>
                </c:pt>
                <c:pt idx="10">
                  <c:v>2209536.7723992201</c:v>
                </c:pt>
                <c:pt idx="11">
                  <c:v>2213670.97784191</c:v>
                </c:pt>
                <c:pt idx="12">
                  <c:v>2217445.5678829998</c:v>
                </c:pt>
                <c:pt idx="13">
                  <c:v>2220921.8269420201</c:v>
                </c:pt>
                <c:pt idx="14">
                  <c:v>2224146.62283475</c:v>
                </c:pt>
                <c:pt idx="15">
                  <c:v>2227156.6091085998</c:v>
                </c:pt>
                <c:pt idx="16">
                  <c:v>2229980.9985026899</c:v>
                </c:pt>
                <c:pt idx="17">
                  <c:v>2232643.4539128202</c:v>
                </c:pt>
                <c:pt idx="18">
                  <c:v>2235163.4139390402</c:v>
                </c:pt>
                <c:pt idx="19">
                  <c:v>2237557.0446079802</c:v>
                </c:pt>
                <c:pt idx="20">
                  <c:v>2239837.9371233601</c:v>
                </c:pt>
                <c:pt idx="21">
                  <c:v>2242017.62891482</c:v>
                </c:pt>
                <c:pt idx="22">
                  <c:v>2244105.9991357801</c:v>
                </c:pt>
                <c:pt idx="23">
                  <c:v>2246111.5732716802</c:v>
                </c:pt>
                <c:pt idx="24">
                  <c:v>2248041.7608412099</c:v>
                </c:pt>
                <c:pt idx="25">
                  <c:v>2249903.0430972301</c:v>
                </c:pt>
                <c:pt idx="26">
                  <c:v>2251701.1228487901</c:v>
                </c:pt>
                <c:pt idx="27">
                  <c:v>2253441.04585071</c:v>
                </c:pt>
                <c:pt idx="28">
                  <c:v>2255127.2994786501</c:v>
                </c:pt>
                <c:pt idx="29">
                  <c:v>2256763.8930986701</c:v>
                </c:pt>
                <c:pt idx="30">
                  <c:v>2258354.42450201</c:v>
                </c:pt>
                <c:pt idx="31">
                  <c:v>2259902.1352110701</c:v>
                </c:pt>
                <c:pt idx="32">
                  <c:v>2261409.9568242002</c:v>
                </c:pt>
                <c:pt idx="33">
                  <c:v>2262880.5500900499</c:v>
                </c:pt>
                <c:pt idx="34">
                  <c:v>2264316.3380412301</c:v>
                </c:pt>
                <c:pt idx="35">
                  <c:v>2265719.5342417001</c:v>
                </c:pt>
                <c:pt idx="36">
                  <c:v>2267092.1669903202</c:v>
                </c:pt>
                <c:pt idx="37">
                  <c:v>2268436.1001582602</c:v>
                </c:pt>
                <c:pt idx="38">
                  <c:v>2269753.05120929</c:v>
                </c:pt>
                <c:pt idx="39">
                  <c:v>2271044.60685013</c:v>
                </c:pt>
                <c:pt idx="40">
                  <c:v>2272312.2366778199</c:v>
                </c:pt>
                <c:pt idx="41">
                  <c:v>2273557.3051261199</c:v>
                </c:pt>
                <c:pt idx="42">
                  <c:v>2274781.08196169</c:v>
                </c:pt>
                <c:pt idx="43">
                  <c:v>2275984.7515386599</c:v>
                </c:pt>
                <c:pt idx="44">
                  <c:v>2277169.42098604</c:v>
                </c:pt>
                <c:pt idx="45">
                  <c:v>2278336.1274749399</c:v>
                </c:pt>
                <c:pt idx="46">
                  <c:v>2279485.8446894302</c:v>
                </c:pt>
                <c:pt idx="47">
                  <c:v>2280619.48860612</c:v>
                </c:pt>
                <c:pt idx="48">
                  <c:v>2281737.9226718801</c:v>
                </c:pt>
                <c:pt idx="49">
                  <c:v>2282841.9624562198</c:v>
                </c:pt>
                <c:pt idx="50">
                  <c:v>2283932.3798438199</c:v>
                </c:pt>
                <c:pt idx="51">
                  <c:v>2285009.9068236598</c:v>
                </c:pt>
                <c:pt idx="52">
                  <c:v>2286075.2389235501</c:v>
                </c:pt>
                <c:pt idx="53">
                  <c:v>2287129.0383323799</c:v>
                </c:pt>
                <c:pt idx="54">
                  <c:v>2288171.9367468399</c:v>
                </c:pt>
                <c:pt idx="55">
                  <c:v>2289204.5379748298</c:v>
                </c:pt>
                <c:pt idx="56">
                  <c:v>2290227.4203236401</c:v>
                </c:pt>
                <c:pt idx="57">
                  <c:v>2291241.1387978201</c:v>
                </c:pt>
                <c:pt idx="58">
                  <c:v>2292246.2271285001</c:v>
                </c:pt>
                <c:pt idx="59">
                  <c:v>2293243.1996537801</c:v>
                </c:pt>
                <c:pt idx="60">
                  <c:v>2294232.5530671799</c:v>
                </c:pt>
                <c:pt idx="61">
                  <c:v>2295214.7680500001</c:v>
                </c:pt>
                <c:pt idx="62">
                  <c:v>2296190.3108012201</c:v>
                </c:pt>
                <c:pt idx="63">
                  <c:v>2297159.6344777402</c:v>
                </c:pt>
                <c:pt idx="64">
                  <c:v>2298123.1805562298</c:v>
                </c:pt>
                <c:pt idx="65">
                  <c:v>2299081.3801273401</c:v>
                </c:pt>
                <c:pt idx="66">
                  <c:v>2300034.6551317801</c:v>
                </c:pt>
                <c:pt idx="67">
                  <c:v>2300983.4195474102</c:v>
                </c:pt>
                <c:pt idx="68">
                  <c:v>2301928.0805357499</c:v>
                </c:pt>
                <c:pt idx="69">
                  <c:v>2302869.0395561899</c:v>
                </c:pt>
                <c:pt idx="70">
                  <c:v>2303806.6934553101</c:v>
                </c:pt>
                <c:pt idx="71">
                  <c:v>2304741.4355392498</c:v>
                </c:pt>
                <c:pt idx="72">
                  <c:v>2305673.6566362302</c:v>
                </c:pt>
                <c:pt idx="73">
                  <c:v>2306603.74615672</c:v>
                </c:pt>
                <c:pt idx="74">
                  <c:v>2307532.0931588002</c:v>
                </c:pt>
                <c:pt idx="75">
                  <c:v>2308459.0874263099</c:v>
                </c:pt>
                <c:pt idx="76">
                  <c:v>2309385.1205676198</c:v>
                </c:pt>
                <c:pt idx="77">
                  <c:v>2310310.5871435301</c:v>
                </c:pt>
                <c:pt idx="78">
                  <c:v>2311235.8858329998</c:v>
                </c:pt>
                <c:pt idx="79">
                  <c:v>2312161.4206463699</c:v>
                </c:pt>
                <c:pt idx="80">
                  <c:v>2313087.6021961998</c:v>
                </c:pt>
                <c:pt idx="81">
                  <c:v>2314014.8490372701</c:v>
                </c:pt>
                <c:pt idx="82">
                  <c:v>2314943.5890881298</c:v>
                </c:pt>
                <c:pt idx="83">
                  <c:v>2315874.2611481799</c:v>
                </c:pt>
                <c:pt idx="84">
                  <c:v>2316807.3165260102</c:v>
                </c:pt>
                <c:pt idx="85">
                  <c:v>2317743.22079664</c:v>
                </c:pt>
                <c:pt idx="86">
                  <c:v>2318682.45570791</c:v>
                </c:pt>
                <c:pt idx="87">
                  <c:v>2319625.52125892</c:v>
                </c:pt>
                <c:pt idx="88">
                  <c:v>2320572.9379771599</c:v>
                </c:pt>
                <c:pt idx="89">
                  <c:v>2321525.2494248599</c:v>
                </c:pt>
                <c:pt idx="90">
                  <c:v>2322483.0249701799</c:v>
                </c:pt>
                <c:pt idx="91">
                  <c:v>2323446.8628646899</c:v>
                </c:pt>
                <c:pt idx="92">
                  <c:v>2324417.3936758498</c:v>
                </c:pt>
                <c:pt idx="93">
                  <c:v>2325395.2841317598</c:v>
                </c:pt>
                <c:pt idx="94">
                  <c:v>2326381.2414461202</c:v>
                </c:pt>
                <c:pt idx="95">
                  <c:v>2327376.0182039598</c:v>
                </c:pt>
                <c:pt idx="96">
                  <c:v>2328380.4179047602</c:v>
                </c:pt>
                <c:pt idx="97">
                  <c:v>2329395.3012786801</c:v>
                </c:pt>
                <c:pt idx="98">
                  <c:v>2330421.5935158702</c:v>
                </c:pt>
                <c:pt idx="99">
                  <c:v>2331460.2925789198</c:v>
                </c:pt>
                <c:pt idx="100">
                  <c:v>2332512.4788057599</c:v>
                </c:pt>
                <c:pt idx="101">
                  <c:v>2333579.3260582499</c:v>
                </c:pt>
                <c:pt idx="102">
                  <c:v>2334662.1147315698</c:v>
                </c:pt>
                <c:pt idx="103">
                  <c:v>2335762.2470173398</c:v>
                </c:pt>
                <c:pt idx="104">
                  <c:v>2336881.26491227</c:v>
                </c:pt>
                <c:pt idx="105">
                  <c:v>2338020.8715946898</c:v>
                </c:pt>
                <c:pt idx="106">
                  <c:v>2339182.9569606101</c:v>
                </c:pt>
                <c:pt idx="107">
                  <c:v>2340369.6283370699</c:v>
                </c:pt>
                <c:pt idx="108">
                  <c:v>2341583.2476918101</c:v>
                </c:pt>
                <c:pt idx="109">
                  <c:v>2342826.4770666501</c:v>
                </c:pt>
                <c:pt idx="110">
                  <c:v>2344102.33452078</c:v>
                </c:pt>
                <c:pt idx="111">
                  <c:v>2345414.2636443698</c:v>
                </c:pt>
                <c:pt idx="112">
                  <c:v>2346766.2207913399</c:v>
                </c:pt>
                <c:pt idx="113">
                  <c:v>2348162.7857313999</c:v>
                </c:pt>
                <c:pt idx="114">
                  <c:v>2349609.30366976</c:v>
                </c:pt>
                <c:pt idx="115">
                  <c:v>2351112.06989741</c:v>
                </c:pt>
                <c:pt idx="116">
                  <c:v>2352678.5733166402</c:v>
                </c:pt>
                <c:pt idx="117">
                  <c:v>2354317.8227326302</c:v>
                </c:pt>
                <c:pt idx="118">
                  <c:v>2356040.79181429</c:v>
                </c:pt>
                <c:pt idx="119">
                  <c:v>2357861.0379907801</c:v>
                </c:pt>
                <c:pt idx="120">
                  <c:v>2359795.5826738202</c:v>
                </c:pt>
                <c:pt idx="121">
                  <c:v>2361866.1952330298</c:v>
                </c:pt>
                <c:pt idx="122">
                  <c:v>2364101.3209374999</c:v>
                </c:pt>
                <c:pt idx="123">
                  <c:v>2366539.0741338399</c:v>
                </c:pt>
                <c:pt idx="124">
                  <c:v>2369232.0693970299</c:v>
                </c:pt>
                <c:pt idx="125">
                  <c:v>2372255.58397571</c:v>
                </c:pt>
                <c:pt idx="126">
                  <c:v>2375722.1200605701</c:v>
                </c:pt>
                <c:pt idx="127">
                  <c:v>2379809.1549035399</c:v>
                </c:pt>
                <c:pt idx="128">
                  <c:v>2384816.5497583598</c:v>
                </c:pt>
                <c:pt idx="129">
                  <c:v>2391299.0200017402</c:v>
                </c:pt>
                <c:pt idx="130">
                  <c:v>2400428.44538305</c:v>
                </c:pt>
                <c:pt idx="131">
                  <c:v>2415395.4326774301</c:v>
                </c:pt>
                <c:pt idx="132">
                  <c:v>2428973.5993266799</c:v>
                </c:pt>
                <c:pt idx="133">
                  <c:v>2442373.9025900699</c:v>
                </c:pt>
                <c:pt idx="134">
                  <c:v>2455968.8729051799</c:v>
                </c:pt>
                <c:pt idx="135">
                  <c:v>2469772.83668083</c:v>
                </c:pt>
                <c:pt idx="136">
                  <c:v>2483809.3130679699</c:v>
                </c:pt>
                <c:pt idx="137">
                  <c:v>2498098.8043645001</c:v>
                </c:pt>
                <c:pt idx="138">
                  <c:v>2512659.9442956401</c:v>
                </c:pt>
                <c:pt idx="139">
                  <c:v>2527510.02152682</c:v>
                </c:pt>
                <c:pt idx="140">
                  <c:v>2542665.4150790698</c:v>
                </c:pt>
                <c:pt idx="141">
                  <c:v>2558141.9470834401</c:v>
                </c:pt>
                <c:pt idx="142">
                  <c:v>2573955.1701303301</c:v>
                </c:pt>
                <c:pt idx="143">
                  <c:v>2590120.6029201099</c:v>
                </c:pt>
                <c:pt idx="144">
                  <c:v>2606653.9253882598</c:v>
                </c:pt>
                <c:pt idx="145">
                  <c:v>2623571.1424038699</c:v>
                </c:pt>
                <c:pt idx="146">
                  <c:v>2640888.7234460399</c:v>
                </c:pt>
                <c:pt idx="147">
                  <c:v>2658623.7242814</c:v>
                </c:pt>
                <c:pt idx="148">
                  <c:v>2676793.8955462701</c:v>
                </c:pt>
                <c:pt idx="149">
                  <c:v>7578641.7870455803</c:v>
                </c:pt>
                <c:pt idx="150">
                  <c:v>9275026.93052526</c:v>
                </c:pt>
                <c:pt idx="151">
                  <c:v>9290854.1490730792</c:v>
                </c:pt>
                <c:pt idx="152">
                  <c:v>9314200.3821001798</c:v>
                </c:pt>
                <c:pt idx="153">
                  <c:v>11610243.142347399</c:v>
                </c:pt>
                <c:pt idx="154">
                  <c:v>11610243.142347399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17-4E86-8435-030297F544E3}"/>
            </c:ext>
          </c:extLst>
        </c:ser>
        <c:ser>
          <c:idx val="3"/>
          <c:order val="5"/>
          <c:tx>
            <c:strRef>
              <c:f>Implicit_Fracs!$AX$1</c:f>
              <c:strCache>
                <c:ptCount val="1"/>
                <c:pt idx="0">
                  <c:v>FS 1 InclinedSteep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Implicit_Fracs!$C$3:$C$157</c:f>
              <c:numCache>
                <c:formatCode>General</c:formatCode>
                <c:ptCount val="155"/>
                <c:pt idx="0">
                  <c:v>0</c:v>
                </c:pt>
                <c:pt idx="1">
                  <c:v>6.5458908507104702E-2</c:v>
                </c:pt>
                <c:pt idx="2">
                  <c:v>0.102183576352721</c:v>
                </c:pt>
                <c:pt idx="3">
                  <c:v>0.10265932256913</c:v>
                </c:pt>
                <c:pt idx="4">
                  <c:v>0.102957853910651</c:v>
                </c:pt>
                <c:pt idx="5">
                  <c:v>0.103177266932184</c:v>
                </c:pt>
                <c:pt idx="6">
                  <c:v>0.103351496690922</c:v>
                </c:pt>
                <c:pt idx="7">
                  <c:v>0.103496414957103</c:v>
                </c:pt>
                <c:pt idx="8">
                  <c:v>0.103620751252535</c:v>
                </c:pt>
                <c:pt idx="9">
                  <c:v>0.10372982944940901</c:v>
                </c:pt>
                <c:pt idx="10">
                  <c:v>0.103827139456784</c:v>
                </c:pt>
                <c:pt idx="11">
                  <c:v>0.103915094665254</c:v>
                </c:pt>
                <c:pt idx="12">
                  <c:v>0.103995434388613</c:v>
                </c:pt>
                <c:pt idx="13">
                  <c:v>0.104069454062336</c:v>
                </c:pt>
                <c:pt idx="14">
                  <c:v>0.104138144775635</c:v>
                </c:pt>
                <c:pt idx="15">
                  <c:v>0.104202281901597</c:v>
                </c:pt>
                <c:pt idx="16">
                  <c:v>0.104262483614202</c:v>
                </c:pt>
                <c:pt idx="17">
                  <c:v>0.104319250799794</c:v>
                </c:pt>
                <c:pt idx="18">
                  <c:v>0.104372995043736</c:v>
                </c:pt>
                <c:pt idx="19">
                  <c:v>0.104424058730409</c:v>
                </c:pt>
                <c:pt idx="20">
                  <c:v>0.10447272978354399</c:v>
                </c:pt>
                <c:pt idx="21">
                  <c:v>0.104519252676497</c:v>
                </c:pt>
                <c:pt idx="22">
                  <c:v>0.10456383679155699</c:v>
                </c:pt>
                <c:pt idx="23">
                  <c:v>0.104606662859662</c:v>
                </c:pt>
                <c:pt idx="24">
                  <c:v>0.10464788798674</c:v>
                </c:pt>
                <c:pt idx="25">
                  <c:v>0.104687649623564</c:v>
                </c:pt>
                <c:pt idx="26">
                  <c:v>0.104726068735102</c:v>
                </c:pt>
                <c:pt idx="27">
                  <c:v>0.104763252369012</c:v>
                </c:pt>
                <c:pt idx="28">
                  <c:v>0.104799295743886</c:v>
                </c:pt>
                <c:pt idx="29">
                  <c:v>0.104834283950286</c:v>
                </c:pt>
                <c:pt idx="30">
                  <c:v>0.104868293357074</c:v>
                </c:pt>
                <c:pt idx="31">
                  <c:v>0.10490139278235</c:v>
                </c:pt>
                <c:pt idx="32">
                  <c:v>0.104933644474818</c:v>
                </c:pt>
                <c:pt idx="33">
                  <c:v>0.10496510494130901</c:v>
                </c:pt>
                <c:pt idx="34">
                  <c:v>0.104995825648611</c:v>
                </c:pt>
                <c:pt idx="35">
                  <c:v>0.10502585362186299</c:v>
                </c:pt>
                <c:pt idx="36">
                  <c:v>0.105055231957371</c:v>
                </c:pt>
                <c:pt idx="37">
                  <c:v>0.105084000264155</c:v>
                </c:pt>
                <c:pt idx="38">
                  <c:v>0.105112195045851</c:v>
                </c:pt>
                <c:pt idx="39">
                  <c:v>0.10513985003243601</c:v>
                </c:pt>
                <c:pt idx="40">
                  <c:v>0.105166996469529</c:v>
                </c:pt>
                <c:pt idx="41">
                  <c:v>0.10519366337166999</c:v>
                </c:pt>
                <c:pt idx="42">
                  <c:v>0.10521987774488301</c:v>
                </c:pt>
                <c:pt idx="43">
                  <c:v>0.105245664782936</c:v>
                </c:pt>
                <c:pt idx="44">
                  <c:v>0.10527104804099</c:v>
                </c:pt>
                <c:pt idx="45">
                  <c:v>0.105296049589756</c:v>
                </c:pt>
                <c:pt idx="46">
                  <c:v>0.10532069015277599</c:v>
                </c:pt>
                <c:pt idx="47">
                  <c:v>0.10534498922905799</c:v>
                </c:pt>
                <c:pt idx="48">
                  <c:v>0.10536896520295</c:v>
                </c:pt>
                <c:pt idx="49">
                  <c:v>0.105392635442894</c:v>
                </c:pt>
                <c:pt idx="50">
                  <c:v>0.105416016390418</c:v>
                </c:pt>
                <c:pt idx="51">
                  <c:v>0.10543912364058999</c:v>
                </c:pt>
                <c:pt idx="52">
                  <c:v>0.105461972014952</c:v>
                </c:pt>
                <c:pt idx="53">
                  <c:v>0.105484575627837</c:v>
                </c:pt>
                <c:pt idx="54">
                  <c:v>0.10550694794684599</c:v>
                </c:pt>
                <c:pt idx="55">
                  <c:v>0.105529101848167</c:v>
                </c:pt>
                <c:pt idx="56">
                  <c:v>0.105551049667337</c:v>
                </c:pt>
                <c:pt idx="57">
                  <c:v>0.105572803245966</c:v>
                </c:pt>
                <c:pt idx="58">
                  <c:v>0.105594373974898</c:v>
                </c:pt>
                <c:pt idx="59">
                  <c:v>0.10561577283421</c:v>
                </c:pt>
                <c:pt idx="60">
                  <c:v>0.10563701043042099</c:v>
                </c:pt>
                <c:pt idx="61">
                  <c:v>0.105658097031244</c:v>
                </c:pt>
                <c:pt idx="62">
                  <c:v>0.105679042598172</c:v>
                </c:pt>
                <c:pt idx="63">
                  <c:v>0.10569985681716</c:v>
                </c:pt>
                <c:pt idx="64">
                  <c:v>0.105720549127664</c:v>
                </c:pt>
                <c:pt idx="65">
                  <c:v>0.105741128750243</c:v>
                </c:pt>
                <c:pt idx="66">
                  <c:v>0.105761604712938</c:v>
                </c:pt>
                <c:pt idx="67">
                  <c:v>0.105781985876624</c:v>
                </c:pt>
                <c:pt idx="68">
                  <c:v>0.105802280959508</c:v>
                </c:pt>
                <c:pt idx="69">
                  <c:v>0.105822498560958</c:v>
                </c:pt>
                <c:pt idx="70">
                  <c:v>0.105842647184807</c:v>
                </c:pt>
                <c:pt idx="71">
                  <c:v>0.105862735262324</c:v>
                </c:pt>
                <c:pt idx="72">
                  <c:v>0.105882771174978</c:v>
                </c:pt>
                <c:pt idx="73">
                  <c:v>0.105902763277179</c:v>
                </c:pt>
                <c:pt idx="74">
                  <c:v>0.10592271991914599</c:v>
                </c:pt>
                <c:pt idx="75">
                  <c:v>0.105942649470061</c:v>
                </c:pt>
                <c:pt idx="76">
                  <c:v>0.10596256034169201</c:v>
                </c:pt>
                <c:pt idx="77">
                  <c:v>0.105982461012657</c:v>
                </c:pt>
                <c:pt idx="78">
                  <c:v>0.106002360053515</c:v>
                </c:pt>
                <c:pt idx="79">
                  <c:v>0.106022266152905</c:v>
                </c:pt>
                <c:pt idx="80">
                  <c:v>0.106042188144936</c:v>
                </c:pt>
                <c:pt idx="81">
                  <c:v>0.106062135038092</c:v>
                </c:pt>
                <c:pt idx="82">
                  <c:v>0.10608211604590601</c:v>
                </c:pt>
                <c:pt idx="83">
                  <c:v>0.106102140619718</c:v>
                </c:pt>
                <c:pt idx="84">
                  <c:v>0.10612221848384799</c:v>
                </c:pt>
                <c:pt idx="85">
                  <c:v>0.106142359673569</c:v>
                </c:pt>
                <c:pt idx="86">
                  <c:v>0.106162574576323</c:v>
                </c:pt>
                <c:pt idx="87">
                  <c:v>0.10618287397666699</c:v>
                </c:pt>
                <c:pt idx="88">
                  <c:v>0.106203269105535</c:v>
                </c:pt>
                <c:pt idx="89">
                  <c:v>0.10622377169447</c:v>
                </c:pt>
                <c:pt idx="90">
                  <c:v>0.106244394035602</c:v>
                </c:pt>
                <c:pt idx="91">
                  <c:v>0.106265149048271</c:v>
                </c:pt>
                <c:pt idx="92">
                  <c:v>0.106286050353348</c:v>
                </c:pt>
                <c:pt idx="93">
                  <c:v>0.10630711235650001</c:v>
                </c:pt>
                <c:pt idx="94">
                  <c:v>0.106328350341859</c:v>
                </c:pt>
                <c:pt idx="95">
                  <c:v>0.106349780577863</c:v>
                </c:pt>
                <c:pt idx="96">
                  <c:v>0.106371420437345</c:v>
                </c:pt>
                <c:pt idx="97">
                  <c:v>0.106393288534387</c:v>
                </c:pt>
                <c:pt idx="98">
                  <c:v>0.10641540488097</c:v>
                </c:pt>
                <c:pt idx="99">
                  <c:v>0.106437791067118</c:v>
                </c:pt>
                <c:pt idx="100">
                  <c:v>0.10646047046901499</c:v>
                </c:pt>
                <c:pt idx="101">
                  <c:v>0.10648346849064701</c:v>
                </c:pt>
                <c:pt idx="102">
                  <c:v>0.10650681284579</c:v>
                </c:pt>
                <c:pt idx="103">
                  <c:v>0.10653053388887</c:v>
                </c:pt>
                <c:pt idx="104">
                  <c:v>0.106554665005373</c:v>
                </c:pt>
                <c:pt idx="105">
                  <c:v>0.106579243075278</c:v>
                </c:pt>
                <c:pt idx="106">
                  <c:v>0.106604309026719</c:v>
                </c:pt>
                <c:pt idx="107">
                  <c:v>0.106629908501919</c:v>
                </c:pt>
                <c:pt idx="108">
                  <c:v>0.106656092664041</c:v>
                </c:pt>
                <c:pt idx="109">
                  <c:v>0.106682919182416</c:v>
                </c:pt>
                <c:pt idx="110">
                  <c:v>0.10671045344574299</c:v>
                </c:pt>
                <c:pt idx="111">
                  <c:v>0.106738770069693</c:v>
                </c:pt>
                <c:pt idx="112">
                  <c:v>0.10676795478890699</c:v>
                </c:pt>
                <c:pt idx="113">
                  <c:v>0.10679810685711801</c:v>
                </c:pt>
                <c:pt idx="114">
                  <c:v>0.106829342127871</c:v>
                </c:pt>
                <c:pt idx="115">
                  <c:v>0.10686179706030501</c:v>
                </c:pt>
                <c:pt idx="116">
                  <c:v>0.106895634002605</c:v>
                </c:pt>
                <c:pt idx="117">
                  <c:v>0.10693104827174101</c:v>
                </c:pt>
                <c:pt idx="118">
                  <c:v>0.106968277808976</c:v>
                </c:pt>
                <c:pt idx="119">
                  <c:v>0.107007616611124</c:v>
                </c:pt>
                <c:pt idx="120">
                  <c:v>0.107049433835298</c:v>
                </c:pt>
                <c:pt idx="121">
                  <c:v>0.10709420167049501</c:v>
                </c:pt>
                <c:pt idx="122">
                  <c:v>0.107142537193955</c:v>
                </c:pt>
                <c:pt idx="123">
                  <c:v>0.107195267364947</c:v>
                </c:pt>
                <c:pt idx="124">
                  <c:v>0.107253533948198</c:v>
                </c:pt>
                <c:pt idx="125">
                  <c:v>0.107318970826367</c:v>
                </c:pt>
                <c:pt idx="126">
                  <c:v>0.10739402042051201</c:v>
                </c:pt>
                <c:pt idx="127">
                  <c:v>0.107482536865125</c:v>
                </c:pt>
                <c:pt idx="128">
                  <c:v>0.10759103436072701</c:v>
                </c:pt>
                <c:pt idx="129">
                  <c:v>0.10773156922225</c:v>
                </c:pt>
                <c:pt idx="130">
                  <c:v>0.107929627161644</c:v>
                </c:pt>
                <c:pt idx="131">
                  <c:v>0.108254649711757</c:v>
                </c:pt>
                <c:pt idx="132">
                  <c:v>0.108549992648976</c:v>
                </c:pt>
                <c:pt idx="133">
                  <c:v>0.10884189788496999</c:v>
                </c:pt>
                <c:pt idx="134">
                  <c:v>0.109138476511029</c:v>
                </c:pt>
                <c:pt idx="135">
                  <c:v>0.10944006161476</c:v>
                </c:pt>
                <c:pt idx="136">
                  <c:v>0.109747189714688</c:v>
                </c:pt>
                <c:pt idx="137">
                  <c:v>0.11006033483936301</c:v>
                </c:pt>
                <c:pt idx="138">
                  <c:v>0.110379933374922</c:v>
                </c:pt>
                <c:pt idx="139">
                  <c:v>0.110706395401329</c:v>
                </c:pt>
                <c:pt idx="140">
                  <c:v>0.111040114191712</c:v>
                </c:pt>
                <c:pt idx="141">
                  <c:v>0.111381473978633</c:v>
                </c:pt>
                <c:pt idx="142">
                  <c:v>0.111730856353085</c:v>
                </c:pt>
                <c:pt idx="143">
                  <c:v>0.112088645587768</c:v>
                </c:pt>
                <c:pt idx="144">
                  <c:v>0.112455233123489</c:v>
                </c:pt>
                <c:pt idx="145">
                  <c:v>0.112831021414313</c:v>
                </c:pt>
                <c:pt idx="146">
                  <c:v>0.113216427291867</c:v>
                </c:pt>
                <c:pt idx="147">
                  <c:v>0.11361188498050501</c:v>
                </c:pt>
                <c:pt idx="148">
                  <c:v>0.11401784887187</c:v>
                </c:pt>
                <c:pt idx="149">
                  <c:v>0.223759288176617</c:v>
                </c:pt>
                <c:pt idx="150">
                  <c:v>0.30791369700718302</c:v>
                </c:pt>
                <c:pt idx="151">
                  <c:v>0.30926922190185502</c:v>
                </c:pt>
                <c:pt idx="152">
                  <c:v>0.31128235838691898</c:v>
                </c:pt>
                <c:pt idx="153">
                  <c:v>0.51128235838691904</c:v>
                </c:pt>
                <c:pt idx="154">
                  <c:v>0.51128235838691904</c:v>
                </c:pt>
              </c:numCache>
            </c:numRef>
          </c:xVal>
          <c:yVal>
            <c:numRef>
              <c:f>Implicit_Fracs!$AY$3:$AY$157</c:f>
              <c:numCache>
                <c:formatCode>General</c:formatCode>
                <c:ptCount val="1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Implicit_Fracs!$C$5:$C$157</c:f>
              <c:numCache>
                <c:formatCode>General</c:formatCode>
                <c:ptCount val="153"/>
                <c:pt idx="0">
                  <c:v>0.102183576352721</c:v>
                </c:pt>
                <c:pt idx="1">
                  <c:v>0.10265932256913</c:v>
                </c:pt>
                <c:pt idx="2">
                  <c:v>0.102957853910651</c:v>
                </c:pt>
                <c:pt idx="3">
                  <c:v>0.103177266932184</c:v>
                </c:pt>
                <c:pt idx="4">
                  <c:v>0.103351496690922</c:v>
                </c:pt>
                <c:pt idx="5">
                  <c:v>0.103496414957103</c:v>
                </c:pt>
                <c:pt idx="6">
                  <c:v>0.103620751252535</c:v>
                </c:pt>
                <c:pt idx="7">
                  <c:v>0.10372982944940901</c:v>
                </c:pt>
                <c:pt idx="8">
                  <c:v>0.103827139456784</c:v>
                </c:pt>
                <c:pt idx="9">
                  <c:v>0.103915094665254</c:v>
                </c:pt>
                <c:pt idx="10">
                  <c:v>0.103995434388613</c:v>
                </c:pt>
                <c:pt idx="11">
                  <c:v>0.104069454062336</c:v>
                </c:pt>
                <c:pt idx="12">
                  <c:v>0.104138144775635</c:v>
                </c:pt>
                <c:pt idx="13">
                  <c:v>0.104202281901597</c:v>
                </c:pt>
                <c:pt idx="14">
                  <c:v>0.104262483614202</c:v>
                </c:pt>
                <c:pt idx="15">
                  <c:v>0.104319250799794</c:v>
                </c:pt>
                <c:pt idx="16">
                  <c:v>0.104372995043736</c:v>
                </c:pt>
                <c:pt idx="17">
                  <c:v>0.104424058730409</c:v>
                </c:pt>
                <c:pt idx="18">
                  <c:v>0.10447272978354399</c:v>
                </c:pt>
                <c:pt idx="19">
                  <c:v>0.104519252676497</c:v>
                </c:pt>
                <c:pt idx="20">
                  <c:v>0.10456383679155699</c:v>
                </c:pt>
                <c:pt idx="21">
                  <c:v>0.104606662859662</c:v>
                </c:pt>
                <c:pt idx="22">
                  <c:v>0.10464788798674</c:v>
                </c:pt>
                <c:pt idx="23">
                  <c:v>0.104687649623564</c:v>
                </c:pt>
                <c:pt idx="24">
                  <c:v>0.104726068735102</c:v>
                </c:pt>
                <c:pt idx="25">
                  <c:v>0.104763252369012</c:v>
                </c:pt>
                <c:pt idx="26">
                  <c:v>0.104799295743886</c:v>
                </c:pt>
                <c:pt idx="27">
                  <c:v>0.104834283950286</c:v>
                </c:pt>
                <c:pt idx="28">
                  <c:v>0.104868293357074</c:v>
                </c:pt>
                <c:pt idx="29">
                  <c:v>0.10490139278235</c:v>
                </c:pt>
                <c:pt idx="30">
                  <c:v>0.104933644474818</c:v>
                </c:pt>
                <c:pt idx="31">
                  <c:v>0.10496510494130901</c:v>
                </c:pt>
                <c:pt idx="32">
                  <c:v>0.104995825648611</c:v>
                </c:pt>
                <c:pt idx="33">
                  <c:v>0.10502585362186299</c:v>
                </c:pt>
                <c:pt idx="34">
                  <c:v>0.105055231957371</c:v>
                </c:pt>
                <c:pt idx="35">
                  <c:v>0.105084000264155</c:v>
                </c:pt>
                <c:pt idx="36">
                  <c:v>0.105112195045851</c:v>
                </c:pt>
                <c:pt idx="37">
                  <c:v>0.10513985003243601</c:v>
                </c:pt>
                <c:pt idx="38">
                  <c:v>0.105166996469529</c:v>
                </c:pt>
                <c:pt idx="39">
                  <c:v>0.10519366337166999</c:v>
                </c:pt>
                <c:pt idx="40">
                  <c:v>0.10521987774488301</c:v>
                </c:pt>
                <c:pt idx="41">
                  <c:v>0.105245664782936</c:v>
                </c:pt>
                <c:pt idx="42">
                  <c:v>0.10527104804099</c:v>
                </c:pt>
                <c:pt idx="43">
                  <c:v>0.105296049589756</c:v>
                </c:pt>
                <c:pt idx="44">
                  <c:v>0.10532069015277599</c:v>
                </c:pt>
                <c:pt idx="45">
                  <c:v>0.10534498922905799</c:v>
                </c:pt>
                <c:pt idx="46">
                  <c:v>0.10536896520295</c:v>
                </c:pt>
                <c:pt idx="47">
                  <c:v>0.105392635442894</c:v>
                </c:pt>
                <c:pt idx="48">
                  <c:v>0.105416016390418</c:v>
                </c:pt>
                <c:pt idx="49">
                  <c:v>0.10543912364058999</c:v>
                </c:pt>
                <c:pt idx="50">
                  <c:v>0.105461972014952</c:v>
                </c:pt>
                <c:pt idx="51">
                  <c:v>0.105484575627837</c:v>
                </c:pt>
                <c:pt idx="52">
                  <c:v>0.10550694794684599</c:v>
                </c:pt>
                <c:pt idx="53">
                  <c:v>0.105529101848167</c:v>
                </c:pt>
                <c:pt idx="54">
                  <c:v>0.105551049667337</c:v>
                </c:pt>
                <c:pt idx="55">
                  <c:v>0.105572803245966</c:v>
                </c:pt>
                <c:pt idx="56">
                  <c:v>0.105594373974898</c:v>
                </c:pt>
                <c:pt idx="57">
                  <c:v>0.10561577283421</c:v>
                </c:pt>
                <c:pt idx="58">
                  <c:v>0.10563701043042099</c:v>
                </c:pt>
                <c:pt idx="59">
                  <c:v>0.105658097031244</c:v>
                </c:pt>
                <c:pt idx="60">
                  <c:v>0.105679042598172</c:v>
                </c:pt>
                <c:pt idx="61">
                  <c:v>0.10569985681716</c:v>
                </c:pt>
                <c:pt idx="62">
                  <c:v>0.105720549127664</c:v>
                </c:pt>
                <c:pt idx="63">
                  <c:v>0.105741128750243</c:v>
                </c:pt>
                <c:pt idx="64">
                  <c:v>0.105761604712938</c:v>
                </c:pt>
                <c:pt idx="65">
                  <c:v>0.105781985876624</c:v>
                </c:pt>
                <c:pt idx="66">
                  <c:v>0.105802280959508</c:v>
                </c:pt>
                <c:pt idx="67">
                  <c:v>0.105822498560958</c:v>
                </c:pt>
                <c:pt idx="68">
                  <c:v>0.105842647184807</c:v>
                </c:pt>
                <c:pt idx="69">
                  <c:v>0.105862735262324</c:v>
                </c:pt>
                <c:pt idx="70">
                  <c:v>0.105882771174978</c:v>
                </c:pt>
                <c:pt idx="71">
                  <c:v>0.105902763277179</c:v>
                </c:pt>
                <c:pt idx="72">
                  <c:v>0.10592271991914599</c:v>
                </c:pt>
                <c:pt idx="73">
                  <c:v>0.105942649470061</c:v>
                </c:pt>
                <c:pt idx="74">
                  <c:v>0.10596256034169201</c:v>
                </c:pt>
                <c:pt idx="75">
                  <c:v>0.105982461012657</c:v>
                </c:pt>
                <c:pt idx="76">
                  <c:v>0.106002360053515</c:v>
                </c:pt>
                <c:pt idx="77">
                  <c:v>0.106022266152905</c:v>
                </c:pt>
                <c:pt idx="78">
                  <c:v>0.106042188144936</c:v>
                </c:pt>
                <c:pt idx="79">
                  <c:v>0.106062135038092</c:v>
                </c:pt>
                <c:pt idx="80">
                  <c:v>0.10608211604590601</c:v>
                </c:pt>
                <c:pt idx="81">
                  <c:v>0.106102140619718</c:v>
                </c:pt>
                <c:pt idx="82">
                  <c:v>0.10612221848384799</c:v>
                </c:pt>
                <c:pt idx="83">
                  <c:v>0.106142359673569</c:v>
                </c:pt>
                <c:pt idx="84">
                  <c:v>0.106162574576323</c:v>
                </c:pt>
                <c:pt idx="85">
                  <c:v>0.10618287397666699</c:v>
                </c:pt>
                <c:pt idx="86">
                  <c:v>0.106203269105535</c:v>
                </c:pt>
                <c:pt idx="87">
                  <c:v>0.10622377169447</c:v>
                </c:pt>
                <c:pt idx="88">
                  <c:v>0.106244394035602</c:v>
                </c:pt>
                <c:pt idx="89">
                  <c:v>0.106265149048271</c:v>
                </c:pt>
                <c:pt idx="90">
                  <c:v>0.106286050353348</c:v>
                </c:pt>
                <c:pt idx="91">
                  <c:v>0.10630711235650001</c:v>
                </c:pt>
                <c:pt idx="92">
                  <c:v>0.106328350341859</c:v>
                </c:pt>
                <c:pt idx="93">
                  <c:v>0.106349780577863</c:v>
                </c:pt>
                <c:pt idx="94">
                  <c:v>0.106371420437345</c:v>
                </c:pt>
                <c:pt idx="95">
                  <c:v>0.106393288534387</c:v>
                </c:pt>
                <c:pt idx="96">
                  <c:v>0.10641540488097</c:v>
                </c:pt>
                <c:pt idx="97">
                  <c:v>0.106437791067118</c:v>
                </c:pt>
                <c:pt idx="98">
                  <c:v>0.10646047046901499</c:v>
                </c:pt>
                <c:pt idx="99">
                  <c:v>0.10648346849064701</c:v>
                </c:pt>
                <c:pt idx="100">
                  <c:v>0.10650681284579</c:v>
                </c:pt>
                <c:pt idx="101">
                  <c:v>0.10653053388887</c:v>
                </c:pt>
                <c:pt idx="102">
                  <c:v>0.106554665005373</c:v>
                </c:pt>
                <c:pt idx="103">
                  <c:v>0.106579243075278</c:v>
                </c:pt>
                <c:pt idx="104">
                  <c:v>0.106604309026719</c:v>
                </c:pt>
                <c:pt idx="105">
                  <c:v>0.106629908501919</c:v>
                </c:pt>
                <c:pt idx="106">
                  <c:v>0.106656092664041</c:v>
                </c:pt>
                <c:pt idx="107">
                  <c:v>0.106682919182416</c:v>
                </c:pt>
                <c:pt idx="108">
                  <c:v>0.10671045344574299</c:v>
                </c:pt>
                <c:pt idx="109">
                  <c:v>0.106738770069693</c:v>
                </c:pt>
                <c:pt idx="110">
                  <c:v>0.10676795478890699</c:v>
                </c:pt>
                <c:pt idx="111">
                  <c:v>0.10679810685711801</c:v>
                </c:pt>
                <c:pt idx="112">
                  <c:v>0.106829342127871</c:v>
                </c:pt>
                <c:pt idx="113">
                  <c:v>0.10686179706030501</c:v>
                </c:pt>
                <c:pt idx="114">
                  <c:v>0.106895634002605</c:v>
                </c:pt>
                <c:pt idx="115">
                  <c:v>0.10693104827174101</c:v>
                </c:pt>
                <c:pt idx="116">
                  <c:v>0.106968277808976</c:v>
                </c:pt>
                <c:pt idx="117">
                  <c:v>0.107007616611124</c:v>
                </c:pt>
                <c:pt idx="118">
                  <c:v>0.107049433835298</c:v>
                </c:pt>
                <c:pt idx="119">
                  <c:v>0.10709420167049501</c:v>
                </c:pt>
                <c:pt idx="120">
                  <c:v>0.107142537193955</c:v>
                </c:pt>
                <c:pt idx="121">
                  <c:v>0.107195267364947</c:v>
                </c:pt>
                <c:pt idx="122">
                  <c:v>0.107253533948198</c:v>
                </c:pt>
                <c:pt idx="123">
                  <c:v>0.107318970826367</c:v>
                </c:pt>
                <c:pt idx="124">
                  <c:v>0.10739402042051201</c:v>
                </c:pt>
                <c:pt idx="125">
                  <c:v>0.107482536865125</c:v>
                </c:pt>
                <c:pt idx="126">
                  <c:v>0.10759103436072701</c:v>
                </c:pt>
                <c:pt idx="127">
                  <c:v>0.10773156922225</c:v>
                </c:pt>
                <c:pt idx="128">
                  <c:v>0.107929627161644</c:v>
                </c:pt>
                <c:pt idx="129">
                  <c:v>0.108254649711757</c:v>
                </c:pt>
                <c:pt idx="130">
                  <c:v>0.108549992648976</c:v>
                </c:pt>
                <c:pt idx="131">
                  <c:v>0.10884189788496999</c:v>
                </c:pt>
                <c:pt idx="132">
                  <c:v>0.109138476511029</c:v>
                </c:pt>
                <c:pt idx="133">
                  <c:v>0.10944006161476</c:v>
                </c:pt>
                <c:pt idx="134">
                  <c:v>0.109747189714688</c:v>
                </c:pt>
                <c:pt idx="135">
                  <c:v>0.11006033483936301</c:v>
                </c:pt>
                <c:pt idx="136">
                  <c:v>0.110379933374922</c:v>
                </c:pt>
                <c:pt idx="137">
                  <c:v>0.110706395401329</c:v>
                </c:pt>
                <c:pt idx="138">
                  <c:v>0.111040114191712</c:v>
                </c:pt>
                <c:pt idx="139">
                  <c:v>0.111381473978633</c:v>
                </c:pt>
                <c:pt idx="140">
                  <c:v>0.111730856353085</c:v>
                </c:pt>
                <c:pt idx="141">
                  <c:v>0.112088645587768</c:v>
                </c:pt>
                <c:pt idx="142">
                  <c:v>0.112455233123489</c:v>
                </c:pt>
                <c:pt idx="143">
                  <c:v>0.112831021414313</c:v>
                </c:pt>
                <c:pt idx="144">
                  <c:v>0.113216427291867</c:v>
                </c:pt>
                <c:pt idx="145">
                  <c:v>0.11361188498050501</c:v>
                </c:pt>
                <c:pt idx="146">
                  <c:v>0.11401784887187</c:v>
                </c:pt>
                <c:pt idx="147">
                  <c:v>0.223759288176617</c:v>
                </c:pt>
                <c:pt idx="148">
                  <c:v>0.30791369700718302</c:v>
                </c:pt>
                <c:pt idx="149">
                  <c:v>0.30926922190185502</c:v>
                </c:pt>
                <c:pt idx="150">
                  <c:v>0.31128235838691898</c:v>
                </c:pt>
                <c:pt idx="151">
                  <c:v>0.51128235838691904</c:v>
                </c:pt>
                <c:pt idx="152">
                  <c:v>0.51128235838691904</c:v>
                </c:pt>
              </c:numCache>
            </c:numRef>
          </c:xVal>
          <c:yVal>
            <c:numRef>
              <c:f>Implicit_Fracs!$BL$5:$BL$157</c:f>
              <c:numCache>
                <c:formatCode>General</c:formatCode>
                <c:ptCount val="153"/>
                <c:pt idx="0">
                  <c:v>1.1539869996131099E-4</c:v>
                </c:pt>
                <c:pt idx="1">
                  <c:v>1.15016415484511E-4</c:v>
                </c:pt>
                <c:pt idx="2">
                  <c:v>1.14765802138878E-4</c:v>
                </c:pt>
                <c:pt idx="3">
                  <c:v>1.14556456522014E-4</c:v>
                </c:pt>
                <c:pt idx="4">
                  <c:v>1.14370563835688E-4</c:v>
                </c:pt>
                <c:pt idx="5">
                  <c:v>1.14158356809376E-4</c:v>
                </c:pt>
                <c:pt idx="6">
                  <c:v>1.13998251654541E-4</c:v>
                </c:pt>
                <c:pt idx="7">
                  <c:v>1.13803846228574E-4</c:v>
                </c:pt>
                <c:pt idx="8">
                  <c:v>1.13657530618135E-4</c:v>
                </c:pt>
                <c:pt idx="9">
                  <c:v>1.1347349367855199E-4</c:v>
                </c:pt>
                <c:pt idx="10">
                  <c:v>1.13335603427548E-4</c:v>
                </c:pt>
                <c:pt idx="11">
                  <c:v>1.1320074774569999E-4</c:v>
                </c:pt>
                <c:pt idx="12">
                  <c:v>1.1302594611795E-4</c:v>
                </c:pt>
                <c:pt idx="13">
                  <c:v>1.12895631839435E-4</c:v>
                </c:pt>
                <c:pt idx="14">
                  <c:v>1.1272474402381301E-4</c:v>
                </c:pt>
                <c:pt idx="15">
                  <c:v>1.1259755060793301E-4</c:v>
                </c:pt>
                <c:pt idx="16">
                  <c:v>1.12429514074116E-4</c:v>
                </c:pt>
                <c:pt idx="17">
                  <c:v>1.1230447161693701E-4</c:v>
                </c:pt>
                <c:pt idx="18">
                  <c:v>1.12180232914066E-4</c:v>
                </c:pt>
                <c:pt idx="19">
                  <c:v>1.12056650027525E-4</c:v>
                </c:pt>
                <c:pt idx="20">
                  <c:v>1.11892317766092E-4</c:v>
                </c:pt>
                <c:pt idx="21">
                  <c:v>1.1176967919651401E-4</c:v>
                </c:pt>
                <c:pt idx="22">
                  <c:v>1.11606538238299E-4</c:v>
                </c:pt>
                <c:pt idx="23">
                  <c:v>1.11443875050393E-4</c:v>
                </c:pt>
                <c:pt idx="24">
                  <c:v>1.11321936126973E-4</c:v>
                </c:pt>
                <c:pt idx="25">
                  <c:v>1.1120007973603E-4</c:v>
                </c:pt>
                <c:pt idx="26">
                  <c:v>1.11078248747482E-4</c:v>
                </c:pt>
                <c:pt idx="27">
                  <c:v>1.10956383670183E-4</c:v>
                </c:pt>
                <c:pt idx="28">
                  <c:v>1.1079524149147401E-4</c:v>
                </c:pt>
                <c:pt idx="29">
                  <c:v>1.10673163652278E-4</c:v>
                </c:pt>
                <c:pt idx="30">
                  <c:v>1.10512326981101E-4</c:v>
                </c:pt>
                <c:pt idx="31">
                  <c:v>1.10428142959787E-4</c:v>
                </c:pt>
                <c:pt idx="32">
                  <c:v>1.10267482887469E-4</c:v>
                </c:pt>
                <c:pt idx="33">
                  <c:v>1.10144500349664E-4</c:v>
                </c:pt>
                <c:pt idx="34">
                  <c:v>1.10021210837026E-4</c:v>
                </c:pt>
                <c:pt idx="35">
                  <c:v>1.0986061867772799E-4</c:v>
                </c:pt>
                <c:pt idx="36">
                  <c:v>1.09736629961318E-4</c:v>
                </c:pt>
                <c:pt idx="37">
                  <c:v>1.09648533893129E-4</c:v>
                </c:pt>
                <c:pt idx="38">
                  <c:v>1.09487821040465E-4</c:v>
                </c:pt>
                <c:pt idx="39">
                  <c:v>1.0936260743789E-4</c:v>
                </c:pt>
                <c:pt idx="40">
                  <c:v>1.09236944466998E-4</c:v>
                </c:pt>
                <c:pt idx="41">
                  <c:v>1.0907595811004E-4</c:v>
                </c:pt>
                <c:pt idx="42">
                  <c:v>1.0894934220414201E-4</c:v>
                </c:pt>
                <c:pt idx="43">
                  <c:v>1.0882222653073699E-4</c:v>
                </c:pt>
                <c:pt idx="44">
                  <c:v>1.0872834582052201E-4</c:v>
                </c:pt>
                <c:pt idx="45">
                  <c:v>1.0856680742430099E-4</c:v>
                </c:pt>
                <c:pt idx="46">
                  <c:v>1.08438102300485E-4</c:v>
                </c:pt>
                <c:pt idx="47">
                  <c:v>1.08308840441088E-4</c:v>
                </c:pt>
                <c:pt idx="48">
                  <c:v>1.0817901129616499E-4</c:v>
                </c:pt>
                <c:pt idx="49">
                  <c:v>1.0808045136203E-4</c:v>
                </c:pt>
                <c:pt idx="50">
                  <c:v>1.0794945319196799E-4</c:v>
                </c:pt>
                <c:pt idx="51">
                  <c:v>1.07817856338094E-4</c:v>
                </c:pt>
                <c:pt idx="52">
                  <c:v>1.07685649714596E-4</c:v>
                </c:pt>
                <c:pt idx="53">
                  <c:v>1.07552825962413E-4</c:v>
                </c:pt>
                <c:pt idx="54">
                  <c:v>1.07449260302803E-4</c:v>
                </c:pt>
                <c:pt idx="55">
                  <c:v>1.07315177194394E-4</c:v>
                </c:pt>
                <c:pt idx="56">
                  <c:v>1.0718045260772901E-4</c:v>
                </c:pt>
                <c:pt idx="57">
                  <c:v>1.0704508056682E-4</c:v>
                </c:pt>
                <c:pt idx="58">
                  <c:v>1.06909054503679E-4</c:v>
                </c:pt>
                <c:pt idx="59">
                  <c:v>1.06800237440315E-4</c:v>
                </c:pt>
                <c:pt idx="60">
                  <c:v>1.0666288497478301E-4</c:v>
                </c:pt>
                <c:pt idx="61">
                  <c:v>1.06551913171547E-4</c:v>
                </c:pt>
                <c:pt idx="62">
                  <c:v>1.06413212687425E-4</c:v>
                </c:pt>
                <c:pt idx="63">
                  <c:v>1.06273831108536E-4</c:v>
                </c:pt>
                <c:pt idx="64">
                  <c:v>1.06185398314716E-4</c:v>
                </c:pt>
                <c:pt idx="65">
                  <c:v>1.06044642114894E-4</c:v>
                </c:pt>
                <c:pt idx="66">
                  <c:v>1.05903192751293E-4</c:v>
                </c:pt>
                <c:pt idx="67">
                  <c:v>1.0578561771442E-4</c:v>
                </c:pt>
                <c:pt idx="68">
                  <c:v>1.05666926669498E-4</c:v>
                </c:pt>
                <c:pt idx="69">
                  <c:v>1.05547114424693E-4</c:v>
                </c:pt>
                <c:pt idx="70">
                  <c:v>1.05402862755559E-4</c:v>
                </c:pt>
                <c:pt idx="71">
                  <c:v>1.05280800335543E-4</c:v>
                </c:pt>
                <c:pt idx="72">
                  <c:v>1.05180083288184E-4</c:v>
                </c:pt>
                <c:pt idx="73">
                  <c:v>1.05033705981338E-4</c:v>
                </c:pt>
                <c:pt idx="74">
                  <c:v>1.04908249010331E-4</c:v>
                </c:pt>
                <c:pt idx="75">
                  <c:v>1.04781656968264E-4</c:v>
                </c:pt>
                <c:pt idx="76">
                  <c:v>1.04674713799387E-4</c:v>
                </c:pt>
                <c:pt idx="77">
                  <c:v>1.04545847623167E-4</c:v>
                </c:pt>
                <c:pt idx="78">
                  <c:v>1.04415844235735E-4</c:v>
                </c:pt>
                <c:pt idx="79">
                  <c:v>1.0430421622991501E-4</c:v>
                </c:pt>
                <c:pt idx="80">
                  <c:v>1.04171937554374E-4</c:v>
                </c:pt>
                <c:pt idx="81">
                  <c:v>1.04038522389334E-4</c:v>
                </c:pt>
                <c:pt idx="82">
                  <c:v>1.03940447693054E-4</c:v>
                </c:pt>
                <c:pt idx="83">
                  <c:v>1.03804762015853E-4</c:v>
                </c:pt>
                <c:pt idx="84">
                  <c:v>1.0368533127789E-4</c:v>
                </c:pt>
                <c:pt idx="85">
                  <c:v>1.03564345144152E-4</c:v>
                </c:pt>
                <c:pt idx="86">
                  <c:v>1.03441805915797E-4</c:v>
                </c:pt>
                <c:pt idx="87">
                  <c:v>1.0330160590727E-4</c:v>
                </c:pt>
                <c:pt idx="88">
                  <c:v>1.03191658245569E-4</c:v>
                </c:pt>
                <c:pt idx="89">
                  <c:v>1.03064483205472E-4</c:v>
                </c:pt>
                <c:pt idx="90">
                  <c:v>1.02950608380328E-4</c:v>
                </c:pt>
                <c:pt idx="91">
                  <c:v>1.02820367702294E-4</c:v>
                </c:pt>
                <c:pt idx="92">
                  <c:v>1.02702591476162E-4</c:v>
                </c:pt>
                <c:pt idx="93">
                  <c:v>1.02582875508251E-4</c:v>
                </c:pt>
                <c:pt idx="94">
                  <c:v>1.02461228865638E-4</c:v>
                </c:pt>
                <c:pt idx="95">
                  <c:v>1.0233766100912099E-4</c:v>
                </c:pt>
                <c:pt idx="96">
                  <c:v>1.02212182873559E-4</c:v>
                </c:pt>
                <c:pt idx="97">
                  <c:v>1.02096681483841E-4</c:v>
                </c:pt>
                <c:pt idx="98">
                  <c:v>1.0196742011137E-4</c:v>
                </c:pt>
                <c:pt idx="99">
                  <c:v>1.0185835800076599E-4</c:v>
                </c:pt>
                <c:pt idx="100">
                  <c:v>1.01725372391793E-4</c:v>
                </c:pt>
                <c:pt idx="101">
                  <c:v>1.01610947411759E-4</c:v>
                </c:pt>
                <c:pt idx="102">
                  <c:v>1.01484091795053E-4</c:v>
                </c:pt>
                <c:pt idx="103">
                  <c:v>1.01373759678566E-4</c:v>
                </c:pt>
                <c:pt idx="104">
                  <c:v>1.01251464412391E-4</c:v>
                </c:pt>
                <c:pt idx="105">
                  <c:v>1.01126602865838E-4</c:v>
                </c:pt>
                <c:pt idx="106">
                  <c:v>1.01007337706524E-4</c:v>
                </c:pt>
                <c:pt idx="107">
                  <c:v>1.00892887818406E-4</c:v>
                </c:pt>
                <c:pt idx="108">
                  <c:v>1.0077517216792E-4</c:v>
                </c:pt>
                <c:pt idx="109">
                  <c:v>1.0066114860882801E-4</c:v>
                </c:pt>
                <c:pt idx="110">
                  <c:v>1.00537067048546E-4</c:v>
                </c:pt>
                <c:pt idx="111">
                  <c:v>1.00416001308674E-4</c:v>
                </c:pt>
                <c:pt idx="112">
                  <c:v>1.00302933985328E-4</c:v>
                </c:pt>
                <c:pt idx="113">
                  <c:v>1.00191069843722E-4</c:v>
                </c:pt>
                <c:pt idx="114">
                  <c:v>1.00074826350616E-4</c:v>
                </c:pt>
                <c:pt idx="115" formatCode="0.00E+00">
                  <c:v>9.9958866761023693E-5</c:v>
                </c:pt>
                <c:pt idx="116" formatCode="0.00E+00">
                  <c:v>9.9842585111511797E-5</c:v>
                </c:pt>
                <c:pt idx="117" formatCode="0.00E+00">
                  <c:v>9.9729179003749994E-5</c:v>
                </c:pt>
                <c:pt idx="118" formatCode="0.00E+00">
                  <c:v>9.9617395401633695E-5</c:v>
                </c:pt>
                <c:pt idx="119" formatCode="0.00E+00">
                  <c:v>9.9503066124144394E-5</c:v>
                </c:pt>
                <c:pt idx="120" formatCode="0.00E+00">
                  <c:v>9.9391171829348694E-5</c:v>
                </c:pt>
                <c:pt idx="121" formatCode="0.00E+00">
                  <c:v>9.9284695507005402E-5</c:v>
                </c:pt>
                <c:pt idx="122" formatCode="0.00E+00">
                  <c:v>9.9178963151188895E-5</c:v>
                </c:pt>
                <c:pt idx="123" formatCode="0.00E+00">
                  <c:v>9.9073937886620097E-5</c:v>
                </c:pt>
                <c:pt idx="124" formatCode="0.00E+00">
                  <c:v>9.8973029711874199E-5</c:v>
                </c:pt>
                <c:pt idx="125" formatCode="0.00E+00">
                  <c:v>9.8877863400480704E-5</c:v>
                </c:pt>
                <c:pt idx="126" formatCode="0.00E+00">
                  <c:v>9.8787404698297499E-5</c:v>
                </c:pt>
                <c:pt idx="127" formatCode="0.00E+00">
                  <c:v>9.8705461666973501E-5</c:v>
                </c:pt>
                <c:pt idx="128" formatCode="0.00E+00">
                  <c:v>9.8633634173858395E-5</c:v>
                </c:pt>
                <c:pt idx="129" formatCode="0.00E+00">
                  <c:v>9.8652919785088605E-5</c:v>
                </c:pt>
                <c:pt idx="130" formatCode="0.00E+00">
                  <c:v>9.8605037342750605E-5</c:v>
                </c:pt>
                <c:pt idx="131" formatCode="0.00E+00">
                  <c:v>9.85622007994636E-5</c:v>
                </c:pt>
                <c:pt idx="132" formatCode="0.00E+00">
                  <c:v>9.8522530844307398E-5</c:v>
                </c:pt>
                <c:pt idx="133" formatCode="0.00E+00">
                  <c:v>9.8486720460737502E-5</c:v>
                </c:pt>
                <c:pt idx="134" formatCode="0.00E+00">
                  <c:v>9.8455570735309306E-5</c:v>
                </c:pt>
                <c:pt idx="135" formatCode="0.00E+00">
                  <c:v>9.8429857677666304E-5</c:v>
                </c:pt>
                <c:pt idx="136" formatCode="0.00E+00">
                  <c:v>9.8410245679191795E-5</c:v>
                </c:pt>
                <c:pt idx="137" formatCode="0.00E+00">
                  <c:v>9.8397456983397195E-5</c:v>
                </c:pt>
                <c:pt idx="138" formatCode="0.00E+00">
                  <c:v>9.8392294052851095E-5</c:v>
                </c:pt>
                <c:pt idx="139" formatCode="0.00E+00">
                  <c:v>9.8395465135211498E-5</c:v>
                </c:pt>
                <c:pt idx="140" formatCode="0.00E+00">
                  <c:v>9.84077250133927E-5</c:v>
                </c:pt>
                <c:pt idx="141" formatCode="0.00E+00">
                  <c:v>9.8429781649597901E-5</c:v>
                </c:pt>
                <c:pt idx="142" formatCode="0.00E+00">
                  <c:v>9.8462333327605704E-5</c:v>
                </c:pt>
                <c:pt idx="143" formatCode="0.00E+00">
                  <c:v>9.8506066414917194E-5</c:v>
                </c:pt>
                <c:pt idx="144" formatCode="0.00E+00">
                  <c:v>9.8561716421464898E-5</c:v>
                </c:pt>
                <c:pt idx="145" formatCode="0.00E+00">
                  <c:v>9.8630095186901204E-5</c:v>
                </c:pt>
                <c:pt idx="146" formatCode="0.00E+00">
                  <c:v>9.8812984011295205E-5</c:v>
                </c:pt>
                <c:pt idx="147" formatCode="0.00E+00">
                  <c:v>9.8812984011295205E-5</c:v>
                </c:pt>
                <c:pt idx="148" formatCode="0.00E+00">
                  <c:v>9.8225076683412498E-5</c:v>
                </c:pt>
                <c:pt idx="149" formatCode="0.00E+00">
                  <c:v>9.8122437407379597E-5</c:v>
                </c:pt>
                <c:pt idx="150" formatCode="0.00E+00">
                  <c:v>9.8082755127554806E-5</c:v>
                </c:pt>
                <c:pt idx="151" formatCode="0.00E+00">
                  <c:v>9.8082755127554806E-5</c:v>
                </c:pt>
                <c:pt idx="152" formatCode="0.00E+00">
                  <c:v>9.8082755127554806E-5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Implicit_Fracs!$C$5:$C$157</c:f>
              <c:numCache>
                <c:formatCode>General</c:formatCode>
                <c:ptCount val="153"/>
                <c:pt idx="0">
                  <c:v>0.102183576352721</c:v>
                </c:pt>
                <c:pt idx="1">
                  <c:v>0.10265932256913</c:v>
                </c:pt>
                <c:pt idx="2">
                  <c:v>0.102957853910651</c:v>
                </c:pt>
                <c:pt idx="3">
                  <c:v>0.103177266932184</c:v>
                </c:pt>
                <c:pt idx="4">
                  <c:v>0.103351496690922</c:v>
                </c:pt>
                <c:pt idx="5">
                  <c:v>0.103496414957103</c:v>
                </c:pt>
                <c:pt idx="6">
                  <c:v>0.103620751252535</c:v>
                </c:pt>
                <c:pt idx="7">
                  <c:v>0.10372982944940901</c:v>
                </c:pt>
                <c:pt idx="8">
                  <c:v>0.103827139456784</c:v>
                </c:pt>
                <c:pt idx="9">
                  <c:v>0.103915094665254</c:v>
                </c:pt>
                <c:pt idx="10">
                  <c:v>0.103995434388613</c:v>
                </c:pt>
                <c:pt idx="11">
                  <c:v>0.104069454062336</c:v>
                </c:pt>
                <c:pt idx="12">
                  <c:v>0.104138144775635</c:v>
                </c:pt>
                <c:pt idx="13">
                  <c:v>0.104202281901597</c:v>
                </c:pt>
                <c:pt idx="14">
                  <c:v>0.104262483614202</c:v>
                </c:pt>
                <c:pt idx="15">
                  <c:v>0.104319250799794</c:v>
                </c:pt>
                <c:pt idx="16">
                  <c:v>0.104372995043736</c:v>
                </c:pt>
                <c:pt idx="17">
                  <c:v>0.104424058730409</c:v>
                </c:pt>
                <c:pt idx="18">
                  <c:v>0.10447272978354399</c:v>
                </c:pt>
                <c:pt idx="19">
                  <c:v>0.104519252676497</c:v>
                </c:pt>
                <c:pt idx="20">
                  <c:v>0.10456383679155699</c:v>
                </c:pt>
                <c:pt idx="21">
                  <c:v>0.104606662859662</c:v>
                </c:pt>
                <c:pt idx="22">
                  <c:v>0.10464788798674</c:v>
                </c:pt>
                <c:pt idx="23">
                  <c:v>0.104687649623564</c:v>
                </c:pt>
                <c:pt idx="24">
                  <c:v>0.104726068735102</c:v>
                </c:pt>
                <c:pt idx="25">
                  <c:v>0.104763252369012</c:v>
                </c:pt>
                <c:pt idx="26">
                  <c:v>0.104799295743886</c:v>
                </c:pt>
                <c:pt idx="27">
                  <c:v>0.104834283950286</c:v>
                </c:pt>
                <c:pt idx="28">
                  <c:v>0.104868293357074</c:v>
                </c:pt>
                <c:pt idx="29">
                  <c:v>0.10490139278235</c:v>
                </c:pt>
                <c:pt idx="30">
                  <c:v>0.104933644474818</c:v>
                </c:pt>
                <c:pt idx="31">
                  <c:v>0.10496510494130901</c:v>
                </c:pt>
                <c:pt idx="32">
                  <c:v>0.104995825648611</c:v>
                </c:pt>
                <c:pt idx="33">
                  <c:v>0.10502585362186299</c:v>
                </c:pt>
                <c:pt idx="34">
                  <c:v>0.105055231957371</c:v>
                </c:pt>
                <c:pt idx="35">
                  <c:v>0.105084000264155</c:v>
                </c:pt>
                <c:pt idx="36">
                  <c:v>0.105112195045851</c:v>
                </c:pt>
                <c:pt idx="37">
                  <c:v>0.10513985003243601</c:v>
                </c:pt>
                <c:pt idx="38">
                  <c:v>0.105166996469529</c:v>
                </c:pt>
                <c:pt idx="39">
                  <c:v>0.10519366337166999</c:v>
                </c:pt>
                <c:pt idx="40">
                  <c:v>0.10521987774488301</c:v>
                </c:pt>
                <c:pt idx="41">
                  <c:v>0.105245664782936</c:v>
                </c:pt>
                <c:pt idx="42">
                  <c:v>0.10527104804099</c:v>
                </c:pt>
                <c:pt idx="43">
                  <c:v>0.105296049589756</c:v>
                </c:pt>
                <c:pt idx="44">
                  <c:v>0.10532069015277599</c:v>
                </c:pt>
                <c:pt idx="45">
                  <c:v>0.10534498922905799</c:v>
                </c:pt>
                <c:pt idx="46">
                  <c:v>0.10536896520295</c:v>
                </c:pt>
                <c:pt idx="47">
                  <c:v>0.105392635442894</c:v>
                </c:pt>
                <c:pt idx="48">
                  <c:v>0.105416016390418</c:v>
                </c:pt>
                <c:pt idx="49">
                  <c:v>0.10543912364058999</c:v>
                </c:pt>
                <c:pt idx="50">
                  <c:v>0.105461972014952</c:v>
                </c:pt>
                <c:pt idx="51">
                  <c:v>0.105484575627837</c:v>
                </c:pt>
                <c:pt idx="52">
                  <c:v>0.10550694794684599</c:v>
                </c:pt>
                <c:pt idx="53">
                  <c:v>0.105529101848167</c:v>
                </c:pt>
                <c:pt idx="54">
                  <c:v>0.105551049667337</c:v>
                </c:pt>
                <c:pt idx="55">
                  <c:v>0.105572803245966</c:v>
                </c:pt>
                <c:pt idx="56">
                  <c:v>0.105594373974898</c:v>
                </c:pt>
                <c:pt idx="57">
                  <c:v>0.10561577283421</c:v>
                </c:pt>
                <c:pt idx="58">
                  <c:v>0.10563701043042099</c:v>
                </c:pt>
                <c:pt idx="59">
                  <c:v>0.105658097031244</c:v>
                </c:pt>
                <c:pt idx="60">
                  <c:v>0.105679042598172</c:v>
                </c:pt>
                <c:pt idx="61">
                  <c:v>0.10569985681716</c:v>
                </c:pt>
                <c:pt idx="62">
                  <c:v>0.105720549127664</c:v>
                </c:pt>
                <c:pt idx="63">
                  <c:v>0.105741128750243</c:v>
                </c:pt>
                <c:pt idx="64">
                  <c:v>0.105761604712938</c:v>
                </c:pt>
                <c:pt idx="65">
                  <c:v>0.105781985876624</c:v>
                </c:pt>
                <c:pt idx="66">
                  <c:v>0.105802280959508</c:v>
                </c:pt>
                <c:pt idx="67">
                  <c:v>0.105822498560958</c:v>
                </c:pt>
                <c:pt idx="68">
                  <c:v>0.105842647184807</c:v>
                </c:pt>
                <c:pt idx="69">
                  <c:v>0.105862735262324</c:v>
                </c:pt>
                <c:pt idx="70">
                  <c:v>0.105882771174978</c:v>
                </c:pt>
                <c:pt idx="71">
                  <c:v>0.105902763277179</c:v>
                </c:pt>
                <c:pt idx="72">
                  <c:v>0.10592271991914599</c:v>
                </c:pt>
                <c:pt idx="73">
                  <c:v>0.105942649470061</c:v>
                </c:pt>
                <c:pt idx="74">
                  <c:v>0.10596256034169201</c:v>
                </c:pt>
                <c:pt idx="75">
                  <c:v>0.105982461012657</c:v>
                </c:pt>
                <c:pt idx="76">
                  <c:v>0.106002360053515</c:v>
                </c:pt>
                <c:pt idx="77">
                  <c:v>0.106022266152905</c:v>
                </c:pt>
                <c:pt idx="78">
                  <c:v>0.106042188144936</c:v>
                </c:pt>
                <c:pt idx="79">
                  <c:v>0.106062135038092</c:v>
                </c:pt>
                <c:pt idx="80">
                  <c:v>0.10608211604590601</c:v>
                </c:pt>
                <c:pt idx="81">
                  <c:v>0.106102140619718</c:v>
                </c:pt>
                <c:pt idx="82">
                  <c:v>0.10612221848384799</c:v>
                </c:pt>
                <c:pt idx="83">
                  <c:v>0.106142359673569</c:v>
                </c:pt>
                <c:pt idx="84">
                  <c:v>0.106162574576323</c:v>
                </c:pt>
                <c:pt idx="85">
                  <c:v>0.10618287397666699</c:v>
                </c:pt>
                <c:pt idx="86">
                  <c:v>0.106203269105535</c:v>
                </c:pt>
                <c:pt idx="87">
                  <c:v>0.10622377169447</c:v>
                </c:pt>
                <c:pt idx="88">
                  <c:v>0.106244394035602</c:v>
                </c:pt>
                <c:pt idx="89">
                  <c:v>0.106265149048271</c:v>
                </c:pt>
                <c:pt idx="90">
                  <c:v>0.106286050353348</c:v>
                </c:pt>
                <c:pt idx="91">
                  <c:v>0.10630711235650001</c:v>
                </c:pt>
                <c:pt idx="92">
                  <c:v>0.106328350341859</c:v>
                </c:pt>
                <c:pt idx="93">
                  <c:v>0.106349780577863</c:v>
                </c:pt>
                <c:pt idx="94">
                  <c:v>0.106371420437345</c:v>
                </c:pt>
                <c:pt idx="95">
                  <c:v>0.106393288534387</c:v>
                </c:pt>
                <c:pt idx="96">
                  <c:v>0.10641540488097</c:v>
                </c:pt>
                <c:pt idx="97">
                  <c:v>0.106437791067118</c:v>
                </c:pt>
                <c:pt idx="98">
                  <c:v>0.10646047046901499</c:v>
                </c:pt>
                <c:pt idx="99">
                  <c:v>0.10648346849064701</c:v>
                </c:pt>
                <c:pt idx="100">
                  <c:v>0.10650681284579</c:v>
                </c:pt>
                <c:pt idx="101">
                  <c:v>0.10653053388887</c:v>
                </c:pt>
                <c:pt idx="102">
                  <c:v>0.106554665005373</c:v>
                </c:pt>
                <c:pt idx="103">
                  <c:v>0.106579243075278</c:v>
                </c:pt>
                <c:pt idx="104">
                  <c:v>0.106604309026719</c:v>
                </c:pt>
                <c:pt idx="105">
                  <c:v>0.106629908501919</c:v>
                </c:pt>
                <c:pt idx="106">
                  <c:v>0.106656092664041</c:v>
                </c:pt>
                <c:pt idx="107">
                  <c:v>0.106682919182416</c:v>
                </c:pt>
                <c:pt idx="108">
                  <c:v>0.10671045344574299</c:v>
                </c:pt>
                <c:pt idx="109">
                  <c:v>0.106738770069693</c:v>
                </c:pt>
                <c:pt idx="110">
                  <c:v>0.10676795478890699</c:v>
                </c:pt>
                <c:pt idx="111">
                  <c:v>0.10679810685711801</c:v>
                </c:pt>
                <c:pt idx="112">
                  <c:v>0.106829342127871</c:v>
                </c:pt>
                <c:pt idx="113">
                  <c:v>0.10686179706030501</c:v>
                </c:pt>
                <c:pt idx="114">
                  <c:v>0.106895634002605</c:v>
                </c:pt>
                <c:pt idx="115">
                  <c:v>0.10693104827174101</c:v>
                </c:pt>
                <c:pt idx="116">
                  <c:v>0.106968277808976</c:v>
                </c:pt>
                <c:pt idx="117">
                  <c:v>0.107007616611124</c:v>
                </c:pt>
                <c:pt idx="118">
                  <c:v>0.107049433835298</c:v>
                </c:pt>
                <c:pt idx="119">
                  <c:v>0.10709420167049501</c:v>
                </c:pt>
                <c:pt idx="120">
                  <c:v>0.107142537193955</c:v>
                </c:pt>
                <c:pt idx="121">
                  <c:v>0.107195267364947</c:v>
                </c:pt>
                <c:pt idx="122">
                  <c:v>0.107253533948198</c:v>
                </c:pt>
                <c:pt idx="123">
                  <c:v>0.107318970826367</c:v>
                </c:pt>
                <c:pt idx="124">
                  <c:v>0.10739402042051201</c:v>
                </c:pt>
                <c:pt idx="125">
                  <c:v>0.107482536865125</c:v>
                </c:pt>
                <c:pt idx="126">
                  <c:v>0.10759103436072701</c:v>
                </c:pt>
                <c:pt idx="127">
                  <c:v>0.10773156922225</c:v>
                </c:pt>
                <c:pt idx="128">
                  <c:v>0.107929627161644</c:v>
                </c:pt>
                <c:pt idx="129">
                  <c:v>0.108254649711757</c:v>
                </c:pt>
                <c:pt idx="130">
                  <c:v>0.108549992648976</c:v>
                </c:pt>
                <c:pt idx="131">
                  <c:v>0.10884189788496999</c:v>
                </c:pt>
                <c:pt idx="132">
                  <c:v>0.109138476511029</c:v>
                </c:pt>
                <c:pt idx="133">
                  <c:v>0.10944006161476</c:v>
                </c:pt>
                <c:pt idx="134">
                  <c:v>0.109747189714688</c:v>
                </c:pt>
                <c:pt idx="135">
                  <c:v>0.11006033483936301</c:v>
                </c:pt>
                <c:pt idx="136">
                  <c:v>0.110379933374922</c:v>
                </c:pt>
                <c:pt idx="137">
                  <c:v>0.110706395401329</c:v>
                </c:pt>
                <c:pt idx="138">
                  <c:v>0.111040114191712</c:v>
                </c:pt>
                <c:pt idx="139">
                  <c:v>0.111381473978633</c:v>
                </c:pt>
                <c:pt idx="140">
                  <c:v>0.111730856353085</c:v>
                </c:pt>
                <c:pt idx="141">
                  <c:v>0.112088645587768</c:v>
                </c:pt>
                <c:pt idx="142">
                  <c:v>0.112455233123489</c:v>
                </c:pt>
                <c:pt idx="143">
                  <c:v>0.112831021414313</c:v>
                </c:pt>
                <c:pt idx="144">
                  <c:v>0.113216427291867</c:v>
                </c:pt>
                <c:pt idx="145">
                  <c:v>0.11361188498050501</c:v>
                </c:pt>
                <c:pt idx="146">
                  <c:v>0.11401784887187</c:v>
                </c:pt>
                <c:pt idx="147">
                  <c:v>0.223759288176617</c:v>
                </c:pt>
                <c:pt idx="148">
                  <c:v>0.30791369700718302</c:v>
                </c:pt>
                <c:pt idx="149">
                  <c:v>0.30926922190185502</c:v>
                </c:pt>
                <c:pt idx="150">
                  <c:v>0.31128235838691898</c:v>
                </c:pt>
                <c:pt idx="151">
                  <c:v>0.51128235838691904</c:v>
                </c:pt>
                <c:pt idx="152">
                  <c:v>0.51128235838691904</c:v>
                </c:pt>
              </c:numCache>
            </c:numRef>
          </c:xVal>
          <c:yVal>
            <c:numRef>
              <c:f>Implicit_Fracs!$BM$5:$BM$157</c:f>
              <c:numCache>
                <c:formatCode>0.00E+00</c:formatCode>
                <c:ptCount val="153"/>
                <c:pt idx="0">
                  <c:v>3.1830988618378101E-6</c:v>
                </c:pt>
                <c:pt idx="1">
                  <c:v>6.3502183048282501E-6</c:v>
                </c:pt>
                <c:pt idx="2">
                  <c:v>9.5175063541148203E-6</c:v>
                </c:pt>
                <c:pt idx="3">
                  <c:v>1.26847622711954E-5</c:v>
                </c:pt>
                <c:pt idx="4">
                  <c:v>1.5851948354254201E-5</c:v>
                </c:pt>
                <c:pt idx="5">
                  <c:v>1.90190512768463E-5</c:v>
                </c:pt>
                <c:pt idx="6">
                  <c:v>2.21860629868255E-5</c:v>
                </c:pt>
                <c:pt idx="7">
                  <c:v>2.5352977027442E-5</c:v>
                </c:pt>
                <c:pt idx="8">
                  <c:v>2.8519787712637901E-5</c:v>
                </c:pt>
                <c:pt idx="9">
                  <c:v>3.1686489903044999E-5</c:v>
                </c:pt>
                <c:pt idx="10">
                  <c:v>3.4853078908875202E-5</c:v>
                </c:pt>
                <c:pt idx="11">
                  <c:v>3.8019550418422798E-5</c:v>
                </c:pt>
                <c:pt idx="12">
                  <c:v>4.1185900433918697E-5</c:v>
                </c:pt>
                <c:pt idx="13">
                  <c:v>4.4352125213567798E-5</c:v>
                </c:pt>
                <c:pt idx="14">
                  <c:v>4.7518221220721803E-5</c:v>
                </c:pt>
                <c:pt idx="15">
                  <c:v>5.06841850804924E-5</c:v>
                </c:pt>
                <c:pt idx="16">
                  <c:v>5.3850013543349697E-5</c:v>
                </c:pt>
                <c:pt idx="17">
                  <c:v>5.70157034548597E-5</c:v>
                </c:pt>
                <c:pt idx="18">
                  <c:v>6.01812517306078E-5</c:v>
                </c:pt>
                <c:pt idx="19">
                  <c:v>6.3346655335380796E-5</c:v>
                </c:pt>
                <c:pt idx="20">
                  <c:v>6.6511911265802103E-5</c:v>
                </c:pt>
                <c:pt idx="21">
                  <c:v>6.9677016535735702E-5</c:v>
                </c:pt>
                <c:pt idx="22">
                  <c:v>7.2841968163900995E-5</c:v>
                </c:pt>
                <c:pt idx="23">
                  <c:v>7.6006763163247797E-5</c:v>
                </c:pt>
                <c:pt idx="24">
                  <c:v>7.9171397954534904E-5</c:v>
                </c:pt>
                <c:pt idx="25">
                  <c:v>8.2335868411641795E-5</c:v>
                </c:pt>
                <c:pt idx="26">
                  <c:v>8.5500170403948606E-5</c:v>
                </c:pt>
                <c:pt idx="27">
                  <c:v>8.8664299779308002E-5</c:v>
                </c:pt>
                <c:pt idx="28">
                  <c:v>9.1828252349177296E-5</c:v>
                </c:pt>
                <c:pt idx="29">
                  <c:v>9.4992023875432001E-5</c:v>
                </c:pt>
                <c:pt idx="30">
                  <c:v>9.8155610058451494E-5</c:v>
                </c:pt>
                <c:pt idx="31" formatCode="General">
                  <c:v>1.0131900652619299E-4</c:v>
                </c:pt>
                <c:pt idx="32" formatCode="General">
                  <c:v>1.0448220882401E-4</c:v>
                </c:pt>
                <c:pt idx="33" formatCode="General">
                  <c:v>1.07645212405022E-4</c:v>
                </c:pt>
                <c:pt idx="34" formatCode="General">
                  <c:v>1.10808012620878E-4</c:v>
                </c:pt>
                <c:pt idx="35" formatCode="General">
                  <c:v>1.13970604712776E-4</c:v>
                </c:pt>
                <c:pt idx="36" formatCode="General">
                  <c:v>1.17132983802657E-4</c:v>
                </c:pt>
                <c:pt idx="37" formatCode="General">
                  <c:v>1.2029514488444E-4</c:v>
                </c:pt>
                <c:pt idx="38" formatCode="General">
                  <c:v>1.2345708281524901E-4</c:v>
                </c:pt>
                <c:pt idx="39" formatCode="General">
                  <c:v>1.26618792306538E-4</c:v>
                </c:pt>
                <c:pt idx="40" formatCode="General">
                  <c:v>1.29780267915068E-4</c:v>
                </c:pt>
                <c:pt idx="41" formatCode="General">
                  <c:v>1.3294150403365899E-4</c:v>
                </c:pt>
                <c:pt idx="42" formatCode="General">
                  <c:v>1.3610249488165199E-4</c:v>
                </c:pt>
                <c:pt idx="43" formatCode="General">
                  <c:v>1.3926323449506501E-4</c:v>
                </c:pt>
                <c:pt idx="44" formatCode="General">
                  <c:v>1.4242371671634299E-4</c:v>
                </c:pt>
                <c:pt idx="45" formatCode="General">
                  <c:v>1.4558393518367599E-4</c:v>
                </c:pt>
                <c:pt idx="46" formatCode="General">
                  <c:v>1.48743883319812E-4</c:v>
                </c:pt>
                <c:pt idx="47" formatCode="General">
                  <c:v>1.5190355432033399E-4</c:v>
                </c:pt>
                <c:pt idx="48" formatCode="General">
                  <c:v>1.55062941141325E-4</c:v>
                </c:pt>
                <c:pt idx="49" formatCode="General">
                  <c:v>1.5822203648635199E-4</c:v>
                </c:pt>
                <c:pt idx="50" formatCode="General">
                  <c:v>1.6138083279273899E-4</c:v>
                </c:pt>
                <c:pt idx="51" formatCode="General">
                  <c:v>1.6453932221701699E-4</c:v>
                </c:pt>
                <c:pt idx="52" formatCode="General">
                  <c:v>1.6769749661951899E-4</c:v>
                </c:pt>
                <c:pt idx="53" formatCode="General">
                  <c:v>1.70855347548015E-4</c:v>
                </c:pt>
                <c:pt idx="54" formatCode="General">
                  <c:v>1.7401286622031499E-4</c:v>
                </c:pt>
                <c:pt idx="55" formatCode="General">
                  <c:v>1.77170043505746E-4</c:v>
                </c:pt>
                <c:pt idx="56" formatCode="General">
                  <c:v>1.80326869905405E-4</c:v>
                </c:pt>
                <c:pt idx="57" formatCode="General">
                  <c:v>1.83483335531075E-4</c:v>
                </c:pt>
                <c:pt idx="58" formatCode="General">
                  <c:v>1.86639430082691E-4</c:v>
                </c:pt>
                <c:pt idx="59" formatCode="General">
                  <c:v>1.8979514282422701E-4</c:v>
                </c:pt>
                <c:pt idx="60" formatCode="General">
                  <c:v>1.9295046255785999E-4</c:v>
                </c:pt>
                <c:pt idx="61" formatCode="General">
                  <c:v>1.9610537759625501E-4</c:v>
                </c:pt>
                <c:pt idx="62" formatCode="General">
                  <c:v>1.9925987573278999E-4</c:v>
                </c:pt>
                <c:pt idx="63" formatCode="General">
                  <c:v>2.0241394420954901E-4</c:v>
                </c:pt>
                <c:pt idx="64" formatCode="General">
                  <c:v>2.0556756968286201E-4</c:v>
                </c:pt>
                <c:pt idx="65" formatCode="General">
                  <c:v>2.0872073818614599E-4</c:v>
                </c:pt>
                <c:pt idx="66" formatCode="General">
                  <c:v>2.1187343508981499E-4</c:v>
                </c:pt>
                <c:pt idx="67" formatCode="General">
                  <c:v>2.1502564505794801E-4</c:v>
                </c:pt>
                <c:pt idx="68" formatCode="General">
                  <c:v>2.18177352001395E-4</c:v>
                </c:pt>
                <c:pt idx="69" formatCode="General">
                  <c:v>2.2132853902697799E-4</c:v>
                </c:pt>
                <c:pt idx="70" formatCode="General">
                  <c:v>2.2447918838237101E-4</c:v>
                </c:pt>
                <c:pt idx="71" formatCode="General">
                  <c:v>2.2762928139621099E-4</c:v>
                </c:pt>
                <c:pt idx="72" formatCode="General">
                  <c:v>2.3077879841293299E-4</c:v>
                </c:pt>
                <c:pt idx="73" formatCode="General">
                  <c:v>2.33927718721773E-4</c:v>
                </c:pt>
                <c:pt idx="74" formatCode="General">
                  <c:v>2.37076020479283E-4</c:v>
                </c:pt>
                <c:pt idx="75" formatCode="General">
                  <c:v>2.40223680624638E-4</c:v>
                </c:pt>
                <c:pt idx="76" formatCode="General">
                  <c:v>2.43370674786923E-4</c:v>
                </c:pt>
                <c:pt idx="77" formatCode="General">
                  <c:v>2.46516977183459E-4</c:v>
                </c:pt>
                <c:pt idx="78" formatCode="General">
                  <c:v>2.4966256050812401E-4</c:v>
                </c:pt>
                <c:pt idx="79" formatCode="General">
                  <c:v>2.5280739580844198E-4</c:v>
                </c:pt>
                <c:pt idx="80" formatCode="General">
                  <c:v>2.5595145235008998E-4</c:v>
                </c:pt>
                <c:pt idx="81" formatCode="General">
                  <c:v>2.5909469746722999E-4</c:v>
                </c:pt>
                <c:pt idx="82" formatCode="General">
                  <c:v>2.6223709639685601E-4</c:v>
                </c:pt>
                <c:pt idx="83" formatCode="General">
                  <c:v>2.6537861209507101E-4</c:v>
                </c:pt>
                <c:pt idx="84" formatCode="General">
                  <c:v>2.68519205032884E-4</c:v>
                </c:pt>
                <c:pt idx="85" formatCode="General">
                  <c:v>2.7165883296873401E-4</c:v>
                </c:pt>
                <c:pt idx="86" formatCode="General">
                  <c:v>2.7479745069451498E-4</c:v>
                </c:pt>
                <c:pt idx="87" formatCode="General">
                  <c:v>2.7793500975128798E-4</c:v>
                </c:pt>
                <c:pt idx="88" formatCode="General">
                  <c:v>2.8107145811031301E-4</c:v>
                </c:pt>
                <c:pt idx="89" formatCode="General">
                  <c:v>2.8420673981415998E-4</c:v>
                </c:pt>
                <c:pt idx="90" formatCode="General">
                  <c:v>2.87340794571835E-4</c:v>
                </c:pt>
                <c:pt idx="91" formatCode="General">
                  <c:v>2.9047355730068002E-4</c:v>
                </c:pt>
                <c:pt idx="92" formatCode="General">
                  <c:v>2.9360495760649702E-4</c:v>
                </c:pt>
                <c:pt idx="93" formatCode="General">
                  <c:v>2.96734919191674E-4</c:v>
                </c:pt>
                <c:pt idx="94" formatCode="General">
                  <c:v>2.9986335917912198E-4</c:v>
                </c:pt>
                <c:pt idx="95" formatCode="General">
                  <c:v>3.02990187337301E-4</c:v>
                </c:pt>
                <c:pt idx="96" formatCode="General">
                  <c:v>3.0611530518864397E-4</c:v>
                </c:pt>
                <c:pt idx="97" formatCode="General">
                  <c:v>3.0923860497982002E-4</c:v>
                </c:pt>
                <c:pt idx="98" formatCode="General">
                  <c:v>3.1235996848756999E-4</c:v>
                </c:pt>
                <c:pt idx="99" formatCode="General">
                  <c:v>3.1547926562789898E-4</c:v>
                </c:pt>
                <c:pt idx="100" formatCode="General">
                  <c:v>3.18596352828841E-4</c:v>
                </c:pt>
                <c:pt idx="101" formatCode="General">
                  <c:v>3.2171107111738799E-4</c:v>
                </c:pt>
                <c:pt idx="102" formatCode="General">
                  <c:v>3.2482324385891902E-4</c:v>
                </c:pt>
                <c:pt idx="103" formatCode="General">
                  <c:v>3.27932674071434E-4</c:v>
                </c:pt>
                <c:pt idx="104" formatCode="General">
                  <c:v>3.3103914121622202E-4</c:v>
                </c:pt>
                <c:pt idx="105" formatCode="General">
                  <c:v>3.3414239733931602E-4</c:v>
                </c:pt>
                <c:pt idx="106" formatCode="General">
                  <c:v>3.3724216240198403E-4</c:v>
                </c:pt>
                <c:pt idx="107" formatCode="General">
                  <c:v>3.4033811859031002E-4</c:v>
                </c:pt>
                <c:pt idx="108" formatCode="General">
                  <c:v>3.4342990332874798E-4</c:v>
                </c:pt>
                <c:pt idx="109" formatCode="General">
                  <c:v>3.4651710063381998E-4</c:v>
                </c:pt>
                <c:pt idx="110" formatCode="General">
                  <c:v>3.4959923032181498E-4</c:v>
                </c:pt>
                <c:pt idx="111" formatCode="General">
                  <c:v>3.5267573441397001E-4</c:v>
                </c:pt>
                <c:pt idx="112" formatCode="General">
                  <c:v>3.5574595984247398E-4</c:v>
                </c:pt>
                <c:pt idx="113" formatCode="General">
                  <c:v>3.5880913621830099E-4</c:v>
                </c:pt>
                <c:pt idx="114" formatCode="General">
                  <c:v>3.6186434692782701E-4</c:v>
                </c:pt>
                <c:pt idx="115" formatCode="General">
                  <c:v>3.6491049110437199E-4</c:v>
                </c:pt>
                <c:pt idx="116" formatCode="General">
                  <c:v>3.6794623295807001E-4</c:v>
                </c:pt>
                <c:pt idx="117" formatCode="General">
                  <c:v>3.7096993336922801E-4</c:v>
                </c:pt>
                <c:pt idx="118" formatCode="General">
                  <c:v>3.7397955630231002E-4</c:v>
                </c:pt>
                <c:pt idx="119" formatCode="General">
                  <c:v>3.7697253913959901E-4</c:v>
                </c:pt>
                <c:pt idx="120" formatCode="General">
                  <c:v>3.7994561112800299E-4</c:v>
                </c:pt>
                <c:pt idx="121" formatCode="General">
                  <c:v>3.8289453791475402E-4</c:v>
                </c:pt>
                <c:pt idx="122" formatCode="General">
                  <c:v>3.8581376512977002E-4</c:v>
                </c:pt>
                <c:pt idx="123" formatCode="General">
                  <c:v>3.8869594230935798E-4</c:v>
                </c:pt>
                <c:pt idx="124" formatCode="General">
                  <c:v>3.9153138002225501E-4</c:v>
                </c:pt>
                <c:pt idx="125" formatCode="General">
                  <c:v>3.9430782971775901E-4</c:v>
                </c:pt>
                <c:pt idx="126" formatCode="General">
                  <c:v>3.97012439769228E-4</c:v>
                </c:pt>
                <c:pt idx="127" formatCode="General">
                  <c:v>3.9964448844707499E-4</c:v>
                </c:pt>
                <c:pt idx="128" formatCode="General">
                  <c:v>4.02285748296158E-4</c:v>
                </c:pt>
                <c:pt idx="129" formatCode="General">
                  <c:v>4.03177171145834E-4</c:v>
                </c:pt>
                <c:pt idx="130" formatCode="General">
                  <c:v>4.0576286405217101E-4</c:v>
                </c:pt>
                <c:pt idx="131" formatCode="General">
                  <c:v>4.0829973611443198E-4</c:v>
                </c:pt>
                <c:pt idx="132" formatCode="General">
                  <c:v>4.10878422638479E-4</c:v>
                </c:pt>
                <c:pt idx="133" formatCode="General">
                  <c:v>4.1348416266798199E-4</c:v>
                </c:pt>
                <c:pt idx="134" formatCode="General">
                  <c:v>4.16108595065315E-4</c:v>
                </c:pt>
                <c:pt idx="135" formatCode="General">
                  <c:v>4.18745165372602E-4</c:v>
                </c:pt>
                <c:pt idx="136" formatCode="General">
                  <c:v>4.21388845172043E-4</c:v>
                </c:pt>
                <c:pt idx="137" formatCode="General">
                  <c:v>4.2403578833072499E-4</c:v>
                </c:pt>
                <c:pt idx="138" formatCode="General">
                  <c:v>4.2668305783068102E-4</c:v>
                </c:pt>
                <c:pt idx="139" formatCode="General">
                  <c:v>4.2932840929988601E-4</c:v>
                </c:pt>
                <c:pt idx="140" formatCode="General">
                  <c:v>4.31970121579746E-4</c:v>
                </c:pt>
                <c:pt idx="141" formatCode="General">
                  <c:v>4.3460686543689498E-4</c:v>
                </c:pt>
                <c:pt idx="142" formatCode="General">
                  <c:v>4.3723760270716899E-4</c:v>
                </c:pt>
                <c:pt idx="143" formatCode="General">
                  <c:v>4.3986150940139601E-4</c:v>
                </c:pt>
                <c:pt idx="144" formatCode="General">
                  <c:v>4.4247791747397801E-4</c:v>
                </c:pt>
                <c:pt idx="145" formatCode="General">
                  <c:v>4.4508627099271099E-4</c:v>
                </c:pt>
                <c:pt idx="146" formatCode="General">
                  <c:v>4.4508627099271099E-4</c:v>
                </c:pt>
                <c:pt idx="147" formatCode="General">
                  <c:v>4.4508627099271099E-4</c:v>
                </c:pt>
                <c:pt idx="148" formatCode="General">
                  <c:v>4.4785429595882399E-4</c:v>
                </c:pt>
                <c:pt idx="149" formatCode="General">
                  <c:v>4.4993601711622099E-4</c:v>
                </c:pt>
                <c:pt idx="150" formatCode="General">
                  <c:v>4.51648612230101E-4</c:v>
                </c:pt>
                <c:pt idx="151" formatCode="General">
                  <c:v>4.51648612230101E-4</c:v>
                </c:pt>
                <c:pt idx="152" formatCode="General">
                  <c:v>4.51648612230101E-4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Implicit_Fracs!$C$5:$C$157</c:f>
              <c:numCache>
                <c:formatCode>General</c:formatCode>
                <c:ptCount val="153"/>
                <c:pt idx="0">
                  <c:v>0.102183576352721</c:v>
                </c:pt>
                <c:pt idx="1">
                  <c:v>0.10265932256913</c:v>
                </c:pt>
                <c:pt idx="2">
                  <c:v>0.102957853910651</c:v>
                </c:pt>
                <c:pt idx="3">
                  <c:v>0.103177266932184</c:v>
                </c:pt>
                <c:pt idx="4">
                  <c:v>0.103351496690922</c:v>
                </c:pt>
                <c:pt idx="5">
                  <c:v>0.103496414957103</c:v>
                </c:pt>
                <c:pt idx="6">
                  <c:v>0.103620751252535</c:v>
                </c:pt>
                <c:pt idx="7">
                  <c:v>0.10372982944940901</c:v>
                </c:pt>
                <c:pt idx="8">
                  <c:v>0.103827139456784</c:v>
                </c:pt>
                <c:pt idx="9">
                  <c:v>0.103915094665254</c:v>
                </c:pt>
                <c:pt idx="10">
                  <c:v>0.103995434388613</c:v>
                </c:pt>
                <c:pt idx="11">
                  <c:v>0.104069454062336</c:v>
                </c:pt>
                <c:pt idx="12">
                  <c:v>0.104138144775635</c:v>
                </c:pt>
                <c:pt idx="13">
                  <c:v>0.104202281901597</c:v>
                </c:pt>
                <c:pt idx="14">
                  <c:v>0.104262483614202</c:v>
                </c:pt>
                <c:pt idx="15">
                  <c:v>0.104319250799794</c:v>
                </c:pt>
                <c:pt idx="16">
                  <c:v>0.104372995043736</c:v>
                </c:pt>
                <c:pt idx="17">
                  <c:v>0.104424058730409</c:v>
                </c:pt>
                <c:pt idx="18">
                  <c:v>0.10447272978354399</c:v>
                </c:pt>
                <c:pt idx="19">
                  <c:v>0.104519252676497</c:v>
                </c:pt>
                <c:pt idx="20">
                  <c:v>0.10456383679155699</c:v>
                </c:pt>
                <c:pt idx="21">
                  <c:v>0.104606662859662</c:v>
                </c:pt>
                <c:pt idx="22">
                  <c:v>0.10464788798674</c:v>
                </c:pt>
                <c:pt idx="23">
                  <c:v>0.104687649623564</c:v>
                </c:pt>
                <c:pt idx="24">
                  <c:v>0.104726068735102</c:v>
                </c:pt>
                <c:pt idx="25">
                  <c:v>0.104763252369012</c:v>
                </c:pt>
                <c:pt idx="26">
                  <c:v>0.104799295743886</c:v>
                </c:pt>
                <c:pt idx="27">
                  <c:v>0.104834283950286</c:v>
                </c:pt>
                <c:pt idx="28">
                  <c:v>0.104868293357074</c:v>
                </c:pt>
                <c:pt idx="29">
                  <c:v>0.10490139278235</c:v>
                </c:pt>
                <c:pt idx="30">
                  <c:v>0.104933644474818</c:v>
                </c:pt>
                <c:pt idx="31">
                  <c:v>0.10496510494130901</c:v>
                </c:pt>
                <c:pt idx="32">
                  <c:v>0.104995825648611</c:v>
                </c:pt>
                <c:pt idx="33">
                  <c:v>0.10502585362186299</c:v>
                </c:pt>
                <c:pt idx="34">
                  <c:v>0.105055231957371</c:v>
                </c:pt>
                <c:pt idx="35">
                  <c:v>0.105084000264155</c:v>
                </c:pt>
                <c:pt idx="36">
                  <c:v>0.105112195045851</c:v>
                </c:pt>
                <c:pt idx="37">
                  <c:v>0.10513985003243601</c:v>
                </c:pt>
                <c:pt idx="38">
                  <c:v>0.105166996469529</c:v>
                </c:pt>
                <c:pt idx="39">
                  <c:v>0.10519366337166999</c:v>
                </c:pt>
                <c:pt idx="40">
                  <c:v>0.10521987774488301</c:v>
                </c:pt>
                <c:pt idx="41">
                  <c:v>0.105245664782936</c:v>
                </c:pt>
                <c:pt idx="42">
                  <c:v>0.10527104804099</c:v>
                </c:pt>
                <c:pt idx="43">
                  <c:v>0.105296049589756</c:v>
                </c:pt>
                <c:pt idx="44">
                  <c:v>0.10532069015277599</c:v>
                </c:pt>
                <c:pt idx="45">
                  <c:v>0.10534498922905799</c:v>
                </c:pt>
                <c:pt idx="46">
                  <c:v>0.10536896520295</c:v>
                </c:pt>
                <c:pt idx="47">
                  <c:v>0.105392635442894</c:v>
                </c:pt>
                <c:pt idx="48">
                  <c:v>0.105416016390418</c:v>
                </c:pt>
                <c:pt idx="49">
                  <c:v>0.10543912364058999</c:v>
                </c:pt>
                <c:pt idx="50">
                  <c:v>0.105461972014952</c:v>
                </c:pt>
                <c:pt idx="51">
                  <c:v>0.105484575627837</c:v>
                </c:pt>
                <c:pt idx="52">
                  <c:v>0.10550694794684599</c:v>
                </c:pt>
                <c:pt idx="53">
                  <c:v>0.105529101848167</c:v>
                </c:pt>
                <c:pt idx="54">
                  <c:v>0.105551049667337</c:v>
                </c:pt>
                <c:pt idx="55">
                  <c:v>0.105572803245966</c:v>
                </c:pt>
                <c:pt idx="56">
                  <c:v>0.105594373974898</c:v>
                </c:pt>
                <c:pt idx="57">
                  <c:v>0.10561577283421</c:v>
                </c:pt>
                <c:pt idx="58">
                  <c:v>0.10563701043042099</c:v>
                </c:pt>
                <c:pt idx="59">
                  <c:v>0.105658097031244</c:v>
                </c:pt>
                <c:pt idx="60">
                  <c:v>0.105679042598172</c:v>
                </c:pt>
                <c:pt idx="61">
                  <c:v>0.10569985681716</c:v>
                </c:pt>
                <c:pt idx="62">
                  <c:v>0.105720549127664</c:v>
                </c:pt>
                <c:pt idx="63">
                  <c:v>0.105741128750243</c:v>
                </c:pt>
                <c:pt idx="64">
                  <c:v>0.105761604712938</c:v>
                </c:pt>
                <c:pt idx="65">
                  <c:v>0.105781985876624</c:v>
                </c:pt>
                <c:pt idx="66">
                  <c:v>0.105802280959508</c:v>
                </c:pt>
                <c:pt idx="67">
                  <c:v>0.105822498560958</c:v>
                </c:pt>
                <c:pt idx="68">
                  <c:v>0.105842647184807</c:v>
                </c:pt>
                <c:pt idx="69">
                  <c:v>0.105862735262324</c:v>
                </c:pt>
                <c:pt idx="70">
                  <c:v>0.105882771174978</c:v>
                </c:pt>
                <c:pt idx="71">
                  <c:v>0.105902763277179</c:v>
                </c:pt>
                <c:pt idx="72">
                  <c:v>0.10592271991914599</c:v>
                </c:pt>
                <c:pt idx="73">
                  <c:v>0.105942649470061</c:v>
                </c:pt>
                <c:pt idx="74">
                  <c:v>0.10596256034169201</c:v>
                </c:pt>
                <c:pt idx="75">
                  <c:v>0.105982461012657</c:v>
                </c:pt>
                <c:pt idx="76">
                  <c:v>0.106002360053515</c:v>
                </c:pt>
                <c:pt idx="77">
                  <c:v>0.106022266152905</c:v>
                </c:pt>
                <c:pt idx="78">
                  <c:v>0.106042188144936</c:v>
                </c:pt>
                <c:pt idx="79">
                  <c:v>0.106062135038092</c:v>
                </c:pt>
                <c:pt idx="80">
                  <c:v>0.10608211604590601</c:v>
                </c:pt>
                <c:pt idx="81">
                  <c:v>0.106102140619718</c:v>
                </c:pt>
                <c:pt idx="82">
                  <c:v>0.10612221848384799</c:v>
                </c:pt>
                <c:pt idx="83">
                  <c:v>0.106142359673569</c:v>
                </c:pt>
                <c:pt idx="84">
                  <c:v>0.106162574576323</c:v>
                </c:pt>
                <c:pt idx="85">
                  <c:v>0.10618287397666699</c:v>
                </c:pt>
                <c:pt idx="86">
                  <c:v>0.106203269105535</c:v>
                </c:pt>
                <c:pt idx="87">
                  <c:v>0.10622377169447</c:v>
                </c:pt>
                <c:pt idx="88">
                  <c:v>0.106244394035602</c:v>
                </c:pt>
                <c:pt idx="89">
                  <c:v>0.106265149048271</c:v>
                </c:pt>
                <c:pt idx="90">
                  <c:v>0.106286050353348</c:v>
                </c:pt>
                <c:pt idx="91">
                  <c:v>0.10630711235650001</c:v>
                </c:pt>
                <c:pt idx="92">
                  <c:v>0.106328350341859</c:v>
                </c:pt>
                <c:pt idx="93">
                  <c:v>0.106349780577863</c:v>
                </c:pt>
                <c:pt idx="94">
                  <c:v>0.106371420437345</c:v>
                </c:pt>
                <c:pt idx="95">
                  <c:v>0.106393288534387</c:v>
                </c:pt>
                <c:pt idx="96">
                  <c:v>0.10641540488097</c:v>
                </c:pt>
                <c:pt idx="97">
                  <c:v>0.106437791067118</c:v>
                </c:pt>
                <c:pt idx="98">
                  <c:v>0.10646047046901499</c:v>
                </c:pt>
                <c:pt idx="99">
                  <c:v>0.10648346849064701</c:v>
                </c:pt>
                <c:pt idx="100">
                  <c:v>0.10650681284579</c:v>
                </c:pt>
                <c:pt idx="101">
                  <c:v>0.10653053388887</c:v>
                </c:pt>
                <c:pt idx="102">
                  <c:v>0.106554665005373</c:v>
                </c:pt>
                <c:pt idx="103">
                  <c:v>0.106579243075278</c:v>
                </c:pt>
                <c:pt idx="104">
                  <c:v>0.106604309026719</c:v>
                </c:pt>
                <c:pt idx="105">
                  <c:v>0.106629908501919</c:v>
                </c:pt>
                <c:pt idx="106">
                  <c:v>0.106656092664041</c:v>
                </c:pt>
                <c:pt idx="107">
                  <c:v>0.106682919182416</c:v>
                </c:pt>
                <c:pt idx="108">
                  <c:v>0.10671045344574299</c:v>
                </c:pt>
                <c:pt idx="109">
                  <c:v>0.106738770069693</c:v>
                </c:pt>
                <c:pt idx="110">
                  <c:v>0.10676795478890699</c:v>
                </c:pt>
                <c:pt idx="111">
                  <c:v>0.10679810685711801</c:v>
                </c:pt>
                <c:pt idx="112">
                  <c:v>0.106829342127871</c:v>
                </c:pt>
                <c:pt idx="113">
                  <c:v>0.10686179706030501</c:v>
                </c:pt>
                <c:pt idx="114">
                  <c:v>0.106895634002605</c:v>
                </c:pt>
                <c:pt idx="115">
                  <c:v>0.10693104827174101</c:v>
                </c:pt>
                <c:pt idx="116">
                  <c:v>0.106968277808976</c:v>
                </c:pt>
                <c:pt idx="117">
                  <c:v>0.107007616611124</c:v>
                </c:pt>
                <c:pt idx="118">
                  <c:v>0.107049433835298</c:v>
                </c:pt>
                <c:pt idx="119">
                  <c:v>0.10709420167049501</c:v>
                </c:pt>
                <c:pt idx="120">
                  <c:v>0.107142537193955</c:v>
                </c:pt>
                <c:pt idx="121">
                  <c:v>0.107195267364947</c:v>
                </c:pt>
                <c:pt idx="122">
                  <c:v>0.107253533948198</c:v>
                </c:pt>
                <c:pt idx="123">
                  <c:v>0.107318970826367</c:v>
                </c:pt>
                <c:pt idx="124">
                  <c:v>0.10739402042051201</c:v>
                </c:pt>
                <c:pt idx="125">
                  <c:v>0.107482536865125</c:v>
                </c:pt>
                <c:pt idx="126">
                  <c:v>0.10759103436072701</c:v>
                </c:pt>
                <c:pt idx="127">
                  <c:v>0.10773156922225</c:v>
                </c:pt>
                <c:pt idx="128">
                  <c:v>0.107929627161644</c:v>
                </c:pt>
                <c:pt idx="129">
                  <c:v>0.108254649711757</c:v>
                </c:pt>
                <c:pt idx="130">
                  <c:v>0.108549992648976</c:v>
                </c:pt>
                <c:pt idx="131">
                  <c:v>0.10884189788496999</c:v>
                </c:pt>
                <c:pt idx="132">
                  <c:v>0.109138476511029</c:v>
                </c:pt>
                <c:pt idx="133">
                  <c:v>0.10944006161476</c:v>
                </c:pt>
                <c:pt idx="134">
                  <c:v>0.109747189714688</c:v>
                </c:pt>
                <c:pt idx="135">
                  <c:v>0.11006033483936301</c:v>
                </c:pt>
                <c:pt idx="136">
                  <c:v>0.110379933374922</c:v>
                </c:pt>
                <c:pt idx="137">
                  <c:v>0.110706395401329</c:v>
                </c:pt>
                <c:pt idx="138">
                  <c:v>0.111040114191712</c:v>
                </c:pt>
                <c:pt idx="139">
                  <c:v>0.111381473978633</c:v>
                </c:pt>
                <c:pt idx="140">
                  <c:v>0.111730856353085</c:v>
                </c:pt>
                <c:pt idx="141">
                  <c:v>0.112088645587768</c:v>
                </c:pt>
                <c:pt idx="142">
                  <c:v>0.112455233123489</c:v>
                </c:pt>
                <c:pt idx="143">
                  <c:v>0.112831021414313</c:v>
                </c:pt>
                <c:pt idx="144">
                  <c:v>0.113216427291867</c:v>
                </c:pt>
                <c:pt idx="145">
                  <c:v>0.11361188498050501</c:v>
                </c:pt>
                <c:pt idx="146">
                  <c:v>0.11401784887187</c:v>
                </c:pt>
                <c:pt idx="147">
                  <c:v>0.223759288176617</c:v>
                </c:pt>
                <c:pt idx="148">
                  <c:v>0.30791369700718302</c:v>
                </c:pt>
                <c:pt idx="149">
                  <c:v>0.30926922190185502</c:v>
                </c:pt>
                <c:pt idx="150">
                  <c:v>0.31128235838691898</c:v>
                </c:pt>
                <c:pt idx="151">
                  <c:v>0.51128235838691904</c:v>
                </c:pt>
                <c:pt idx="152">
                  <c:v>0.51128235838691904</c:v>
                </c:pt>
              </c:numCache>
            </c:numRef>
          </c:xVal>
          <c:yVal>
            <c:numRef>
              <c:f>Implicit_Fracs!$BN$5:$BN$157</c:f>
              <c:numCache>
                <c:formatCode>0.00E+00</c:formatCode>
                <c:ptCount val="153"/>
                <c:pt idx="0">
                  <c:v>4.2595002119617701E-7</c:v>
                </c:pt>
                <c:pt idx="1">
                  <c:v>4.2352736878190598E-7</c:v>
                </c:pt>
                <c:pt idx="2">
                  <c:v>4.21960296781023E-7</c:v>
                </c:pt>
                <c:pt idx="3">
                  <c:v>4.2072617156748901E-7</c:v>
                </c:pt>
                <c:pt idx="4">
                  <c:v>4.1967801744222702E-7</c:v>
                </c:pt>
                <c:pt idx="5">
                  <c:v>4.18665827924931E-7</c:v>
                </c:pt>
                <c:pt idx="6">
                  <c:v>4.1781925510593001E-7</c:v>
                </c:pt>
                <c:pt idx="7">
                  <c:v>4.1694917193675602E-7</c:v>
                </c:pt>
                <c:pt idx="8">
                  <c:v>4.1620979087743298E-7</c:v>
                </c:pt>
                <c:pt idx="9">
                  <c:v>4.1542225146770799E-7</c:v>
                </c:pt>
                <c:pt idx="10">
                  <c:v>4.1474912071224202E-7</c:v>
                </c:pt>
                <c:pt idx="11">
                  <c:v>4.1410034443273501E-7</c:v>
                </c:pt>
                <c:pt idx="12">
                  <c:v>4.1338705366550201E-7</c:v>
                </c:pt>
                <c:pt idx="13">
                  <c:v>4.1277584886356602E-7</c:v>
                </c:pt>
                <c:pt idx="14">
                  <c:v>4.1209481226262899E-7</c:v>
                </c:pt>
                <c:pt idx="15">
                  <c:v>4.1151102967062498E-7</c:v>
                </c:pt>
                <c:pt idx="16">
                  <c:v>4.1085423585482E-7</c:v>
                </c:pt>
                <c:pt idx="17">
                  <c:v>4.1029112161164698E-7</c:v>
                </c:pt>
                <c:pt idx="18">
                  <c:v>4.0973648220976698E-7</c:v>
                </c:pt>
                <c:pt idx="19">
                  <c:v>4.0918932285548697E-7</c:v>
                </c:pt>
                <c:pt idx="20">
                  <c:v>4.0856623455680702E-7</c:v>
                </c:pt>
                <c:pt idx="21">
                  <c:v>4.0803159592671497E-7</c:v>
                </c:pt>
                <c:pt idx="22">
                  <c:v>4.07420562263701E-7</c:v>
                </c:pt>
                <c:pt idx="23">
                  <c:v>4.06814711373013E-7</c:v>
                </c:pt>
                <c:pt idx="24">
                  <c:v>4.06294199465177E-7</c:v>
                </c:pt>
                <c:pt idx="25">
                  <c:v>4.0577744635081799E-7</c:v>
                </c:pt>
                <c:pt idx="26">
                  <c:v>4.0526408672547002E-7</c:v>
                </c:pt>
                <c:pt idx="27">
                  <c:v>4.0475376394087098E-7</c:v>
                </c:pt>
                <c:pt idx="28">
                  <c:v>4.0416778835068701E-7</c:v>
                </c:pt>
                <c:pt idx="29">
                  <c:v>4.0366265627733802E-7</c:v>
                </c:pt>
                <c:pt idx="30">
                  <c:v>4.03082555865239E-7</c:v>
                </c:pt>
                <c:pt idx="31">
                  <c:v>4.0265815790186898E-7</c:v>
                </c:pt>
                <c:pt idx="32">
                  <c:v>4.0208306816843099E-7</c:v>
                </c:pt>
                <c:pt idx="33">
                  <c:v>4.0158546932601098E-7</c:v>
                </c:pt>
                <c:pt idx="34">
                  <c:v>4.0108928128437499E-7</c:v>
                </c:pt>
                <c:pt idx="35">
                  <c:v>4.0052040354982298E-7</c:v>
                </c:pt>
                <c:pt idx="36">
                  <c:v>4.0002655788808299E-7</c:v>
                </c:pt>
                <c:pt idx="37">
                  <c:v>3.99606233528116E-7</c:v>
                </c:pt>
                <c:pt idx="38">
                  <c:v>3.9904233293869202E-7</c:v>
                </c:pt>
                <c:pt idx="39">
                  <c:v>3.9855101185470801E-7</c:v>
                </c:pt>
                <c:pt idx="40">
                  <c:v>3.9806030580477802E-7</c:v>
                </c:pt>
                <c:pt idx="41">
                  <c:v>3.97500405544024E-7</c:v>
                </c:pt>
                <c:pt idx="42">
                  <c:v>3.9701063589943502E-7</c:v>
                </c:pt>
                <c:pt idx="43">
                  <c:v>3.96521207014785E-7</c:v>
                </c:pt>
                <c:pt idx="44">
                  <c:v>3.9609953534009899E-7</c:v>
                </c:pt>
                <c:pt idx="45">
                  <c:v>3.9554379040562401E-7</c:v>
                </c:pt>
                <c:pt idx="46">
                  <c:v>3.9505491062155098E-7</c:v>
                </c:pt>
                <c:pt idx="47">
                  <c:v>3.9456607390250499E-7</c:v>
                </c:pt>
                <c:pt idx="48">
                  <c:v>3.9407722386899601E-7</c:v>
                </c:pt>
                <c:pt idx="49">
                  <c:v>3.9365199693853302E-7</c:v>
                </c:pt>
                <c:pt idx="50">
                  <c:v>3.9316294570963001E-7</c:v>
                </c:pt>
                <c:pt idx="51">
                  <c:v>3.9267372055878698E-7</c:v>
                </c:pt>
                <c:pt idx="52">
                  <c:v>3.9218426779119699E-7</c:v>
                </c:pt>
                <c:pt idx="53">
                  <c:v>3.9169454882887999E-7</c:v>
                </c:pt>
                <c:pt idx="54">
                  <c:v>3.9126428926284498E-7</c:v>
                </c:pt>
                <c:pt idx="55">
                  <c:v>3.90773914180296E-7</c:v>
                </c:pt>
                <c:pt idx="56">
                  <c:v>3.9028315360724001E-7</c:v>
                </c:pt>
                <c:pt idx="57">
                  <c:v>3.8979197741080603E-7</c:v>
                </c:pt>
                <c:pt idx="58">
                  <c:v>3.8930035387956699E-7</c:v>
                </c:pt>
                <c:pt idx="59">
                  <c:v>3.8886399101450398E-7</c:v>
                </c:pt>
                <c:pt idx="60">
                  <c:v>3.8837138526582702E-7</c:v>
                </c:pt>
                <c:pt idx="61">
                  <c:v>3.8793235243491401E-7</c:v>
                </c:pt>
                <c:pt idx="62">
                  <c:v>3.8743866239598499E-7</c:v>
                </c:pt>
                <c:pt idx="63">
                  <c:v>3.8694439712598002E-7</c:v>
                </c:pt>
                <c:pt idx="64">
                  <c:v>3.86552805056545E-7</c:v>
                </c:pt>
                <c:pt idx="65">
                  <c:v>3.8605733218594E-7</c:v>
                </c:pt>
                <c:pt idx="66">
                  <c:v>3.85561229238192E-7</c:v>
                </c:pt>
                <c:pt idx="67">
                  <c:v>3.8511362294291501E-7</c:v>
                </c:pt>
                <c:pt idx="68">
                  <c:v>3.8466452741244402E-7</c:v>
                </c:pt>
                <c:pt idx="69">
                  <c:v>3.84213923323608E-7</c:v>
                </c:pt>
                <c:pt idx="70">
                  <c:v>3.8371517057479899E-7</c:v>
                </c:pt>
                <c:pt idx="71">
                  <c:v>3.8326152224598702E-7</c:v>
                </c:pt>
                <c:pt idx="72">
                  <c:v>3.82851286467824E-7</c:v>
                </c:pt>
                <c:pt idx="73">
                  <c:v>3.8235044947268099E-7</c:v>
                </c:pt>
                <c:pt idx="74">
                  <c:v>3.8189217213336902E-7</c:v>
                </c:pt>
                <c:pt idx="75">
                  <c:v>3.8143234237761398E-7</c:v>
                </c:pt>
                <c:pt idx="76">
                  <c:v>3.8101252805452802E-7</c:v>
                </c:pt>
                <c:pt idx="77">
                  <c:v>3.8054958642790801E-7</c:v>
                </c:pt>
                <c:pt idx="78">
                  <c:v>3.8008509309721699E-7</c:v>
                </c:pt>
                <c:pt idx="79">
                  <c:v>3.79658075901323E-7</c:v>
                </c:pt>
                <c:pt idx="80">
                  <c:v>3.79190487360574E-7</c:v>
                </c:pt>
                <c:pt idx="81">
                  <c:v>3.7872136219203699E-7</c:v>
                </c:pt>
                <c:pt idx="82">
                  <c:v>3.7832366029213002E-7</c:v>
                </c:pt>
                <c:pt idx="83">
                  <c:v>3.778514867656E-7</c:v>
                </c:pt>
                <c:pt idx="84">
                  <c:v>3.7741258321961297E-7</c:v>
                </c:pt>
                <c:pt idx="85">
                  <c:v>3.7697134024999501E-7</c:v>
                </c:pt>
                <c:pt idx="86">
                  <c:v>3.7652777385682398E-7</c:v>
                </c:pt>
                <c:pt idx="87">
                  <c:v>3.7604968284565E-7</c:v>
                </c:pt>
                <c:pt idx="88">
                  <c:v>3.7563291058724001E-7</c:v>
                </c:pt>
                <c:pt idx="89">
                  <c:v>3.75182513072898E-7</c:v>
                </c:pt>
                <c:pt idx="90">
                  <c:v>3.7475956543826698E-7</c:v>
                </c:pt>
                <c:pt idx="91">
                  <c:v>3.7430475790996602E-7</c:v>
                </c:pt>
                <c:pt idx="92">
                  <c:v>3.7387577499963502E-7</c:v>
                </c:pt>
                <c:pt idx="93">
                  <c:v>3.7344383438597198E-7</c:v>
                </c:pt>
                <c:pt idx="94">
                  <c:v>3.7300898430726602E-7</c:v>
                </c:pt>
                <c:pt idx="95">
                  <c:v>3.72571275900577E-7</c:v>
                </c:pt>
                <c:pt idx="96">
                  <c:v>3.7213076750524802E-7</c:v>
                </c:pt>
                <c:pt idx="97">
                  <c:v>3.71711273634638E-7</c:v>
                </c:pt>
                <c:pt idx="98">
                  <c:v>3.7126536503973298E-7</c:v>
                </c:pt>
                <c:pt idx="99">
                  <c:v>3.7086101021295799E-7</c:v>
                </c:pt>
                <c:pt idx="100">
                  <c:v>3.7041001853922298E-7</c:v>
                </c:pt>
                <c:pt idx="101">
                  <c:v>3.6999742014285398E-7</c:v>
                </c:pt>
                <c:pt idx="102">
                  <c:v>3.6956130163303297E-7</c:v>
                </c:pt>
                <c:pt idx="103">
                  <c:v>3.6915964858132797E-7</c:v>
                </c:pt>
                <c:pt idx="104">
                  <c:v>3.6873557478430798E-7</c:v>
                </c:pt>
                <c:pt idx="105">
                  <c:v>3.68307972498101E-7</c:v>
                </c:pt>
                <c:pt idx="106">
                  <c:v>3.6789327916143498E-7</c:v>
                </c:pt>
                <c:pt idx="107">
                  <c:v>3.6749005893993702E-7</c:v>
                </c:pt>
                <c:pt idx="108">
                  <c:v>3.6708229596953502E-7</c:v>
                </c:pt>
                <c:pt idx="109">
                  <c:v>3.6668407329930502E-7</c:v>
                </c:pt>
                <c:pt idx="110">
                  <c:v>3.6626808531959501E-7</c:v>
                </c:pt>
                <c:pt idx="111">
                  <c:v>3.65860706154986E-7</c:v>
                </c:pt>
                <c:pt idx="112">
                  <c:v>3.6547216722673201E-7</c:v>
                </c:pt>
                <c:pt idx="113">
                  <c:v>3.6508919357739698E-7</c:v>
                </c:pt>
                <c:pt idx="114">
                  <c:v>3.6470099708533697E-7</c:v>
                </c:pt>
                <c:pt idx="115">
                  <c:v>3.6431736152609299E-7</c:v>
                </c:pt>
                <c:pt idx="116">
                  <c:v>3.63937632479617E-7</c:v>
                </c:pt>
                <c:pt idx="117">
                  <c:v>3.63568898946768E-7</c:v>
                </c:pt>
                <c:pt idx="118">
                  <c:v>3.6320952729606799E-7</c:v>
                </c:pt>
                <c:pt idx="119">
                  <c:v>3.6285230125730101E-7</c:v>
                </c:pt>
                <c:pt idx="120">
                  <c:v>3.6250864856408599E-7</c:v>
                </c:pt>
                <c:pt idx="121">
                  <c:v>3.6218650247709798E-7</c:v>
                </c:pt>
                <c:pt idx="122">
                  <c:v>3.6187923006455002E-7</c:v>
                </c:pt>
                <c:pt idx="123">
                  <c:v>3.6159063322127499E-7</c:v>
                </c:pt>
                <c:pt idx="124">
                  <c:v>3.6133329232850097E-7</c:v>
                </c:pt>
                <c:pt idx="125">
                  <c:v>3.6111944854773799E-7</c:v>
                </c:pt>
                <c:pt idx="126">
                  <c:v>3.6096193426582303E-7</c:v>
                </c:pt>
                <c:pt idx="127">
                  <c:v>3.6089497392464598E-7</c:v>
                </c:pt>
                <c:pt idx="128">
                  <c:v>3.6097416634814002E-7</c:v>
                </c:pt>
                <c:pt idx="129">
                  <c:v>3.6164403093961699E-7</c:v>
                </c:pt>
                <c:pt idx="130">
                  <c:v>3.6203724327075602E-7</c:v>
                </c:pt>
                <c:pt idx="131">
                  <c:v>3.6247022994872701E-7</c:v>
                </c:pt>
                <c:pt idx="132">
                  <c:v>3.6295247526233599E-7</c:v>
                </c:pt>
                <c:pt idx="133">
                  <c:v>3.6348903841916202E-7</c:v>
                </c:pt>
                <c:pt idx="134">
                  <c:v>3.6408573871516498E-7</c:v>
                </c:pt>
                <c:pt idx="135">
                  <c:v>3.6474862941671198E-7</c:v>
                </c:pt>
                <c:pt idx="136">
                  <c:v>3.6548391577937098E-7</c:v>
                </c:pt>
                <c:pt idx="137">
                  <c:v>3.66298308249118E-7</c:v>
                </c:pt>
                <c:pt idx="138">
                  <c:v>3.6719901826786198E-7</c:v>
                </c:pt>
                <c:pt idx="139">
                  <c:v>3.6819330927001102E-7</c:v>
                </c:pt>
                <c:pt idx="140">
                  <c:v>3.6928866144231601E-7</c:v>
                </c:pt>
                <c:pt idx="141">
                  <c:v>3.7049250356824497E-7</c:v>
                </c:pt>
                <c:pt idx="142">
                  <c:v>3.7181229209387899E-7</c:v>
                </c:pt>
                <c:pt idx="143">
                  <c:v>3.7325562456343102E-7</c:v>
                </c:pt>
                <c:pt idx="144">
                  <c:v>3.7483058406414901E-7</c:v>
                </c:pt>
                <c:pt idx="145">
                  <c:v>3.7654608415293E-7</c:v>
                </c:pt>
                <c:pt idx="146">
                  <c:v>3.7878822196550398E-7</c:v>
                </c:pt>
                <c:pt idx="147">
                  <c:v>3.7878822196550398E-7</c:v>
                </c:pt>
                <c:pt idx="148">
                  <c:v>3.7484659098936197E-7</c:v>
                </c:pt>
                <c:pt idx="149">
                  <c:v>3.7510915662718601E-7</c:v>
                </c:pt>
                <c:pt idx="150">
                  <c:v>3.7579957603503203E-7</c:v>
                </c:pt>
                <c:pt idx="151">
                  <c:v>3.7579957603503203E-7</c:v>
                </c:pt>
                <c:pt idx="152">
                  <c:v>3.7579957603503203E-7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Implicit_Fracs!$C$5:$C$157</c:f>
              <c:numCache>
                <c:formatCode>General</c:formatCode>
                <c:ptCount val="153"/>
                <c:pt idx="0">
                  <c:v>0.102183576352721</c:v>
                </c:pt>
                <c:pt idx="1">
                  <c:v>0.10265932256913</c:v>
                </c:pt>
                <c:pt idx="2">
                  <c:v>0.102957853910651</c:v>
                </c:pt>
                <c:pt idx="3">
                  <c:v>0.103177266932184</c:v>
                </c:pt>
                <c:pt idx="4">
                  <c:v>0.103351496690922</c:v>
                </c:pt>
                <c:pt idx="5">
                  <c:v>0.103496414957103</c:v>
                </c:pt>
                <c:pt idx="6">
                  <c:v>0.103620751252535</c:v>
                </c:pt>
                <c:pt idx="7">
                  <c:v>0.10372982944940901</c:v>
                </c:pt>
                <c:pt idx="8">
                  <c:v>0.103827139456784</c:v>
                </c:pt>
                <c:pt idx="9">
                  <c:v>0.103915094665254</c:v>
                </c:pt>
                <c:pt idx="10">
                  <c:v>0.103995434388613</c:v>
                </c:pt>
                <c:pt idx="11">
                  <c:v>0.104069454062336</c:v>
                </c:pt>
                <c:pt idx="12">
                  <c:v>0.104138144775635</c:v>
                </c:pt>
                <c:pt idx="13">
                  <c:v>0.104202281901597</c:v>
                </c:pt>
                <c:pt idx="14">
                  <c:v>0.104262483614202</c:v>
                </c:pt>
                <c:pt idx="15">
                  <c:v>0.104319250799794</c:v>
                </c:pt>
                <c:pt idx="16">
                  <c:v>0.104372995043736</c:v>
                </c:pt>
                <c:pt idx="17">
                  <c:v>0.104424058730409</c:v>
                </c:pt>
                <c:pt idx="18">
                  <c:v>0.10447272978354399</c:v>
                </c:pt>
                <c:pt idx="19">
                  <c:v>0.104519252676497</c:v>
                </c:pt>
                <c:pt idx="20">
                  <c:v>0.10456383679155699</c:v>
                </c:pt>
                <c:pt idx="21">
                  <c:v>0.104606662859662</c:v>
                </c:pt>
                <c:pt idx="22">
                  <c:v>0.10464788798674</c:v>
                </c:pt>
                <c:pt idx="23">
                  <c:v>0.104687649623564</c:v>
                </c:pt>
                <c:pt idx="24">
                  <c:v>0.104726068735102</c:v>
                </c:pt>
                <c:pt idx="25">
                  <c:v>0.104763252369012</c:v>
                </c:pt>
                <c:pt idx="26">
                  <c:v>0.104799295743886</c:v>
                </c:pt>
                <c:pt idx="27">
                  <c:v>0.104834283950286</c:v>
                </c:pt>
                <c:pt idx="28">
                  <c:v>0.104868293357074</c:v>
                </c:pt>
                <c:pt idx="29">
                  <c:v>0.10490139278235</c:v>
                </c:pt>
                <c:pt idx="30">
                  <c:v>0.104933644474818</c:v>
                </c:pt>
                <c:pt idx="31">
                  <c:v>0.10496510494130901</c:v>
                </c:pt>
                <c:pt idx="32">
                  <c:v>0.104995825648611</c:v>
                </c:pt>
                <c:pt idx="33">
                  <c:v>0.10502585362186299</c:v>
                </c:pt>
                <c:pt idx="34">
                  <c:v>0.105055231957371</c:v>
                </c:pt>
                <c:pt idx="35">
                  <c:v>0.105084000264155</c:v>
                </c:pt>
                <c:pt idx="36">
                  <c:v>0.105112195045851</c:v>
                </c:pt>
                <c:pt idx="37">
                  <c:v>0.10513985003243601</c:v>
                </c:pt>
                <c:pt idx="38">
                  <c:v>0.105166996469529</c:v>
                </c:pt>
                <c:pt idx="39">
                  <c:v>0.10519366337166999</c:v>
                </c:pt>
                <c:pt idx="40">
                  <c:v>0.10521987774488301</c:v>
                </c:pt>
                <c:pt idx="41">
                  <c:v>0.105245664782936</c:v>
                </c:pt>
                <c:pt idx="42">
                  <c:v>0.10527104804099</c:v>
                </c:pt>
                <c:pt idx="43">
                  <c:v>0.105296049589756</c:v>
                </c:pt>
                <c:pt idx="44">
                  <c:v>0.10532069015277599</c:v>
                </c:pt>
                <c:pt idx="45">
                  <c:v>0.10534498922905799</c:v>
                </c:pt>
                <c:pt idx="46">
                  <c:v>0.10536896520295</c:v>
                </c:pt>
                <c:pt idx="47">
                  <c:v>0.105392635442894</c:v>
                </c:pt>
                <c:pt idx="48">
                  <c:v>0.105416016390418</c:v>
                </c:pt>
                <c:pt idx="49">
                  <c:v>0.10543912364058999</c:v>
                </c:pt>
                <c:pt idx="50">
                  <c:v>0.105461972014952</c:v>
                </c:pt>
                <c:pt idx="51">
                  <c:v>0.105484575627837</c:v>
                </c:pt>
                <c:pt idx="52">
                  <c:v>0.10550694794684599</c:v>
                </c:pt>
                <c:pt idx="53">
                  <c:v>0.105529101848167</c:v>
                </c:pt>
                <c:pt idx="54">
                  <c:v>0.105551049667337</c:v>
                </c:pt>
                <c:pt idx="55">
                  <c:v>0.105572803245966</c:v>
                </c:pt>
                <c:pt idx="56">
                  <c:v>0.105594373974898</c:v>
                </c:pt>
                <c:pt idx="57">
                  <c:v>0.10561577283421</c:v>
                </c:pt>
                <c:pt idx="58">
                  <c:v>0.10563701043042099</c:v>
                </c:pt>
                <c:pt idx="59">
                  <c:v>0.105658097031244</c:v>
                </c:pt>
                <c:pt idx="60">
                  <c:v>0.105679042598172</c:v>
                </c:pt>
                <c:pt idx="61">
                  <c:v>0.10569985681716</c:v>
                </c:pt>
                <c:pt idx="62">
                  <c:v>0.105720549127664</c:v>
                </c:pt>
                <c:pt idx="63">
                  <c:v>0.105741128750243</c:v>
                </c:pt>
                <c:pt idx="64">
                  <c:v>0.105761604712938</c:v>
                </c:pt>
                <c:pt idx="65">
                  <c:v>0.105781985876624</c:v>
                </c:pt>
                <c:pt idx="66">
                  <c:v>0.105802280959508</c:v>
                </c:pt>
                <c:pt idx="67">
                  <c:v>0.105822498560958</c:v>
                </c:pt>
                <c:pt idx="68">
                  <c:v>0.105842647184807</c:v>
                </c:pt>
                <c:pt idx="69">
                  <c:v>0.105862735262324</c:v>
                </c:pt>
                <c:pt idx="70">
                  <c:v>0.105882771174978</c:v>
                </c:pt>
                <c:pt idx="71">
                  <c:v>0.105902763277179</c:v>
                </c:pt>
                <c:pt idx="72">
                  <c:v>0.10592271991914599</c:v>
                </c:pt>
                <c:pt idx="73">
                  <c:v>0.105942649470061</c:v>
                </c:pt>
                <c:pt idx="74">
                  <c:v>0.10596256034169201</c:v>
                </c:pt>
                <c:pt idx="75">
                  <c:v>0.105982461012657</c:v>
                </c:pt>
                <c:pt idx="76">
                  <c:v>0.106002360053515</c:v>
                </c:pt>
                <c:pt idx="77">
                  <c:v>0.106022266152905</c:v>
                </c:pt>
                <c:pt idx="78">
                  <c:v>0.106042188144936</c:v>
                </c:pt>
                <c:pt idx="79">
                  <c:v>0.106062135038092</c:v>
                </c:pt>
                <c:pt idx="80">
                  <c:v>0.10608211604590601</c:v>
                </c:pt>
                <c:pt idx="81">
                  <c:v>0.106102140619718</c:v>
                </c:pt>
                <c:pt idx="82">
                  <c:v>0.10612221848384799</c:v>
                </c:pt>
                <c:pt idx="83">
                  <c:v>0.106142359673569</c:v>
                </c:pt>
                <c:pt idx="84">
                  <c:v>0.106162574576323</c:v>
                </c:pt>
                <c:pt idx="85">
                  <c:v>0.10618287397666699</c:v>
                </c:pt>
                <c:pt idx="86">
                  <c:v>0.106203269105535</c:v>
                </c:pt>
                <c:pt idx="87">
                  <c:v>0.10622377169447</c:v>
                </c:pt>
                <c:pt idx="88">
                  <c:v>0.106244394035602</c:v>
                </c:pt>
                <c:pt idx="89">
                  <c:v>0.106265149048271</c:v>
                </c:pt>
                <c:pt idx="90">
                  <c:v>0.106286050353348</c:v>
                </c:pt>
                <c:pt idx="91">
                  <c:v>0.10630711235650001</c:v>
                </c:pt>
                <c:pt idx="92">
                  <c:v>0.106328350341859</c:v>
                </c:pt>
                <c:pt idx="93">
                  <c:v>0.106349780577863</c:v>
                </c:pt>
                <c:pt idx="94">
                  <c:v>0.106371420437345</c:v>
                </c:pt>
                <c:pt idx="95">
                  <c:v>0.106393288534387</c:v>
                </c:pt>
                <c:pt idx="96">
                  <c:v>0.10641540488097</c:v>
                </c:pt>
                <c:pt idx="97">
                  <c:v>0.106437791067118</c:v>
                </c:pt>
                <c:pt idx="98">
                  <c:v>0.10646047046901499</c:v>
                </c:pt>
                <c:pt idx="99">
                  <c:v>0.10648346849064701</c:v>
                </c:pt>
                <c:pt idx="100">
                  <c:v>0.10650681284579</c:v>
                </c:pt>
                <c:pt idx="101">
                  <c:v>0.10653053388887</c:v>
                </c:pt>
                <c:pt idx="102">
                  <c:v>0.106554665005373</c:v>
                </c:pt>
                <c:pt idx="103">
                  <c:v>0.106579243075278</c:v>
                </c:pt>
                <c:pt idx="104">
                  <c:v>0.106604309026719</c:v>
                </c:pt>
                <c:pt idx="105">
                  <c:v>0.106629908501919</c:v>
                </c:pt>
                <c:pt idx="106">
                  <c:v>0.106656092664041</c:v>
                </c:pt>
                <c:pt idx="107">
                  <c:v>0.106682919182416</c:v>
                </c:pt>
                <c:pt idx="108">
                  <c:v>0.10671045344574299</c:v>
                </c:pt>
                <c:pt idx="109">
                  <c:v>0.106738770069693</c:v>
                </c:pt>
                <c:pt idx="110">
                  <c:v>0.10676795478890699</c:v>
                </c:pt>
                <c:pt idx="111">
                  <c:v>0.10679810685711801</c:v>
                </c:pt>
                <c:pt idx="112">
                  <c:v>0.106829342127871</c:v>
                </c:pt>
                <c:pt idx="113">
                  <c:v>0.10686179706030501</c:v>
                </c:pt>
                <c:pt idx="114">
                  <c:v>0.106895634002605</c:v>
                </c:pt>
                <c:pt idx="115">
                  <c:v>0.10693104827174101</c:v>
                </c:pt>
                <c:pt idx="116">
                  <c:v>0.106968277808976</c:v>
                </c:pt>
                <c:pt idx="117">
                  <c:v>0.107007616611124</c:v>
                </c:pt>
                <c:pt idx="118">
                  <c:v>0.107049433835298</c:v>
                </c:pt>
                <c:pt idx="119">
                  <c:v>0.10709420167049501</c:v>
                </c:pt>
                <c:pt idx="120">
                  <c:v>0.107142537193955</c:v>
                </c:pt>
                <c:pt idx="121">
                  <c:v>0.107195267364947</c:v>
                </c:pt>
                <c:pt idx="122">
                  <c:v>0.107253533948198</c:v>
                </c:pt>
                <c:pt idx="123">
                  <c:v>0.107318970826367</c:v>
                </c:pt>
                <c:pt idx="124">
                  <c:v>0.10739402042051201</c:v>
                </c:pt>
                <c:pt idx="125">
                  <c:v>0.107482536865125</c:v>
                </c:pt>
                <c:pt idx="126">
                  <c:v>0.10759103436072701</c:v>
                </c:pt>
                <c:pt idx="127">
                  <c:v>0.10773156922225</c:v>
                </c:pt>
                <c:pt idx="128">
                  <c:v>0.107929627161644</c:v>
                </c:pt>
                <c:pt idx="129">
                  <c:v>0.108254649711757</c:v>
                </c:pt>
                <c:pt idx="130">
                  <c:v>0.108549992648976</c:v>
                </c:pt>
                <c:pt idx="131">
                  <c:v>0.10884189788496999</c:v>
                </c:pt>
                <c:pt idx="132">
                  <c:v>0.109138476511029</c:v>
                </c:pt>
                <c:pt idx="133">
                  <c:v>0.10944006161476</c:v>
                </c:pt>
                <c:pt idx="134">
                  <c:v>0.109747189714688</c:v>
                </c:pt>
                <c:pt idx="135">
                  <c:v>0.11006033483936301</c:v>
                </c:pt>
                <c:pt idx="136">
                  <c:v>0.110379933374922</c:v>
                </c:pt>
                <c:pt idx="137">
                  <c:v>0.110706395401329</c:v>
                </c:pt>
                <c:pt idx="138">
                  <c:v>0.111040114191712</c:v>
                </c:pt>
                <c:pt idx="139">
                  <c:v>0.111381473978633</c:v>
                </c:pt>
                <c:pt idx="140">
                  <c:v>0.111730856353085</c:v>
                </c:pt>
                <c:pt idx="141">
                  <c:v>0.112088645587768</c:v>
                </c:pt>
                <c:pt idx="142">
                  <c:v>0.112455233123489</c:v>
                </c:pt>
                <c:pt idx="143">
                  <c:v>0.112831021414313</c:v>
                </c:pt>
                <c:pt idx="144">
                  <c:v>0.113216427291867</c:v>
                </c:pt>
                <c:pt idx="145">
                  <c:v>0.11361188498050501</c:v>
                </c:pt>
                <c:pt idx="146">
                  <c:v>0.11401784887187</c:v>
                </c:pt>
                <c:pt idx="147">
                  <c:v>0.223759288176617</c:v>
                </c:pt>
                <c:pt idx="148">
                  <c:v>0.30791369700718302</c:v>
                </c:pt>
                <c:pt idx="149">
                  <c:v>0.30926922190185502</c:v>
                </c:pt>
                <c:pt idx="150">
                  <c:v>0.31128235838691898</c:v>
                </c:pt>
                <c:pt idx="151">
                  <c:v>0.51128235838691904</c:v>
                </c:pt>
                <c:pt idx="152">
                  <c:v>0.51128235838691904</c:v>
                </c:pt>
              </c:numCache>
            </c:numRef>
          </c:xVal>
          <c:yVal>
            <c:numRef>
              <c:f>Implicit_Fracs!$BO$5:$BO$157</c:f>
              <c:numCache>
                <c:formatCode>0.00E+00</c:formatCode>
                <c:ptCount val="153"/>
                <c:pt idx="0">
                  <c:v>4.9999999999998403E-8</c:v>
                </c:pt>
                <c:pt idx="1">
                  <c:v>9.9748995875699305E-8</c:v>
                </c:pt>
                <c:pt idx="2">
                  <c:v>1.4950064021290599E-7</c:v>
                </c:pt>
                <c:pt idx="3">
                  <c:v>1.99251779818602E-7</c:v>
                </c:pt>
                <c:pt idx="4">
                  <c:v>2.4900182247404899E-7</c:v>
                </c:pt>
                <c:pt idx="5">
                  <c:v>2.9875055884793902E-7</c:v>
                </c:pt>
                <c:pt idx="6">
                  <c:v>3.4849786245745598E-7</c:v>
                </c:pt>
                <c:pt idx="7">
                  <c:v>3.9824363188021302E-7</c:v>
                </c:pt>
                <c:pt idx="8">
                  <c:v>4.4798777779981802E-7</c:v>
                </c:pt>
                <c:pt idx="9">
                  <c:v>4.9773021948726602E-7</c:v>
                </c:pt>
                <c:pt idx="10">
                  <c:v>5.4747088327553801E-7</c:v>
                </c:pt>
                <c:pt idx="11">
                  <c:v>5.9720970143651897E-7</c:v>
                </c:pt>
                <c:pt idx="12">
                  <c:v>6.4694661117339897E-7</c:v>
                </c:pt>
                <c:pt idx="13">
                  <c:v>6.9668155371019598E-7</c:v>
                </c:pt>
                <c:pt idx="14">
                  <c:v>7.4641447349337101E-7</c:v>
                </c:pt>
                <c:pt idx="15">
                  <c:v>7.9614531751030098E-7</c:v>
                </c:pt>
                <c:pt idx="16">
                  <c:v>8.4587403471749203E-7</c:v>
                </c:pt>
                <c:pt idx="17">
                  <c:v>8.95600575565207E-7</c:v>
                </c:pt>
                <c:pt idx="18">
                  <c:v>9.4532489160357795E-7</c:v>
                </c:pt>
                <c:pt idx="19">
                  <c:v>9.9504693515558503E-7</c:v>
                </c:pt>
                <c:pt idx="20">
                  <c:v>1.0447666590443E-6</c:v>
                </c:pt>
                <c:pt idx="21">
                  <c:v>1.09448401636361E-6</c:v>
                </c:pt>
                <c:pt idx="22">
                  <c:v>1.1441989602836701E-6</c:v>
                </c:pt>
                <c:pt idx="23">
                  <c:v>1.1939114438839901E-6</c:v>
                </c:pt>
                <c:pt idx="24">
                  <c:v>1.2436214109419999E-6</c:v>
                </c:pt>
                <c:pt idx="25">
                  <c:v>1.2933287966447501E-6</c:v>
                </c:pt>
                <c:pt idx="26">
                  <c:v>1.3430335361086E-6</c:v>
                </c:pt>
                <c:pt idx="27">
                  <c:v>1.39273556411179E-6</c:v>
                </c:pt>
                <c:pt idx="28">
                  <c:v>1.4424348148608301E-6</c:v>
                </c:pt>
                <c:pt idx="29">
                  <c:v>1.4921312217834201E-6</c:v>
                </c:pt>
                <c:pt idx="30">
                  <c:v>1.5418247173412799E-6</c:v>
                </c:pt>
                <c:pt idx="31">
                  <c:v>1.5915152328585201E-6</c:v>
                </c:pt>
                <c:pt idx="32">
                  <c:v>1.64120269836172E-6</c:v>
                </c:pt>
                <c:pt idx="33">
                  <c:v>1.6908870424286499E-6</c:v>
                </c:pt>
                <c:pt idx="34">
                  <c:v>1.74056819204317E-6</c:v>
                </c:pt>
                <c:pt idx="35">
                  <c:v>1.79024607245422E-6</c:v>
                </c:pt>
                <c:pt idx="36">
                  <c:v>1.8399206070374E-6</c:v>
                </c:pt>
                <c:pt idx="37">
                  <c:v>1.8895917171573899E-6</c:v>
                </c:pt>
                <c:pt idx="38">
                  <c:v>1.9392593220300602E-6</c:v>
                </c:pt>
                <c:pt idx="39">
                  <c:v>1.9889233385831499E-6</c:v>
                </c:pt>
                <c:pt idx="40">
                  <c:v>2.0385836813144701E-6</c:v>
                </c:pt>
                <c:pt idx="41">
                  <c:v>2.0882402621466001E-6</c:v>
                </c:pt>
                <c:pt idx="42">
                  <c:v>2.1378929902772001E-6</c:v>
                </c:pt>
                <c:pt idx="43">
                  <c:v>2.1875417720242401E-6</c:v>
                </c:pt>
                <c:pt idx="44">
                  <c:v>2.23718651066508E-6</c:v>
                </c:pt>
                <c:pt idx="45">
                  <c:v>2.2868271062686502E-6</c:v>
                </c:pt>
                <c:pt idx="46">
                  <c:v>2.33646345551969E-6</c:v>
                </c:pt>
                <c:pt idx="47">
                  <c:v>2.3860954515347002E-6</c:v>
                </c:pt>
                <c:pt idx="48">
                  <c:v>2.43572298366807E-6</c:v>
                </c:pt>
                <c:pt idx="49">
                  <c:v>2.4853459373076998E-6</c:v>
                </c:pt>
                <c:pt idx="50">
                  <c:v>2.53496419365936E-6</c:v>
                </c:pt>
                <c:pt idx="51">
                  <c:v>2.5845776295181202E-6</c:v>
                </c:pt>
                <c:pt idx="52">
                  <c:v>2.6341861170264101E-6</c:v>
                </c:pt>
                <c:pt idx="53">
                  <c:v>2.6837895234168701E-6</c:v>
                </c:pt>
                <c:pt idx="54">
                  <c:v>2.7333877107392201E-6</c:v>
                </c:pt>
                <c:pt idx="55">
                  <c:v>2.78298053556918E-6</c:v>
                </c:pt>
                <c:pt idx="56">
                  <c:v>2.8325678486983198E-6</c:v>
                </c:pt>
                <c:pt idx="57">
                  <c:v>2.8821494948028802E-6</c:v>
                </c:pt>
                <c:pt idx="58">
                  <c:v>2.9317253120898301E-6</c:v>
                </c:pt>
                <c:pt idx="59">
                  <c:v>2.9812951319180901E-6</c:v>
                </c:pt>
                <c:pt idx="60">
                  <c:v>3.0308587783926301E-6</c:v>
                </c:pt>
                <c:pt idx="61">
                  <c:v>3.0804160679292402E-6</c:v>
                </c:pt>
                <c:pt idx="62">
                  <c:v>3.12996680878675E-6</c:v>
                </c:pt>
                <c:pt idx="63">
                  <c:v>3.1795108005642599E-6</c:v>
                </c:pt>
                <c:pt idx="64">
                  <c:v>3.22904783365994E-6</c:v>
                </c:pt>
                <c:pt idx="65">
                  <c:v>3.2785776886871798E-6</c:v>
                </c:pt>
                <c:pt idx="66">
                  <c:v>3.32810013584499E-6</c:v>
                </c:pt>
                <c:pt idx="67">
                  <c:v>3.37761493423728E-6</c:v>
                </c:pt>
                <c:pt idx="68">
                  <c:v>3.4271218311362798E-6</c:v>
                </c:pt>
                <c:pt idx="69">
                  <c:v>3.4766205611845802E-6</c:v>
                </c:pt>
                <c:pt idx="70">
                  <c:v>3.5261108455292798E-6</c:v>
                </c:pt>
                <c:pt idx="71">
                  <c:v>3.5755923908812999E-6</c:v>
                </c:pt>
                <c:pt idx="72">
                  <c:v>3.6250648884917602E-6</c:v>
                </c:pt>
                <c:pt idx="73">
                  <c:v>3.67452801303671E-6</c:v>
                </c:pt>
                <c:pt idx="74">
                  <c:v>3.7239814214000902E-6</c:v>
                </c:pt>
                <c:pt idx="75">
                  <c:v>3.7734247513433099E-6</c:v>
                </c:pt>
                <c:pt idx="76">
                  <c:v>3.8228576200489402E-6</c:v>
                </c:pt>
                <c:pt idx="77">
                  <c:v>3.8722796225235902E-6</c:v>
                </c:pt>
                <c:pt idx="78">
                  <c:v>3.9216903298437101E-6</c:v>
                </c:pt>
                <c:pt idx="79">
                  <c:v>3.9710892872248497E-6</c:v>
                </c:pt>
                <c:pt idx="80">
                  <c:v>4.0204760118933997E-6</c:v>
                </c:pt>
                <c:pt idx="81">
                  <c:v>4.0698499907355904E-6</c:v>
                </c:pt>
                <c:pt idx="82">
                  <c:v>4.1192106776954098E-6</c:v>
                </c:pt>
                <c:pt idx="83">
                  <c:v>4.1685574908886502E-6</c:v>
                </c:pt>
                <c:pt idx="84">
                  <c:v>4.2178898093953904E-6</c:v>
                </c:pt>
                <c:pt idx="85">
                  <c:v>4.2672069696867597E-6</c:v>
                </c:pt>
                <c:pt idx="86">
                  <c:v>4.3165082616354504E-6</c:v>
                </c:pt>
                <c:pt idx="87">
                  <c:v>4.3657929240502697E-6</c:v>
                </c:pt>
                <c:pt idx="88">
                  <c:v>4.41506013966565E-6</c:v>
                </c:pt>
                <c:pt idx="89">
                  <c:v>4.4643090295043601E-6</c:v>
                </c:pt>
                <c:pt idx="90">
                  <c:v>4.5135386465176496E-6</c:v>
                </c:pt>
                <c:pt idx="91">
                  <c:v>4.5627479683895503E-6</c:v>
                </c:pt>
                <c:pt idx="92">
                  <c:v>4.6119358893705599E-6</c:v>
                </c:pt>
                <c:pt idx="93">
                  <c:v>4.6611012109806296E-6</c:v>
                </c:pt>
                <c:pt idx="94">
                  <c:v>4.7102426313894297E-6</c:v>
                </c:pt>
                <c:pt idx="95">
                  <c:v>4.7593587332432897E-6</c:v>
                </c:pt>
                <c:pt idx="96">
                  <c:v>4.8084479696602099E-6</c:v>
                </c:pt>
                <c:pt idx="97">
                  <c:v>4.8575086480548002E-6</c:v>
                </c:pt>
                <c:pt idx="98">
                  <c:v>4.9065389113804404E-6</c:v>
                </c:pt>
                <c:pt idx="99">
                  <c:v>4.95553671628256E-6</c:v>
                </c:pt>
                <c:pt idx="100">
                  <c:v>5.0044998075379404E-6</c:v>
                </c:pt>
                <c:pt idx="101">
                  <c:v>5.0534256880044501E-6</c:v>
                </c:pt>
                <c:pt idx="102">
                  <c:v>5.1023115831119299E-6</c:v>
                </c:pt>
                <c:pt idx="103">
                  <c:v>5.1511543986743702E-6</c:v>
                </c:pt>
                <c:pt idx="104">
                  <c:v>5.1999506704777903E-6</c:v>
                </c:pt>
                <c:pt idx="105">
                  <c:v>5.2486965036703901E-6</c:v>
                </c:pt>
                <c:pt idx="106">
                  <c:v>5.2973874994140398E-6</c:v>
                </c:pt>
                <c:pt idx="107">
                  <c:v>5.34601866549945E-6</c:v>
                </c:pt>
                <c:pt idx="108">
                  <c:v>5.3945843066032404E-6</c:v>
                </c:pt>
                <c:pt idx="109">
                  <c:v>5.4430778884722199E-6</c:v>
                </c:pt>
                <c:pt idx="110">
                  <c:v>5.4914918683982999E-6</c:v>
                </c:pt>
                <c:pt idx="111">
                  <c:v>5.5398174816715702E-6</c:v>
                </c:pt>
                <c:pt idx="112">
                  <c:v>5.5880444699268404E-6</c:v>
                </c:pt>
                <c:pt idx="113">
                  <c:v>5.6361607319215696E-6</c:v>
                </c:pt>
                <c:pt idx="114">
                  <c:v>5.68415186952264E-6</c:v>
                </c:pt>
                <c:pt idx="115">
                  <c:v>5.7320005903567001E-6</c:v>
                </c:pt>
                <c:pt idx="116">
                  <c:v>5.7796859118855604E-6</c:v>
                </c:pt>
                <c:pt idx="117">
                  <c:v>5.8271820868773096E-6</c:v>
                </c:pt>
                <c:pt idx="118">
                  <c:v>5.8744571333605299E-6</c:v>
                </c:pt>
                <c:pt idx="119">
                  <c:v>5.92147079783027E-6</c:v>
                </c:pt>
                <c:pt idx="120">
                  <c:v>5.9681717034170903E-6</c:v>
                </c:pt>
                <c:pt idx="121">
                  <c:v>6.01449333706324E-6</c:v>
                </c:pt>
                <c:pt idx="122">
                  <c:v>6.06034845092751E-6</c:v>
                </c:pt>
                <c:pt idx="123">
                  <c:v>6.1056215841962101E-6</c:v>
                </c:pt>
                <c:pt idx="124">
                  <c:v>6.1501605356389497E-6</c:v>
                </c:pt>
                <c:pt idx="125">
                  <c:v>6.19377290547123E-6</c:v>
                </c:pt>
                <c:pt idx="126">
                  <c:v>6.2362568208138297E-6</c:v>
                </c:pt>
                <c:pt idx="127">
                  <c:v>6.2776009447649003E-6</c:v>
                </c:pt>
                <c:pt idx="128">
                  <c:v>6.3190897574554202E-6</c:v>
                </c:pt>
                <c:pt idx="129">
                  <c:v>6.3330921948343298E-6</c:v>
                </c:pt>
                <c:pt idx="130">
                  <c:v>6.3737081640292701E-6</c:v>
                </c:pt>
                <c:pt idx="131">
                  <c:v>6.4135572571987497E-6</c:v>
                </c:pt>
                <c:pt idx="132">
                  <c:v>6.4540631703980299E-6</c:v>
                </c:pt>
                <c:pt idx="133">
                  <c:v>6.4949940390672999E-6</c:v>
                </c:pt>
                <c:pt idx="134">
                  <c:v>6.5362185267638203E-6</c:v>
                </c:pt>
                <c:pt idx="135">
                  <c:v>6.5776336763040502E-6</c:v>
                </c:pt>
                <c:pt idx="136">
                  <c:v>6.61916050148588E-6</c:v>
                </c:pt>
                <c:pt idx="137">
                  <c:v>6.6607385873948096E-6</c:v>
                </c:pt>
                <c:pt idx="138">
                  <c:v>6.7023217994604896E-6</c:v>
                </c:pt>
                <c:pt idx="139">
                  <c:v>6.7438748831695603E-6</c:v>
                </c:pt>
                <c:pt idx="140">
                  <c:v>6.7853708026260997E-6</c:v>
                </c:pt>
                <c:pt idx="141">
                  <c:v>6.8267886782811898E-6</c:v>
                </c:pt>
                <c:pt idx="142">
                  <c:v>6.8681122026902704E-6</c:v>
                </c:pt>
                <c:pt idx="143">
                  <c:v>6.9093284326617198E-6</c:v>
                </c:pt>
                <c:pt idx="144">
                  <c:v>6.9504268745598001E-6</c:v>
                </c:pt>
                <c:pt idx="145">
                  <c:v>6.9913987958218901E-6</c:v>
                </c:pt>
                <c:pt idx="146">
                  <c:v>6.9913987958218901E-6</c:v>
                </c:pt>
                <c:pt idx="147">
                  <c:v>6.9913987958218901E-6</c:v>
                </c:pt>
                <c:pt idx="148">
                  <c:v>7.03487883031436E-6</c:v>
                </c:pt>
                <c:pt idx="149">
                  <c:v>7.0675784297888599E-6</c:v>
                </c:pt>
                <c:pt idx="150">
                  <c:v>7.0944798109305502E-6</c:v>
                </c:pt>
                <c:pt idx="151">
                  <c:v>7.0944798109305502E-6</c:v>
                </c:pt>
                <c:pt idx="152">
                  <c:v>7.0944798109305502E-6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Implicit_Fracs!$C$5:$C$157</c:f>
              <c:numCache>
                <c:formatCode>General</c:formatCode>
                <c:ptCount val="153"/>
                <c:pt idx="0">
                  <c:v>0.102183576352721</c:v>
                </c:pt>
                <c:pt idx="1">
                  <c:v>0.10265932256913</c:v>
                </c:pt>
                <c:pt idx="2">
                  <c:v>0.102957853910651</c:v>
                </c:pt>
                <c:pt idx="3">
                  <c:v>0.103177266932184</c:v>
                </c:pt>
                <c:pt idx="4">
                  <c:v>0.103351496690922</c:v>
                </c:pt>
                <c:pt idx="5">
                  <c:v>0.103496414957103</c:v>
                </c:pt>
                <c:pt idx="6">
                  <c:v>0.103620751252535</c:v>
                </c:pt>
                <c:pt idx="7">
                  <c:v>0.10372982944940901</c:v>
                </c:pt>
                <c:pt idx="8">
                  <c:v>0.103827139456784</c:v>
                </c:pt>
                <c:pt idx="9">
                  <c:v>0.103915094665254</c:v>
                </c:pt>
                <c:pt idx="10">
                  <c:v>0.103995434388613</c:v>
                </c:pt>
                <c:pt idx="11">
                  <c:v>0.104069454062336</c:v>
                </c:pt>
                <c:pt idx="12">
                  <c:v>0.104138144775635</c:v>
                </c:pt>
                <c:pt idx="13">
                  <c:v>0.104202281901597</c:v>
                </c:pt>
                <c:pt idx="14">
                  <c:v>0.104262483614202</c:v>
                </c:pt>
                <c:pt idx="15">
                  <c:v>0.104319250799794</c:v>
                </c:pt>
                <c:pt idx="16">
                  <c:v>0.104372995043736</c:v>
                </c:pt>
                <c:pt idx="17">
                  <c:v>0.104424058730409</c:v>
                </c:pt>
                <c:pt idx="18">
                  <c:v>0.10447272978354399</c:v>
                </c:pt>
                <c:pt idx="19">
                  <c:v>0.104519252676497</c:v>
                </c:pt>
                <c:pt idx="20">
                  <c:v>0.10456383679155699</c:v>
                </c:pt>
                <c:pt idx="21">
                  <c:v>0.104606662859662</c:v>
                </c:pt>
                <c:pt idx="22">
                  <c:v>0.10464788798674</c:v>
                </c:pt>
                <c:pt idx="23">
                  <c:v>0.104687649623564</c:v>
                </c:pt>
                <c:pt idx="24">
                  <c:v>0.104726068735102</c:v>
                </c:pt>
                <c:pt idx="25">
                  <c:v>0.104763252369012</c:v>
                </c:pt>
                <c:pt idx="26">
                  <c:v>0.104799295743886</c:v>
                </c:pt>
                <c:pt idx="27">
                  <c:v>0.104834283950286</c:v>
                </c:pt>
                <c:pt idx="28">
                  <c:v>0.104868293357074</c:v>
                </c:pt>
                <c:pt idx="29">
                  <c:v>0.10490139278235</c:v>
                </c:pt>
                <c:pt idx="30">
                  <c:v>0.104933644474818</c:v>
                </c:pt>
                <c:pt idx="31">
                  <c:v>0.10496510494130901</c:v>
                </c:pt>
                <c:pt idx="32">
                  <c:v>0.104995825648611</c:v>
                </c:pt>
                <c:pt idx="33">
                  <c:v>0.10502585362186299</c:v>
                </c:pt>
                <c:pt idx="34">
                  <c:v>0.105055231957371</c:v>
                </c:pt>
                <c:pt idx="35">
                  <c:v>0.105084000264155</c:v>
                </c:pt>
                <c:pt idx="36">
                  <c:v>0.105112195045851</c:v>
                </c:pt>
                <c:pt idx="37">
                  <c:v>0.10513985003243601</c:v>
                </c:pt>
                <c:pt idx="38">
                  <c:v>0.105166996469529</c:v>
                </c:pt>
                <c:pt idx="39">
                  <c:v>0.10519366337166999</c:v>
                </c:pt>
                <c:pt idx="40">
                  <c:v>0.10521987774488301</c:v>
                </c:pt>
                <c:pt idx="41">
                  <c:v>0.105245664782936</c:v>
                </c:pt>
                <c:pt idx="42">
                  <c:v>0.10527104804099</c:v>
                </c:pt>
                <c:pt idx="43">
                  <c:v>0.105296049589756</c:v>
                </c:pt>
                <c:pt idx="44">
                  <c:v>0.10532069015277599</c:v>
                </c:pt>
                <c:pt idx="45">
                  <c:v>0.10534498922905799</c:v>
                </c:pt>
                <c:pt idx="46">
                  <c:v>0.10536896520295</c:v>
                </c:pt>
                <c:pt idx="47">
                  <c:v>0.105392635442894</c:v>
                </c:pt>
                <c:pt idx="48">
                  <c:v>0.105416016390418</c:v>
                </c:pt>
                <c:pt idx="49">
                  <c:v>0.10543912364058999</c:v>
                </c:pt>
                <c:pt idx="50">
                  <c:v>0.105461972014952</c:v>
                </c:pt>
                <c:pt idx="51">
                  <c:v>0.105484575627837</c:v>
                </c:pt>
                <c:pt idx="52">
                  <c:v>0.10550694794684599</c:v>
                </c:pt>
                <c:pt idx="53">
                  <c:v>0.105529101848167</c:v>
                </c:pt>
                <c:pt idx="54">
                  <c:v>0.105551049667337</c:v>
                </c:pt>
                <c:pt idx="55">
                  <c:v>0.105572803245966</c:v>
                </c:pt>
                <c:pt idx="56">
                  <c:v>0.105594373974898</c:v>
                </c:pt>
                <c:pt idx="57">
                  <c:v>0.10561577283421</c:v>
                </c:pt>
                <c:pt idx="58">
                  <c:v>0.10563701043042099</c:v>
                </c:pt>
                <c:pt idx="59">
                  <c:v>0.105658097031244</c:v>
                </c:pt>
                <c:pt idx="60">
                  <c:v>0.105679042598172</c:v>
                </c:pt>
                <c:pt idx="61">
                  <c:v>0.10569985681716</c:v>
                </c:pt>
                <c:pt idx="62">
                  <c:v>0.105720549127664</c:v>
                </c:pt>
                <c:pt idx="63">
                  <c:v>0.105741128750243</c:v>
                </c:pt>
                <c:pt idx="64">
                  <c:v>0.105761604712938</c:v>
                </c:pt>
                <c:pt idx="65">
                  <c:v>0.105781985876624</c:v>
                </c:pt>
                <c:pt idx="66">
                  <c:v>0.105802280959508</c:v>
                </c:pt>
                <c:pt idx="67">
                  <c:v>0.105822498560958</c:v>
                </c:pt>
                <c:pt idx="68">
                  <c:v>0.105842647184807</c:v>
                </c:pt>
                <c:pt idx="69">
                  <c:v>0.105862735262324</c:v>
                </c:pt>
                <c:pt idx="70">
                  <c:v>0.105882771174978</c:v>
                </c:pt>
                <c:pt idx="71">
                  <c:v>0.105902763277179</c:v>
                </c:pt>
                <c:pt idx="72">
                  <c:v>0.10592271991914599</c:v>
                </c:pt>
                <c:pt idx="73">
                  <c:v>0.105942649470061</c:v>
                </c:pt>
                <c:pt idx="74">
                  <c:v>0.10596256034169201</c:v>
                </c:pt>
                <c:pt idx="75">
                  <c:v>0.105982461012657</c:v>
                </c:pt>
                <c:pt idx="76">
                  <c:v>0.106002360053515</c:v>
                </c:pt>
                <c:pt idx="77">
                  <c:v>0.106022266152905</c:v>
                </c:pt>
                <c:pt idx="78">
                  <c:v>0.106042188144936</c:v>
                </c:pt>
                <c:pt idx="79">
                  <c:v>0.106062135038092</c:v>
                </c:pt>
                <c:pt idx="80">
                  <c:v>0.10608211604590601</c:v>
                </c:pt>
                <c:pt idx="81">
                  <c:v>0.106102140619718</c:v>
                </c:pt>
                <c:pt idx="82">
                  <c:v>0.10612221848384799</c:v>
                </c:pt>
                <c:pt idx="83">
                  <c:v>0.106142359673569</c:v>
                </c:pt>
                <c:pt idx="84">
                  <c:v>0.106162574576323</c:v>
                </c:pt>
                <c:pt idx="85">
                  <c:v>0.10618287397666699</c:v>
                </c:pt>
                <c:pt idx="86">
                  <c:v>0.106203269105535</c:v>
                </c:pt>
                <c:pt idx="87">
                  <c:v>0.10622377169447</c:v>
                </c:pt>
                <c:pt idx="88">
                  <c:v>0.106244394035602</c:v>
                </c:pt>
                <c:pt idx="89">
                  <c:v>0.106265149048271</c:v>
                </c:pt>
                <c:pt idx="90">
                  <c:v>0.106286050353348</c:v>
                </c:pt>
                <c:pt idx="91">
                  <c:v>0.10630711235650001</c:v>
                </c:pt>
                <c:pt idx="92">
                  <c:v>0.106328350341859</c:v>
                </c:pt>
                <c:pt idx="93">
                  <c:v>0.106349780577863</c:v>
                </c:pt>
                <c:pt idx="94">
                  <c:v>0.106371420437345</c:v>
                </c:pt>
                <c:pt idx="95">
                  <c:v>0.106393288534387</c:v>
                </c:pt>
                <c:pt idx="96">
                  <c:v>0.10641540488097</c:v>
                </c:pt>
                <c:pt idx="97">
                  <c:v>0.106437791067118</c:v>
                </c:pt>
                <c:pt idx="98">
                  <c:v>0.10646047046901499</c:v>
                </c:pt>
                <c:pt idx="99">
                  <c:v>0.10648346849064701</c:v>
                </c:pt>
                <c:pt idx="100">
                  <c:v>0.10650681284579</c:v>
                </c:pt>
                <c:pt idx="101">
                  <c:v>0.10653053388887</c:v>
                </c:pt>
                <c:pt idx="102">
                  <c:v>0.106554665005373</c:v>
                </c:pt>
                <c:pt idx="103">
                  <c:v>0.106579243075278</c:v>
                </c:pt>
                <c:pt idx="104">
                  <c:v>0.106604309026719</c:v>
                </c:pt>
                <c:pt idx="105">
                  <c:v>0.106629908501919</c:v>
                </c:pt>
                <c:pt idx="106">
                  <c:v>0.106656092664041</c:v>
                </c:pt>
                <c:pt idx="107">
                  <c:v>0.106682919182416</c:v>
                </c:pt>
                <c:pt idx="108">
                  <c:v>0.10671045344574299</c:v>
                </c:pt>
                <c:pt idx="109">
                  <c:v>0.106738770069693</c:v>
                </c:pt>
                <c:pt idx="110">
                  <c:v>0.10676795478890699</c:v>
                </c:pt>
                <c:pt idx="111">
                  <c:v>0.10679810685711801</c:v>
                </c:pt>
                <c:pt idx="112">
                  <c:v>0.106829342127871</c:v>
                </c:pt>
                <c:pt idx="113">
                  <c:v>0.10686179706030501</c:v>
                </c:pt>
                <c:pt idx="114">
                  <c:v>0.106895634002605</c:v>
                </c:pt>
                <c:pt idx="115">
                  <c:v>0.10693104827174101</c:v>
                </c:pt>
                <c:pt idx="116">
                  <c:v>0.106968277808976</c:v>
                </c:pt>
                <c:pt idx="117">
                  <c:v>0.107007616611124</c:v>
                </c:pt>
                <c:pt idx="118">
                  <c:v>0.107049433835298</c:v>
                </c:pt>
                <c:pt idx="119">
                  <c:v>0.10709420167049501</c:v>
                </c:pt>
                <c:pt idx="120">
                  <c:v>0.107142537193955</c:v>
                </c:pt>
                <c:pt idx="121">
                  <c:v>0.107195267364947</c:v>
                </c:pt>
                <c:pt idx="122">
                  <c:v>0.107253533948198</c:v>
                </c:pt>
                <c:pt idx="123">
                  <c:v>0.107318970826367</c:v>
                </c:pt>
                <c:pt idx="124">
                  <c:v>0.10739402042051201</c:v>
                </c:pt>
                <c:pt idx="125">
                  <c:v>0.107482536865125</c:v>
                </c:pt>
                <c:pt idx="126">
                  <c:v>0.10759103436072701</c:v>
                </c:pt>
                <c:pt idx="127">
                  <c:v>0.10773156922225</c:v>
                </c:pt>
                <c:pt idx="128">
                  <c:v>0.107929627161644</c:v>
                </c:pt>
                <c:pt idx="129">
                  <c:v>0.108254649711757</c:v>
                </c:pt>
                <c:pt idx="130">
                  <c:v>0.108549992648976</c:v>
                </c:pt>
                <c:pt idx="131">
                  <c:v>0.10884189788496999</c:v>
                </c:pt>
                <c:pt idx="132">
                  <c:v>0.109138476511029</c:v>
                </c:pt>
                <c:pt idx="133">
                  <c:v>0.10944006161476</c:v>
                </c:pt>
                <c:pt idx="134">
                  <c:v>0.109747189714688</c:v>
                </c:pt>
                <c:pt idx="135">
                  <c:v>0.11006033483936301</c:v>
                </c:pt>
                <c:pt idx="136">
                  <c:v>0.110379933374922</c:v>
                </c:pt>
                <c:pt idx="137">
                  <c:v>0.110706395401329</c:v>
                </c:pt>
                <c:pt idx="138">
                  <c:v>0.111040114191712</c:v>
                </c:pt>
                <c:pt idx="139">
                  <c:v>0.111381473978633</c:v>
                </c:pt>
                <c:pt idx="140">
                  <c:v>0.111730856353085</c:v>
                </c:pt>
                <c:pt idx="141">
                  <c:v>0.112088645587768</c:v>
                </c:pt>
                <c:pt idx="142">
                  <c:v>0.112455233123489</c:v>
                </c:pt>
                <c:pt idx="143">
                  <c:v>0.112831021414313</c:v>
                </c:pt>
                <c:pt idx="144">
                  <c:v>0.113216427291867</c:v>
                </c:pt>
                <c:pt idx="145">
                  <c:v>0.11361188498050501</c:v>
                </c:pt>
                <c:pt idx="146">
                  <c:v>0.11401784887187</c:v>
                </c:pt>
                <c:pt idx="147">
                  <c:v>0.223759288176617</c:v>
                </c:pt>
                <c:pt idx="148">
                  <c:v>0.30791369700718302</c:v>
                </c:pt>
                <c:pt idx="149">
                  <c:v>0.30926922190185502</c:v>
                </c:pt>
                <c:pt idx="150">
                  <c:v>0.31128235838691898</c:v>
                </c:pt>
                <c:pt idx="151">
                  <c:v>0.51128235838691904</c:v>
                </c:pt>
                <c:pt idx="152">
                  <c:v>0.51128235838691904</c:v>
                </c:pt>
              </c:numCache>
            </c:numRef>
          </c:xVal>
          <c:yVal>
            <c:numRef>
              <c:f>Implicit_Fracs!$BP$5:$BP$157</c:f>
              <c:numCache>
                <c:formatCode>General</c:formatCode>
                <c:ptCount val="1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 formatCode="0.00E+00">
                  <c:v>1.0177635191384199E-6</c:v>
                </c:pt>
                <c:pt idx="149" formatCode="0.00E+00">
                  <c:v>1.0443364030785499E-6</c:v>
                </c:pt>
                <c:pt idx="150" formatCode="0.00E+00">
                  <c:v>1.0849650913672101E-6</c:v>
                </c:pt>
                <c:pt idx="151" formatCode="0.00E+00">
                  <c:v>2.5203106050554498E-6</c:v>
                </c:pt>
                <c:pt idx="152" formatCode="0.00E+00">
                  <c:v>2.5203106050554498E-6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Implicit_Fracs!$C$5:$C$157</c:f>
              <c:numCache>
                <c:formatCode>General</c:formatCode>
                <c:ptCount val="153"/>
                <c:pt idx="0">
                  <c:v>0.102183576352721</c:v>
                </c:pt>
                <c:pt idx="1">
                  <c:v>0.10265932256913</c:v>
                </c:pt>
                <c:pt idx="2">
                  <c:v>0.102957853910651</c:v>
                </c:pt>
                <c:pt idx="3">
                  <c:v>0.103177266932184</c:v>
                </c:pt>
                <c:pt idx="4">
                  <c:v>0.103351496690922</c:v>
                </c:pt>
                <c:pt idx="5">
                  <c:v>0.103496414957103</c:v>
                </c:pt>
                <c:pt idx="6">
                  <c:v>0.103620751252535</c:v>
                </c:pt>
                <c:pt idx="7">
                  <c:v>0.10372982944940901</c:v>
                </c:pt>
                <c:pt idx="8">
                  <c:v>0.103827139456784</c:v>
                </c:pt>
                <c:pt idx="9">
                  <c:v>0.103915094665254</c:v>
                </c:pt>
                <c:pt idx="10">
                  <c:v>0.103995434388613</c:v>
                </c:pt>
                <c:pt idx="11">
                  <c:v>0.104069454062336</c:v>
                </c:pt>
                <c:pt idx="12">
                  <c:v>0.104138144775635</c:v>
                </c:pt>
                <c:pt idx="13">
                  <c:v>0.104202281901597</c:v>
                </c:pt>
                <c:pt idx="14">
                  <c:v>0.104262483614202</c:v>
                </c:pt>
                <c:pt idx="15">
                  <c:v>0.104319250799794</c:v>
                </c:pt>
                <c:pt idx="16">
                  <c:v>0.104372995043736</c:v>
                </c:pt>
                <c:pt idx="17">
                  <c:v>0.104424058730409</c:v>
                </c:pt>
                <c:pt idx="18">
                  <c:v>0.10447272978354399</c:v>
                </c:pt>
                <c:pt idx="19">
                  <c:v>0.104519252676497</c:v>
                </c:pt>
                <c:pt idx="20">
                  <c:v>0.10456383679155699</c:v>
                </c:pt>
                <c:pt idx="21">
                  <c:v>0.104606662859662</c:v>
                </c:pt>
                <c:pt idx="22">
                  <c:v>0.10464788798674</c:v>
                </c:pt>
                <c:pt idx="23">
                  <c:v>0.104687649623564</c:v>
                </c:pt>
                <c:pt idx="24">
                  <c:v>0.104726068735102</c:v>
                </c:pt>
                <c:pt idx="25">
                  <c:v>0.104763252369012</c:v>
                </c:pt>
                <c:pt idx="26">
                  <c:v>0.104799295743886</c:v>
                </c:pt>
                <c:pt idx="27">
                  <c:v>0.104834283950286</c:v>
                </c:pt>
                <c:pt idx="28">
                  <c:v>0.104868293357074</c:v>
                </c:pt>
                <c:pt idx="29">
                  <c:v>0.10490139278235</c:v>
                </c:pt>
                <c:pt idx="30">
                  <c:v>0.104933644474818</c:v>
                </c:pt>
                <c:pt idx="31">
                  <c:v>0.10496510494130901</c:v>
                </c:pt>
                <c:pt idx="32">
                  <c:v>0.104995825648611</c:v>
                </c:pt>
                <c:pt idx="33">
                  <c:v>0.10502585362186299</c:v>
                </c:pt>
                <c:pt idx="34">
                  <c:v>0.105055231957371</c:v>
                </c:pt>
                <c:pt idx="35">
                  <c:v>0.105084000264155</c:v>
                </c:pt>
                <c:pt idx="36">
                  <c:v>0.105112195045851</c:v>
                </c:pt>
                <c:pt idx="37">
                  <c:v>0.10513985003243601</c:v>
                </c:pt>
                <c:pt idx="38">
                  <c:v>0.105166996469529</c:v>
                </c:pt>
                <c:pt idx="39">
                  <c:v>0.10519366337166999</c:v>
                </c:pt>
                <c:pt idx="40">
                  <c:v>0.10521987774488301</c:v>
                </c:pt>
                <c:pt idx="41">
                  <c:v>0.105245664782936</c:v>
                </c:pt>
                <c:pt idx="42">
                  <c:v>0.10527104804099</c:v>
                </c:pt>
                <c:pt idx="43">
                  <c:v>0.105296049589756</c:v>
                </c:pt>
                <c:pt idx="44">
                  <c:v>0.10532069015277599</c:v>
                </c:pt>
                <c:pt idx="45">
                  <c:v>0.10534498922905799</c:v>
                </c:pt>
                <c:pt idx="46">
                  <c:v>0.10536896520295</c:v>
                </c:pt>
                <c:pt idx="47">
                  <c:v>0.105392635442894</c:v>
                </c:pt>
                <c:pt idx="48">
                  <c:v>0.105416016390418</c:v>
                </c:pt>
                <c:pt idx="49">
                  <c:v>0.10543912364058999</c:v>
                </c:pt>
                <c:pt idx="50">
                  <c:v>0.105461972014952</c:v>
                </c:pt>
                <c:pt idx="51">
                  <c:v>0.105484575627837</c:v>
                </c:pt>
                <c:pt idx="52">
                  <c:v>0.10550694794684599</c:v>
                </c:pt>
                <c:pt idx="53">
                  <c:v>0.105529101848167</c:v>
                </c:pt>
                <c:pt idx="54">
                  <c:v>0.105551049667337</c:v>
                </c:pt>
                <c:pt idx="55">
                  <c:v>0.105572803245966</c:v>
                </c:pt>
                <c:pt idx="56">
                  <c:v>0.105594373974898</c:v>
                </c:pt>
                <c:pt idx="57">
                  <c:v>0.10561577283421</c:v>
                </c:pt>
                <c:pt idx="58">
                  <c:v>0.10563701043042099</c:v>
                </c:pt>
                <c:pt idx="59">
                  <c:v>0.105658097031244</c:v>
                </c:pt>
                <c:pt idx="60">
                  <c:v>0.105679042598172</c:v>
                </c:pt>
                <c:pt idx="61">
                  <c:v>0.10569985681716</c:v>
                </c:pt>
                <c:pt idx="62">
                  <c:v>0.105720549127664</c:v>
                </c:pt>
                <c:pt idx="63">
                  <c:v>0.105741128750243</c:v>
                </c:pt>
                <c:pt idx="64">
                  <c:v>0.105761604712938</c:v>
                </c:pt>
                <c:pt idx="65">
                  <c:v>0.105781985876624</c:v>
                </c:pt>
                <c:pt idx="66">
                  <c:v>0.105802280959508</c:v>
                </c:pt>
                <c:pt idx="67">
                  <c:v>0.105822498560958</c:v>
                </c:pt>
                <c:pt idx="68">
                  <c:v>0.105842647184807</c:v>
                </c:pt>
                <c:pt idx="69">
                  <c:v>0.105862735262324</c:v>
                </c:pt>
                <c:pt idx="70">
                  <c:v>0.105882771174978</c:v>
                </c:pt>
                <c:pt idx="71">
                  <c:v>0.105902763277179</c:v>
                </c:pt>
                <c:pt idx="72">
                  <c:v>0.10592271991914599</c:v>
                </c:pt>
                <c:pt idx="73">
                  <c:v>0.105942649470061</c:v>
                </c:pt>
                <c:pt idx="74">
                  <c:v>0.10596256034169201</c:v>
                </c:pt>
                <c:pt idx="75">
                  <c:v>0.105982461012657</c:v>
                </c:pt>
                <c:pt idx="76">
                  <c:v>0.106002360053515</c:v>
                </c:pt>
                <c:pt idx="77">
                  <c:v>0.106022266152905</c:v>
                </c:pt>
                <c:pt idx="78">
                  <c:v>0.106042188144936</c:v>
                </c:pt>
                <c:pt idx="79">
                  <c:v>0.106062135038092</c:v>
                </c:pt>
                <c:pt idx="80">
                  <c:v>0.10608211604590601</c:v>
                </c:pt>
                <c:pt idx="81">
                  <c:v>0.106102140619718</c:v>
                </c:pt>
                <c:pt idx="82">
                  <c:v>0.10612221848384799</c:v>
                </c:pt>
                <c:pt idx="83">
                  <c:v>0.106142359673569</c:v>
                </c:pt>
                <c:pt idx="84">
                  <c:v>0.106162574576323</c:v>
                </c:pt>
                <c:pt idx="85">
                  <c:v>0.10618287397666699</c:v>
                </c:pt>
                <c:pt idx="86">
                  <c:v>0.106203269105535</c:v>
                </c:pt>
                <c:pt idx="87">
                  <c:v>0.10622377169447</c:v>
                </c:pt>
                <c:pt idx="88">
                  <c:v>0.106244394035602</c:v>
                </c:pt>
                <c:pt idx="89">
                  <c:v>0.106265149048271</c:v>
                </c:pt>
                <c:pt idx="90">
                  <c:v>0.106286050353348</c:v>
                </c:pt>
                <c:pt idx="91">
                  <c:v>0.10630711235650001</c:v>
                </c:pt>
                <c:pt idx="92">
                  <c:v>0.106328350341859</c:v>
                </c:pt>
                <c:pt idx="93">
                  <c:v>0.106349780577863</c:v>
                </c:pt>
                <c:pt idx="94">
                  <c:v>0.106371420437345</c:v>
                </c:pt>
                <c:pt idx="95">
                  <c:v>0.106393288534387</c:v>
                </c:pt>
                <c:pt idx="96">
                  <c:v>0.10641540488097</c:v>
                </c:pt>
                <c:pt idx="97">
                  <c:v>0.106437791067118</c:v>
                </c:pt>
                <c:pt idx="98">
                  <c:v>0.10646047046901499</c:v>
                </c:pt>
                <c:pt idx="99">
                  <c:v>0.10648346849064701</c:v>
                </c:pt>
                <c:pt idx="100">
                  <c:v>0.10650681284579</c:v>
                </c:pt>
                <c:pt idx="101">
                  <c:v>0.10653053388887</c:v>
                </c:pt>
                <c:pt idx="102">
                  <c:v>0.106554665005373</c:v>
                </c:pt>
                <c:pt idx="103">
                  <c:v>0.106579243075278</c:v>
                </c:pt>
                <c:pt idx="104">
                  <c:v>0.106604309026719</c:v>
                </c:pt>
                <c:pt idx="105">
                  <c:v>0.106629908501919</c:v>
                </c:pt>
                <c:pt idx="106">
                  <c:v>0.106656092664041</c:v>
                </c:pt>
                <c:pt idx="107">
                  <c:v>0.106682919182416</c:v>
                </c:pt>
                <c:pt idx="108">
                  <c:v>0.10671045344574299</c:v>
                </c:pt>
                <c:pt idx="109">
                  <c:v>0.106738770069693</c:v>
                </c:pt>
                <c:pt idx="110">
                  <c:v>0.10676795478890699</c:v>
                </c:pt>
                <c:pt idx="111">
                  <c:v>0.10679810685711801</c:v>
                </c:pt>
                <c:pt idx="112">
                  <c:v>0.106829342127871</c:v>
                </c:pt>
                <c:pt idx="113">
                  <c:v>0.10686179706030501</c:v>
                </c:pt>
                <c:pt idx="114">
                  <c:v>0.106895634002605</c:v>
                </c:pt>
                <c:pt idx="115">
                  <c:v>0.10693104827174101</c:v>
                </c:pt>
                <c:pt idx="116">
                  <c:v>0.106968277808976</c:v>
                </c:pt>
                <c:pt idx="117">
                  <c:v>0.107007616611124</c:v>
                </c:pt>
                <c:pt idx="118">
                  <c:v>0.107049433835298</c:v>
                </c:pt>
                <c:pt idx="119">
                  <c:v>0.10709420167049501</c:v>
                </c:pt>
                <c:pt idx="120">
                  <c:v>0.107142537193955</c:v>
                </c:pt>
                <c:pt idx="121">
                  <c:v>0.107195267364947</c:v>
                </c:pt>
                <c:pt idx="122">
                  <c:v>0.107253533948198</c:v>
                </c:pt>
                <c:pt idx="123">
                  <c:v>0.107318970826367</c:v>
                </c:pt>
                <c:pt idx="124">
                  <c:v>0.10739402042051201</c:v>
                </c:pt>
                <c:pt idx="125">
                  <c:v>0.107482536865125</c:v>
                </c:pt>
                <c:pt idx="126">
                  <c:v>0.10759103436072701</c:v>
                </c:pt>
                <c:pt idx="127">
                  <c:v>0.10773156922225</c:v>
                </c:pt>
                <c:pt idx="128">
                  <c:v>0.107929627161644</c:v>
                </c:pt>
                <c:pt idx="129">
                  <c:v>0.108254649711757</c:v>
                </c:pt>
                <c:pt idx="130">
                  <c:v>0.108549992648976</c:v>
                </c:pt>
                <c:pt idx="131">
                  <c:v>0.10884189788496999</c:v>
                </c:pt>
                <c:pt idx="132">
                  <c:v>0.109138476511029</c:v>
                </c:pt>
                <c:pt idx="133">
                  <c:v>0.10944006161476</c:v>
                </c:pt>
                <c:pt idx="134">
                  <c:v>0.109747189714688</c:v>
                </c:pt>
                <c:pt idx="135">
                  <c:v>0.11006033483936301</c:v>
                </c:pt>
                <c:pt idx="136">
                  <c:v>0.110379933374922</c:v>
                </c:pt>
                <c:pt idx="137">
                  <c:v>0.110706395401329</c:v>
                </c:pt>
                <c:pt idx="138">
                  <c:v>0.111040114191712</c:v>
                </c:pt>
                <c:pt idx="139">
                  <c:v>0.111381473978633</c:v>
                </c:pt>
                <c:pt idx="140">
                  <c:v>0.111730856353085</c:v>
                </c:pt>
                <c:pt idx="141">
                  <c:v>0.112088645587768</c:v>
                </c:pt>
                <c:pt idx="142">
                  <c:v>0.112455233123489</c:v>
                </c:pt>
                <c:pt idx="143">
                  <c:v>0.112831021414313</c:v>
                </c:pt>
                <c:pt idx="144">
                  <c:v>0.113216427291867</c:v>
                </c:pt>
                <c:pt idx="145">
                  <c:v>0.11361188498050501</c:v>
                </c:pt>
                <c:pt idx="146">
                  <c:v>0.11401784887187</c:v>
                </c:pt>
                <c:pt idx="147">
                  <c:v>0.223759288176617</c:v>
                </c:pt>
                <c:pt idx="148">
                  <c:v>0.30791369700718302</c:v>
                </c:pt>
                <c:pt idx="149">
                  <c:v>0.30926922190185502</c:v>
                </c:pt>
                <c:pt idx="150">
                  <c:v>0.31128235838691898</c:v>
                </c:pt>
                <c:pt idx="151">
                  <c:v>0.51128235838691904</c:v>
                </c:pt>
                <c:pt idx="152">
                  <c:v>0.51128235838691904</c:v>
                </c:pt>
              </c:numCache>
            </c:numRef>
          </c:xVal>
          <c:yVal>
            <c:numRef>
              <c:f>Implicit_Fracs!$BQ$5:$BQ$157</c:f>
              <c:numCache>
                <c:formatCode>General</c:formatCode>
                <c:ptCount val="1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 formatCode="0.00E+00">
                  <c:v>1.7094561609301399E-6</c:v>
                </c:pt>
                <c:pt idx="149" formatCode="0.00E+00">
                  <c:v>3.0230138532293001E-6</c:v>
                </c:pt>
                <c:pt idx="150" formatCode="0.00E+00">
                  <c:v>4.1463083362901801E-6</c:v>
                </c:pt>
                <c:pt idx="151" formatCode="0.00E+00">
                  <c:v>9.6316323492154604E-6</c:v>
                </c:pt>
                <c:pt idx="152" formatCode="0.00E+00">
                  <c:v>9.6316323492154604E-6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Implicit_Fracs!$C$5:$C$157</c:f>
              <c:numCache>
                <c:formatCode>General</c:formatCode>
                <c:ptCount val="153"/>
                <c:pt idx="0">
                  <c:v>0.102183576352721</c:v>
                </c:pt>
                <c:pt idx="1">
                  <c:v>0.10265932256913</c:v>
                </c:pt>
                <c:pt idx="2">
                  <c:v>0.102957853910651</c:v>
                </c:pt>
                <c:pt idx="3">
                  <c:v>0.103177266932184</c:v>
                </c:pt>
                <c:pt idx="4">
                  <c:v>0.103351496690922</c:v>
                </c:pt>
                <c:pt idx="5">
                  <c:v>0.103496414957103</c:v>
                </c:pt>
                <c:pt idx="6">
                  <c:v>0.103620751252535</c:v>
                </c:pt>
                <c:pt idx="7">
                  <c:v>0.10372982944940901</c:v>
                </c:pt>
                <c:pt idx="8">
                  <c:v>0.103827139456784</c:v>
                </c:pt>
                <c:pt idx="9">
                  <c:v>0.103915094665254</c:v>
                </c:pt>
                <c:pt idx="10">
                  <c:v>0.103995434388613</c:v>
                </c:pt>
                <c:pt idx="11">
                  <c:v>0.104069454062336</c:v>
                </c:pt>
                <c:pt idx="12">
                  <c:v>0.104138144775635</c:v>
                </c:pt>
                <c:pt idx="13">
                  <c:v>0.104202281901597</c:v>
                </c:pt>
                <c:pt idx="14">
                  <c:v>0.104262483614202</c:v>
                </c:pt>
                <c:pt idx="15">
                  <c:v>0.104319250799794</c:v>
                </c:pt>
                <c:pt idx="16">
                  <c:v>0.104372995043736</c:v>
                </c:pt>
                <c:pt idx="17">
                  <c:v>0.104424058730409</c:v>
                </c:pt>
                <c:pt idx="18">
                  <c:v>0.10447272978354399</c:v>
                </c:pt>
                <c:pt idx="19">
                  <c:v>0.104519252676497</c:v>
                </c:pt>
                <c:pt idx="20">
                  <c:v>0.10456383679155699</c:v>
                </c:pt>
                <c:pt idx="21">
                  <c:v>0.104606662859662</c:v>
                </c:pt>
                <c:pt idx="22">
                  <c:v>0.10464788798674</c:v>
                </c:pt>
                <c:pt idx="23">
                  <c:v>0.104687649623564</c:v>
                </c:pt>
                <c:pt idx="24">
                  <c:v>0.104726068735102</c:v>
                </c:pt>
                <c:pt idx="25">
                  <c:v>0.104763252369012</c:v>
                </c:pt>
                <c:pt idx="26">
                  <c:v>0.104799295743886</c:v>
                </c:pt>
                <c:pt idx="27">
                  <c:v>0.104834283950286</c:v>
                </c:pt>
                <c:pt idx="28">
                  <c:v>0.104868293357074</c:v>
                </c:pt>
                <c:pt idx="29">
                  <c:v>0.10490139278235</c:v>
                </c:pt>
                <c:pt idx="30">
                  <c:v>0.104933644474818</c:v>
                </c:pt>
                <c:pt idx="31">
                  <c:v>0.10496510494130901</c:v>
                </c:pt>
                <c:pt idx="32">
                  <c:v>0.104995825648611</c:v>
                </c:pt>
                <c:pt idx="33">
                  <c:v>0.10502585362186299</c:v>
                </c:pt>
                <c:pt idx="34">
                  <c:v>0.105055231957371</c:v>
                </c:pt>
                <c:pt idx="35">
                  <c:v>0.105084000264155</c:v>
                </c:pt>
                <c:pt idx="36">
                  <c:v>0.105112195045851</c:v>
                </c:pt>
                <c:pt idx="37">
                  <c:v>0.10513985003243601</c:v>
                </c:pt>
                <c:pt idx="38">
                  <c:v>0.105166996469529</c:v>
                </c:pt>
                <c:pt idx="39">
                  <c:v>0.10519366337166999</c:v>
                </c:pt>
                <c:pt idx="40">
                  <c:v>0.10521987774488301</c:v>
                </c:pt>
                <c:pt idx="41">
                  <c:v>0.105245664782936</c:v>
                </c:pt>
                <c:pt idx="42">
                  <c:v>0.10527104804099</c:v>
                </c:pt>
                <c:pt idx="43">
                  <c:v>0.105296049589756</c:v>
                </c:pt>
                <c:pt idx="44">
                  <c:v>0.10532069015277599</c:v>
                </c:pt>
                <c:pt idx="45">
                  <c:v>0.10534498922905799</c:v>
                </c:pt>
                <c:pt idx="46">
                  <c:v>0.10536896520295</c:v>
                </c:pt>
                <c:pt idx="47">
                  <c:v>0.105392635442894</c:v>
                </c:pt>
                <c:pt idx="48">
                  <c:v>0.105416016390418</c:v>
                </c:pt>
                <c:pt idx="49">
                  <c:v>0.10543912364058999</c:v>
                </c:pt>
                <c:pt idx="50">
                  <c:v>0.105461972014952</c:v>
                </c:pt>
                <c:pt idx="51">
                  <c:v>0.105484575627837</c:v>
                </c:pt>
                <c:pt idx="52">
                  <c:v>0.10550694794684599</c:v>
                </c:pt>
                <c:pt idx="53">
                  <c:v>0.105529101848167</c:v>
                </c:pt>
                <c:pt idx="54">
                  <c:v>0.105551049667337</c:v>
                </c:pt>
                <c:pt idx="55">
                  <c:v>0.105572803245966</c:v>
                </c:pt>
                <c:pt idx="56">
                  <c:v>0.105594373974898</c:v>
                </c:pt>
                <c:pt idx="57">
                  <c:v>0.10561577283421</c:v>
                </c:pt>
                <c:pt idx="58">
                  <c:v>0.10563701043042099</c:v>
                </c:pt>
                <c:pt idx="59">
                  <c:v>0.105658097031244</c:v>
                </c:pt>
                <c:pt idx="60">
                  <c:v>0.105679042598172</c:v>
                </c:pt>
                <c:pt idx="61">
                  <c:v>0.10569985681716</c:v>
                </c:pt>
                <c:pt idx="62">
                  <c:v>0.105720549127664</c:v>
                </c:pt>
                <c:pt idx="63">
                  <c:v>0.105741128750243</c:v>
                </c:pt>
                <c:pt idx="64">
                  <c:v>0.105761604712938</c:v>
                </c:pt>
                <c:pt idx="65">
                  <c:v>0.105781985876624</c:v>
                </c:pt>
                <c:pt idx="66">
                  <c:v>0.105802280959508</c:v>
                </c:pt>
                <c:pt idx="67">
                  <c:v>0.105822498560958</c:v>
                </c:pt>
                <c:pt idx="68">
                  <c:v>0.105842647184807</c:v>
                </c:pt>
                <c:pt idx="69">
                  <c:v>0.105862735262324</c:v>
                </c:pt>
                <c:pt idx="70">
                  <c:v>0.105882771174978</c:v>
                </c:pt>
                <c:pt idx="71">
                  <c:v>0.105902763277179</c:v>
                </c:pt>
                <c:pt idx="72">
                  <c:v>0.10592271991914599</c:v>
                </c:pt>
                <c:pt idx="73">
                  <c:v>0.105942649470061</c:v>
                </c:pt>
                <c:pt idx="74">
                  <c:v>0.10596256034169201</c:v>
                </c:pt>
                <c:pt idx="75">
                  <c:v>0.105982461012657</c:v>
                </c:pt>
                <c:pt idx="76">
                  <c:v>0.106002360053515</c:v>
                </c:pt>
                <c:pt idx="77">
                  <c:v>0.106022266152905</c:v>
                </c:pt>
                <c:pt idx="78">
                  <c:v>0.106042188144936</c:v>
                </c:pt>
                <c:pt idx="79">
                  <c:v>0.106062135038092</c:v>
                </c:pt>
                <c:pt idx="80">
                  <c:v>0.10608211604590601</c:v>
                </c:pt>
                <c:pt idx="81">
                  <c:v>0.106102140619718</c:v>
                </c:pt>
                <c:pt idx="82">
                  <c:v>0.10612221848384799</c:v>
                </c:pt>
                <c:pt idx="83">
                  <c:v>0.106142359673569</c:v>
                </c:pt>
                <c:pt idx="84">
                  <c:v>0.106162574576323</c:v>
                </c:pt>
                <c:pt idx="85">
                  <c:v>0.10618287397666699</c:v>
                </c:pt>
                <c:pt idx="86">
                  <c:v>0.106203269105535</c:v>
                </c:pt>
                <c:pt idx="87">
                  <c:v>0.10622377169447</c:v>
                </c:pt>
                <c:pt idx="88">
                  <c:v>0.106244394035602</c:v>
                </c:pt>
                <c:pt idx="89">
                  <c:v>0.106265149048271</c:v>
                </c:pt>
                <c:pt idx="90">
                  <c:v>0.106286050353348</c:v>
                </c:pt>
                <c:pt idx="91">
                  <c:v>0.10630711235650001</c:v>
                </c:pt>
                <c:pt idx="92">
                  <c:v>0.106328350341859</c:v>
                </c:pt>
                <c:pt idx="93">
                  <c:v>0.106349780577863</c:v>
                </c:pt>
                <c:pt idx="94">
                  <c:v>0.106371420437345</c:v>
                </c:pt>
                <c:pt idx="95">
                  <c:v>0.106393288534387</c:v>
                </c:pt>
                <c:pt idx="96">
                  <c:v>0.10641540488097</c:v>
                </c:pt>
                <c:pt idx="97">
                  <c:v>0.106437791067118</c:v>
                </c:pt>
                <c:pt idx="98">
                  <c:v>0.10646047046901499</c:v>
                </c:pt>
                <c:pt idx="99">
                  <c:v>0.10648346849064701</c:v>
                </c:pt>
                <c:pt idx="100">
                  <c:v>0.10650681284579</c:v>
                </c:pt>
                <c:pt idx="101">
                  <c:v>0.10653053388887</c:v>
                </c:pt>
                <c:pt idx="102">
                  <c:v>0.106554665005373</c:v>
                </c:pt>
                <c:pt idx="103">
                  <c:v>0.106579243075278</c:v>
                </c:pt>
                <c:pt idx="104">
                  <c:v>0.106604309026719</c:v>
                </c:pt>
                <c:pt idx="105">
                  <c:v>0.106629908501919</c:v>
                </c:pt>
                <c:pt idx="106">
                  <c:v>0.106656092664041</c:v>
                </c:pt>
                <c:pt idx="107">
                  <c:v>0.106682919182416</c:v>
                </c:pt>
                <c:pt idx="108">
                  <c:v>0.10671045344574299</c:v>
                </c:pt>
                <c:pt idx="109">
                  <c:v>0.106738770069693</c:v>
                </c:pt>
                <c:pt idx="110">
                  <c:v>0.10676795478890699</c:v>
                </c:pt>
                <c:pt idx="111">
                  <c:v>0.10679810685711801</c:v>
                </c:pt>
                <c:pt idx="112">
                  <c:v>0.106829342127871</c:v>
                </c:pt>
                <c:pt idx="113">
                  <c:v>0.10686179706030501</c:v>
                </c:pt>
                <c:pt idx="114">
                  <c:v>0.106895634002605</c:v>
                </c:pt>
                <c:pt idx="115">
                  <c:v>0.10693104827174101</c:v>
                </c:pt>
                <c:pt idx="116">
                  <c:v>0.106968277808976</c:v>
                </c:pt>
                <c:pt idx="117">
                  <c:v>0.107007616611124</c:v>
                </c:pt>
                <c:pt idx="118">
                  <c:v>0.107049433835298</c:v>
                </c:pt>
                <c:pt idx="119">
                  <c:v>0.10709420167049501</c:v>
                </c:pt>
                <c:pt idx="120">
                  <c:v>0.107142537193955</c:v>
                </c:pt>
                <c:pt idx="121">
                  <c:v>0.107195267364947</c:v>
                </c:pt>
                <c:pt idx="122">
                  <c:v>0.107253533948198</c:v>
                </c:pt>
                <c:pt idx="123">
                  <c:v>0.107318970826367</c:v>
                </c:pt>
                <c:pt idx="124">
                  <c:v>0.10739402042051201</c:v>
                </c:pt>
                <c:pt idx="125">
                  <c:v>0.107482536865125</c:v>
                </c:pt>
                <c:pt idx="126">
                  <c:v>0.10759103436072701</c:v>
                </c:pt>
                <c:pt idx="127">
                  <c:v>0.10773156922225</c:v>
                </c:pt>
                <c:pt idx="128">
                  <c:v>0.107929627161644</c:v>
                </c:pt>
                <c:pt idx="129">
                  <c:v>0.108254649711757</c:v>
                </c:pt>
                <c:pt idx="130">
                  <c:v>0.108549992648976</c:v>
                </c:pt>
                <c:pt idx="131">
                  <c:v>0.10884189788496999</c:v>
                </c:pt>
                <c:pt idx="132">
                  <c:v>0.109138476511029</c:v>
                </c:pt>
                <c:pt idx="133">
                  <c:v>0.10944006161476</c:v>
                </c:pt>
                <c:pt idx="134">
                  <c:v>0.109747189714688</c:v>
                </c:pt>
                <c:pt idx="135">
                  <c:v>0.11006033483936301</c:v>
                </c:pt>
                <c:pt idx="136">
                  <c:v>0.110379933374922</c:v>
                </c:pt>
                <c:pt idx="137">
                  <c:v>0.110706395401329</c:v>
                </c:pt>
                <c:pt idx="138">
                  <c:v>0.111040114191712</c:v>
                </c:pt>
                <c:pt idx="139">
                  <c:v>0.111381473978633</c:v>
                </c:pt>
                <c:pt idx="140">
                  <c:v>0.111730856353085</c:v>
                </c:pt>
                <c:pt idx="141">
                  <c:v>0.112088645587768</c:v>
                </c:pt>
                <c:pt idx="142">
                  <c:v>0.112455233123489</c:v>
                </c:pt>
                <c:pt idx="143">
                  <c:v>0.112831021414313</c:v>
                </c:pt>
                <c:pt idx="144">
                  <c:v>0.113216427291867</c:v>
                </c:pt>
                <c:pt idx="145">
                  <c:v>0.11361188498050501</c:v>
                </c:pt>
                <c:pt idx="146">
                  <c:v>0.11401784887187</c:v>
                </c:pt>
                <c:pt idx="147">
                  <c:v>0.223759288176617</c:v>
                </c:pt>
                <c:pt idx="148">
                  <c:v>0.30791369700718302</c:v>
                </c:pt>
                <c:pt idx="149">
                  <c:v>0.30926922190185502</c:v>
                </c:pt>
                <c:pt idx="150">
                  <c:v>0.31128235838691898</c:v>
                </c:pt>
                <c:pt idx="151">
                  <c:v>0.51128235838691904</c:v>
                </c:pt>
                <c:pt idx="152">
                  <c:v>0.51128235838691904</c:v>
                </c:pt>
              </c:numCache>
            </c:numRef>
          </c:xVal>
          <c:yVal>
            <c:numRef>
              <c:f>Implicit_Fracs!$BR$5:$BR$157</c:f>
              <c:numCache>
                <c:formatCode>0.00E+00</c:formatCode>
                <c:ptCount val="153"/>
                <c:pt idx="0">
                  <c:v>6.3408884084064894E-5</c:v>
                </c:pt>
                <c:pt idx="1">
                  <c:v>6.3218570686907294E-5</c:v>
                </c:pt>
                <c:pt idx="2">
                  <c:v>6.3089034845359906E-5</c:v>
                </c:pt>
                <c:pt idx="3">
                  <c:v>6.2977007300514594E-5</c:v>
                </c:pt>
                <c:pt idx="4">
                  <c:v>6.2874913383449896E-5</c:v>
                </c:pt>
                <c:pt idx="5">
                  <c:v>6.2756403667658795E-5</c:v>
                </c:pt>
                <c:pt idx="6">
                  <c:v>6.2665208880637393E-5</c:v>
                </c:pt>
                <c:pt idx="7">
                  <c:v>6.25541204576457E-5</c:v>
                </c:pt>
                <c:pt idx="8">
                  <c:v>6.2468724280542495E-5</c:v>
                </c:pt>
                <c:pt idx="9">
                  <c:v>6.2361934873946101E-5</c:v>
                </c:pt>
                <c:pt idx="10">
                  <c:v>6.2280046263116906E-5</c:v>
                </c:pt>
                <c:pt idx="11">
                  <c:v>6.2199406426088604E-5</c:v>
                </c:pt>
                <c:pt idx="12">
                  <c:v>6.2096408140622803E-5</c:v>
                </c:pt>
                <c:pt idx="13">
                  <c:v>6.20176046941102E-5</c:v>
                </c:pt>
                <c:pt idx="14">
                  <c:v>6.1916186144398298E-5</c:v>
                </c:pt>
                <c:pt idx="15">
                  <c:v>6.1838602908911001E-5</c:v>
                </c:pt>
                <c:pt idx="16">
                  <c:v>6.1738313745883803E-5</c:v>
                </c:pt>
                <c:pt idx="17">
                  <c:v>6.1661526883297901E-5</c:v>
                </c:pt>
                <c:pt idx="18">
                  <c:v>6.1585019570035304E-5</c:v>
                </c:pt>
                <c:pt idx="19">
                  <c:v>6.1508726486251305E-5</c:v>
                </c:pt>
                <c:pt idx="20">
                  <c:v>6.1409846352312298E-5</c:v>
                </c:pt>
                <c:pt idx="21">
                  <c:v>6.1333818045169897E-5</c:v>
                </c:pt>
                <c:pt idx="22">
                  <c:v>6.1235359237463404E-5</c:v>
                </c:pt>
                <c:pt idx="23">
                  <c:v>6.1137060129299903E-5</c:v>
                </c:pt>
                <c:pt idx="24">
                  <c:v>6.1061109349303406E-5</c:v>
                </c:pt>
                <c:pt idx="25">
                  <c:v>6.0985117547278097E-5</c:v>
                </c:pt>
                <c:pt idx="26">
                  <c:v>6.0909059565026599E-5</c:v>
                </c:pt>
                <c:pt idx="27">
                  <c:v>6.0832908271269098E-5</c:v>
                </c:pt>
                <c:pt idx="28">
                  <c:v>6.0735038063536501E-5</c:v>
                </c:pt>
                <c:pt idx="29">
                  <c:v>6.0658634439688002E-5</c:v>
                </c:pt>
                <c:pt idx="30">
                  <c:v>6.05608048486329E-5</c:v>
                </c:pt>
                <c:pt idx="31">
                  <c:v>6.0505172035653597E-5</c:v>
                </c:pt>
                <c:pt idx="32">
                  <c:v>6.04073279734533E-5</c:v>
                </c:pt>
                <c:pt idx="33">
                  <c:v>6.03302034599715E-5</c:v>
                </c:pt>
                <c:pt idx="34">
                  <c:v>6.0252862230176199E-5</c:v>
                </c:pt>
                <c:pt idx="35">
                  <c:v>6.0154910338443401E-5</c:v>
                </c:pt>
                <c:pt idx="36">
                  <c:v>6.0077095767038703E-5</c:v>
                </c:pt>
                <c:pt idx="37">
                  <c:v>6.0019030671039102E-5</c:v>
                </c:pt>
                <c:pt idx="38">
                  <c:v>5.9920889824498497E-5</c:v>
                </c:pt>
                <c:pt idx="39">
                  <c:v>5.9842285552676903E-5</c:v>
                </c:pt>
                <c:pt idx="40">
                  <c:v>5.9763399166934197E-5</c:v>
                </c:pt>
                <c:pt idx="41">
                  <c:v>5.9665002205779002E-5</c:v>
                </c:pt>
                <c:pt idx="42">
                  <c:v>5.9585526095004901E-5</c:v>
                </c:pt>
                <c:pt idx="43">
                  <c:v>5.9505744778359001E-5</c:v>
                </c:pt>
                <c:pt idx="44">
                  <c:v>5.9444263002398697E-5</c:v>
                </c:pt>
                <c:pt idx="45">
                  <c:v>5.9345443731984203E-5</c:v>
                </c:pt>
                <c:pt idx="46">
                  <c:v>5.92647049835278E-5</c:v>
                </c:pt>
                <c:pt idx="47">
                  <c:v>5.9183634623372502E-5</c:v>
                </c:pt>
                <c:pt idx="48">
                  <c:v>5.9102227912937198E-5</c:v>
                </c:pt>
                <c:pt idx="49">
                  <c:v>5.9038044635441298E-5</c:v>
                </c:pt>
                <c:pt idx="50">
                  <c:v>5.8955949657856497E-5</c:v>
                </c:pt>
                <c:pt idx="51">
                  <c:v>5.8873503921067197E-5</c:v>
                </c:pt>
                <c:pt idx="52">
                  <c:v>5.8790702187551199E-5</c:v>
                </c:pt>
                <c:pt idx="53">
                  <c:v>5.87075412344341E-5</c:v>
                </c:pt>
                <c:pt idx="54">
                  <c:v>5.8640500858694099E-5</c:v>
                </c:pt>
                <c:pt idx="55">
                  <c:v>5.8556610360977797E-5</c:v>
                </c:pt>
                <c:pt idx="56">
                  <c:v>5.8472349505651002E-5</c:v>
                </c:pt>
                <c:pt idx="57">
                  <c:v>5.8387715700558702E-5</c:v>
                </c:pt>
                <c:pt idx="58">
                  <c:v>5.8302706000504997E-5</c:v>
                </c:pt>
                <c:pt idx="59">
                  <c:v>5.8232691868326899E-5</c:v>
                </c:pt>
                <c:pt idx="60">
                  <c:v>5.8146922528700501E-5</c:v>
                </c:pt>
                <c:pt idx="61">
                  <c:v>5.8075693695193101E-5</c:v>
                </c:pt>
                <c:pt idx="62">
                  <c:v>5.7989155221657803E-5</c:v>
                </c:pt>
                <c:pt idx="63">
                  <c:v>5.7902228982424502E-5</c:v>
                </c:pt>
                <c:pt idx="64">
                  <c:v>5.7843400580136399E-5</c:v>
                </c:pt>
                <c:pt idx="65">
                  <c:v>5.7755694235950498E-5</c:v>
                </c:pt>
                <c:pt idx="66">
                  <c:v>5.76675951155528E-5</c:v>
                </c:pt>
                <c:pt idx="67">
                  <c:v>5.7592658896014898E-5</c:v>
                </c:pt>
                <c:pt idx="68">
                  <c:v>5.7517098212552001E-5</c:v>
                </c:pt>
                <c:pt idx="69">
                  <c:v>5.7440910696243703E-5</c:v>
                </c:pt>
                <c:pt idx="70">
                  <c:v>5.7351230159430902E-5</c:v>
                </c:pt>
                <c:pt idx="71">
                  <c:v>5.7273785885173797E-5</c:v>
                </c:pt>
                <c:pt idx="72">
                  <c:v>5.7208113508974699E-5</c:v>
                </c:pt>
                <c:pt idx="73">
                  <c:v>5.7117239174628801E-5</c:v>
                </c:pt>
                <c:pt idx="74">
                  <c:v>5.70379031664407E-5</c:v>
                </c:pt>
                <c:pt idx="75">
                  <c:v>5.6957935587215099E-5</c:v>
                </c:pt>
                <c:pt idx="76">
                  <c:v>5.6888806662990197E-5</c:v>
                </c:pt>
                <c:pt idx="77">
                  <c:v>5.68075754516132E-5</c:v>
                </c:pt>
                <c:pt idx="78">
                  <c:v>5.6725712973356098E-5</c:v>
                </c:pt>
                <c:pt idx="79">
                  <c:v>5.6653988547488599E-5</c:v>
                </c:pt>
                <c:pt idx="80">
                  <c:v>5.65708648226736E-5</c:v>
                </c:pt>
                <c:pt idx="81">
                  <c:v>5.6487111791359301E-5</c:v>
                </c:pt>
                <c:pt idx="82">
                  <c:v>5.6422862546458103E-5</c:v>
                </c:pt>
                <c:pt idx="83">
                  <c:v>5.63378543448245E-5</c:v>
                </c:pt>
                <c:pt idx="84">
                  <c:v>5.6261817700732797E-5</c:v>
                </c:pt>
                <c:pt idx="85">
                  <c:v>5.6184923235702999E-5</c:v>
                </c:pt>
                <c:pt idx="86">
                  <c:v>5.6107172836013103E-5</c:v>
                </c:pt>
                <c:pt idx="87">
                  <c:v>5.6019675963797998E-5</c:v>
                </c:pt>
                <c:pt idx="88">
                  <c:v>5.5948880561457999E-5</c:v>
                </c:pt>
                <c:pt idx="89">
                  <c:v>5.5868579304797703E-5</c:v>
                </c:pt>
                <c:pt idx="90">
                  <c:v>5.5795624218463997E-5</c:v>
                </c:pt>
                <c:pt idx="91">
                  <c:v>5.5713640020421203E-5</c:v>
                </c:pt>
                <c:pt idx="92">
                  <c:v>5.5638542622755402E-5</c:v>
                </c:pt>
                <c:pt idx="93">
                  <c:v>5.5562381517396703E-5</c:v>
                </c:pt>
                <c:pt idx="94">
                  <c:v>5.5485162667466297E-5</c:v>
                </c:pt>
                <c:pt idx="95">
                  <c:v>5.5406892326212301E-5</c:v>
                </c:pt>
                <c:pt idx="96">
                  <c:v>5.5327577642875299E-5</c:v>
                </c:pt>
                <c:pt idx="97">
                  <c:v>5.52537827408062E-5</c:v>
                </c:pt>
                <c:pt idx="98">
                  <c:v>5.5172403855398802E-5</c:v>
                </c:pt>
                <c:pt idx="99">
                  <c:v>5.5102192008743102E-5</c:v>
                </c:pt>
                <c:pt idx="100">
                  <c:v>5.5018787384010803E-5</c:v>
                </c:pt>
                <c:pt idx="101">
                  <c:v>5.494564890718E-5</c:v>
                </c:pt>
                <c:pt idx="102">
                  <c:v>5.4865666726010797E-5</c:v>
                </c:pt>
                <c:pt idx="103">
                  <c:v>5.4794830692129298E-5</c:v>
                </c:pt>
                <c:pt idx="104">
                  <c:v>5.4717413525393803E-5</c:v>
                </c:pt>
                <c:pt idx="105">
                  <c:v>5.4638606570599298E-5</c:v>
                </c:pt>
                <c:pt idx="106">
                  <c:v>5.4562920487946198E-5</c:v>
                </c:pt>
                <c:pt idx="107">
                  <c:v>5.4489927635703101E-5</c:v>
                </c:pt>
                <c:pt idx="108">
                  <c:v>5.4415169315546203E-5</c:v>
                </c:pt>
                <c:pt idx="109">
                  <c:v>5.4342492583688901E-5</c:v>
                </c:pt>
                <c:pt idx="110">
                  <c:v>5.4264308666324502E-5</c:v>
                </c:pt>
                <c:pt idx="111">
                  <c:v>5.4187843955891698E-5</c:v>
                </c:pt>
                <c:pt idx="112">
                  <c:v>5.4115857711127599E-5</c:v>
                </c:pt>
                <c:pt idx="113">
                  <c:v>5.4044605319277402E-5</c:v>
                </c:pt>
                <c:pt idx="114">
                  <c:v>5.3971013122349502E-5</c:v>
                </c:pt>
                <c:pt idx="115">
                  <c:v>5.3897668732424602E-5</c:v>
                </c:pt>
                <c:pt idx="116">
                  <c:v>5.3824251943079299E-5</c:v>
                </c:pt>
                <c:pt idx="117">
                  <c:v>5.3752547127745802E-5</c:v>
                </c:pt>
                <c:pt idx="118">
                  <c:v>5.36818846908001E-5</c:v>
                </c:pt>
                <c:pt idx="119">
                  <c:v>5.3609990509912502E-5</c:v>
                </c:pt>
                <c:pt idx="120">
                  <c:v>5.3539653444132398E-5</c:v>
                </c:pt>
                <c:pt idx="121">
                  <c:v>5.3472571299905602E-5</c:v>
                </c:pt>
                <c:pt idx="122">
                  <c:v>5.3406229067663997E-5</c:v>
                </c:pt>
                <c:pt idx="123">
                  <c:v>5.3340700682951399E-5</c:v>
                </c:pt>
                <c:pt idx="124">
                  <c:v>5.3278007221255E-5</c:v>
                </c:pt>
                <c:pt idx="125">
                  <c:v>5.3219252000275302E-5</c:v>
                </c:pt>
                <c:pt idx="126">
                  <c:v>5.3164182700543402E-5</c:v>
                </c:pt>
                <c:pt idx="127">
                  <c:v>5.3115413015046699E-5</c:v>
                </c:pt>
                <c:pt idx="128">
                  <c:v>5.3074604319827802E-5</c:v>
                </c:pt>
                <c:pt idx="129">
                  <c:v>5.30958308227517E-5</c:v>
                </c:pt>
                <c:pt idx="130">
                  <c:v>5.3072490551606297E-5</c:v>
                </c:pt>
                <c:pt idx="131">
                  <c:v>5.30519103566039E-5</c:v>
                </c:pt>
                <c:pt idx="132">
                  <c:v>5.3033066178620301E-5</c:v>
                </c:pt>
                <c:pt idx="133">
                  <c:v>5.3016408500591997E-5</c:v>
                </c:pt>
                <c:pt idx="134">
                  <c:v>5.3002433755715602E-5</c:v>
                </c:pt>
                <c:pt idx="135">
                  <c:v>5.2991615981571199E-5</c:v>
                </c:pt>
                <c:pt idx="136">
                  <c:v>5.2984360877219702E-5</c:v>
                </c:pt>
                <c:pt idx="137">
                  <c:v>5.2981101411461998E-5</c:v>
                </c:pt>
                <c:pt idx="138">
                  <c:v>5.2982311689161699E-5</c:v>
                </c:pt>
                <c:pt idx="139">
                  <c:v>5.2988411360605303E-5</c:v>
                </c:pt>
                <c:pt idx="140">
                  <c:v>5.2999844583192702E-5</c:v>
                </c:pt>
                <c:pt idx="141">
                  <c:v>5.3017028958104697E-5</c:v>
                </c:pt>
                <c:pt idx="142">
                  <c:v>5.3040376714308897E-5</c:v>
                </c:pt>
                <c:pt idx="143">
                  <c:v>5.3070293941248998E-5</c:v>
                </c:pt>
                <c:pt idx="144">
                  <c:v>5.3107214928738799E-5</c:v>
                </c:pt>
                <c:pt idx="145">
                  <c:v>5.31516176863905E-5</c:v>
                </c:pt>
                <c:pt idx="146">
                  <c:v>5.3270059827182599E-5</c:v>
                </c:pt>
                <c:pt idx="147">
                  <c:v>6.2865421466415603E-5</c:v>
                </c:pt>
                <c:pt idx="148">
                  <c:v>6.3746105655129105E-5</c:v>
                </c:pt>
                <c:pt idx="149">
                  <c:v>6.3714969885469701E-5</c:v>
                </c:pt>
                <c:pt idx="150">
                  <c:v>6.3752962057342599E-5</c:v>
                </c:pt>
                <c:pt idx="151">
                  <c:v>6.6463542147285999E-5</c:v>
                </c:pt>
                <c:pt idx="152">
                  <c:v>6.6463542147285999E-5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Implicit_Fracs!$C$5:$C$157</c:f>
              <c:numCache>
                <c:formatCode>General</c:formatCode>
                <c:ptCount val="153"/>
                <c:pt idx="0">
                  <c:v>0.102183576352721</c:v>
                </c:pt>
                <c:pt idx="1">
                  <c:v>0.10265932256913</c:v>
                </c:pt>
                <c:pt idx="2">
                  <c:v>0.102957853910651</c:v>
                </c:pt>
                <c:pt idx="3">
                  <c:v>0.103177266932184</c:v>
                </c:pt>
                <c:pt idx="4">
                  <c:v>0.103351496690922</c:v>
                </c:pt>
                <c:pt idx="5">
                  <c:v>0.103496414957103</c:v>
                </c:pt>
                <c:pt idx="6">
                  <c:v>0.103620751252535</c:v>
                </c:pt>
                <c:pt idx="7">
                  <c:v>0.10372982944940901</c:v>
                </c:pt>
                <c:pt idx="8">
                  <c:v>0.103827139456784</c:v>
                </c:pt>
                <c:pt idx="9">
                  <c:v>0.103915094665254</c:v>
                </c:pt>
                <c:pt idx="10">
                  <c:v>0.103995434388613</c:v>
                </c:pt>
                <c:pt idx="11">
                  <c:v>0.104069454062336</c:v>
                </c:pt>
                <c:pt idx="12">
                  <c:v>0.104138144775635</c:v>
                </c:pt>
                <c:pt idx="13">
                  <c:v>0.104202281901597</c:v>
                </c:pt>
                <c:pt idx="14">
                  <c:v>0.104262483614202</c:v>
                </c:pt>
                <c:pt idx="15">
                  <c:v>0.104319250799794</c:v>
                </c:pt>
                <c:pt idx="16">
                  <c:v>0.104372995043736</c:v>
                </c:pt>
                <c:pt idx="17">
                  <c:v>0.104424058730409</c:v>
                </c:pt>
                <c:pt idx="18">
                  <c:v>0.10447272978354399</c:v>
                </c:pt>
                <c:pt idx="19">
                  <c:v>0.104519252676497</c:v>
                </c:pt>
                <c:pt idx="20">
                  <c:v>0.10456383679155699</c:v>
                </c:pt>
                <c:pt idx="21">
                  <c:v>0.104606662859662</c:v>
                </c:pt>
                <c:pt idx="22">
                  <c:v>0.10464788798674</c:v>
                </c:pt>
                <c:pt idx="23">
                  <c:v>0.104687649623564</c:v>
                </c:pt>
                <c:pt idx="24">
                  <c:v>0.104726068735102</c:v>
                </c:pt>
                <c:pt idx="25">
                  <c:v>0.104763252369012</c:v>
                </c:pt>
                <c:pt idx="26">
                  <c:v>0.104799295743886</c:v>
                </c:pt>
                <c:pt idx="27">
                  <c:v>0.104834283950286</c:v>
                </c:pt>
                <c:pt idx="28">
                  <c:v>0.104868293357074</c:v>
                </c:pt>
                <c:pt idx="29">
                  <c:v>0.10490139278235</c:v>
                </c:pt>
                <c:pt idx="30">
                  <c:v>0.104933644474818</c:v>
                </c:pt>
                <c:pt idx="31">
                  <c:v>0.10496510494130901</c:v>
                </c:pt>
                <c:pt idx="32">
                  <c:v>0.104995825648611</c:v>
                </c:pt>
                <c:pt idx="33">
                  <c:v>0.10502585362186299</c:v>
                </c:pt>
                <c:pt idx="34">
                  <c:v>0.105055231957371</c:v>
                </c:pt>
                <c:pt idx="35">
                  <c:v>0.105084000264155</c:v>
                </c:pt>
                <c:pt idx="36">
                  <c:v>0.105112195045851</c:v>
                </c:pt>
                <c:pt idx="37">
                  <c:v>0.10513985003243601</c:v>
                </c:pt>
                <c:pt idx="38">
                  <c:v>0.105166996469529</c:v>
                </c:pt>
                <c:pt idx="39">
                  <c:v>0.10519366337166999</c:v>
                </c:pt>
                <c:pt idx="40">
                  <c:v>0.10521987774488301</c:v>
                </c:pt>
                <c:pt idx="41">
                  <c:v>0.105245664782936</c:v>
                </c:pt>
                <c:pt idx="42">
                  <c:v>0.10527104804099</c:v>
                </c:pt>
                <c:pt idx="43">
                  <c:v>0.105296049589756</c:v>
                </c:pt>
                <c:pt idx="44">
                  <c:v>0.10532069015277599</c:v>
                </c:pt>
                <c:pt idx="45">
                  <c:v>0.10534498922905799</c:v>
                </c:pt>
                <c:pt idx="46">
                  <c:v>0.10536896520295</c:v>
                </c:pt>
                <c:pt idx="47">
                  <c:v>0.105392635442894</c:v>
                </c:pt>
                <c:pt idx="48">
                  <c:v>0.105416016390418</c:v>
                </c:pt>
                <c:pt idx="49">
                  <c:v>0.10543912364058999</c:v>
                </c:pt>
                <c:pt idx="50">
                  <c:v>0.105461972014952</c:v>
                </c:pt>
                <c:pt idx="51">
                  <c:v>0.105484575627837</c:v>
                </c:pt>
                <c:pt idx="52">
                  <c:v>0.10550694794684599</c:v>
                </c:pt>
                <c:pt idx="53">
                  <c:v>0.105529101848167</c:v>
                </c:pt>
                <c:pt idx="54">
                  <c:v>0.105551049667337</c:v>
                </c:pt>
                <c:pt idx="55">
                  <c:v>0.105572803245966</c:v>
                </c:pt>
                <c:pt idx="56">
                  <c:v>0.105594373974898</c:v>
                </c:pt>
                <c:pt idx="57">
                  <c:v>0.10561577283421</c:v>
                </c:pt>
                <c:pt idx="58">
                  <c:v>0.10563701043042099</c:v>
                </c:pt>
                <c:pt idx="59">
                  <c:v>0.105658097031244</c:v>
                </c:pt>
                <c:pt idx="60">
                  <c:v>0.105679042598172</c:v>
                </c:pt>
                <c:pt idx="61">
                  <c:v>0.10569985681716</c:v>
                </c:pt>
                <c:pt idx="62">
                  <c:v>0.105720549127664</c:v>
                </c:pt>
                <c:pt idx="63">
                  <c:v>0.105741128750243</c:v>
                </c:pt>
                <c:pt idx="64">
                  <c:v>0.105761604712938</c:v>
                </c:pt>
                <c:pt idx="65">
                  <c:v>0.105781985876624</c:v>
                </c:pt>
                <c:pt idx="66">
                  <c:v>0.105802280959508</c:v>
                </c:pt>
                <c:pt idx="67">
                  <c:v>0.105822498560958</c:v>
                </c:pt>
                <c:pt idx="68">
                  <c:v>0.105842647184807</c:v>
                </c:pt>
                <c:pt idx="69">
                  <c:v>0.105862735262324</c:v>
                </c:pt>
                <c:pt idx="70">
                  <c:v>0.105882771174978</c:v>
                </c:pt>
                <c:pt idx="71">
                  <c:v>0.105902763277179</c:v>
                </c:pt>
                <c:pt idx="72">
                  <c:v>0.10592271991914599</c:v>
                </c:pt>
                <c:pt idx="73">
                  <c:v>0.105942649470061</c:v>
                </c:pt>
                <c:pt idx="74">
                  <c:v>0.10596256034169201</c:v>
                </c:pt>
                <c:pt idx="75">
                  <c:v>0.105982461012657</c:v>
                </c:pt>
                <c:pt idx="76">
                  <c:v>0.106002360053515</c:v>
                </c:pt>
                <c:pt idx="77">
                  <c:v>0.106022266152905</c:v>
                </c:pt>
                <c:pt idx="78">
                  <c:v>0.106042188144936</c:v>
                </c:pt>
                <c:pt idx="79">
                  <c:v>0.106062135038092</c:v>
                </c:pt>
                <c:pt idx="80">
                  <c:v>0.10608211604590601</c:v>
                </c:pt>
                <c:pt idx="81">
                  <c:v>0.106102140619718</c:v>
                </c:pt>
                <c:pt idx="82">
                  <c:v>0.10612221848384799</c:v>
                </c:pt>
                <c:pt idx="83">
                  <c:v>0.106142359673569</c:v>
                </c:pt>
                <c:pt idx="84">
                  <c:v>0.106162574576323</c:v>
                </c:pt>
                <c:pt idx="85">
                  <c:v>0.10618287397666699</c:v>
                </c:pt>
                <c:pt idx="86">
                  <c:v>0.106203269105535</c:v>
                </c:pt>
                <c:pt idx="87">
                  <c:v>0.10622377169447</c:v>
                </c:pt>
                <c:pt idx="88">
                  <c:v>0.106244394035602</c:v>
                </c:pt>
                <c:pt idx="89">
                  <c:v>0.106265149048271</c:v>
                </c:pt>
                <c:pt idx="90">
                  <c:v>0.106286050353348</c:v>
                </c:pt>
                <c:pt idx="91">
                  <c:v>0.10630711235650001</c:v>
                </c:pt>
                <c:pt idx="92">
                  <c:v>0.106328350341859</c:v>
                </c:pt>
                <c:pt idx="93">
                  <c:v>0.106349780577863</c:v>
                </c:pt>
                <c:pt idx="94">
                  <c:v>0.106371420437345</c:v>
                </c:pt>
                <c:pt idx="95">
                  <c:v>0.106393288534387</c:v>
                </c:pt>
                <c:pt idx="96">
                  <c:v>0.10641540488097</c:v>
                </c:pt>
                <c:pt idx="97">
                  <c:v>0.106437791067118</c:v>
                </c:pt>
                <c:pt idx="98">
                  <c:v>0.10646047046901499</c:v>
                </c:pt>
                <c:pt idx="99">
                  <c:v>0.10648346849064701</c:v>
                </c:pt>
                <c:pt idx="100">
                  <c:v>0.10650681284579</c:v>
                </c:pt>
                <c:pt idx="101">
                  <c:v>0.10653053388887</c:v>
                </c:pt>
                <c:pt idx="102">
                  <c:v>0.106554665005373</c:v>
                </c:pt>
                <c:pt idx="103">
                  <c:v>0.106579243075278</c:v>
                </c:pt>
                <c:pt idx="104">
                  <c:v>0.106604309026719</c:v>
                </c:pt>
                <c:pt idx="105">
                  <c:v>0.106629908501919</c:v>
                </c:pt>
                <c:pt idx="106">
                  <c:v>0.106656092664041</c:v>
                </c:pt>
                <c:pt idx="107">
                  <c:v>0.106682919182416</c:v>
                </c:pt>
                <c:pt idx="108">
                  <c:v>0.10671045344574299</c:v>
                </c:pt>
                <c:pt idx="109">
                  <c:v>0.106738770069693</c:v>
                </c:pt>
                <c:pt idx="110">
                  <c:v>0.10676795478890699</c:v>
                </c:pt>
                <c:pt idx="111">
                  <c:v>0.10679810685711801</c:v>
                </c:pt>
                <c:pt idx="112">
                  <c:v>0.106829342127871</c:v>
                </c:pt>
                <c:pt idx="113">
                  <c:v>0.10686179706030501</c:v>
                </c:pt>
                <c:pt idx="114">
                  <c:v>0.106895634002605</c:v>
                </c:pt>
                <c:pt idx="115">
                  <c:v>0.10693104827174101</c:v>
                </c:pt>
                <c:pt idx="116">
                  <c:v>0.106968277808976</c:v>
                </c:pt>
                <c:pt idx="117">
                  <c:v>0.107007616611124</c:v>
                </c:pt>
                <c:pt idx="118">
                  <c:v>0.107049433835298</c:v>
                </c:pt>
                <c:pt idx="119">
                  <c:v>0.10709420167049501</c:v>
                </c:pt>
                <c:pt idx="120">
                  <c:v>0.107142537193955</c:v>
                </c:pt>
                <c:pt idx="121">
                  <c:v>0.107195267364947</c:v>
                </c:pt>
                <c:pt idx="122">
                  <c:v>0.107253533948198</c:v>
                </c:pt>
                <c:pt idx="123">
                  <c:v>0.107318970826367</c:v>
                </c:pt>
                <c:pt idx="124">
                  <c:v>0.10739402042051201</c:v>
                </c:pt>
                <c:pt idx="125">
                  <c:v>0.107482536865125</c:v>
                </c:pt>
                <c:pt idx="126">
                  <c:v>0.10759103436072701</c:v>
                </c:pt>
                <c:pt idx="127">
                  <c:v>0.10773156922225</c:v>
                </c:pt>
                <c:pt idx="128">
                  <c:v>0.107929627161644</c:v>
                </c:pt>
                <c:pt idx="129">
                  <c:v>0.108254649711757</c:v>
                </c:pt>
                <c:pt idx="130">
                  <c:v>0.108549992648976</c:v>
                </c:pt>
                <c:pt idx="131">
                  <c:v>0.10884189788496999</c:v>
                </c:pt>
                <c:pt idx="132">
                  <c:v>0.109138476511029</c:v>
                </c:pt>
                <c:pt idx="133">
                  <c:v>0.10944006161476</c:v>
                </c:pt>
                <c:pt idx="134">
                  <c:v>0.109747189714688</c:v>
                </c:pt>
                <c:pt idx="135">
                  <c:v>0.11006033483936301</c:v>
                </c:pt>
                <c:pt idx="136">
                  <c:v>0.110379933374922</c:v>
                </c:pt>
                <c:pt idx="137">
                  <c:v>0.110706395401329</c:v>
                </c:pt>
                <c:pt idx="138">
                  <c:v>0.111040114191712</c:v>
                </c:pt>
                <c:pt idx="139">
                  <c:v>0.111381473978633</c:v>
                </c:pt>
                <c:pt idx="140">
                  <c:v>0.111730856353085</c:v>
                </c:pt>
                <c:pt idx="141">
                  <c:v>0.112088645587768</c:v>
                </c:pt>
                <c:pt idx="142">
                  <c:v>0.112455233123489</c:v>
                </c:pt>
                <c:pt idx="143">
                  <c:v>0.112831021414313</c:v>
                </c:pt>
                <c:pt idx="144">
                  <c:v>0.113216427291867</c:v>
                </c:pt>
                <c:pt idx="145">
                  <c:v>0.11361188498050501</c:v>
                </c:pt>
                <c:pt idx="146">
                  <c:v>0.11401784887187</c:v>
                </c:pt>
                <c:pt idx="147">
                  <c:v>0.223759288176617</c:v>
                </c:pt>
                <c:pt idx="148">
                  <c:v>0.30791369700718302</c:v>
                </c:pt>
                <c:pt idx="149">
                  <c:v>0.30926922190185502</c:v>
                </c:pt>
                <c:pt idx="150">
                  <c:v>0.31128235838691898</c:v>
                </c:pt>
                <c:pt idx="151">
                  <c:v>0.51128235838691904</c:v>
                </c:pt>
                <c:pt idx="152">
                  <c:v>0.51128235838691904</c:v>
                </c:pt>
              </c:numCache>
            </c:numRef>
          </c:xVal>
          <c:yVal>
            <c:numRef>
              <c:f>Implicit_Fracs!$BS$5:$BS$157</c:f>
              <c:numCache>
                <c:formatCode>0.00E+00</c:formatCode>
                <c:ptCount val="153"/>
                <c:pt idx="0">
                  <c:v>1.7495506757056901E-6</c:v>
                </c:pt>
                <c:pt idx="1">
                  <c:v>3.4920787027281599E-6</c:v>
                </c:pt>
                <c:pt idx="2">
                  <c:v>5.2354709742252498E-6</c:v>
                </c:pt>
                <c:pt idx="3">
                  <c:v>6.9793612543384497E-6</c:v>
                </c:pt>
                <c:pt idx="4">
                  <c:v>8.7236043817307899E-6</c:v>
                </c:pt>
                <c:pt idx="5">
                  <c:v>1.04681188825485E-5</c:v>
                </c:pt>
                <c:pt idx="6">
                  <c:v>1.2212850985936099E-5</c:v>
                </c:pt>
                <c:pt idx="7">
                  <c:v>1.39577619064167E-5</c:v>
                </c:pt>
                <c:pt idx="8">
                  <c:v>1.5702822090106001E-5</c:v>
                </c:pt>
                <c:pt idx="9">
                  <c:v>1.7448008158258099E-5</c:v>
                </c:pt>
                <c:pt idx="10">
                  <c:v>1.9193301096498399E-5</c:v>
                </c:pt>
                <c:pt idx="11">
                  <c:v>2.0938685097463401E-5</c:v>
                </c:pt>
                <c:pt idx="12">
                  <c:v>2.2684146779862199E-5</c:v>
                </c:pt>
                <c:pt idx="13">
                  <c:v>2.44296746399844E-5</c:v>
                </c:pt>
                <c:pt idx="14">
                  <c:v>2.6175258654394201E-5</c:v>
                </c:pt>
                <c:pt idx="15">
                  <c:v>2.7920889984939702E-5</c:v>
                </c:pt>
                <c:pt idx="16">
                  <c:v>2.9666560755183099E-5</c:v>
                </c:pt>
                <c:pt idx="17">
                  <c:v>3.1412263877949599E-5</c:v>
                </c:pt>
                <c:pt idx="18">
                  <c:v>3.3157992920243802E-5</c:v>
                </c:pt>
                <c:pt idx="19">
                  <c:v>3.4903741995963702E-5</c:v>
                </c:pt>
                <c:pt idx="20">
                  <c:v>3.6649505679627201E-5</c:v>
                </c:pt>
                <c:pt idx="21">
                  <c:v>3.8395278936197701E-5</c:v>
                </c:pt>
                <c:pt idx="22">
                  <c:v>4.01410570634013E-5</c:v>
                </c:pt>
                <c:pt idx="23">
                  <c:v>4.18868356438467E-5</c:v>
                </c:pt>
                <c:pt idx="24">
                  <c:v>4.3632610186813503E-5</c:v>
                </c:pt>
                <c:pt idx="25">
                  <c:v>4.5378376124379002E-5</c:v>
                </c:pt>
                <c:pt idx="26">
                  <c:v>4.7124129086014798E-5</c:v>
                </c:pt>
                <c:pt idx="27">
                  <c:v>4.8869864868025303E-5</c:v>
                </c:pt>
                <c:pt idx="28">
                  <c:v>5.06155794072254E-5</c:v>
                </c:pt>
                <c:pt idx="29">
                  <c:v>5.2361268758075401E-5</c:v>
                </c:pt>
                <c:pt idx="30">
                  <c:v>5.4106929072626903E-5</c:v>
                </c:pt>
                <c:pt idx="31">
                  <c:v>5.5852556582788701E-5</c:v>
                </c:pt>
                <c:pt idx="32">
                  <c:v>5.7598147584503198E-5</c:v>
                </c:pt>
                <c:pt idx="33">
                  <c:v>5.9343698423502901E-5</c:v>
                </c:pt>
                <c:pt idx="34">
                  <c:v>6.1089205482377205E-5</c:v>
                </c:pt>
                <c:pt idx="35">
                  <c:v>6.2834665168720995E-5</c:v>
                </c:pt>
                <c:pt idx="36">
                  <c:v>6.4580073904188604E-5</c:v>
                </c:pt>
                <c:pt idx="37">
                  <c:v>6.6325428114281397E-5</c:v>
                </c:pt>
                <c:pt idx="38">
                  <c:v>6.8070724218743695E-5</c:v>
                </c:pt>
                <c:pt idx="39">
                  <c:v>6.9815958622448005E-5</c:v>
                </c:pt>
                <c:pt idx="40">
                  <c:v>7.1561127706672102E-5</c:v>
                </c:pt>
                <c:pt idx="41">
                  <c:v>7.3306227820676894E-5</c:v>
                </c:pt>
                <c:pt idx="42">
                  <c:v>7.5051255273505198E-5</c:v>
                </c:pt>
                <c:pt idx="43">
                  <c:v>7.6796206325942606E-5</c:v>
                </c:pt>
                <c:pt idx="44">
                  <c:v>7.85410771825622E-5</c:v>
                </c:pt>
                <c:pt idx="45">
                  <c:v>8.0285863983805799E-5</c:v>
                </c:pt>
                <c:pt idx="46">
                  <c:v>8.20305627980333E-5</c:v>
                </c:pt>
                <c:pt idx="47">
                  <c:v>8.3775169613510903E-5</c:v>
                </c:pt>
                <c:pt idx="48">
                  <c:v>8.5519680330262306E-5</c:v>
                </c:pt>
                <c:pt idx="49">
                  <c:v>8.7264090751750295E-5</c:v>
                </c:pt>
                <c:pt idx="50">
                  <c:v>8.9008396576338106E-5</c:v>
                </c:pt>
                <c:pt idx="51">
                  <c:v>9.0752593388473396E-5</c:v>
                </c:pt>
                <c:pt idx="52">
                  <c:v>9.2496676649559006E-5</c:v>
                </c:pt>
                <c:pt idx="53">
                  <c:v>9.4240641688446403E-5</c:v>
                </c:pt>
                <c:pt idx="54">
                  <c:v>9.5984483691513106E-5</c:v>
                </c:pt>
                <c:pt idx="55">
                  <c:v>9.7728197692253894E-5</c:v>
                </c:pt>
                <c:pt idx="56">
                  <c:v>9.9471778560341302E-5</c:v>
                </c:pt>
                <c:pt idx="57" formatCode="General">
                  <c:v>1.01215220990086E-4</c:v>
                </c:pt>
                <c:pt idx="58" formatCode="General">
                  <c:v>1.02958519488231E-4</c:v>
                </c:pt>
                <c:pt idx="59" formatCode="General">
                  <c:v>1.04701668361016E-4</c:v>
                </c:pt>
                <c:pt idx="60" formatCode="General">
                  <c:v>1.0644466170041701E-4</c:v>
                </c:pt>
                <c:pt idx="61" formatCode="General">
                  <c:v>1.0818749336950799E-4</c:v>
                </c:pt>
                <c:pt idx="62" formatCode="General">
                  <c:v>1.0993015698681701E-4</c:v>
                </c:pt>
                <c:pt idx="63" formatCode="General">
                  <c:v>1.1167264590959799E-4</c:v>
                </c:pt>
                <c:pt idx="64" formatCode="General">
                  <c:v>1.13414953215916E-4</c:v>
                </c:pt>
                <c:pt idx="65" formatCode="General">
                  <c:v>1.1515707168538799E-4</c:v>
                </c:pt>
                <c:pt idx="66" formatCode="General">
                  <c:v>1.16898993778497E-4</c:v>
                </c:pt>
                <c:pt idx="67" formatCode="General">
                  <c:v>1.18640711614278E-4</c:v>
                </c:pt>
                <c:pt idx="68" formatCode="General">
                  <c:v>1.2038221694625E-4</c:v>
                </c:pt>
                <c:pt idx="69" formatCode="General">
                  <c:v>1.2212350113638201E-4</c:v>
                </c:pt>
                <c:pt idx="70" formatCode="General">
                  <c:v>1.2386455512690999E-4</c:v>
                </c:pt>
                <c:pt idx="71" formatCode="General">
                  <c:v>1.25605369409755E-4</c:v>
                </c:pt>
                <c:pt idx="72" formatCode="General">
                  <c:v>1.2734593399329501E-4</c:v>
                </c:pt>
                <c:pt idx="73" formatCode="General">
                  <c:v>1.2908623836619399E-4</c:v>
                </c:pt>
                <c:pt idx="74" formatCode="General">
                  <c:v>1.30826271457973E-4</c:v>
                </c:pt>
                <c:pt idx="75" formatCode="General">
                  <c:v>1.3256602159592999E-4</c:v>
                </c:pt>
                <c:pt idx="76" formatCode="General">
                  <c:v>1.3430547645801601E-4</c:v>
                </c:pt>
                <c:pt idx="77" formatCode="General">
                  <c:v>1.3604462302117801E-4</c:v>
                </c:pt>
                <c:pt idx="78" formatCode="General">
                  <c:v>1.3778344750463401E-4</c:v>
                </c:pt>
                <c:pt idx="79" formatCode="General">
                  <c:v>1.39521935307456E-4</c:v>
                </c:pt>
                <c:pt idx="80" formatCode="General">
                  <c:v>1.4126007093978599E-4</c:v>
                </c:pt>
                <c:pt idx="81" formatCode="General">
                  <c:v>1.42997837946843E-4</c:v>
                </c:pt>
                <c:pt idx="82" formatCode="General">
                  <c:v>1.4473521882482699E-4</c:v>
                </c:pt>
                <c:pt idx="83" formatCode="General">
                  <c:v>1.4647219492764101E-4</c:v>
                </c:pt>
                <c:pt idx="84" formatCode="General">
                  <c:v>1.4820874636320501E-4</c:v>
                </c:pt>
                <c:pt idx="85" formatCode="General">
                  <c:v>1.4994485187793901E-4</c:v>
                </c:pt>
                <c:pt idx="86" formatCode="General">
                  <c:v>1.51680488727765E-4</c:v>
                </c:pt>
                <c:pt idx="87" formatCode="General">
                  <c:v>1.53415632533685E-4</c:v>
                </c:pt>
                <c:pt idx="88" formatCode="General">
                  <c:v>1.55150257119704E-4</c:v>
                </c:pt>
                <c:pt idx="89" formatCode="General">
                  <c:v>1.56884334330422E-4</c:v>
                </c:pt>
                <c:pt idx="90" formatCode="General">
                  <c:v>1.5861783382520599E-4</c:v>
                </c:pt>
                <c:pt idx="91" formatCode="General">
                  <c:v>1.6035072284523001E-4</c:v>
                </c:pt>
                <c:pt idx="92" formatCode="General">
                  <c:v>1.62082965949035E-4</c:v>
                </c:pt>
                <c:pt idx="93" formatCode="General">
                  <c:v>1.6381452471137E-4</c:v>
                </c:pt>
                <c:pt idx="94" formatCode="General">
                  <c:v>1.65545357379103E-4</c:v>
                </c:pt>
                <c:pt idx="95" formatCode="General">
                  <c:v>1.6727541847667301E-4</c:v>
                </c:pt>
                <c:pt idx="96" formatCode="General">
                  <c:v>1.69004658352047E-4</c:v>
                </c:pt>
                <c:pt idx="97" formatCode="General">
                  <c:v>1.70733022652163E-4</c:v>
                </c:pt>
                <c:pt idx="98" formatCode="General">
                  <c:v>1.7246045171446199E-4</c:v>
                </c:pt>
                <c:pt idx="99" formatCode="General">
                  <c:v>1.7418687985801999E-4</c:v>
                </c:pt>
                <c:pt idx="100" formatCode="General">
                  <c:v>1.75912234553982E-4</c:v>
                </c:pt>
                <c:pt idx="101" formatCode="General">
                  <c:v>1.7763643545005701E-4</c:v>
                </c:pt>
                <c:pt idx="102" formatCode="General">
                  <c:v>1.7935939321758E-4</c:v>
                </c:pt>
                <c:pt idx="103" formatCode="General">
                  <c:v>1.8108100818147599E-4</c:v>
                </c:pt>
                <c:pt idx="104" formatCode="General">
                  <c:v>1.82801168682923E-4</c:v>
                </c:pt>
                <c:pt idx="105" formatCode="General">
                  <c:v>1.84519749110607E-4</c:v>
                </c:pt>
                <c:pt idx="106" formatCode="General">
                  <c:v>1.86236607518079E-4</c:v>
                </c:pt>
                <c:pt idx="107" formatCode="General">
                  <c:v>1.8795158272021901E-4</c:v>
                </c:pt>
                <c:pt idx="108" formatCode="General">
                  <c:v>1.8966449072869399E-4</c:v>
                </c:pt>
                <c:pt idx="109" formatCode="General">
                  <c:v>1.91375120341292E-4</c:v>
                </c:pt>
                <c:pt idx="110" formatCode="General">
                  <c:v>1.9308322763804999E-4</c:v>
                </c:pt>
                <c:pt idx="111" formatCode="General">
                  <c:v>1.9478852905096199E-4</c:v>
                </c:pt>
                <c:pt idx="112" formatCode="General">
                  <c:v>1.96490692552978E-4</c:v>
                </c:pt>
                <c:pt idx="113" formatCode="General">
                  <c:v>1.9818932633988901E-4</c:v>
                </c:pt>
                <c:pt idx="114" formatCode="General">
                  <c:v>1.9988396413138401E-4</c:v>
                </c:pt>
                <c:pt idx="115" formatCode="General">
                  <c:v>2.0157404585853701E-4</c:v>
                </c:pt>
                <c:pt idx="116" formatCode="General">
                  <c:v>2.0325889197949799E-4</c:v>
                </c:pt>
                <c:pt idx="117" formatCode="General">
                  <c:v>2.0493766889241201E-4</c:v>
                </c:pt>
                <c:pt idx="118" formatCode="General">
                  <c:v>2.0660934178188899E-4</c:v>
                </c:pt>
                <c:pt idx="119" formatCode="General">
                  <c:v>2.0827260960656899E-4</c:v>
                </c:pt>
                <c:pt idx="120" formatCode="General">
                  <c:v>2.09925814725509E-4</c:v>
                </c:pt>
                <c:pt idx="121" formatCode="General">
                  <c:v>2.11566817152803E-4</c:v>
                </c:pt>
                <c:pt idx="122" formatCode="General">
                  <c:v>2.13192822457834E-4</c:v>
                </c:pt>
                <c:pt idx="123" formatCode="General">
                  <c:v>2.14800160631571E-4</c:v>
                </c:pt>
                <c:pt idx="124" formatCode="General">
                  <c:v>2.1638406088304E-4</c:v>
                </c:pt>
                <c:pt idx="125" formatCode="General">
                  <c:v>2.1793867255959001E-4</c:v>
                </c:pt>
                <c:pt idx="126" formatCode="General">
                  <c:v>2.1945844167662001E-4</c:v>
                </c:pt>
                <c:pt idx="127" formatCode="General">
                  <c:v>2.2094583324693099E-4</c:v>
                </c:pt>
                <c:pt idx="128" formatCode="General">
                  <c:v>2.2245211623135201E-4</c:v>
                </c:pt>
                <c:pt idx="129" formatCode="General">
                  <c:v>2.23020775579577E-4</c:v>
                </c:pt>
                <c:pt idx="130" formatCode="General">
                  <c:v>2.2452029285002101E-4</c:v>
                </c:pt>
                <c:pt idx="131" formatCode="General">
                  <c:v>2.2599283050062999E-4</c:v>
                </c:pt>
                <c:pt idx="132" formatCode="General">
                  <c:v>2.2749045508714801E-4</c:v>
                </c:pt>
                <c:pt idx="133" formatCode="General">
                  <c:v>2.29005111301837E-4</c:v>
                </c:pt>
                <c:pt idx="134" formatCode="General">
                  <c:v>2.3053233036891699E-4</c:v>
                </c:pt>
                <c:pt idx="135" formatCode="General">
                  <c:v>2.3206862711354801E-4</c:v>
                </c:pt>
                <c:pt idx="136" formatCode="General">
                  <c:v>2.3361135138873901E-4</c:v>
                </c:pt>
                <c:pt idx="137" formatCode="General">
                  <c:v>2.35158501151639E-4</c:v>
                </c:pt>
                <c:pt idx="138" formatCode="General">
                  <c:v>2.3670857400797299E-4</c:v>
                </c:pt>
                <c:pt idx="139" formatCode="General">
                  <c:v>2.38260449607E-4</c:v>
                </c:pt>
                <c:pt idx="140" formatCode="General">
                  <c:v>2.39813297658925E-4</c:v>
                </c:pt>
                <c:pt idx="141" formatCode="General">
                  <c:v>2.4136650674855099E-4</c:v>
                </c:pt>
                <c:pt idx="142" formatCode="General">
                  <c:v>2.42919629753154E-4</c:v>
                </c:pt>
                <c:pt idx="143" formatCode="General">
                  <c:v>2.4447234234448802E-4</c:v>
                </c:pt>
                <c:pt idx="144" formatCode="General">
                  <c:v>2.4602441169091098E-4</c:v>
                </c:pt>
                <c:pt idx="145" formatCode="General">
                  <c:v>2.4757567304009798E-4</c:v>
                </c:pt>
                <c:pt idx="146" formatCode="General">
                  <c:v>2.4767927682614398E-4</c:v>
                </c:pt>
                <c:pt idx="147" formatCode="General">
                  <c:v>2.8320304346897299E-4</c:v>
                </c:pt>
                <c:pt idx="148" formatCode="General">
                  <c:v>3.0456979034840898E-4</c:v>
                </c:pt>
                <c:pt idx="149" formatCode="General">
                  <c:v>3.07259726914137E-4</c:v>
                </c:pt>
                <c:pt idx="150" formatCode="General">
                  <c:v>3.0959881123902302E-4</c:v>
                </c:pt>
                <c:pt idx="151" formatCode="General">
                  <c:v>3.45144827023527E-4</c:v>
                </c:pt>
                <c:pt idx="152" formatCode="General">
                  <c:v>3.45144827023527E-4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1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1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a-DK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0.09058</cdr:x>
      <cdr:y>0.08544</cdr:y>
    </cdr:from>
    <cdr:to>
      <cdr:x>0.71503</cdr:x>
      <cdr:y>0.70304</cdr:y>
    </cdr:to>
    <cdr:sp macro="" textlink="">
      <cdr:nvSpPr>
        <cdr:cNvPr id="2" name="FracNo 943 StartRow 3">
          <a:extLst xmlns:a="http://schemas.openxmlformats.org/drawingml/2006/main">
            <a:ext uri="{FF2B5EF4-FFF2-40B4-BE49-F238E27FC236}">
              <a16:creationId xmlns:a16="http://schemas.microsoft.com/office/drawing/2014/main" id="{5C42BA26-76B1-8BAE-AC41-16289C643CE7}"/>
            </a:ext>
          </a:extLst>
        </cdr:cNvPr>
        <cdr:cNvSpPr/>
      </cdr:nvSpPr>
      <cdr:spPr>
        <a:xfrm xmlns:a="http://schemas.openxmlformats.org/drawingml/2006/main">
          <a:off x="662611" y="651036"/>
          <a:ext cx="4567987" cy="47061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67987" h="4706109">
              <a:moveTo>
                <a:pt x="1178178" y="3468718"/>
              </a:moveTo>
              <a:lnTo>
                <a:pt x="392372" y="4281510"/>
              </a:lnTo>
              <a:lnTo>
                <a:pt x="0" y="4687356"/>
              </a:lnTo>
              <a:lnTo>
                <a:pt x="18130" y="4706108"/>
              </a:lnTo>
              <a:lnTo>
                <a:pt x="410501" y="4300262"/>
              </a:lnTo>
              <a:lnTo>
                <a:pt x="1196307" y="3487470"/>
              </a:lnTo>
              <a:lnTo>
                <a:pt x="2092340" y="2560665"/>
              </a:lnTo>
              <a:lnTo>
                <a:pt x="2484711" y="2154819"/>
              </a:lnTo>
              <a:lnTo>
                <a:pt x="4173900" y="407620"/>
              </a:lnTo>
              <a:lnTo>
                <a:pt x="4567986" y="0"/>
              </a:lnTo>
              <a:lnTo>
                <a:pt x="4531728" y="0"/>
              </a:lnTo>
              <a:lnTo>
                <a:pt x="4141071" y="404072"/>
              </a:lnTo>
              <a:lnTo>
                <a:pt x="2466582" y="2136067"/>
              </a:lnTo>
              <a:lnTo>
                <a:pt x="2074211" y="25419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0.14814</cdr:x>
      <cdr:y>0.36459</cdr:y>
    </cdr:from>
    <cdr:to>
      <cdr:x>0.72014</cdr:x>
      <cdr:y>0.9301</cdr:y>
    </cdr:to>
    <cdr:sp macro="" textlink="">
      <cdr:nvSpPr>
        <cdr:cNvPr id="3" name="FracNo 991 StartRow 20">
          <a:extLst xmlns:a="http://schemas.openxmlformats.org/drawingml/2006/main">
            <a:ext uri="{FF2B5EF4-FFF2-40B4-BE49-F238E27FC236}">
              <a16:creationId xmlns:a16="http://schemas.microsoft.com/office/drawing/2014/main" id="{D5111285-3152-ACD4-E6E6-B5C1B2A2C786}"/>
            </a:ext>
          </a:extLst>
        </cdr:cNvPr>
        <cdr:cNvSpPr/>
      </cdr:nvSpPr>
      <cdr:spPr>
        <a:xfrm xmlns:a="http://schemas.openxmlformats.org/drawingml/2006/main">
          <a:off x="1083699" y="2778152"/>
          <a:ext cx="4184269" cy="43092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84269" h="4309214">
              <a:moveTo>
                <a:pt x="3737636" y="480723"/>
              </a:moveTo>
              <a:lnTo>
                <a:pt x="2101404" y="2173146"/>
              </a:lnTo>
              <a:lnTo>
                <a:pt x="1673132" y="2616126"/>
              </a:lnTo>
              <a:lnTo>
                <a:pt x="36258" y="4309213"/>
              </a:lnTo>
              <a:lnTo>
                <a:pt x="0" y="4309213"/>
              </a:lnTo>
              <a:lnTo>
                <a:pt x="1651243" y="2601263"/>
              </a:lnTo>
              <a:lnTo>
                <a:pt x="2083275" y="2154394"/>
              </a:lnTo>
              <a:lnTo>
                <a:pt x="3719506" y="461971"/>
              </a:lnTo>
              <a:lnTo>
                <a:pt x="3727333" y="453875"/>
              </a:lnTo>
              <a:lnTo>
                <a:pt x="4157485" y="8951"/>
              </a:lnTo>
              <a:lnTo>
                <a:pt x="4166139" y="0"/>
              </a:lnTo>
              <a:lnTo>
                <a:pt x="4184268" y="18752"/>
              </a:lnTo>
              <a:lnTo>
                <a:pt x="4175614" y="27703"/>
              </a:lnTo>
              <a:lnTo>
                <a:pt x="3745462" y="4726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0.37951</cdr:x>
      <cdr:y>0.38581</cdr:y>
    </cdr:from>
    <cdr:to>
      <cdr:x>0.93013</cdr:x>
      <cdr:y>0.9301</cdr:y>
    </cdr:to>
    <cdr:sp macro="" textlink="">
      <cdr:nvSpPr>
        <cdr:cNvPr id="4" name="FracNo 595 StartRow 37">
          <a:extLst xmlns:a="http://schemas.openxmlformats.org/drawingml/2006/main">
            <a:ext uri="{FF2B5EF4-FFF2-40B4-BE49-F238E27FC236}">
              <a16:creationId xmlns:a16="http://schemas.microsoft.com/office/drawing/2014/main" id="{447DEB20-C216-BC71-2F53-0B09FB7A7DAC}"/>
            </a:ext>
          </a:extLst>
        </cdr:cNvPr>
        <cdr:cNvSpPr/>
      </cdr:nvSpPr>
      <cdr:spPr>
        <a:xfrm xmlns:a="http://schemas.openxmlformats.org/drawingml/2006/main">
          <a:off x="2776164" y="2939839"/>
          <a:ext cx="4027950" cy="4147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27950" h="4147527">
              <a:moveTo>
                <a:pt x="2829058" y="1221312"/>
              </a:moveTo>
              <a:lnTo>
                <a:pt x="2083275" y="1992707"/>
              </a:lnTo>
              <a:lnTo>
                <a:pt x="2034657" y="2042995"/>
              </a:lnTo>
              <a:lnTo>
                <a:pt x="0" y="4147526"/>
              </a:lnTo>
              <a:lnTo>
                <a:pt x="36259" y="4147526"/>
              </a:lnTo>
              <a:lnTo>
                <a:pt x="2053209" y="2061309"/>
              </a:lnTo>
              <a:lnTo>
                <a:pt x="2101404" y="2011459"/>
              </a:lnTo>
              <a:lnTo>
                <a:pt x="2847188" y="1240064"/>
              </a:lnTo>
              <a:lnTo>
                <a:pt x="4027949" y="18752"/>
              </a:lnTo>
              <a:lnTo>
                <a:pt x="40098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0.1798</cdr:x>
      <cdr:y>0.38629</cdr:y>
    </cdr:from>
    <cdr:to>
      <cdr:x>0.72994</cdr:x>
      <cdr:y>0.9301</cdr:y>
    </cdr:to>
    <cdr:sp macro="" textlink="">
      <cdr:nvSpPr>
        <cdr:cNvPr id="5" name="FracNo 931 StartRow 50">
          <a:extLst xmlns:a="http://schemas.openxmlformats.org/drawingml/2006/main">
            <a:ext uri="{FF2B5EF4-FFF2-40B4-BE49-F238E27FC236}">
              <a16:creationId xmlns:a16="http://schemas.microsoft.com/office/drawing/2014/main" id="{CF982A3E-0DF7-D11D-787D-64752DC317CE}"/>
            </a:ext>
          </a:extLst>
        </cdr:cNvPr>
        <cdr:cNvSpPr/>
      </cdr:nvSpPr>
      <cdr:spPr>
        <a:xfrm xmlns:a="http://schemas.openxmlformats.org/drawingml/2006/main">
          <a:off x="1315270" y="2943554"/>
          <a:ext cx="4024359" cy="41438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24359" h="4143812">
              <a:moveTo>
                <a:pt x="3908040" y="101561"/>
              </a:moveTo>
              <a:lnTo>
                <a:pt x="3495762" y="527997"/>
              </a:lnTo>
              <a:lnTo>
                <a:pt x="2083275" y="1988992"/>
              </a:lnTo>
              <a:lnTo>
                <a:pt x="1418660" y="2676431"/>
              </a:lnTo>
              <a:lnTo>
                <a:pt x="0" y="4143811"/>
              </a:lnTo>
              <a:lnTo>
                <a:pt x="36258" y="4143811"/>
              </a:lnTo>
              <a:lnTo>
                <a:pt x="1442573" y="2689201"/>
              </a:lnTo>
              <a:lnTo>
                <a:pt x="2101404" y="2007744"/>
              </a:lnTo>
              <a:lnTo>
                <a:pt x="3513891" y="546749"/>
              </a:lnTo>
              <a:lnTo>
                <a:pt x="3926169" y="120313"/>
              </a:lnTo>
              <a:lnTo>
                <a:pt x="4024358" y="18752"/>
              </a:lnTo>
              <a:lnTo>
                <a:pt x="40062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0.40971</cdr:x>
      <cdr:y>0.16697</cdr:y>
    </cdr:from>
    <cdr:to>
      <cdr:x>0.94246</cdr:x>
      <cdr:y>0.69844</cdr:y>
    </cdr:to>
    <cdr:sp macro="" textlink="">
      <cdr:nvSpPr>
        <cdr:cNvPr id="6" name="FracNo 189 StartRow 65">
          <a:extLst xmlns:a="http://schemas.openxmlformats.org/drawingml/2006/main">
            <a:ext uri="{FF2B5EF4-FFF2-40B4-BE49-F238E27FC236}">
              <a16:creationId xmlns:a16="http://schemas.microsoft.com/office/drawing/2014/main" id="{DA5C6BDD-5228-2E44-65EA-F8EC766338F8}"/>
            </a:ext>
          </a:extLst>
        </cdr:cNvPr>
        <cdr:cNvSpPr/>
      </cdr:nvSpPr>
      <cdr:spPr>
        <a:xfrm xmlns:a="http://schemas.openxmlformats.org/drawingml/2006/main">
          <a:off x="2997145" y="1272348"/>
          <a:ext cx="3897163" cy="40497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7163" h="4049752">
              <a:moveTo>
                <a:pt x="212594" y="3848608"/>
              </a:moveTo>
              <a:lnTo>
                <a:pt x="18129" y="4049751"/>
              </a:lnTo>
              <a:lnTo>
                <a:pt x="0" y="4030999"/>
              </a:lnTo>
              <a:lnTo>
                <a:pt x="194464" y="3829856"/>
              </a:lnTo>
              <a:lnTo>
                <a:pt x="358489" y="3660198"/>
              </a:lnTo>
              <a:lnTo>
                <a:pt x="1813887" y="2154819"/>
              </a:lnTo>
              <a:lnTo>
                <a:pt x="2435404" y="1511958"/>
              </a:lnTo>
              <a:lnTo>
                <a:pt x="3897162" y="0"/>
              </a:lnTo>
              <a:lnTo>
                <a:pt x="3897162" y="37504"/>
              </a:lnTo>
              <a:lnTo>
                <a:pt x="2448125" y="1536304"/>
              </a:lnTo>
              <a:lnTo>
                <a:pt x="1832016" y="2173571"/>
              </a:lnTo>
              <a:lnTo>
                <a:pt x="376618" y="36789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0.19559</cdr:x>
      <cdr:y>0.08544</cdr:y>
    </cdr:from>
    <cdr:to>
      <cdr:x>0.72165</cdr:x>
      <cdr:y>0.60533</cdr:y>
    </cdr:to>
    <cdr:sp macro="" textlink="">
      <cdr:nvSpPr>
        <cdr:cNvPr id="7" name="FracNo 114 StartRow 80">
          <a:extLst xmlns:a="http://schemas.openxmlformats.org/drawingml/2006/main">
            <a:ext uri="{FF2B5EF4-FFF2-40B4-BE49-F238E27FC236}">
              <a16:creationId xmlns:a16="http://schemas.microsoft.com/office/drawing/2014/main" id="{E86CD3A6-3702-A563-B950-D451AED8F7BA}"/>
            </a:ext>
          </a:extLst>
        </cdr:cNvPr>
        <cdr:cNvSpPr/>
      </cdr:nvSpPr>
      <cdr:spPr>
        <a:xfrm xmlns:a="http://schemas.openxmlformats.org/drawingml/2006/main">
          <a:off x="1430798" y="651036"/>
          <a:ext cx="3848180" cy="39615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48180" h="3961582">
              <a:moveTo>
                <a:pt x="432014" y="3495979"/>
              </a:moveTo>
              <a:lnTo>
                <a:pt x="0" y="3942829"/>
              </a:lnTo>
              <a:lnTo>
                <a:pt x="18130" y="3961581"/>
              </a:lnTo>
              <a:lnTo>
                <a:pt x="450144" y="3514730"/>
              </a:lnTo>
              <a:lnTo>
                <a:pt x="1324153" y="2610706"/>
              </a:lnTo>
              <a:lnTo>
                <a:pt x="1764904" y="2154819"/>
              </a:lnTo>
              <a:lnTo>
                <a:pt x="3405502" y="457879"/>
              </a:lnTo>
              <a:lnTo>
                <a:pt x="3848179" y="0"/>
              </a:lnTo>
              <a:lnTo>
                <a:pt x="3811920" y="0"/>
              </a:lnTo>
              <a:lnTo>
                <a:pt x="3373096" y="453895"/>
              </a:lnTo>
              <a:lnTo>
                <a:pt x="1746774" y="2136067"/>
              </a:lnTo>
              <a:lnTo>
                <a:pt x="1306024" y="25919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0.13035</cdr:x>
      <cdr:y>0.19997</cdr:y>
    </cdr:from>
    <cdr:to>
      <cdr:x>0.65513</cdr:x>
      <cdr:y>0.72106</cdr:y>
    </cdr:to>
    <cdr:sp macro="" textlink="">
      <cdr:nvSpPr>
        <cdr:cNvPr id="8" name="FracNo 962 StartRow 95">
          <a:extLst xmlns:a="http://schemas.openxmlformats.org/drawingml/2006/main">
            <a:ext uri="{FF2B5EF4-FFF2-40B4-BE49-F238E27FC236}">
              <a16:creationId xmlns:a16="http://schemas.microsoft.com/office/drawing/2014/main" id="{21425BB4-57AE-EB42-3E78-A2CA25EEFE3F}"/>
            </a:ext>
          </a:extLst>
        </cdr:cNvPr>
        <cdr:cNvSpPr/>
      </cdr:nvSpPr>
      <cdr:spPr>
        <a:xfrm xmlns:a="http://schemas.openxmlformats.org/drawingml/2006/main">
          <a:off x="953523" y="1523790"/>
          <a:ext cx="3838881" cy="39707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38881" h="3970716">
              <a:moveTo>
                <a:pt x="1688011" y="2205982"/>
              </a:moveTo>
              <a:lnTo>
                <a:pt x="525171" y="3408756"/>
              </a:lnTo>
              <a:lnTo>
                <a:pt x="0" y="3951963"/>
              </a:lnTo>
              <a:lnTo>
                <a:pt x="18129" y="3970715"/>
              </a:lnTo>
              <a:lnTo>
                <a:pt x="543301" y="3427508"/>
              </a:lnTo>
              <a:lnTo>
                <a:pt x="1706140" y="2224734"/>
              </a:lnTo>
              <a:lnTo>
                <a:pt x="1801428" y="2126174"/>
              </a:lnTo>
              <a:lnTo>
                <a:pt x="2617511" y="1282065"/>
              </a:lnTo>
              <a:lnTo>
                <a:pt x="3838880" y="18751"/>
              </a:lnTo>
              <a:lnTo>
                <a:pt x="3820751" y="0"/>
              </a:lnTo>
              <a:lnTo>
                <a:pt x="2599382" y="1263313"/>
              </a:lnTo>
              <a:lnTo>
                <a:pt x="1783299" y="21074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0.60822</cdr:x>
      <cdr:y>0.5982</cdr:y>
    </cdr:to>
    <cdr:sp macro="" textlink="">
      <cdr:nvSpPr>
        <cdr:cNvPr id="9" name="FracNo 107 StartRow 110">
          <a:extLst xmlns:a="http://schemas.openxmlformats.org/drawingml/2006/main">
            <a:ext uri="{FF2B5EF4-FFF2-40B4-BE49-F238E27FC236}">
              <a16:creationId xmlns:a16="http://schemas.microsoft.com/office/drawing/2014/main" id="{D935F483-4D79-7725-83AB-EA027966E231}"/>
            </a:ext>
          </a:extLst>
        </cdr:cNvPr>
        <cdr:cNvSpPr/>
      </cdr:nvSpPr>
      <cdr:spPr>
        <a:xfrm xmlns:a="http://schemas.openxmlformats.org/drawingml/2006/main">
          <a:off x="671676" y="651036"/>
          <a:ext cx="3777547" cy="3907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77547" h="3907276">
              <a:moveTo>
                <a:pt x="963579" y="2910605"/>
              </a:moveTo>
              <a:lnTo>
                <a:pt x="0" y="3907275"/>
              </a:lnTo>
              <a:lnTo>
                <a:pt x="0" y="3869771"/>
              </a:lnTo>
              <a:lnTo>
                <a:pt x="953268" y="2883766"/>
              </a:lnTo>
              <a:lnTo>
                <a:pt x="1676142" y="2136067"/>
              </a:lnTo>
              <a:lnTo>
                <a:pt x="2063446" y="1735462"/>
              </a:lnTo>
              <a:lnTo>
                <a:pt x="3741288" y="0"/>
              </a:lnTo>
              <a:lnTo>
                <a:pt x="3777546" y="0"/>
              </a:lnTo>
              <a:lnTo>
                <a:pt x="2084975" y="1750697"/>
              </a:lnTo>
              <a:lnTo>
                <a:pt x="1694271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0.22292</cdr:x>
      <cdr:y>0.08544</cdr:y>
    </cdr:from>
    <cdr:to>
      <cdr:x>0.73758</cdr:x>
      <cdr:y>0.59402</cdr:y>
    </cdr:to>
    <cdr:sp macro="" textlink="">
      <cdr:nvSpPr>
        <cdr:cNvPr id="10" name="FracNo 917 StartRow 123">
          <a:extLst xmlns:a="http://schemas.openxmlformats.org/drawingml/2006/main">
            <a:ext uri="{FF2B5EF4-FFF2-40B4-BE49-F238E27FC236}">
              <a16:creationId xmlns:a16="http://schemas.microsoft.com/office/drawing/2014/main" id="{EA87DDB5-99C9-FC13-2C9C-6A203EDB459E}"/>
            </a:ext>
          </a:extLst>
        </cdr:cNvPr>
        <cdr:cNvSpPr/>
      </cdr:nvSpPr>
      <cdr:spPr>
        <a:xfrm xmlns:a="http://schemas.openxmlformats.org/drawingml/2006/main">
          <a:off x="1630722" y="651036"/>
          <a:ext cx="3764846" cy="3875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64846" h="3875387">
              <a:moveTo>
                <a:pt x="822864" y="3043015"/>
              </a:moveTo>
              <a:lnTo>
                <a:pt x="18129" y="3875386"/>
              </a:lnTo>
              <a:lnTo>
                <a:pt x="0" y="3856634"/>
              </a:lnTo>
              <a:lnTo>
                <a:pt x="804735" y="3024263"/>
              </a:lnTo>
              <a:lnTo>
                <a:pt x="1106100" y="2712549"/>
              </a:lnTo>
              <a:lnTo>
                <a:pt x="1663441" y="2136067"/>
              </a:lnTo>
              <a:lnTo>
                <a:pt x="3173681" y="573962"/>
              </a:lnTo>
              <a:lnTo>
                <a:pt x="3728587" y="0"/>
              </a:lnTo>
              <a:lnTo>
                <a:pt x="3764845" y="0"/>
              </a:lnTo>
              <a:lnTo>
                <a:pt x="3205068" y="579001"/>
              </a:lnTo>
              <a:lnTo>
                <a:pt x="1681570" y="2154819"/>
              </a:lnTo>
              <a:lnTo>
                <a:pt x="1124229" y="27313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0.59913</cdr:x>
      <cdr:y>0.58918</cdr:y>
    </cdr:to>
    <cdr:sp macro="" textlink="">
      <cdr:nvSpPr>
        <cdr:cNvPr id="11" name="FracNo 941 StartRow 138">
          <a:extLst xmlns:a="http://schemas.openxmlformats.org/drawingml/2006/main">
            <a:ext uri="{FF2B5EF4-FFF2-40B4-BE49-F238E27FC236}">
              <a16:creationId xmlns:a16="http://schemas.microsoft.com/office/drawing/2014/main" id="{D98ABF6B-F440-E0B8-1F08-2147A2C6A38B}"/>
            </a:ext>
          </a:extLst>
        </cdr:cNvPr>
        <cdr:cNvSpPr/>
      </cdr:nvSpPr>
      <cdr:spPr>
        <a:xfrm xmlns:a="http://schemas.openxmlformats.org/drawingml/2006/main">
          <a:off x="671676" y="651036"/>
          <a:ext cx="3711052" cy="38384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1052" h="3838498">
              <a:moveTo>
                <a:pt x="3640476" y="72999"/>
              </a:moveTo>
              <a:lnTo>
                <a:pt x="2083275" y="1683677"/>
              </a:lnTo>
              <a:lnTo>
                <a:pt x="1625786" y="2156878"/>
              </a:lnTo>
              <a:lnTo>
                <a:pt x="0" y="3838497"/>
              </a:lnTo>
              <a:lnTo>
                <a:pt x="0" y="3800993"/>
              </a:lnTo>
              <a:lnTo>
                <a:pt x="1611638" y="2134008"/>
              </a:lnTo>
              <a:lnTo>
                <a:pt x="2065146" y="1664926"/>
              </a:lnTo>
              <a:lnTo>
                <a:pt x="3605003" y="72186"/>
              </a:lnTo>
              <a:lnTo>
                <a:pt x="3674793" y="0"/>
              </a:lnTo>
              <a:lnTo>
                <a:pt x="37110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0.59371</cdr:x>
      <cdr:y>0.5838</cdr:y>
    </cdr:to>
    <cdr:sp macro="" textlink="">
      <cdr:nvSpPr>
        <cdr:cNvPr id="12" name="FracNo 1007 StartRow 151">
          <a:extLst xmlns:a="http://schemas.openxmlformats.org/drawingml/2006/main">
            <a:ext uri="{FF2B5EF4-FFF2-40B4-BE49-F238E27FC236}">
              <a16:creationId xmlns:a16="http://schemas.microsoft.com/office/drawing/2014/main" id="{F94B4BA0-8F9B-53CE-40B8-EAA9BD852385}"/>
            </a:ext>
          </a:extLst>
        </cdr:cNvPr>
        <cdr:cNvSpPr/>
      </cdr:nvSpPr>
      <cdr:spPr>
        <a:xfrm xmlns:a="http://schemas.openxmlformats.org/drawingml/2006/main">
          <a:off x="671676" y="651036"/>
          <a:ext cx="3671439" cy="37975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1439" h="3797524">
              <a:moveTo>
                <a:pt x="317024" y="3432108"/>
              </a:moveTo>
              <a:lnTo>
                <a:pt x="0" y="3760019"/>
              </a:lnTo>
              <a:lnTo>
                <a:pt x="0" y="3797523"/>
              </a:lnTo>
              <a:lnTo>
                <a:pt x="320685" y="3465825"/>
              </a:lnTo>
              <a:lnTo>
                <a:pt x="1588163" y="2154819"/>
              </a:lnTo>
              <a:lnTo>
                <a:pt x="2085439" y="1640466"/>
              </a:lnTo>
              <a:lnTo>
                <a:pt x="3671438" y="0"/>
              </a:lnTo>
              <a:lnTo>
                <a:pt x="3635179" y="0"/>
              </a:lnTo>
              <a:lnTo>
                <a:pt x="2062982" y="1626190"/>
              </a:lnTo>
              <a:lnTo>
                <a:pt x="1570034" y="2136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0.58259</cdr:x>
      <cdr:y>0.57276</cdr:y>
    </cdr:to>
    <cdr:sp macro="" textlink="">
      <cdr:nvSpPr>
        <cdr:cNvPr id="13" name="FracNo 1005 StartRow 164">
          <a:extLst xmlns:a="http://schemas.openxmlformats.org/drawingml/2006/main">
            <a:ext uri="{FF2B5EF4-FFF2-40B4-BE49-F238E27FC236}">
              <a16:creationId xmlns:a16="http://schemas.microsoft.com/office/drawing/2014/main" id="{92BC5A52-5989-CF13-85E9-DFFDBE4051F3}"/>
            </a:ext>
          </a:extLst>
        </cdr:cNvPr>
        <cdr:cNvSpPr/>
      </cdr:nvSpPr>
      <cdr:spPr>
        <a:xfrm xmlns:a="http://schemas.openxmlformats.org/drawingml/2006/main">
          <a:off x="671676" y="651036"/>
          <a:ext cx="3590099" cy="37133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90099" h="3713391">
              <a:moveTo>
                <a:pt x="35234" y="3676946"/>
              </a:moveTo>
              <a:lnTo>
                <a:pt x="0" y="3713390"/>
              </a:lnTo>
              <a:lnTo>
                <a:pt x="0" y="3675886"/>
              </a:lnTo>
              <a:lnTo>
                <a:pt x="34810" y="3639880"/>
              </a:lnTo>
              <a:lnTo>
                <a:pt x="1488694" y="2136067"/>
              </a:lnTo>
              <a:lnTo>
                <a:pt x="2062626" y="1542425"/>
              </a:lnTo>
              <a:lnTo>
                <a:pt x="3553840" y="0"/>
              </a:lnTo>
              <a:lnTo>
                <a:pt x="3590098" y="0"/>
              </a:lnTo>
              <a:lnTo>
                <a:pt x="2085794" y="1555965"/>
              </a:lnTo>
              <a:lnTo>
                <a:pt x="1506823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0.37313</cdr:x>
      <cdr:y>0.31412</cdr:y>
    </cdr:from>
    <cdr:to>
      <cdr:x>0.84685</cdr:x>
      <cdr:y>0.78451</cdr:y>
    </cdr:to>
    <cdr:sp macro="" textlink="">
      <cdr:nvSpPr>
        <cdr:cNvPr id="14" name="FracNo 921 StartRow 177">
          <a:extLst xmlns:a="http://schemas.openxmlformats.org/drawingml/2006/main">
            <a:ext uri="{FF2B5EF4-FFF2-40B4-BE49-F238E27FC236}">
              <a16:creationId xmlns:a16="http://schemas.microsoft.com/office/drawing/2014/main" id="{DD26126C-AEA4-66DE-5182-082A754C2DBC}"/>
            </a:ext>
          </a:extLst>
        </cdr:cNvPr>
        <cdr:cNvSpPr/>
      </cdr:nvSpPr>
      <cdr:spPr>
        <a:xfrm xmlns:a="http://schemas.openxmlformats.org/drawingml/2006/main">
          <a:off x="2729549" y="2393578"/>
          <a:ext cx="3465346" cy="35843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65346" h="3584353">
              <a:moveTo>
                <a:pt x="1106509" y="2458596"/>
              </a:moveTo>
              <a:lnTo>
                <a:pt x="1010676" y="2557720"/>
              </a:lnTo>
              <a:lnTo>
                <a:pt x="25402" y="3576830"/>
              </a:lnTo>
              <a:lnTo>
                <a:pt x="18129" y="3584352"/>
              </a:lnTo>
              <a:lnTo>
                <a:pt x="0" y="3565601"/>
              </a:lnTo>
              <a:lnTo>
                <a:pt x="7273" y="3558078"/>
              </a:lnTo>
              <a:lnTo>
                <a:pt x="992546" y="2538968"/>
              </a:lnTo>
              <a:lnTo>
                <a:pt x="1088380" y="2439844"/>
              </a:lnTo>
              <a:lnTo>
                <a:pt x="2081483" y="1412635"/>
              </a:lnTo>
              <a:lnTo>
                <a:pt x="3066757" y="393525"/>
              </a:lnTo>
              <a:lnTo>
                <a:pt x="3447215" y="0"/>
              </a:lnTo>
              <a:lnTo>
                <a:pt x="3465345" y="18752"/>
              </a:lnTo>
              <a:lnTo>
                <a:pt x="3084886" y="412277"/>
              </a:lnTo>
              <a:lnTo>
                <a:pt x="2099612" y="14313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0.18931</cdr:x>
      <cdr:y>0.08544</cdr:y>
    </cdr:from>
    <cdr:to>
      <cdr:x>0.64448</cdr:x>
      <cdr:y>0.53495</cdr:y>
    </cdr:to>
    <cdr:sp macro="" textlink="">
      <cdr:nvSpPr>
        <cdr:cNvPr id="15" name="FracNo 104 StartRow 194">
          <a:extLst xmlns:a="http://schemas.openxmlformats.org/drawingml/2006/main">
            <a:ext uri="{FF2B5EF4-FFF2-40B4-BE49-F238E27FC236}">
              <a16:creationId xmlns:a16="http://schemas.microsoft.com/office/drawing/2014/main" id="{2C424074-0627-E96D-A499-7468D5E9A19C}"/>
            </a:ext>
          </a:extLst>
        </cdr:cNvPr>
        <cdr:cNvSpPr/>
      </cdr:nvSpPr>
      <cdr:spPr>
        <a:xfrm xmlns:a="http://schemas.openxmlformats.org/drawingml/2006/main">
          <a:off x="1384815" y="651036"/>
          <a:ext cx="3329678" cy="34252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9678" h="3425274">
              <a:moveTo>
                <a:pt x="1181100" y="2222364"/>
              </a:moveTo>
              <a:lnTo>
                <a:pt x="18129" y="3425273"/>
              </a:lnTo>
              <a:lnTo>
                <a:pt x="0" y="3406521"/>
              </a:lnTo>
              <a:lnTo>
                <a:pt x="1162971" y="2203612"/>
              </a:lnTo>
              <a:lnTo>
                <a:pt x="1228273" y="2136067"/>
              </a:lnTo>
              <a:lnTo>
                <a:pt x="1351466" y="2008644"/>
              </a:lnTo>
              <a:lnTo>
                <a:pt x="3293419" y="0"/>
              </a:lnTo>
              <a:lnTo>
                <a:pt x="3329677" y="0"/>
              </a:lnTo>
              <a:lnTo>
                <a:pt x="1370677" y="2026277"/>
              </a:lnTo>
              <a:lnTo>
                <a:pt x="1246402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0.37331</cdr:x>
      <cdr:y>0.08544</cdr:y>
    </cdr:from>
    <cdr:to>
      <cdr:x>0.82317</cdr:x>
      <cdr:y>0.52967</cdr:y>
    </cdr:to>
    <cdr:sp macro="" textlink="">
      <cdr:nvSpPr>
        <cdr:cNvPr id="16" name="FracNo 815 StartRow 207">
          <a:extLst xmlns:a="http://schemas.openxmlformats.org/drawingml/2006/main">
            <a:ext uri="{FF2B5EF4-FFF2-40B4-BE49-F238E27FC236}">
              <a16:creationId xmlns:a16="http://schemas.microsoft.com/office/drawing/2014/main" id="{D43EE32F-2E42-5301-B680-FB9AADB5393A}"/>
            </a:ext>
          </a:extLst>
        </cdr:cNvPr>
        <cdr:cNvSpPr/>
      </cdr:nvSpPr>
      <cdr:spPr>
        <a:xfrm xmlns:a="http://schemas.openxmlformats.org/drawingml/2006/main">
          <a:off x="2730871" y="651036"/>
          <a:ext cx="3290785" cy="3385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0785" h="3385044">
              <a:moveTo>
                <a:pt x="1703980" y="1603794"/>
              </a:moveTo>
              <a:lnTo>
                <a:pt x="1189379" y="2136067"/>
              </a:lnTo>
              <a:lnTo>
                <a:pt x="5951" y="3360137"/>
              </a:lnTo>
              <a:lnTo>
                <a:pt x="0" y="3366291"/>
              </a:lnTo>
              <a:lnTo>
                <a:pt x="18130" y="3385043"/>
              </a:lnTo>
              <a:lnTo>
                <a:pt x="24080" y="3378889"/>
              </a:lnTo>
              <a:lnTo>
                <a:pt x="1207508" y="2154819"/>
              </a:lnTo>
              <a:lnTo>
                <a:pt x="1724635" y="1619933"/>
              </a:lnTo>
              <a:lnTo>
                <a:pt x="2100471" y="1231190"/>
              </a:lnTo>
              <a:lnTo>
                <a:pt x="3290784" y="0"/>
              </a:lnTo>
              <a:lnTo>
                <a:pt x="3254525" y="0"/>
              </a:lnTo>
              <a:lnTo>
                <a:pt x="2077980" y="12169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0.47887</cdr:x>
      <cdr:y>0.08544</cdr:y>
    </cdr:from>
    <cdr:to>
      <cdr:x>0.91278</cdr:x>
      <cdr:y>0.51384</cdr:y>
    </cdr:to>
    <cdr:sp macro="" textlink="">
      <cdr:nvSpPr>
        <cdr:cNvPr id="17" name="FracNo 1006 StartRow 222">
          <a:extLst xmlns:a="http://schemas.openxmlformats.org/drawingml/2006/main">
            <a:ext uri="{FF2B5EF4-FFF2-40B4-BE49-F238E27FC236}">
              <a16:creationId xmlns:a16="http://schemas.microsoft.com/office/drawing/2014/main" id="{5EF2BA9F-7F59-4199-1CBC-16CBF0A38638}"/>
            </a:ext>
          </a:extLst>
        </cdr:cNvPr>
        <cdr:cNvSpPr/>
      </cdr:nvSpPr>
      <cdr:spPr>
        <a:xfrm xmlns:a="http://schemas.openxmlformats.org/drawingml/2006/main">
          <a:off x="3503054" y="651036"/>
          <a:ext cx="3174133" cy="3264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74133" h="3264387">
              <a:moveTo>
                <a:pt x="1358149" y="1840844"/>
              </a:moveTo>
              <a:lnTo>
                <a:pt x="1307978" y="1892738"/>
              </a:lnTo>
              <a:lnTo>
                <a:pt x="1072728" y="2136067"/>
              </a:lnTo>
              <a:lnTo>
                <a:pt x="0" y="3245634"/>
              </a:lnTo>
              <a:lnTo>
                <a:pt x="18129" y="3264386"/>
              </a:lnTo>
              <a:lnTo>
                <a:pt x="1090857" y="2154819"/>
              </a:lnTo>
              <a:lnTo>
                <a:pt x="1326107" y="1911489"/>
              </a:lnTo>
              <a:lnTo>
                <a:pt x="1376775" y="1859082"/>
              </a:lnTo>
              <a:lnTo>
                <a:pt x="3174132" y="0"/>
              </a:lnTo>
              <a:lnTo>
                <a:pt x="31378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0.48067</cdr:x>
      <cdr:y>0.46305</cdr:y>
    </cdr:from>
    <cdr:to>
      <cdr:x>0.91187</cdr:x>
      <cdr:y>0.89123</cdr:y>
    </cdr:to>
    <cdr:sp macro="" textlink="">
      <cdr:nvSpPr>
        <cdr:cNvPr id="18" name="FracNo 799 StartRow 235">
          <a:extLst xmlns:a="http://schemas.openxmlformats.org/drawingml/2006/main">
            <a:ext uri="{FF2B5EF4-FFF2-40B4-BE49-F238E27FC236}">
              <a16:creationId xmlns:a16="http://schemas.microsoft.com/office/drawing/2014/main" id="{FEC5A7EB-718B-DCFF-AB82-12D7C679CA79}"/>
            </a:ext>
          </a:extLst>
        </cdr:cNvPr>
        <cdr:cNvSpPr/>
      </cdr:nvSpPr>
      <cdr:spPr>
        <a:xfrm xmlns:a="http://schemas.openxmlformats.org/drawingml/2006/main">
          <a:off x="3516169" y="3528455"/>
          <a:ext cx="3154371" cy="32626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4371" h="3262698">
              <a:moveTo>
                <a:pt x="964683" y="2283636"/>
              </a:moveTo>
              <a:lnTo>
                <a:pt x="18129" y="3262697"/>
              </a:lnTo>
              <a:lnTo>
                <a:pt x="0" y="3243946"/>
              </a:lnTo>
              <a:lnTo>
                <a:pt x="946554" y="2264884"/>
              </a:lnTo>
              <a:lnTo>
                <a:pt x="1294863" y="1904614"/>
              </a:lnTo>
              <a:lnTo>
                <a:pt x="1778767" y="1404091"/>
              </a:lnTo>
              <a:lnTo>
                <a:pt x="3136240" y="0"/>
              </a:lnTo>
              <a:lnTo>
                <a:pt x="3154370" y="18752"/>
              </a:lnTo>
              <a:lnTo>
                <a:pt x="1796897" y="1422843"/>
              </a:lnTo>
              <a:lnTo>
                <a:pt x="1312992" y="19233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0.51412</cdr:x>
      <cdr:y>0.50476</cdr:y>
    </cdr:from>
    <cdr:to>
      <cdr:x>0.94246</cdr:x>
      <cdr:y>0.9301</cdr:y>
    </cdr:to>
    <cdr:sp macro="" textlink="">
      <cdr:nvSpPr>
        <cdr:cNvPr id="19" name="FracNo 583 StartRow 248">
          <a:extLst xmlns:a="http://schemas.openxmlformats.org/drawingml/2006/main">
            <a:ext uri="{FF2B5EF4-FFF2-40B4-BE49-F238E27FC236}">
              <a16:creationId xmlns:a16="http://schemas.microsoft.com/office/drawing/2014/main" id="{0DA1C739-923B-B062-9A50-7F2D294E8CD2}"/>
            </a:ext>
          </a:extLst>
        </cdr:cNvPr>
        <cdr:cNvSpPr/>
      </cdr:nvSpPr>
      <cdr:spPr>
        <a:xfrm xmlns:a="http://schemas.openxmlformats.org/drawingml/2006/main">
          <a:off x="3760855" y="3846304"/>
          <a:ext cx="3133453" cy="32410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33453" h="3241062">
              <a:moveTo>
                <a:pt x="2251987" y="911736"/>
              </a:moveTo>
              <a:lnTo>
                <a:pt x="2083275" y="1086242"/>
              </a:lnTo>
              <a:lnTo>
                <a:pt x="1045662" y="2159489"/>
              </a:lnTo>
              <a:lnTo>
                <a:pt x="0" y="3241061"/>
              </a:lnTo>
              <a:lnTo>
                <a:pt x="36259" y="3241061"/>
              </a:lnTo>
              <a:lnTo>
                <a:pt x="1072821" y="2168901"/>
              </a:lnTo>
              <a:lnTo>
                <a:pt x="2101404" y="1104994"/>
              </a:lnTo>
              <a:lnTo>
                <a:pt x="2267203" y="933501"/>
              </a:lnTo>
              <a:lnTo>
                <a:pt x="3133452" y="37504"/>
              </a:lnTo>
              <a:lnTo>
                <a:pt x="31334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0.42921</cdr:x>
      <cdr:y>0.38619</cdr:y>
    </cdr:from>
    <cdr:to>
      <cdr:x>0.85264</cdr:x>
      <cdr:y>0.80664</cdr:y>
    </cdr:to>
    <cdr:sp macro="" textlink="">
      <cdr:nvSpPr>
        <cdr:cNvPr id="20" name="FracNo 936 StartRow 261">
          <a:extLst xmlns:a="http://schemas.openxmlformats.org/drawingml/2006/main">
            <a:ext uri="{FF2B5EF4-FFF2-40B4-BE49-F238E27FC236}">
              <a16:creationId xmlns:a16="http://schemas.microsoft.com/office/drawing/2014/main" id="{8D96FCE9-C880-7201-3365-80655EA4BCF1}"/>
            </a:ext>
          </a:extLst>
        </cdr:cNvPr>
        <cdr:cNvSpPr/>
      </cdr:nvSpPr>
      <cdr:spPr>
        <a:xfrm xmlns:a="http://schemas.openxmlformats.org/drawingml/2006/main">
          <a:off x="3139759" y="2942730"/>
          <a:ext cx="3097473" cy="3203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7473" h="3203847">
              <a:moveTo>
                <a:pt x="1947174" y="1208553"/>
              </a:moveTo>
              <a:lnTo>
                <a:pt x="1689402" y="1475177"/>
              </a:lnTo>
              <a:lnTo>
                <a:pt x="1173721" y="2008568"/>
              </a:lnTo>
              <a:lnTo>
                <a:pt x="18129" y="3203846"/>
              </a:lnTo>
              <a:lnTo>
                <a:pt x="0" y="3185094"/>
              </a:lnTo>
              <a:lnTo>
                <a:pt x="1155592" y="1989816"/>
              </a:lnTo>
              <a:lnTo>
                <a:pt x="1671273" y="1456425"/>
              </a:lnTo>
              <a:lnTo>
                <a:pt x="1929044" y="1189801"/>
              </a:lnTo>
              <a:lnTo>
                <a:pt x="3079343" y="0"/>
              </a:lnTo>
              <a:lnTo>
                <a:pt x="309747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0.10872</cdr:x>
      <cdr:y>0.08544</cdr:y>
    </cdr:from>
    <cdr:to>
      <cdr:x>0.53324</cdr:x>
      <cdr:y>0.50451</cdr:y>
    </cdr:to>
    <cdr:sp macro="" textlink="">
      <cdr:nvSpPr>
        <cdr:cNvPr id="21" name="FracNo 935 StartRow 274">
          <a:extLst xmlns:a="http://schemas.openxmlformats.org/drawingml/2006/main">
            <a:ext uri="{FF2B5EF4-FFF2-40B4-BE49-F238E27FC236}">
              <a16:creationId xmlns:a16="http://schemas.microsoft.com/office/drawing/2014/main" id="{7B3753B9-3620-FDE4-C81F-52051ADCC38A}"/>
            </a:ext>
          </a:extLst>
        </cdr:cNvPr>
        <cdr:cNvSpPr/>
      </cdr:nvSpPr>
      <cdr:spPr>
        <a:xfrm xmlns:a="http://schemas.openxmlformats.org/drawingml/2006/main">
          <a:off x="795323" y="651036"/>
          <a:ext cx="3105453" cy="31933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5453" h="3193349">
              <a:moveTo>
                <a:pt x="2562796" y="523788"/>
              </a:moveTo>
              <a:lnTo>
                <a:pt x="1941499" y="1166422"/>
              </a:lnTo>
              <a:lnTo>
                <a:pt x="1004048" y="2136067"/>
              </a:lnTo>
              <a:lnTo>
                <a:pt x="0" y="3174596"/>
              </a:lnTo>
              <a:lnTo>
                <a:pt x="18129" y="3193348"/>
              </a:lnTo>
              <a:lnTo>
                <a:pt x="1022177" y="2154819"/>
              </a:lnTo>
              <a:lnTo>
                <a:pt x="1959628" y="1185174"/>
              </a:lnTo>
              <a:lnTo>
                <a:pt x="2590913" y="532208"/>
              </a:lnTo>
              <a:lnTo>
                <a:pt x="3105452" y="0"/>
              </a:lnTo>
              <a:lnTo>
                <a:pt x="30691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0.52065</cdr:x>
      <cdr:y>0.41248</cdr:y>
    </cdr:from>
    <cdr:to>
      <cdr:x>0.94246</cdr:x>
      <cdr:y>0.8338</cdr:y>
    </cdr:to>
    <cdr:sp macro="" textlink="">
      <cdr:nvSpPr>
        <cdr:cNvPr id="22" name="FracNo 184 StartRow 287">
          <a:extLst xmlns:a="http://schemas.openxmlformats.org/drawingml/2006/main">
            <a:ext uri="{FF2B5EF4-FFF2-40B4-BE49-F238E27FC236}">
              <a16:creationId xmlns:a16="http://schemas.microsoft.com/office/drawing/2014/main" id="{ED5D812C-042C-9035-32D2-5E4A4F2DFC6F}"/>
            </a:ext>
          </a:extLst>
        </cdr:cNvPr>
        <cdr:cNvSpPr/>
      </cdr:nvSpPr>
      <cdr:spPr>
        <a:xfrm xmlns:a="http://schemas.openxmlformats.org/drawingml/2006/main">
          <a:off x="3808635" y="3143134"/>
          <a:ext cx="3085673" cy="3210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5673" h="3210393">
              <a:moveTo>
                <a:pt x="535830" y="2674912"/>
              </a:moveTo>
              <a:lnTo>
                <a:pt x="18130" y="3210392"/>
              </a:lnTo>
              <a:lnTo>
                <a:pt x="0" y="3191640"/>
              </a:lnTo>
              <a:lnTo>
                <a:pt x="517701" y="2656160"/>
              </a:lnTo>
              <a:lnTo>
                <a:pt x="1002397" y="2154819"/>
              </a:lnTo>
              <a:lnTo>
                <a:pt x="1357216" y="1787815"/>
              </a:lnTo>
              <a:lnTo>
                <a:pt x="3085672" y="0"/>
              </a:lnTo>
              <a:lnTo>
                <a:pt x="3085672" y="37504"/>
              </a:lnTo>
              <a:lnTo>
                <a:pt x="1372257" y="1809761"/>
              </a:lnTo>
              <a:lnTo>
                <a:pt x="1020526" y="21735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0.51395</cdr:x>
      <cdr:y>0.50461</cdr:y>
    </cdr:to>
    <cdr:sp macro="" textlink="">
      <cdr:nvSpPr>
        <cdr:cNvPr id="23" name="FracNo 113 StartRow 300">
          <a:extLst xmlns:a="http://schemas.openxmlformats.org/drawingml/2006/main">
            <a:ext uri="{FF2B5EF4-FFF2-40B4-BE49-F238E27FC236}">
              <a16:creationId xmlns:a16="http://schemas.microsoft.com/office/drawing/2014/main" id="{3896E14C-5D55-0DCD-4274-2FD186F739E9}"/>
            </a:ext>
          </a:extLst>
        </cdr:cNvPr>
        <cdr:cNvSpPr/>
      </cdr:nvSpPr>
      <cdr:spPr>
        <a:xfrm xmlns:a="http://schemas.openxmlformats.org/drawingml/2006/main">
          <a:off x="671676" y="651036"/>
          <a:ext cx="3088007" cy="31940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8007" h="3194055">
              <a:moveTo>
                <a:pt x="382137" y="2761291"/>
              </a:moveTo>
              <a:lnTo>
                <a:pt x="0" y="3156551"/>
              </a:lnTo>
              <a:lnTo>
                <a:pt x="0" y="3194054"/>
              </a:lnTo>
              <a:lnTo>
                <a:pt x="389159" y="2791531"/>
              </a:lnTo>
              <a:lnTo>
                <a:pt x="1004731" y="2154819"/>
              </a:lnTo>
              <a:lnTo>
                <a:pt x="2087988" y="1034360"/>
              </a:lnTo>
              <a:lnTo>
                <a:pt x="3088006" y="0"/>
              </a:lnTo>
              <a:lnTo>
                <a:pt x="3051747" y="0"/>
              </a:lnTo>
              <a:lnTo>
                <a:pt x="2060432" y="1025359"/>
              </a:lnTo>
              <a:lnTo>
                <a:pt x="986602" y="2136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0.19974</cdr:x>
      <cdr:y>0.20098</cdr:y>
    </cdr:from>
    <cdr:to>
      <cdr:x>0.6111</cdr:x>
      <cdr:y>0.60945</cdr:y>
    </cdr:to>
    <cdr:sp macro="" textlink="">
      <cdr:nvSpPr>
        <cdr:cNvPr id="24" name="FracNo 969 StartRow 313">
          <a:extLst xmlns:a="http://schemas.openxmlformats.org/drawingml/2006/main">
            <a:ext uri="{FF2B5EF4-FFF2-40B4-BE49-F238E27FC236}">
              <a16:creationId xmlns:a16="http://schemas.microsoft.com/office/drawing/2014/main" id="{3C0D1245-8875-DC60-5EFA-0EEA02BCE7D4}"/>
            </a:ext>
          </a:extLst>
        </cdr:cNvPr>
        <cdr:cNvSpPr/>
      </cdr:nvSpPr>
      <cdr:spPr>
        <a:xfrm xmlns:a="http://schemas.openxmlformats.org/drawingml/2006/main">
          <a:off x="1461126" y="1531434"/>
          <a:ext cx="3009211" cy="31125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9211" h="3112553">
              <a:moveTo>
                <a:pt x="1420080" y="1662457"/>
              </a:moveTo>
              <a:lnTo>
                <a:pt x="1293825" y="1793047"/>
              </a:lnTo>
              <a:lnTo>
                <a:pt x="18129" y="3112552"/>
              </a:lnTo>
              <a:lnTo>
                <a:pt x="0" y="3093800"/>
              </a:lnTo>
              <a:lnTo>
                <a:pt x="1275696" y="1774295"/>
              </a:lnTo>
              <a:lnTo>
                <a:pt x="1401950" y="1643704"/>
              </a:lnTo>
              <a:lnTo>
                <a:pt x="1777102" y="1255669"/>
              </a:lnTo>
              <a:lnTo>
                <a:pt x="2991081" y="0"/>
              </a:lnTo>
              <a:lnTo>
                <a:pt x="3009210" y="18752"/>
              </a:lnTo>
              <a:lnTo>
                <a:pt x="1795231" y="12744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0.53263</cdr:x>
      <cdr:y>0.12568</cdr:y>
    </cdr:from>
    <cdr:to>
      <cdr:x>0.94246</cdr:x>
      <cdr:y>0.5351</cdr:y>
    </cdr:to>
    <cdr:sp macro="" textlink="">
      <cdr:nvSpPr>
        <cdr:cNvPr id="25" name="FracNo 960 StartRow 326">
          <a:extLst xmlns:a="http://schemas.openxmlformats.org/drawingml/2006/main">
            <a:ext uri="{FF2B5EF4-FFF2-40B4-BE49-F238E27FC236}">
              <a16:creationId xmlns:a16="http://schemas.microsoft.com/office/drawing/2014/main" id="{D9950E0A-B50B-5D58-3169-E3A06D31AAF9}"/>
            </a:ext>
          </a:extLst>
        </cdr:cNvPr>
        <cdr:cNvSpPr/>
      </cdr:nvSpPr>
      <cdr:spPr>
        <a:xfrm xmlns:a="http://schemas.openxmlformats.org/drawingml/2006/main">
          <a:off x="3896291" y="957699"/>
          <a:ext cx="2998017" cy="31197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98017" h="3119728">
              <a:moveTo>
                <a:pt x="1617588" y="1427836"/>
              </a:moveTo>
              <a:lnTo>
                <a:pt x="1229352" y="1829404"/>
              </a:lnTo>
              <a:lnTo>
                <a:pt x="914741" y="2154819"/>
              </a:lnTo>
              <a:lnTo>
                <a:pt x="0" y="3100975"/>
              </a:lnTo>
              <a:lnTo>
                <a:pt x="18129" y="3119727"/>
              </a:lnTo>
              <a:lnTo>
                <a:pt x="932870" y="2173571"/>
              </a:lnTo>
              <a:lnTo>
                <a:pt x="1247481" y="1848156"/>
              </a:lnTo>
              <a:lnTo>
                <a:pt x="1631737" y="1450704"/>
              </a:lnTo>
              <a:lnTo>
                <a:pt x="2998016" y="37504"/>
              </a:lnTo>
              <a:lnTo>
                <a:pt x="29980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0.53565</cdr:x>
      <cdr:y>0.39643</cdr:y>
    </cdr:from>
    <cdr:to>
      <cdr:x>0.94246</cdr:x>
      <cdr:y>0.80284</cdr:y>
    </cdr:to>
    <cdr:sp macro="" textlink="">
      <cdr:nvSpPr>
        <cdr:cNvPr id="26" name="FracNo 181 StartRow 339">
          <a:extLst xmlns:a="http://schemas.openxmlformats.org/drawingml/2006/main">
            <a:ext uri="{FF2B5EF4-FFF2-40B4-BE49-F238E27FC236}">
              <a16:creationId xmlns:a16="http://schemas.microsoft.com/office/drawing/2014/main" id="{AF44AB6A-865F-5493-5621-D05F8BD4841C}"/>
            </a:ext>
          </a:extLst>
        </cdr:cNvPr>
        <cdr:cNvSpPr/>
      </cdr:nvSpPr>
      <cdr:spPr>
        <a:xfrm xmlns:a="http://schemas.openxmlformats.org/drawingml/2006/main">
          <a:off x="3918376" y="3020787"/>
          <a:ext cx="2975932" cy="30968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75932" h="3096883">
              <a:moveTo>
                <a:pt x="60395" y="3015662"/>
              </a:moveTo>
              <a:lnTo>
                <a:pt x="0" y="3078130"/>
              </a:lnTo>
              <a:lnTo>
                <a:pt x="18129" y="3096882"/>
              </a:lnTo>
              <a:lnTo>
                <a:pt x="78524" y="3034413"/>
              </a:lnTo>
              <a:lnTo>
                <a:pt x="910785" y="2173571"/>
              </a:lnTo>
              <a:lnTo>
                <a:pt x="1144748" y="1931573"/>
              </a:lnTo>
              <a:lnTo>
                <a:pt x="2975931" y="37503"/>
              </a:lnTo>
              <a:lnTo>
                <a:pt x="2975931" y="0"/>
              </a:lnTo>
              <a:lnTo>
                <a:pt x="1128673" y="1910697"/>
              </a:lnTo>
              <a:lnTo>
                <a:pt x="892656" y="21548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0.54828</cdr:x>
      <cdr:y>0.53746</cdr:y>
    </cdr:from>
    <cdr:to>
      <cdr:x>0.94246</cdr:x>
      <cdr:y>0.93133</cdr:y>
    </cdr:to>
    <cdr:sp macro="" textlink="">
      <cdr:nvSpPr>
        <cdr:cNvPr id="27" name="FracNo 593 StartRow 352">
          <a:extLst xmlns:a="http://schemas.openxmlformats.org/drawingml/2006/main">
            <a:ext uri="{FF2B5EF4-FFF2-40B4-BE49-F238E27FC236}">
              <a16:creationId xmlns:a16="http://schemas.microsoft.com/office/drawing/2014/main" id="{BB4CDD54-AEAA-13C9-D593-039D6DBB39A4}"/>
            </a:ext>
          </a:extLst>
        </cdr:cNvPr>
        <cdr:cNvSpPr/>
      </cdr:nvSpPr>
      <cdr:spPr>
        <a:xfrm xmlns:a="http://schemas.openxmlformats.org/drawingml/2006/main">
          <a:off x="4010774" y="4095429"/>
          <a:ext cx="2883534" cy="30013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3534" h="3001313">
              <a:moveTo>
                <a:pt x="2371887" y="529217"/>
              </a:moveTo>
              <a:lnTo>
                <a:pt x="2074210" y="837117"/>
              </a:lnTo>
              <a:lnTo>
                <a:pt x="800258" y="2154819"/>
              </a:lnTo>
              <a:lnTo>
                <a:pt x="0" y="2982560"/>
              </a:lnTo>
              <a:lnTo>
                <a:pt x="18129" y="3001312"/>
              </a:lnTo>
              <a:lnTo>
                <a:pt x="818387" y="2173571"/>
              </a:lnTo>
              <a:lnTo>
                <a:pt x="2092339" y="855869"/>
              </a:lnTo>
              <a:lnTo>
                <a:pt x="2383348" y="554866"/>
              </a:lnTo>
              <a:lnTo>
                <a:pt x="2883533" y="37504"/>
              </a:lnTo>
              <a:lnTo>
                <a:pt x="28835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0.55117</cdr:x>
      <cdr:y>0.35505</cdr:y>
    </cdr:from>
    <cdr:to>
      <cdr:x>0.94246</cdr:x>
      <cdr:y>0.74605</cdr:y>
    </cdr:to>
    <cdr:sp macro="" textlink="">
      <cdr:nvSpPr>
        <cdr:cNvPr id="28" name="FracNo 1032 StartRow 365">
          <a:extLst xmlns:a="http://schemas.openxmlformats.org/drawingml/2006/main">
            <a:ext uri="{FF2B5EF4-FFF2-40B4-BE49-F238E27FC236}">
              <a16:creationId xmlns:a16="http://schemas.microsoft.com/office/drawing/2014/main" id="{95F29C8B-1F9E-B4E2-40DC-99BC0EE14B95}"/>
            </a:ext>
          </a:extLst>
        </cdr:cNvPr>
        <cdr:cNvSpPr/>
      </cdr:nvSpPr>
      <cdr:spPr>
        <a:xfrm xmlns:a="http://schemas.openxmlformats.org/drawingml/2006/main">
          <a:off x="4031949" y="2705482"/>
          <a:ext cx="2862359" cy="29794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2359" h="2979410">
              <a:moveTo>
                <a:pt x="1892375" y="1040797"/>
              </a:moveTo>
              <a:lnTo>
                <a:pt x="797212" y="2173570"/>
              </a:lnTo>
              <a:lnTo>
                <a:pt x="727366" y="2245816"/>
              </a:lnTo>
              <a:lnTo>
                <a:pt x="18129" y="2979409"/>
              </a:lnTo>
              <a:lnTo>
                <a:pt x="0" y="2960657"/>
              </a:lnTo>
              <a:lnTo>
                <a:pt x="709236" y="2227064"/>
              </a:lnTo>
              <a:lnTo>
                <a:pt x="779083" y="2154819"/>
              </a:lnTo>
              <a:lnTo>
                <a:pt x="1883481" y="1012494"/>
              </a:lnTo>
              <a:lnTo>
                <a:pt x="2791862" y="72917"/>
              </a:lnTo>
              <a:lnTo>
                <a:pt x="2862358" y="0"/>
              </a:lnTo>
              <a:lnTo>
                <a:pt x="2862358" y="37503"/>
              </a:lnTo>
              <a:lnTo>
                <a:pt x="2793162" y="1090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0.55765</cdr:x>
      <cdr:y>0.34512</cdr:y>
    </cdr:from>
    <cdr:to>
      <cdr:x>0.94246</cdr:x>
      <cdr:y>0.72968</cdr:y>
    </cdr:to>
    <cdr:sp macro="" textlink="">
      <cdr:nvSpPr>
        <cdr:cNvPr id="29" name="FracNo 599 StartRow 380">
          <a:extLst xmlns:a="http://schemas.openxmlformats.org/drawingml/2006/main">
            <a:ext uri="{FF2B5EF4-FFF2-40B4-BE49-F238E27FC236}">
              <a16:creationId xmlns:a16="http://schemas.microsoft.com/office/drawing/2014/main" id="{EE45D81D-C5A0-5F21-C519-C05013F05493}"/>
            </a:ext>
          </a:extLst>
        </cdr:cNvPr>
        <cdr:cNvSpPr/>
      </cdr:nvSpPr>
      <cdr:spPr>
        <a:xfrm xmlns:a="http://schemas.openxmlformats.org/drawingml/2006/main">
          <a:off x="4079332" y="2629791"/>
          <a:ext cx="2814976" cy="29304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4976" h="2930400">
              <a:moveTo>
                <a:pt x="2578534" y="282064"/>
              </a:moveTo>
              <a:lnTo>
                <a:pt x="749829" y="2173571"/>
              </a:lnTo>
              <a:lnTo>
                <a:pt x="606805" y="2321507"/>
              </a:lnTo>
              <a:lnTo>
                <a:pt x="18129" y="2930399"/>
              </a:lnTo>
              <a:lnTo>
                <a:pt x="0" y="2911648"/>
              </a:lnTo>
              <a:lnTo>
                <a:pt x="588676" y="2302755"/>
              </a:lnTo>
              <a:lnTo>
                <a:pt x="731700" y="2154819"/>
              </a:lnTo>
              <a:lnTo>
                <a:pt x="2567439" y="256037"/>
              </a:lnTo>
              <a:lnTo>
                <a:pt x="2666593" y="153478"/>
              </a:lnTo>
              <a:lnTo>
                <a:pt x="2814975" y="0"/>
              </a:lnTo>
              <a:lnTo>
                <a:pt x="2814975" y="37504"/>
              </a:lnTo>
              <a:lnTo>
                <a:pt x="2677308" y="1798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0.2896</cdr:y>
    </cdr:from>
    <cdr:to>
      <cdr:x>0.47343</cdr:x>
      <cdr:y>0.67098</cdr:y>
    </cdr:to>
    <cdr:sp macro="" textlink="">
      <cdr:nvSpPr>
        <cdr:cNvPr id="30" name="FracNo 797 StartRow 395">
          <a:extLst xmlns:a="http://schemas.openxmlformats.org/drawingml/2006/main">
            <a:ext uri="{FF2B5EF4-FFF2-40B4-BE49-F238E27FC236}">
              <a16:creationId xmlns:a16="http://schemas.microsoft.com/office/drawing/2014/main" id="{EEAE0B0C-D7E5-554A-4C72-D788942E0252}"/>
            </a:ext>
          </a:extLst>
        </cdr:cNvPr>
        <cdr:cNvSpPr/>
      </cdr:nvSpPr>
      <cdr:spPr>
        <a:xfrm xmlns:a="http://schemas.openxmlformats.org/drawingml/2006/main">
          <a:off x="671676" y="2206764"/>
          <a:ext cx="2791523" cy="2906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1523" h="2906141">
              <a:moveTo>
                <a:pt x="2081663" y="715485"/>
              </a:moveTo>
              <a:lnTo>
                <a:pt x="2065146" y="732570"/>
              </a:lnTo>
              <a:lnTo>
                <a:pt x="146533" y="2717072"/>
              </a:lnTo>
              <a:lnTo>
                <a:pt x="0" y="2868637"/>
              </a:lnTo>
              <a:lnTo>
                <a:pt x="0" y="2906140"/>
              </a:lnTo>
              <a:lnTo>
                <a:pt x="147819" y="2753244"/>
              </a:lnTo>
              <a:lnTo>
                <a:pt x="2083275" y="751321"/>
              </a:lnTo>
              <a:lnTo>
                <a:pt x="2099792" y="734237"/>
              </a:lnTo>
              <a:lnTo>
                <a:pt x="2230451" y="599091"/>
              </a:lnTo>
              <a:lnTo>
                <a:pt x="2791522" y="18752"/>
              </a:lnTo>
              <a:lnTo>
                <a:pt x="2773392" y="0"/>
              </a:lnTo>
              <a:lnTo>
                <a:pt x="2212322" y="5803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0.43135</cdr:x>
      <cdr:y>0.55459</cdr:y>
    </cdr:from>
    <cdr:to>
      <cdr:x>0.812</cdr:x>
      <cdr:y>0.9301</cdr:y>
    </cdr:to>
    <cdr:sp macro="" textlink="">
      <cdr:nvSpPr>
        <cdr:cNvPr id="31" name="FracNo 997 StartRow 410">
          <a:extLst xmlns:a="http://schemas.openxmlformats.org/drawingml/2006/main">
            <a:ext uri="{FF2B5EF4-FFF2-40B4-BE49-F238E27FC236}">
              <a16:creationId xmlns:a16="http://schemas.microsoft.com/office/drawing/2014/main" id="{C08BE7DC-253C-4675-CD27-1F66EEF14136}"/>
            </a:ext>
          </a:extLst>
        </cdr:cNvPr>
        <cdr:cNvSpPr/>
      </cdr:nvSpPr>
      <cdr:spPr>
        <a:xfrm xmlns:a="http://schemas.openxmlformats.org/drawingml/2006/main">
          <a:off x="3155412" y="4225953"/>
          <a:ext cx="2784539" cy="28614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4539" h="2861413">
              <a:moveTo>
                <a:pt x="1459619" y="1389171"/>
              </a:moveTo>
              <a:lnTo>
                <a:pt x="36259" y="2861412"/>
              </a:lnTo>
              <a:lnTo>
                <a:pt x="0" y="2861412"/>
              </a:lnTo>
              <a:lnTo>
                <a:pt x="1439119" y="1372871"/>
              </a:lnTo>
              <a:lnTo>
                <a:pt x="1655620" y="1148935"/>
              </a:lnTo>
              <a:lnTo>
                <a:pt x="2083276" y="706593"/>
              </a:lnTo>
              <a:lnTo>
                <a:pt x="2766409" y="0"/>
              </a:lnTo>
              <a:lnTo>
                <a:pt x="2784538" y="18751"/>
              </a:lnTo>
              <a:lnTo>
                <a:pt x="2101405" y="725345"/>
              </a:lnTo>
              <a:lnTo>
                <a:pt x="1673749" y="11676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0.56747</cdr:x>
      <cdr:y>0.55774</cdr:y>
    </cdr:from>
    <cdr:to>
      <cdr:x>0.94246</cdr:x>
      <cdr:y>0.9301</cdr:y>
    </cdr:to>
    <cdr:sp macro="" textlink="">
      <cdr:nvSpPr>
        <cdr:cNvPr id="32" name="FracNo 726 StartRow 423">
          <a:extLst xmlns:a="http://schemas.openxmlformats.org/drawingml/2006/main">
            <a:ext uri="{FF2B5EF4-FFF2-40B4-BE49-F238E27FC236}">
              <a16:creationId xmlns:a16="http://schemas.microsoft.com/office/drawing/2014/main" id="{10A3DB0C-5586-7D47-49CA-B2753DCEEF36}"/>
            </a:ext>
          </a:extLst>
        </cdr:cNvPr>
        <cdr:cNvSpPr/>
      </cdr:nvSpPr>
      <cdr:spPr>
        <a:xfrm xmlns:a="http://schemas.openxmlformats.org/drawingml/2006/main">
          <a:off x="4151160" y="4250013"/>
          <a:ext cx="2743148" cy="28373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3148" h="2837353">
              <a:moveTo>
                <a:pt x="1930401" y="878161"/>
              </a:moveTo>
              <a:lnTo>
                <a:pt x="683968" y="2167399"/>
              </a:lnTo>
              <a:lnTo>
                <a:pt x="36258" y="2837352"/>
              </a:lnTo>
              <a:lnTo>
                <a:pt x="0" y="2837352"/>
              </a:lnTo>
              <a:lnTo>
                <a:pt x="653906" y="2160990"/>
              </a:lnTo>
              <a:lnTo>
                <a:pt x="1914153" y="857464"/>
              </a:lnTo>
              <a:lnTo>
                <a:pt x="2085153" y="680591"/>
              </a:lnTo>
              <a:lnTo>
                <a:pt x="2743147" y="0"/>
              </a:lnTo>
              <a:lnTo>
                <a:pt x="2743147" y="37504"/>
              </a:lnTo>
              <a:lnTo>
                <a:pt x="2099527" y="7032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0.40431</cdr:x>
      <cdr:y>0.36188</cdr:y>
    </cdr:from>
    <cdr:to>
      <cdr:x>0.77309</cdr:x>
      <cdr:y>0.72807</cdr:y>
    </cdr:to>
    <cdr:sp macro="" textlink="">
      <cdr:nvSpPr>
        <cdr:cNvPr id="33" name="FracNo 874 StartRow 436">
          <a:extLst xmlns:a="http://schemas.openxmlformats.org/drawingml/2006/main">
            <a:ext uri="{FF2B5EF4-FFF2-40B4-BE49-F238E27FC236}">
              <a16:creationId xmlns:a16="http://schemas.microsoft.com/office/drawing/2014/main" id="{EA978A37-8CA8-B756-665F-6D7767B05996}"/>
            </a:ext>
          </a:extLst>
        </cdr:cNvPr>
        <cdr:cNvSpPr/>
      </cdr:nvSpPr>
      <cdr:spPr>
        <a:xfrm xmlns:a="http://schemas.openxmlformats.org/drawingml/2006/main">
          <a:off x="2957640" y="2757544"/>
          <a:ext cx="2697698" cy="27903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97698" h="2790343">
              <a:moveTo>
                <a:pt x="973098" y="1765074"/>
              </a:moveTo>
              <a:lnTo>
                <a:pt x="576780" y="2175002"/>
              </a:lnTo>
              <a:lnTo>
                <a:pt x="0" y="2771590"/>
              </a:lnTo>
              <a:lnTo>
                <a:pt x="18130" y="2790342"/>
              </a:lnTo>
              <a:lnTo>
                <a:pt x="594909" y="2193754"/>
              </a:lnTo>
              <a:lnTo>
                <a:pt x="991227" y="1783826"/>
              </a:lnTo>
              <a:lnTo>
                <a:pt x="1871521" y="873300"/>
              </a:lnTo>
              <a:lnTo>
                <a:pt x="2669120" y="48311"/>
              </a:lnTo>
              <a:lnTo>
                <a:pt x="2697697" y="18752"/>
              </a:lnTo>
              <a:lnTo>
                <a:pt x="2679568" y="0"/>
              </a:lnTo>
              <a:lnTo>
                <a:pt x="2650991" y="29559"/>
              </a:lnTo>
              <a:lnTo>
                <a:pt x="1853392" y="8545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0.15379</cdr:x>
      <cdr:y>0.56773</cdr:y>
    </cdr:from>
    <cdr:to>
      <cdr:x>0.52121</cdr:x>
      <cdr:y>0.9301</cdr:y>
    </cdr:to>
    <cdr:sp macro="" textlink="">
      <cdr:nvSpPr>
        <cdr:cNvPr id="34" name="FracNo 32 StartRow 451">
          <a:extLst xmlns:a="http://schemas.openxmlformats.org/drawingml/2006/main">
            <a:ext uri="{FF2B5EF4-FFF2-40B4-BE49-F238E27FC236}">
              <a16:creationId xmlns:a16="http://schemas.microsoft.com/office/drawing/2014/main" id="{F254A6E4-47EF-AA05-353D-A7979025430B}"/>
            </a:ext>
          </a:extLst>
        </cdr:cNvPr>
        <cdr:cNvSpPr/>
      </cdr:nvSpPr>
      <cdr:spPr>
        <a:xfrm xmlns:a="http://schemas.openxmlformats.org/drawingml/2006/main">
          <a:off x="1125021" y="4326108"/>
          <a:ext cx="2687708" cy="27612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87708" h="2761258">
              <a:moveTo>
                <a:pt x="581959" y="2196816"/>
              </a:moveTo>
              <a:lnTo>
                <a:pt x="36258" y="2761257"/>
              </a:lnTo>
              <a:lnTo>
                <a:pt x="0" y="2761257"/>
              </a:lnTo>
              <a:lnTo>
                <a:pt x="551908" y="2190395"/>
              </a:lnTo>
              <a:lnTo>
                <a:pt x="1611801" y="1094103"/>
              </a:lnTo>
              <a:lnTo>
                <a:pt x="2083275" y="606438"/>
              </a:lnTo>
              <a:lnTo>
                <a:pt x="2669578" y="0"/>
              </a:lnTo>
              <a:lnTo>
                <a:pt x="2687707" y="18752"/>
              </a:lnTo>
              <a:lnTo>
                <a:pt x="2101404" y="625190"/>
              </a:lnTo>
              <a:lnTo>
                <a:pt x="1629930" y="11128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0.43792</cdr:y>
    </cdr:from>
    <cdr:to>
      <cdr:x>0.45508</cdr:x>
      <cdr:y>0.80109</cdr:y>
    </cdr:to>
    <cdr:sp macro="" textlink="">
      <cdr:nvSpPr>
        <cdr:cNvPr id="35" name="FracNo 968 StartRow 464">
          <a:extLst xmlns:a="http://schemas.openxmlformats.org/drawingml/2006/main">
            <a:ext uri="{FF2B5EF4-FFF2-40B4-BE49-F238E27FC236}">
              <a16:creationId xmlns:a16="http://schemas.microsoft.com/office/drawing/2014/main" id="{1B102F58-79FE-B1D6-220A-ABF095D442E7}"/>
            </a:ext>
          </a:extLst>
        </cdr:cNvPr>
        <cdr:cNvSpPr/>
      </cdr:nvSpPr>
      <cdr:spPr>
        <a:xfrm xmlns:a="http://schemas.openxmlformats.org/drawingml/2006/main">
          <a:off x="671676" y="3336987"/>
          <a:ext cx="2657309" cy="27673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7309" h="2767318">
              <a:moveTo>
                <a:pt x="350653" y="2367118"/>
              </a:moveTo>
              <a:lnTo>
                <a:pt x="0" y="2729813"/>
              </a:lnTo>
              <a:lnTo>
                <a:pt x="0" y="2767317"/>
              </a:lnTo>
              <a:lnTo>
                <a:pt x="356450" y="2398626"/>
              </a:lnTo>
              <a:lnTo>
                <a:pt x="1114724" y="1614311"/>
              </a:lnTo>
              <a:lnTo>
                <a:pt x="2083275" y="612498"/>
              </a:lnTo>
              <a:lnTo>
                <a:pt x="2657308" y="18752"/>
              </a:lnTo>
              <a:lnTo>
                <a:pt x="2639179" y="0"/>
              </a:lnTo>
              <a:lnTo>
                <a:pt x="2065146" y="593746"/>
              </a:lnTo>
              <a:lnTo>
                <a:pt x="1096595" y="15955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0.1897</cdr:x>
      <cdr:y>0.38705</cdr:y>
    </cdr:from>
    <cdr:to>
      <cdr:x>0.55048</cdr:x>
      <cdr:y>0.7453</cdr:y>
    </cdr:to>
    <cdr:sp macro="" textlink="">
      <cdr:nvSpPr>
        <cdr:cNvPr id="36" name="FracNo 878 StartRow 477">
          <a:extLst xmlns:a="http://schemas.openxmlformats.org/drawingml/2006/main">
            <a:ext uri="{FF2B5EF4-FFF2-40B4-BE49-F238E27FC236}">
              <a16:creationId xmlns:a16="http://schemas.microsoft.com/office/drawing/2014/main" id="{0DBFA466-CF6D-3948-33D2-4AE032012EFA}"/>
            </a:ext>
          </a:extLst>
        </cdr:cNvPr>
        <cdr:cNvSpPr/>
      </cdr:nvSpPr>
      <cdr:spPr>
        <a:xfrm xmlns:a="http://schemas.openxmlformats.org/drawingml/2006/main">
          <a:off x="1387686" y="2949359"/>
          <a:ext cx="2639208" cy="27298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9208" h="2729843">
              <a:moveTo>
                <a:pt x="107456" y="2599945"/>
              </a:moveTo>
              <a:lnTo>
                <a:pt x="0" y="2711090"/>
              </a:lnTo>
              <a:lnTo>
                <a:pt x="18130" y="2729842"/>
              </a:lnTo>
              <a:lnTo>
                <a:pt x="125585" y="2618696"/>
              </a:lnTo>
              <a:lnTo>
                <a:pt x="721865" y="2001939"/>
              </a:lnTo>
              <a:lnTo>
                <a:pt x="1367265" y="1334374"/>
              </a:lnTo>
              <a:lnTo>
                <a:pt x="2639207" y="18751"/>
              </a:lnTo>
              <a:lnTo>
                <a:pt x="2621078" y="0"/>
              </a:lnTo>
              <a:lnTo>
                <a:pt x="1349136" y="1315623"/>
              </a:lnTo>
              <a:lnTo>
                <a:pt x="703736" y="19831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0.11978</cdr:y>
    </cdr:from>
    <cdr:to>
      <cdr:x>0.44959</cdr:x>
      <cdr:y>0.47749</cdr:y>
    </cdr:to>
    <cdr:sp macro="" textlink="">
      <cdr:nvSpPr>
        <cdr:cNvPr id="37" name="FracNo 430 StartRow 490">
          <a:extLst xmlns:a="http://schemas.openxmlformats.org/drawingml/2006/main">
            <a:ext uri="{FF2B5EF4-FFF2-40B4-BE49-F238E27FC236}">
              <a16:creationId xmlns:a16="http://schemas.microsoft.com/office/drawing/2014/main" id="{D0F6D94C-403B-969A-A3B4-049CB4D4BD92}"/>
            </a:ext>
          </a:extLst>
        </cdr:cNvPr>
        <cdr:cNvSpPr/>
      </cdr:nvSpPr>
      <cdr:spPr>
        <a:xfrm xmlns:a="http://schemas.openxmlformats.org/drawingml/2006/main">
          <a:off x="671676" y="912696"/>
          <a:ext cx="2617141" cy="2725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7141" h="2725770">
              <a:moveTo>
                <a:pt x="867816" y="1790646"/>
              </a:moveTo>
              <a:lnTo>
                <a:pt x="787666" y="1873549"/>
              </a:lnTo>
              <a:lnTo>
                <a:pt x="0" y="2688265"/>
              </a:lnTo>
              <a:lnTo>
                <a:pt x="0" y="2725769"/>
              </a:lnTo>
              <a:lnTo>
                <a:pt x="804136" y="1894017"/>
              </a:lnTo>
              <a:lnTo>
                <a:pt x="884390" y="1811007"/>
              </a:lnTo>
              <a:lnTo>
                <a:pt x="2083275" y="570950"/>
              </a:lnTo>
              <a:lnTo>
                <a:pt x="2617140" y="18752"/>
              </a:lnTo>
              <a:lnTo>
                <a:pt x="2599010" y="0"/>
              </a:lnTo>
              <a:lnTo>
                <a:pt x="2065146" y="5521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0.32377</cdr:x>
      <cdr:y>0.57732</cdr:y>
    </cdr:from>
    <cdr:to>
      <cdr:x>0.68153</cdr:x>
      <cdr:y>0.9301</cdr:y>
    </cdr:to>
    <cdr:sp macro="" textlink="">
      <cdr:nvSpPr>
        <cdr:cNvPr id="38" name="FracNo 676 StartRow 503">
          <a:extLst xmlns:a="http://schemas.openxmlformats.org/drawingml/2006/main">
            <a:ext uri="{FF2B5EF4-FFF2-40B4-BE49-F238E27FC236}">
              <a16:creationId xmlns:a16="http://schemas.microsoft.com/office/drawing/2014/main" id="{40F41414-675A-B7E7-88B5-D6CF7CCF3E80}"/>
            </a:ext>
          </a:extLst>
        </cdr:cNvPr>
        <cdr:cNvSpPr/>
      </cdr:nvSpPr>
      <cdr:spPr>
        <a:xfrm xmlns:a="http://schemas.openxmlformats.org/drawingml/2006/main">
          <a:off x="2368465" y="4399188"/>
          <a:ext cx="2617055" cy="26881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7055" h="2688178">
              <a:moveTo>
                <a:pt x="2173006" y="478050"/>
              </a:moveTo>
              <a:lnTo>
                <a:pt x="2101404" y="552110"/>
              </a:lnTo>
              <a:lnTo>
                <a:pt x="393981" y="2318170"/>
              </a:lnTo>
              <a:lnTo>
                <a:pt x="36259" y="2688177"/>
              </a:lnTo>
              <a:lnTo>
                <a:pt x="0" y="2688177"/>
              </a:lnTo>
              <a:lnTo>
                <a:pt x="360862" y="2314922"/>
              </a:lnTo>
              <a:lnTo>
                <a:pt x="2083275" y="533358"/>
              </a:lnTo>
              <a:lnTo>
                <a:pt x="2154876" y="459298"/>
              </a:lnTo>
              <a:lnTo>
                <a:pt x="2442567" y="161727"/>
              </a:lnTo>
              <a:lnTo>
                <a:pt x="2598925" y="0"/>
              </a:lnTo>
              <a:lnTo>
                <a:pt x="2617054" y="18752"/>
              </a:lnTo>
              <a:lnTo>
                <a:pt x="2460696" y="1804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0.33645</cdr:y>
    </cdr:from>
    <cdr:to>
      <cdr:x>0.44074</cdr:x>
      <cdr:y>0.68538</cdr:y>
    </cdr:to>
    <cdr:sp macro="" textlink="">
      <cdr:nvSpPr>
        <cdr:cNvPr id="39" name="FracNo 761 StartRow 518">
          <a:extLst xmlns:a="http://schemas.openxmlformats.org/drawingml/2006/main">
            <a:ext uri="{FF2B5EF4-FFF2-40B4-BE49-F238E27FC236}">
              <a16:creationId xmlns:a16="http://schemas.microsoft.com/office/drawing/2014/main" id="{D9EEF262-8831-F578-7617-D3EF65E959AF}"/>
            </a:ext>
          </a:extLst>
        </cdr:cNvPr>
        <cdr:cNvSpPr/>
      </cdr:nvSpPr>
      <cdr:spPr>
        <a:xfrm xmlns:a="http://schemas.openxmlformats.org/drawingml/2006/main">
          <a:off x="671676" y="2563765"/>
          <a:ext cx="2552404" cy="2658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2404" h="2658810">
              <a:moveTo>
                <a:pt x="1997121" y="555600"/>
              </a:moveTo>
              <a:lnTo>
                <a:pt x="252061" y="2360589"/>
              </a:lnTo>
              <a:lnTo>
                <a:pt x="0" y="2621305"/>
              </a:lnTo>
              <a:lnTo>
                <a:pt x="0" y="2658809"/>
              </a:lnTo>
              <a:lnTo>
                <a:pt x="254349" y="2395725"/>
              </a:lnTo>
              <a:lnTo>
                <a:pt x="2014656" y="574966"/>
              </a:lnTo>
              <a:lnTo>
                <a:pt x="2083275" y="503990"/>
              </a:lnTo>
              <a:lnTo>
                <a:pt x="2336480" y="242090"/>
              </a:lnTo>
              <a:lnTo>
                <a:pt x="2552403" y="18752"/>
              </a:lnTo>
              <a:lnTo>
                <a:pt x="2534273" y="0"/>
              </a:lnTo>
              <a:lnTo>
                <a:pt x="2318351" y="223338"/>
              </a:lnTo>
              <a:lnTo>
                <a:pt x="2065146" y="4852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0.32459</cdr:x>
      <cdr:y>0.20279</cdr:y>
    </cdr:from>
    <cdr:to>
      <cdr:x>0.65797</cdr:x>
      <cdr:y>0.53383</cdr:y>
    </cdr:to>
    <cdr:sp macro="" textlink="">
      <cdr:nvSpPr>
        <cdr:cNvPr id="40" name="FracNo 888 StartRow 533">
          <a:extLst xmlns:a="http://schemas.openxmlformats.org/drawingml/2006/main">
            <a:ext uri="{FF2B5EF4-FFF2-40B4-BE49-F238E27FC236}">
              <a16:creationId xmlns:a16="http://schemas.microsoft.com/office/drawing/2014/main" id="{46B8AFC0-6F55-A363-20A7-A93C0E0AE777}"/>
            </a:ext>
          </a:extLst>
        </cdr:cNvPr>
        <cdr:cNvSpPr/>
      </cdr:nvSpPr>
      <cdr:spPr>
        <a:xfrm xmlns:a="http://schemas.openxmlformats.org/drawingml/2006/main">
          <a:off x="2374450" y="1545274"/>
          <a:ext cx="2438725" cy="25224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8725" h="2522474">
              <a:moveTo>
                <a:pt x="1823422" y="617680"/>
              </a:moveTo>
              <a:lnTo>
                <a:pt x="1219996" y="1241829"/>
              </a:lnTo>
              <a:lnTo>
                <a:pt x="362372" y="2128906"/>
              </a:lnTo>
              <a:lnTo>
                <a:pt x="0" y="2503722"/>
              </a:lnTo>
              <a:lnTo>
                <a:pt x="18130" y="2522473"/>
              </a:lnTo>
              <a:lnTo>
                <a:pt x="380501" y="2147658"/>
              </a:lnTo>
              <a:lnTo>
                <a:pt x="1238125" y="1260581"/>
              </a:lnTo>
              <a:lnTo>
                <a:pt x="1841551" y="636432"/>
              </a:lnTo>
              <a:lnTo>
                <a:pt x="2438724" y="18751"/>
              </a:lnTo>
              <a:lnTo>
                <a:pt x="24205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0.59316</cdr:x>
      <cdr:y>0.28839</cdr:y>
    </cdr:from>
    <cdr:to>
      <cdr:x>0.92641</cdr:x>
      <cdr:y>0.61931</cdr:y>
    </cdr:to>
    <cdr:sp macro="" textlink="">
      <cdr:nvSpPr>
        <cdr:cNvPr id="41" name="FracNo 598 StartRow 546">
          <a:extLst xmlns:a="http://schemas.openxmlformats.org/drawingml/2006/main">
            <a:ext uri="{FF2B5EF4-FFF2-40B4-BE49-F238E27FC236}">
              <a16:creationId xmlns:a16="http://schemas.microsoft.com/office/drawing/2014/main" id="{D39A2259-ADD7-96A0-69C5-74002A736530}"/>
            </a:ext>
          </a:extLst>
        </cdr:cNvPr>
        <cdr:cNvSpPr/>
      </cdr:nvSpPr>
      <cdr:spPr>
        <a:xfrm xmlns:a="http://schemas.openxmlformats.org/drawingml/2006/main">
          <a:off x="4339055" y="2197566"/>
          <a:ext cx="2437825" cy="25215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7825" h="2521545">
              <a:moveTo>
                <a:pt x="777333" y="1736266"/>
              </a:moveTo>
              <a:lnTo>
                <a:pt x="490106" y="2033357"/>
              </a:lnTo>
              <a:lnTo>
                <a:pt x="18129" y="2521544"/>
              </a:lnTo>
              <a:lnTo>
                <a:pt x="0" y="2502792"/>
              </a:lnTo>
              <a:lnTo>
                <a:pt x="471977" y="2014605"/>
              </a:lnTo>
              <a:lnTo>
                <a:pt x="759205" y="1717514"/>
              </a:lnTo>
              <a:lnTo>
                <a:pt x="1849730" y="589537"/>
              </a:lnTo>
              <a:lnTo>
                <a:pt x="2419694" y="0"/>
              </a:lnTo>
              <a:lnTo>
                <a:pt x="2437824" y="18751"/>
              </a:lnTo>
              <a:lnTo>
                <a:pt x="1867860" y="6082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0.42179</cdr:x>
      <cdr:y>0.41308</cdr:y>
    </cdr:to>
    <cdr:sp macro="" textlink="">
      <cdr:nvSpPr>
        <cdr:cNvPr id="42" name="FracNo 1034 StartRow 559">
          <a:extLst xmlns:a="http://schemas.openxmlformats.org/drawingml/2006/main">
            <a:ext uri="{FF2B5EF4-FFF2-40B4-BE49-F238E27FC236}">
              <a16:creationId xmlns:a16="http://schemas.microsoft.com/office/drawing/2014/main" id="{92E088F9-223B-A882-A999-9A52D53E54DB}"/>
            </a:ext>
          </a:extLst>
        </cdr:cNvPr>
        <cdr:cNvSpPr/>
      </cdr:nvSpPr>
      <cdr:spPr>
        <a:xfrm xmlns:a="http://schemas.openxmlformats.org/drawingml/2006/main">
          <a:off x="671676" y="651036"/>
          <a:ext cx="2413772" cy="2496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3772" h="2496666">
              <a:moveTo>
                <a:pt x="2219911" y="200517"/>
              </a:moveTo>
              <a:lnTo>
                <a:pt x="2083275" y="341846"/>
              </a:lnTo>
              <a:lnTo>
                <a:pt x="322836" y="2162742"/>
              </a:lnTo>
              <a:lnTo>
                <a:pt x="0" y="2496665"/>
              </a:lnTo>
              <a:lnTo>
                <a:pt x="0" y="2459161"/>
              </a:lnTo>
              <a:lnTo>
                <a:pt x="320027" y="2128144"/>
              </a:lnTo>
              <a:lnTo>
                <a:pt x="2065146" y="323094"/>
              </a:lnTo>
              <a:lnTo>
                <a:pt x="2194287" y="189518"/>
              </a:lnTo>
              <a:lnTo>
                <a:pt x="2377513" y="0"/>
              </a:lnTo>
              <a:lnTo>
                <a:pt x="24137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0.216</cdr:x>
      <cdr:y>0.21548</cdr:y>
    </cdr:from>
    <cdr:to>
      <cdr:x>0.54105</cdr:x>
      <cdr:y>0.53824</cdr:y>
    </cdr:to>
    <cdr:sp macro="" textlink="">
      <cdr:nvSpPr>
        <cdr:cNvPr id="43" name="FracNo 824 StartRow 572">
          <a:extLst xmlns:a="http://schemas.openxmlformats.org/drawingml/2006/main">
            <a:ext uri="{FF2B5EF4-FFF2-40B4-BE49-F238E27FC236}">
              <a16:creationId xmlns:a16="http://schemas.microsoft.com/office/drawing/2014/main" id="{8DBA9F8A-D876-DC7E-7D27-69C4BCA4E953}"/>
            </a:ext>
          </a:extLst>
        </cdr:cNvPr>
        <cdr:cNvSpPr/>
      </cdr:nvSpPr>
      <cdr:spPr>
        <a:xfrm xmlns:a="http://schemas.openxmlformats.org/drawingml/2006/main">
          <a:off x="1580107" y="1641952"/>
          <a:ext cx="2377800" cy="2459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7800" h="2459459">
              <a:moveTo>
                <a:pt x="2304783" y="94276"/>
              </a:moveTo>
              <a:lnTo>
                <a:pt x="1270670" y="1163903"/>
              </a:lnTo>
              <a:lnTo>
                <a:pt x="1174844" y="1263019"/>
              </a:lnTo>
              <a:lnTo>
                <a:pt x="18130" y="2459458"/>
              </a:lnTo>
              <a:lnTo>
                <a:pt x="0" y="2440706"/>
              </a:lnTo>
              <a:lnTo>
                <a:pt x="1156715" y="1244268"/>
              </a:lnTo>
              <a:lnTo>
                <a:pt x="1252540" y="1145151"/>
              </a:lnTo>
              <a:lnTo>
                <a:pt x="2286654" y="75524"/>
              </a:lnTo>
              <a:lnTo>
                <a:pt x="2359670" y="0"/>
              </a:lnTo>
              <a:lnTo>
                <a:pt x="23777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0.21239</cdr:x>
      <cdr:y>0.21189</cdr:y>
    </cdr:from>
    <cdr:to>
      <cdr:x>0.53744</cdr:x>
      <cdr:y>0.53465</cdr:y>
    </cdr:to>
    <cdr:sp macro="" textlink="">
      <cdr:nvSpPr>
        <cdr:cNvPr id="44" name="FracNo 853 StartRow 585">
          <a:extLst xmlns:a="http://schemas.openxmlformats.org/drawingml/2006/main">
            <a:ext uri="{FF2B5EF4-FFF2-40B4-BE49-F238E27FC236}">
              <a16:creationId xmlns:a16="http://schemas.microsoft.com/office/drawing/2014/main" id="{132DD4E0-77BE-5FA7-60C1-4F82EDB309ED}"/>
            </a:ext>
          </a:extLst>
        </cdr:cNvPr>
        <cdr:cNvSpPr/>
      </cdr:nvSpPr>
      <cdr:spPr>
        <a:xfrm xmlns:a="http://schemas.openxmlformats.org/drawingml/2006/main">
          <a:off x="1553676" y="1614612"/>
          <a:ext cx="2377800" cy="2459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7800" h="2459459">
              <a:moveTo>
                <a:pt x="347279" y="2119004"/>
              </a:moveTo>
              <a:lnTo>
                <a:pt x="18129" y="2459458"/>
              </a:lnTo>
              <a:lnTo>
                <a:pt x="0" y="2440706"/>
              </a:lnTo>
              <a:lnTo>
                <a:pt x="329150" y="2100253"/>
              </a:lnTo>
              <a:lnTo>
                <a:pt x="1183146" y="1216929"/>
              </a:lnTo>
              <a:lnTo>
                <a:pt x="1226108" y="1172491"/>
              </a:lnTo>
              <a:lnTo>
                <a:pt x="2359670" y="0"/>
              </a:lnTo>
              <a:lnTo>
                <a:pt x="2377799" y="18752"/>
              </a:lnTo>
              <a:lnTo>
                <a:pt x="1244237" y="1191243"/>
              </a:lnTo>
              <a:lnTo>
                <a:pt x="1201275" y="12356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0.51709</cdr:x>
      <cdr:y>0.24778</cdr:y>
    </cdr:from>
    <cdr:to>
      <cdr:x>0.84014</cdr:x>
      <cdr:y>0.56856</cdr:y>
    </cdr:to>
    <cdr:sp macro="" textlink="">
      <cdr:nvSpPr>
        <cdr:cNvPr id="45" name="FracNo 821 StartRow 598">
          <a:extLst xmlns:a="http://schemas.openxmlformats.org/drawingml/2006/main">
            <a:ext uri="{FF2B5EF4-FFF2-40B4-BE49-F238E27FC236}">
              <a16:creationId xmlns:a16="http://schemas.microsoft.com/office/drawing/2014/main" id="{2FA8938A-B6B0-D1A9-497C-133C76D57A58}"/>
            </a:ext>
          </a:extLst>
        </cdr:cNvPr>
        <cdr:cNvSpPr/>
      </cdr:nvSpPr>
      <cdr:spPr>
        <a:xfrm xmlns:a="http://schemas.openxmlformats.org/drawingml/2006/main">
          <a:off x="3782592" y="1888069"/>
          <a:ext cx="2363215" cy="2444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3215" h="2444373">
              <a:moveTo>
                <a:pt x="2097501" y="256085"/>
              </a:moveTo>
              <a:lnTo>
                <a:pt x="1475900" y="899034"/>
              </a:lnTo>
              <a:lnTo>
                <a:pt x="1028440" y="1361861"/>
              </a:lnTo>
              <a:lnTo>
                <a:pt x="0" y="2425620"/>
              </a:lnTo>
              <a:lnTo>
                <a:pt x="18129" y="2444372"/>
              </a:lnTo>
              <a:lnTo>
                <a:pt x="1046569" y="1380612"/>
              </a:lnTo>
              <a:lnTo>
                <a:pt x="1494029" y="917786"/>
              </a:lnTo>
              <a:lnTo>
                <a:pt x="2115631" y="274838"/>
              </a:lnTo>
              <a:lnTo>
                <a:pt x="2363214" y="18751"/>
              </a:lnTo>
              <a:lnTo>
                <a:pt x="23450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0.23546</cdr:y>
    </cdr:from>
    <cdr:to>
      <cdr:x>0.41327</cdr:x>
      <cdr:y>0.55712</cdr:y>
    </cdr:to>
    <cdr:sp macro="" textlink="">
      <cdr:nvSpPr>
        <cdr:cNvPr id="46" name="FracNo 764 StartRow 611">
          <a:extLst xmlns:a="http://schemas.openxmlformats.org/drawingml/2006/main">
            <a:ext uri="{FF2B5EF4-FFF2-40B4-BE49-F238E27FC236}">
              <a16:creationId xmlns:a16="http://schemas.microsoft.com/office/drawing/2014/main" id="{BBFF9B2F-B09F-517B-8FB1-226EB12FFDF7}"/>
            </a:ext>
          </a:extLst>
        </cdr:cNvPr>
        <cdr:cNvSpPr/>
      </cdr:nvSpPr>
      <cdr:spPr>
        <a:xfrm xmlns:a="http://schemas.openxmlformats.org/drawingml/2006/main">
          <a:off x="671676" y="1794227"/>
          <a:ext cx="2351512" cy="24510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1512" h="2451019">
              <a:moveTo>
                <a:pt x="1326992" y="1040951"/>
              </a:moveTo>
              <a:lnTo>
                <a:pt x="0" y="2413515"/>
              </a:lnTo>
              <a:lnTo>
                <a:pt x="0" y="2451018"/>
              </a:lnTo>
              <a:lnTo>
                <a:pt x="1344508" y="1060337"/>
              </a:lnTo>
              <a:lnTo>
                <a:pt x="1391600" y="1011628"/>
              </a:lnTo>
              <a:lnTo>
                <a:pt x="2083275" y="296199"/>
              </a:lnTo>
              <a:lnTo>
                <a:pt x="2351511" y="18751"/>
              </a:lnTo>
              <a:lnTo>
                <a:pt x="2333382" y="0"/>
              </a:lnTo>
              <a:lnTo>
                <a:pt x="2065146" y="277448"/>
              </a:lnTo>
              <a:lnTo>
                <a:pt x="1373471" y="9928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0.60705</cdr:y>
    </cdr:from>
    <cdr:to>
      <cdr:x>0.41184</cdr:x>
      <cdr:y>0.92728</cdr:y>
    </cdr:to>
    <cdr:sp macro="" textlink="">
      <cdr:nvSpPr>
        <cdr:cNvPr id="47" name="FracNo 844 StartRow 624">
          <a:extLst xmlns:a="http://schemas.openxmlformats.org/drawingml/2006/main">
            <a:ext uri="{FF2B5EF4-FFF2-40B4-BE49-F238E27FC236}">
              <a16:creationId xmlns:a16="http://schemas.microsoft.com/office/drawing/2014/main" id="{F97F5E38-A871-7E92-281D-8E2A243E06A8}"/>
            </a:ext>
          </a:extLst>
        </cdr:cNvPr>
        <cdr:cNvSpPr/>
      </cdr:nvSpPr>
      <cdr:spPr>
        <a:xfrm xmlns:a="http://schemas.openxmlformats.org/drawingml/2006/main">
          <a:off x="671676" y="4625722"/>
          <a:ext cx="2341038" cy="24401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1038" h="2440186">
              <a:moveTo>
                <a:pt x="2245609" y="117457"/>
              </a:moveTo>
              <a:lnTo>
                <a:pt x="2083275" y="285366"/>
              </a:lnTo>
              <a:lnTo>
                <a:pt x="2044230" y="325752"/>
              </a:lnTo>
              <a:lnTo>
                <a:pt x="0" y="2440185"/>
              </a:lnTo>
              <a:lnTo>
                <a:pt x="0" y="2402681"/>
              </a:lnTo>
              <a:lnTo>
                <a:pt x="2026441" y="306648"/>
              </a:lnTo>
              <a:lnTo>
                <a:pt x="2065146" y="266614"/>
              </a:lnTo>
              <a:lnTo>
                <a:pt x="2227479" y="98705"/>
              </a:lnTo>
              <a:lnTo>
                <a:pt x="2322907" y="0"/>
              </a:lnTo>
              <a:lnTo>
                <a:pt x="23410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0.62758</cdr:x>
      <cdr:y>0.36061</cdr:y>
    </cdr:from>
    <cdr:to>
      <cdr:x>0.94246</cdr:x>
      <cdr:y>0.67574</cdr:y>
    </cdr:to>
    <cdr:sp macro="" textlink="">
      <cdr:nvSpPr>
        <cdr:cNvPr id="48" name="FracNo 779 StartRow 637">
          <a:extLst xmlns:a="http://schemas.openxmlformats.org/drawingml/2006/main">
            <a:ext uri="{FF2B5EF4-FFF2-40B4-BE49-F238E27FC236}">
              <a16:creationId xmlns:a16="http://schemas.microsoft.com/office/drawing/2014/main" id="{922EA161-CF1F-CB38-E51C-4970E6D31FEA}"/>
            </a:ext>
          </a:extLst>
        </cdr:cNvPr>
        <cdr:cNvSpPr/>
      </cdr:nvSpPr>
      <cdr:spPr>
        <a:xfrm xmlns:a="http://schemas.openxmlformats.org/drawingml/2006/main">
          <a:off x="4590895" y="2747856"/>
          <a:ext cx="2303413" cy="24012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03413" h="2401270">
              <a:moveTo>
                <a:pt x="1465222" y="904480"/>
              </a:moveTo>
              <a:lnTo>
                <a:pt x="238266" y="2173571"/>
              </a:lnTo>
              <a:lnTo>
                <a:pt x="209387" y="2203442"/>
              </a:lnTo>
              <a:lnTo>
                <a:pt x="18129" y="2401269"/>
              </a:lnTo>
              <a:lnTo>
                <a:pt x="0" y="2382517"/>
              </a:lnTo>
              <a:lnTo>
                <a:pt x="191258" y="2184690"/>
              </a:lnTo>
              <a:lnTo>
                <a:pt x="220137" y="2154820"/>
              </a:lnTo>
              <a:lnTo>
                <a:pt x="1457640" y="874818"/>
              </a:lnTo>
              <a:lnTo>
                <a:pt x="2274222" y="30193"/>
              </a:lnTo>
              <a:lnTo>
                <a:pt x="2303412" y="0"/>
              </a:lnTo>
              <a:lnTo>
                <a:pt x="2303412" y="37504"/>
              </a:lnTo>
              <a:lnTo>
                <a:pt x="2274844" y="670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0.25275</cdr:y>
    </cdr:from>
    <cdr:to>
      <cdr:x>0.4047</cdr:x>
      <cdr:y>0.56589</cdr:y>
    </cdr:to>
    <cdr:sp macro="" textlink="">
      <cdr:nvSpPr>
        <cdr:cNvPr id="49" name="FracNo 101 StartRow 652">
          <a:extLst xmlns:a="http://schemas.openxmlformats.org/drawingml/2006/main">
            <a:ext uri="{FF2B5EF4-FFF2-40B4-BE49-F238E27FC236}">
              <a16:creationId xmlns:a16="http://schemas.microsoft.com/office/drawing/2014/main" id="{B5770EE9-5186-3A01-3CF4-E1D69AA59591}"/>
            </a:ext>
          </a:extLst>
        </cdr:cNvPr>
        <cdr:cNvSpPr/>
      </cdr:nvSpPr>
      <cdr:spPr>
        <a:xfrm xmlns:a="http://schemas.openxmlformats.org/drawingml/2006/main">
          <a:off x="671676" y="1925963"/>
          <a:ext cx="2288776" cy="23861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8776" h="2386129">
              <a:moveTo>
                <a:pt x="166949" y="2175942"/>
              </a:moveTo>
              <a:lnTo>
                <a:pt x="0" y="2348624"/>
              </a:lnTo>
              <a:lnTo>
                <a:pt x="0" y="2386128"/>
              </a:lnTo>
              <a:lnTo>
                <a:pt x="169054" y="2211269"/>
              </a:lnTo>
              <a:lnTo>
                <a:pt x="1456226" y="879892"/>
              </a:lnTo>
              <a:lnTo>
                <a:pt x="2083275" y="231309"/>
              </a:lnTo>
              <a:lnTo>
                <a:pt x="2288775" y="18752"/>
              </a:lnTo>
              <a:lnTo>
                <a:pt x="2270646" y="0"/>
              </a:lnTo>
              <a:lnTo>
                <a:pt x="2065146" y="212557"/>
              </a:lnTo>
              <a:lnTo>
                <a:pt x="1438097" y="8611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0.40572</cdr:x>
      <cdr:y>0.39713</cdr:y>
    </cdr:to>
    <cdr:sp macro="" textlink="">
      <cdr:nvSpPr>
        <cdr:cNvPr id="50" name="FracNo 854 StartRow 665">
          <a:extLst xmlns:a="http://schemas.openxmlformats.org/drawingml/2006/main">
            <a:ext uri="{FF2B5EF4-FFF2-40B4-BE49-F238E27FC236}">
              <a16:creationId xmlns:a16="http://schemas.microsoft.com/office/drawing/2014/main" id="{E55DCAFD-D389-7635-B992-826DC207C6B6}"/>
            </a:ext>
          </a:extLst>
        </cdr:cNvPr>
        <cdr:cNvSpPr/>
      </cdr:nvSpPr>
      <cdr:spPr>
        <a:xfrm xmlns:a="http://schemas.openxmlformats.org/drawingml/2006/main">
          <a:off x="671676" y="651036"/>
          <a:ext cx="2296254" cy="23751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6254" h="2375112">
              <a:moveTo>
                <a:pt x="1655092" y="625676"/>
              </a:moveTo>
              <a:lnTo>
                <a:pt x="202804" y="2127838"/>
              </a:lnTo>
              <a:lnTo>
                <a:pt x="0" y="2337607"/>
              </a:lnTo>
              <a:lnTo>
                <a:pt x="0" y="2375111"/>
              </a:lnTo>
              <a:lnTo>
                <a:pt x="205022" y="2163048"/>
              </a:lnTo>
              <a:lnTo>
                <a:pt x="1679208" y="638236"/>
              </a:lnTo>
              <a:lnTo>
                <a:pt x="2089314" y="214045"/>
              </a:lnTo>
              <a:lnTo>
                <a:pt x="2296253" y="0"/>
              </a:lnTo>
              <a:lnTo>
                <a:pt x="2259994" y="0"/>
              </a:lnTo>
              <a:lnTo>
                <a:pt x="2059106" y="2077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0.30868</cdr:y>
    </cdr:from>
    <cdr:to>
      <cdr:x>0.40387</cdr:x>
      <cdr:y>0.621</cdr:y>
    </cdr:to>
    <cdr:sp macro="" textlink="">
      <cdr:nvSpPr>
        <cdr:cNvPr id="51" name="FracNo 767 StartRow 678">
          <a:extLst xmlns:a="http://schemas.openxmlformats.org/drawingml/2006/main">
            <a:ext uri="{FF2B5EF4-FFF2-40B4-BE49-F238E27FC236}">
              <a16:creationId xmlns:a16="http://schemas.microsoft.com/office/drawing/2014/main" id="{4074E88B-DAF5-0C38-127A-0DCECE91F49D}"/>
            </a:ext>
          </a:extLst>
        </cdr:cNvPr>
        <cdr:cNvSpPr/>
      </cdr:nvSpPr>
      <cdr:spPr>
        <a:xfrm xmlns:a="http://schemas.openxmlformats.org/drawingml/2006/main">
          <a:off x="671676" y="2352174"/>
          <a:ext cx="2282683" cy="23798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2683" h="2379827">
              <a:moveTo>
                <a:pt x="800508" y="1514323"/>
              </a:moveTo>
              <a:lnTo>
                <a:pt x="0" y="2342322"/>
              </a:lnTo>
              <a:lnTo>
                <a:pt x="0" y="2379826"/>
              </a:lnTo>
              <a:lnTo>
                <a:pt x="808378" y="1543687"/>
              </a:lnTo>
              <a:lnTo>
                <a:pt x="1862194" y="453681"/>
              </a:lnTo>
              <a:lnTo>
                <a:pt x="2083275" y="225007"/>
              </a:lnTo>
              <a:lnTo>
                <a:pt x="2282682" y="18752"/>
              </a:lnTo>
              <a:lnTo>
                <a:pt x="2264553" y="0"/>
              </a:lnTo>
              <a:lnTo>
                <a:pt x="2065146" y="206255"/>
              </a:lnTo>
              <a:lnTo>
                <a:pt x="1844064" y="4349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0.45818</cdr:x>
      <cdr:y>0.23212</cdr:y>
    </cdr:from>
    <cdr:to>
      <cdr:x>0.76825</cdr:x>
      <cdr:y>0.54002</cdr:y>
    </cdr:to>
    <cdr:sp macro="" textlink="">
      <cdr:nvSpPr>
        <cdr:cNvPr id="52" name="FracNo 663 StartRow 691">
          <a:extLst xmlns:a="http://schemas.openxmlformats.org/drawingml/2006/main">
            <a:ext uri="{FF2B5EF4-FFF2-40B4-BE49-F238E27FC236}">
              <a16:creationId xmlns:a16="http://schemas.microsoft.com/office/drawing/2014/main" id="{2FE3BA11-8587-A07A-297C-43326181E98B}"/>
            </a:ext>
          </a:extLst>
        </cdr:cNvPr>
        <cdr:cNvSpPr/>
      </cdr:nvSpPr>
      <cdr:spPr>
        <a:xfrm xmlns:a="http://schemas.openxmlformats.org/drawingml/2006/main">
          <a:off x="3351642" y="1768763"/>
          <a:ext cx="2268289" cy="23461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8289" h="2346187">
              <a:moveTo>
                <a:pt x="910861" y="1385292"/>
              </a:moveTo>
              <a:lnTo>
                <a:pt x="0" y="2327435"/>
              </a:lnTo>
              <a:lnTo>
                <a:pt x="18129" y="2346186"/>
              </a:lnTo>
              <a:lnTo>
                <a:pt x="928991" y="1404044"/>
              </a:lnTo>
              <a:lnTo>
                <a:pt x="1283759" y="1037092"/>
              </a:lnTo>
              <a:lnTo>
                <a:pt x="1477519" y="836677"/>
              </a:lnTo>
              <a:lnTo>
                <a:pt x="2268288" y="18752"/>
              </a:lnTo>
              <a:lnTo>
                <a:pt x="2250159" y="0"/>
              </a:lnTo>
              <a:lnTo>
                <a:pt x="1459390" y="817925"/>
              </a:lnTo>
              <a:lnTo>
                <a:pt x="1265629" y="10183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0.26668</cdr:x>
      <cdr:y>0.62488</cdr:y>
    </cdr:from>
    <cdr:to>
      <cdr:x>0.57654</cdr:x>
      <cdr:y>0.9301</cdr:y>
    </cdr:to>
    <cdr:sp macro="" textlink="">
      <cdr:nvSpPr>
        <cdr:cNvPr id="53" name="FracNo 185 StartRow 704">
          <a:extLst xmlns:a="http://schemas.openxmlformats.org/drawingml/2006/main">
            <a:ext uri="{FF2B5EF4-FFF2-40B4-BE49-F238E27FC236}">
              <a16:creationId xmlns:a16="http://schemas.microsoft.com/office/drawing/2014/main" id="{06F945B1-0E2A-A61E-1930-4E78BE1BC346}"/>
            </a:ext>
          </a:extLst>
        </cdr:cNvPr>
        <cdr:cNvSpPr/>
      </cdr:nvSpPr>
      <cdr:spPr>
        <a:xfrm xmlns:a="http://schemas.openxmlformats.org/drawingml/2006/main">
          <a:off x="1950783" y="4761588"/>
          <a:ext cx="2266687" cy="23257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6687" h="2325778">
              <a:moveTo>
                <a:pt x="1813640" y="487358"/>
              </a:moveTo>
              <a:lnTo>
                <a:pt x="809288" y="1526201"/>
              </a:lnTo>
              <a:lnTo>
                <a:pt x="36259" y="2325777"/>
              </a:lnTo>
              <a:lnTo>
                <a:pt x="0" y="2325777"/>
              </a:lnTo>
              <a:lnTo>
                <a:pt x="780919" y="1518040"/>
              </a:lnTo>
              <a:lnTo>
                <a:pt x="1793230" y="470964"/>
              </a:lnTo>
              <a:lnTo>
                <a:pt x="2083275" y="170958"/>
              </a:lnTo>
              <a:lnTo>
                <a:pt x="2248557" y="0"/>
              </a:lnTo>
              <a:lnTo>
                <a:pt x="2266686" y="18752"/>
              </a:lnTo>
              <a:lnTo>
                <a:pt x="2101405" y="1897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0.5062</cdr:x>
      <cdr:y>0.62553</cdr:y>
    </cdr:from>
    <cdr:to>
      <cdr:x>0.8154</cdr:x>
      <cdr:y>0.9301</cdr:y>
    </cdr:to>
    <cdr:sp macro="" textlink="">
      <cdr:nvSpPr>
        <cdr:cNvPr id="54" name="FracNo 838 StartRow 717">
          <a:extLst xmlns:a="http://schemas.openxmlformats.org/drawingml/2006/main">
            <a:ext uri="{FF2B5EF4-FFF2-40B4-BE49-F238E27FC236}">
              <a16:creationId xmlns:a16="http://schemas.microsoft.com/office/drawing/2014/main" id="{AEDB563C-C159-B56B-3F51-21CC186FD511}"/>
            </a:ext>
          </a:extLst>
        </cdr:cNvPr>
        <cdr:cNvSpPr/>
      </cdr:nvSpPr>
      <cdr:spPr>
        <a:xfrm xmlns:a="http://schemas.openxmlformats.org/drawingml/2006/main">
          <a:off x="3702925" y="4766535"/>
          <a:ext cx="2261904" cy="2320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1904" h="2320831">
              <a:moveTo>
                <a:pt x="2225398" y="19007"/>
              </a:moveTo>
              <a:lnTo>
                <a:pt x="2083275" y="166011"/>
              </a:lnTo>
              <a:lnTo>
                <a:pt x="1103846" y="1179077"/>
              </a:lnTo>
              <a:lnTo>
                <a:pt x="0" y="2320830"/>
              </a:lnTo>
              <a:lnTo>
                <a:pt x="36259" y="2320830"/>
              </a:lnTo>
              <a:lnTo>
                <a:pt x="1130498" y="1189012"/>
              </a:lnTo>
              <a:lnTo>
                <a:pt x="2101404" y="184763"/>
              </a:lnTo>
              <a:lnTo>
                <a:pt x="2243528" y="37759"/>
              </a:lnTo>
              <a:lnTo>
                <a:pt x="2261903" y="18752"/>
              </a:lnTo>
              <a:lnTo>
                <a:pt x="22437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0.63644</cdr:x>
      <cdr:y>0.51528</cdr:y>
    </cdr:from>
    <cdr:to>
      <cdr:x>0.94246</cdr:x>
      <cdr:y>0.82162</cdr:y>
    </cdr:to>
    <cdr:sp macro="" textlink="">
      <cdr:nvSpPr>
        <cdr:cNvPr id="55" name="FracNo 510 StartRow 730">
          <a:extLst xmlns:a="http://schemas.openxmlformats.org/drawingml/2006/main">
            <a:ext uri="{FF2B5EF4-FFF2-40B4-BE49-F238E27FC236}">
              <a16:creationId xmlns:a16="http://schemas.microsoft.com/office/drawing/2014/main" id="{3B492B20-BC37-65A1-CCC1-2436444FD609}"/>
            </a:ext>
          </a:extLst>
        </cdr:cNvPr>
        <cdr:cNvSpPr/>
      </cdr:nvSpPr>
      <cdr:spPr>
        <a:xfrm xmlns:a="http://schemas.openxmlformats.org/drawingml/2006/main">
          <a:off x="4655694" y="3926464"/>
          <a:ext cx="2238614" cy="23342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8614" h="2334245">
              <a:moveTo>
                <a:pt x="805576" y="1482251"/>
              </a:moveTo>
              <a:lnTo>
                <a:pt x="155338" y="2154819"/>
              </a:lnTo>
              <a:lnTo>
                <a:pt x="0" y="2315492"/>
              </a:lnTo>
              <a:lnTo>
                <a:pt x="18129" y="2334244"/>
              </a:lnTo>
              <a:lnTo>
                <a:pt x="173467" y="2173571"/>
              </a:lnTo>
              <a:lnTo>
                <a:pt x="820274" y="1504552"/>
              </a:lnTo>
              <a:lnTo>
                <a:pt x="1281127" y="1027873"/>
              </a:lnTo>
              <a:lnTo>
                <a:pt x="2238613" y="37504"/>
              </a:lnTo>
              <a:lnTo>
                <a:pt x="2238613" y="0"/>
              </a:lnTo>
              <a:lnTo>
                <a:pt x="1268873" y="10030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0.57316</cdr:x>
      <cdr:y>0.08544</cdr:y>
    </cdr:from>
    <cdr:to>
      <cdr:x>0.88009</cdr:x>
      <cdr:y>0.38775</cdr:y>
    </cdr:to>
    <cdr:sp macro="" textlink="">
      <cdr:nvSpPr>
        <cdr:cNvPr id="56" name="FracNo 951 StartRow 743">
          <a:extLst xmlns:a="http://schemas.openxmlformats.org/drawingml/2006/main">
            <a:ext uri="{FF2B5EF4-FFF2-40B4-BE49-F238E27FC236}">
              <a16:creationId xmlns:a16="http://schemas.microsoft.com/office/drawing/2014/main" id="{83CC01D4-1DD1-0195-E7F2-4F8AC3ACE488}"/>
            </a:ext>
          </a:extLst>
        </cdr:cNvPr>
        <cdr:cNvSpPr/>
      </cdr:nvSpPr>
      <cdr:spPr>
        <a:xfrm xmlns:a="http://schemas.openxmlformats.org/drawingml/2006/main">
          <a:off x="4192781" y="651036"/>
          <a:ext cx="2245283" cy="2303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5283" h="2303639">
              <a:moveTo>
                <a:pt x="1353625" y="922278"/>
              </a:moveTo>
              <a:lnTo>
                <a:pt x="636380" y="1664155"/>
              </a:lnTo>
              <a:lnTo>
                <a:pt x="162007" y="2154819"/>
              </a:lnTo>
              <a:lnTo>
                <a:pt x="18129" y="2303638"/>
              </a:lnTo>
              <a:lnTo>
                <a:pt x="0" y="2284886"/>
              </a:lnTo>
              <a:lnTo>
                <a:pt x="143878" y="2136067"/>
              </a:lnTo>
              <a:lnTo>
                <a:pt x="618251" y="1645403"/>
              </a:lnTo>
              <a:lnTo>
                <a:pt x="1327414" y="911886"/>
              </a:lnTo>
              <a:lnTo>
                <a:pt x="2209024" y="0"/>
              </a:lnTo>
              <a:lnTo>
                <a:pt x="22452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0.57572</cdr:x>
      <cdr:y>0.62815</cdr:y>
    </cdr:from>
    <cdr:to>
      <cdr:x>0.88229</cdr:x>
      <cdr:y>0.9301</cdr:y>
    </cdr:to>
    <cdr:sp macro="" textlink="">
      <cdr:nvSpPr>
        <cdr:cNvPr id="57" name="FracNo 980 StartRow 756">
          <a:extLst xmlns:a="http://schemas.openxmlformats.org/drawingml/2006/main">
            <a:ext uri="{FF2B5EF4-FFF2-40B4-BE49-F238E27FC236}">
              <a16:creationId xmlns:a16="http://schemas.microsoft.com/office/drawing/2014/main" id="{82B4F365-86FB-B54D-912A-FD806C35E0F4}"/>
            </a:ext>
          </a:extLst>
        </cdr:cNvPr>
        <cdr:cNvSpPr/>
      </cdr:nvSpPr>
      <cdr:spPr>
        <a:xfrm xmlns:a="http://schemas.openxmlformats.org/drawingml/2006/main">
          <a:off x="4211537" y="4786519"/>
          <a:ext cx="2242584" cy="2300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2584" h="2300847">
              <a:moveTo>
                <a:pt x="857299" y="1414106"/>
              </a:moveTo>
              <a:lnTo>
                <a:pt x="596723" y="1683630"/>
              </a:lnTo>
              <a:lnTo>
                <a:pt x="0" y="2300846"/>
              </a:lnTo>
              <a:lnTo>
                <a:pt x="36259" y="2300846"/>
              </a:lnTo>
              <a:lnTo>
                <a:pt x="620396" y="1696648"/>
              </a:lnTo>
              <a:lnTo>
                <a:pt x="880000" y="1428128"/>
              </a:lnTo>
              <a:lnTo>
                <a:pt x="2101404" y="164779"/>
              </a:lnTo>
              <a:lnTo>
                <a:pt x="2242583" y="18752"/>
              </a:lnTo>
              <a:lnTo>
                <a:pt x="2224454" y="0"/>
              </a:lnTo>
              <a:lnTo>
                <a:pt x="2083275" y="1460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0.63924</cdr:x>
      <cdr:y>0.26416</cdr:y>
    </cdr:from>
    <cdr:to>
      <cdr:x>0.94246</cdr:x>
      <cdr:y>0.56771</cdr:y>
    </cdr:to>
    <cdr:sp macro="" textlink="">
      <cdr:nvSpPr>
        <cdr:cNvPr id="58" name="FracNo 920 StartRow 769">
          <a:extLst xmlns:a="http://schemas.openxmlformats.org/drawingml/2006/main">
            <a:ext uri="{FF2B5EF4-FFF2-40B4-BE49-F238E27FC236}">
              <a16:creationId xmlns:a16="http://schemas.microsoft.com/office/drawing/2014/main" id="{4691577A-D26C-7916-0001-559C2ED45705}"/>
            </a:ext>
          </a:extLst>
        </cdr:cNvPr>
        <cdr:cNvSpPr/>
      </cdr:nvSpPr>
      <cdr:spPr>
        <a:xfrm xmlns:a="http://schemas.openxmlformats.org/drawingml/2006/main">
          <a:off x="4676139" y="2012866"/>
          <a:ext cx="2218169" cy="23130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18169" h="2313098">
              <a:moveTo>
                <a:pt x="1229136" y="1060501"/>
              </a:moveTo>
              <a:lnTo>
                <a:pt x="153022" y="2173571"/>
              </a:lnTo>
              <a:lnTo>
                <a:pt x="18130" y="2313097"/>
              </a:lnTo>
              <a:lnTo>
                <a:pt x="0" y="2294345"/>
              </a:lnTo>
              <a:lnTo>
                <a:pt x="134893" y="2154819"/>
              </a:lnTo>
              <a:lnTo>
                <a:pt x="1214780" y="1037846"/>
              </a:lnTo>
              <a:lnTo>
                <a:pt x="1471973" y="771821"/>
              </a:lnTo>
              <a:lnTo>
                <a:pt x="2218168" y="0"/>
              </a:lnTo>
              <a:lnTo>
                <a:pt x="2218168" y="37504"/>
              </a:lnTo>
              <a:lnTo>
                <a:pt x="1485430" y="7954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0.24713</cdr:x>
      <cdr:y>0.63133</cdr:y>
    </cdr:from>
    <cdr:to>
      <cdr:x>0.55049</cdr:x>
      <cdr:y>0.9301</cdr:y>
    </cdr:to>
    <cdr:sp macro="" textlink="">
      <cdr:nvSpPr>
        <cdr:cNvPr id="59" name="FracNo 859 StartRow 782">
          <a:extLst xmlns:a="http://schemas.openxmlformats.org/drawingml/2006/main">
            <a:ext uri="{FF2B5EF4-FFF2-40B4-BE49-F238E27FC236}">
              <a16:creationId xmlns:a16="http://schemas.microsoft.com/office/drawing/2014/main" id="{62D2FDF3-5982-8C2F-CA34-91D1B19E4836}"/>
            </a:ext>
          </a:extLst>
        </cdr:cNvPr>
        <cdr:cNvSpPr/>
      </cdr:nvSpPr>
      <cdr:spPr>
        <a:xfrm xmlns:a="http://schemas.openxmlformats.org/drawingml/2006/main">
          <a:off x="1807802" y="4810742"/>
          <a:ext cx="2219166" cy="22766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19166" h="2276624">
              <a:moveTo>
                <a:pt x="2145929" y="94503"/>
              </a:moveTo>
              <a:lnTo>
                <a:pt x="2101404" y="140556"/>
              </a:lnTo>
              <a:lnTo>
                <a:pt x="952193" y="1329234"/>
              </a:lnTo>
              <a:lnTo>
                <a:pt x="36259" y="2276623"/>
              </a:lnTo>
              <a:lnTo>
                <a:pt x="0" y="2276623"/>
              </a:lnTo>
              <a:lnTo>
                <a:pt x="923975" y="1320917"/>
              </a:lnTo>
              <a:lnTo>
                <a:pt x="2083275" y="121804"/>
              </a:lnTo>
              <a:lnTo>
                <a:pt x="2127800" y="75751"/>
              </a:lnTo>
              <a:lnTo>
                <a:pt x="2201035" y="0"/>
              </a:lnTo>
              <a:lnTo>
                <a:pt x="22191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0.09156</cdr:x>
      <cdr:y>0.63183</cdr:y>
    </cdr:from>
    <cdr:to>
      <cdr:x>0.39319</cdr:x>
      <cdr:y>0.9301</cdr:y>
    </cdr:to>
    <cdr:sp macro="" textlink="">
      <cdr:nvSpPr>
        <cdr:cNvPr id="60" name="FracNo 822 StartRow 795">
          <a:extLst xmlns:a="http://schemas.openxmlformats.org/drawingml/2006/main">
            <a:ext uri="{FF2B5EF4-FFF2-40B4-BE49-F238E27FC236}">
              <a16:creationId xmlns:a16="http://schemas.microsoft.com/office/drawing/2014/main" id="{4FA5F2FE-7C98-6853-C6EA-6ACDD3CE5E54}"/>
            </a:ext>
          </a:extLst>
        </cdr:cNvPr>
        <cdr:cNvSpPr/>
      </cdr:nvSpPr>
      <cdr:spPr>
        <a:xfrm xmlns:a="http://schemas.openxmlformats.org/drawingml/2006/main">
          <a:off x="669786" y="4814520"/>
          <a:ext cx="2206448" cy="2272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6448" h="2272846">
              <a:moveTo>
                <a:pt x="2167649" y="21378"/>
              </a:moveTo>
              <a:lnTo>
                <a:pt x="2074210" y="118026"/>
              </a:lnTo>
              <a:lnTo>
                <a:pt x="2067036" y="125447"/>
              </a:lnTo>
              <a:lnTo>
                <a:pt x="0" y="2263469"/>
              </a:lnTo>
              <a:lnTo>
                <a:pt x="27194" y="2272845"/>
              </a:lnTo>
              <a:lnTo>
                <a:pt x="2085196" y="144166"/>
              </a:lnTo>
              <a:lnTo>
                <a:pt x="2092340" y="136778"/>
              </a:lnTo>
              <a:lnTo>
                <a:pt x="2185778" y="40130"/>
              </a:lnTo>
              <a:lnTo>
                <a:pt x="2206447" y="18752"/>
              </a:lnTo>
              <a:lnTo>
                <a:pt x="21883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0.25443</cdr:x>
      <cdr:y>0.63496</cdr:y>
    </cdr:from>
    <cdr:to>
      <cdr:x>0.55414</cdr:x>
      <cdr:y>0.9301</cdr:y>
    </cdr:to>
    <cdr:sp macro="" textlink="">
      <cdr:nvSpPr>
        <cdr:cNvPr id="61" name="FracNo 945 StartRow 808">
          <a:extLst xmlns:a="http://schemas.openxmlformats.org/drawingml/2006/main">
            <a:ext uri="{FF2B5EF4-FFF2-40B4-BE49-F238E27FC236}">
              <a16:creationId xmlns:a16="http://schemas.microsoft.com/office/drawing/2014/main" id="{89D4D36C-B78B-5329-578A-1B94D774CD79}"/>
            </a:ext>
          </a:extLst>
        </cdr:cNvPr>
        <cdr:cNvSpPr/>
      </cdr:nvSpPr>
      <cdr:spPr>
        <a:xfrm xmlns:a="http://schemas.openxmlformats.org/drawingml/2006/main">
          <a:off x="1861208" y="4838362"/>
          <a:ext cx="2192463" cy="22490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2463" h="2249004">
              <a:moveTo>
                <a:pt x="430555" y="1841167"/>
              </a:moveTo>
              <a:lnTo>
                <a:pt x="36259" y="2249003"/>
              </a:lnTo>
              <a:lnTo>
                <a:pt x="0" y="2249003"/>
              </a:lnTo>
              <a:lnTo>
                <a:pt x="402632" y="1832544"/>
              </a:lnTo>
              <a:lnTo>
                <a:pt x="875614" y="1343319"/>
              </a:lnTo>
              <a:lnTo>
                <a:pt x="2083276" y="94184"/>
              </a:lnTo>
              <a:lnTo>
                <a:pt x="2174333" y="0"/>
              </a:lnTo>
              <a:lnTo>
                <a:pt x="2192462" y="18752"/>
              </a:lnTo>
              <a:lnTo>
                <a:pt x="2101405" y="112936"/>
              </a:lnTo>
              <a:lnTo>
                <a:pt x="893743" y="13620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0.09712</cdr:x>
      <cdr:y>0.6352</cdr:y>
    </cdr:from>
    <cdr:to>
      <cdr:x>0.39658</cdr:x>
      <cdr:y>0.9301</cdr:y>
    </cdr:to>
    <cdr:sp macro="" textlink="">
      <cdr:nvSpPr>
        <cdr:cNvPr id="62" name="FracNo 812 StartRow 821">
          <a:extLst xmlns:a="http://schemas.openxmlformats.org/drawingml/2006/main">
            <a:ext uri="{FF2B5EF4-FFF2-40B4-BE49-F238E27FC236}">
              <a16:creationId xmlns:a16="http://schemas.microsoft.com/office/drawing/2014/main" id="{EE840C12-E89F-7C97-97EE-E735DE37CCF5}"/>
            </a:ext>
          </a:extLst>
        </cdr:cNvPr>
        <cdr:cNvSpPr/>
      </cdr:nvSpPr>
      <cdr:spPr>
        <a:xfrm xmlns:a="http://schemas.openxmlformats.org/drawingml/2006/main">
          <a:off x="710437" y="4840231"/>
          <a:ext cx="2190655" cy="22471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0655" h="2247135">
              <a:moveTo>
                <a:pt x="657705" y="1604346"/>
              </a:moveTo>
              <a:lnTo>
                <a:pt x="36258" y="2247134"/>
              </a:lnTo>
              <a:lnTo>
                <a:pt x="0" y="2247134"/>
              </a:lnTo>
              <a:lnTo>
                <a:pt x="627056" y="1598543"/>
              </a:lnTo>
              <a:lnTo>
                <a:pt x="2026385" y="151159"/>
              </a:lnTo>
              <a:lnTo>
                <a:pt x="2083275" y="92315"/>
              </a:lnTo>
              <a:lnTo>
                <a:pt x="2172525" y="0"/>
              </a:lnTo>
              <a:lnTo>
                <a:pt x="2190654" y="18752"/>
              </a:lnTo>
              <a:lnTo>
                <a:pt x="2101404" y="111067"/>
              </a:lnTo>
              <a:lnTo>
                <a:pt x="2044514" y="1699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0.64477</cdr:x>
      <cdr:y>0.6345</cdr:y>
    </cdr:from>
    <cdr:to>
      <cdr:x>0.94246</cdr:x>
      <cdr:y>0.9301</cdr:y>
    </cdr:to>
    <cdr:sp macro="" textlink="">
      <cdr:nvSpPr>
        <cdr:cNvPr id="63" name="FracNo 502 StartRow 834">
          <a:extLst xmlns:a="http://schemas.openxmlformats.org/drawingml/2006/main">
            <a:ext uri="{FF2B5EF4-FFF2-40B4-BE49-F238E27FC236}">
              <a16:creationId xmlns:a16="http://schemas.microsoft.com/office/drawing/2014/main" id="{5A7B5EA7-2E3A-84AA-443E-0262217C5E10}"/>
            </a:ext>
          </a:extLst>
        </cdr:cNvPr>
        <cdr:cNvSpPr/>
      </cdr:nvSpPr>
      <cdr:spPr>
        <a:xfrm xmlns:a="http://schemas.openxmlformats.org/drawingml/2006/main">
          <a:off x="4716643" y="4834915"/>
          <a:ext cx="2177665" cy="22524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7665" h="2252451">
              <a:moveTo>
                <a:pt x="687191" y="1541658"/>
              </a:moveTo>
              <a:lnTo>
                <a:pt x="86460" y="2163020"/>
              </a:lnTo>
              <a:lnTo>
                <a:pt x="0" y="2252450"/>
              </a:lnTo>
              <a:lnTo>
                <a:pt x="36258" y="2252450"/>
              </a:lnTo>
              <a:lnTo>
                <a:pt x="120447" y="2165369"/>
              </a:lnTo>
              <a:lnTo>
                <a:pt x="711311" y="1554214"/>
              </a:lnTo>
              <a:lnTo>
                <a:pt x="2092862" y="125218"/>
              </a:lnTo>
              <a:lnTo>
                <a:pt x="2177664" y="37503"/>
              </a:lnTo>
              <a:lnTo>
                <a:pt x="2177664" y="0"/>
              </a:lnTo>
              <a:lnTo>
                <a:pt x="2091817" y="887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0.11112</cdr:y>
    </cdr:from>
    <cdr:to>
      <cdr:x>0.38671</cdr:x>
      <cdr:y>0.40639</cdr:y>
    </cdr:to>
    <cdr:sp macro="" textlink="">
      <cdr:nvSpPr>
        <cdr:cNvPr id="64" name="FracNo 870 StartRow 847">
          <a:extLst xmlns:a="http://schemas.openxmlformats.org/drawingml/2006/main">
            <a:ext uri="{FF2B5EF4-FFF2-40B4-BE49-F238E27FC236}">
              <a16:creationId xmlns:a16="http://schemas.microsoft.com/office/drawing/2014/main" id="{F75BCC7B-A008-E9CB-4B40-2750168EA8D1}"/>
            </a:ext>
          </a:extLst>
        </cdr:cNvPr>
        <cdr:cNvSpPr/>
      </cdr:nvSpPr>
      <cdr:spPr>
        <a:xfrm xmlns:a="http://schemas.openxmlformats.org/drawingml/2006/main">
          <a:off x="671676" y="846717"/>
          <a:ext cx="2157162" cy="22499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7162" h="2249995">
              <a:moveTo>
                <a:pt x="2109975" y="30054"/>
              </a:moveTo>
              <a:lnTo>
                <a:pt x="2065146" y="76423"/>
              </a:lnTo>
              <a:lnTo>
                <a:pt x="270945" y="1932240"/>
              </a:lnTo>
              <a:lnTo>
                <a:pt x="0" y="2212490"/>
              </a:lnTo>
              <a:lnTo>
                <a:pt x="0" y="2249994"/>
              </a:lnTo>
              <a:lnTo>
                <a:pt x="273324" y="1967284"/>
              </a:lnTo>
              <a:lnTo>
                <a:pt x="2083275" y="95175"/>
              </a:lnTo>
              <a:lnTo>
                <a:pt x="2128104" y="48806"/>
              </a:lnTo>
              <a:lnTo>
                <a:pt x="2157161" y="18752"/>
              </a:lnTo>
              <a:lnTo>
                <a:pt x="21390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0.64828</cdr:x>
      <cdr:y>0.23121</cdr:y>
    </cdr:from>
    <cdr:to>
      <cdr:x>0.94246</cdr:x>
      <cdr:y>0.52579</cdr:y>
    </cdr:to>
    <cdr:sp macro="" textlink="">
      <cdr:nvSpPr>
        <cdr:cNvPr id="65" name="FracNo 597 StartRow 860">
          <a:extLst xmlns:a="http://schemas.openxmlformats.org/drawingml/2006/main">
            <a:ext uri="{FF2B5EF4-FFF2-40B4-BE49-F238E27FC236}">
              <a16:creationId xmlns:a16="http://schemas.microsoft.com/office/drawing/2014/main" id="{6B7E5430-240F-A58A-F4EC-C3103616177B}"/>
            </a:ext>
          </a:extLst>
        </cdr:cNvPr>
        <cdr:cNvSpPr/>
      </cdr:nvSpPr>
      <cdr:spPr>
        <a:xfrm xmlns:a="http://schemas.openxmlformats.org/drawingml/2006/main">
          <a:off x="4742297" y="1761835"/>
          <a:ext cx="2152011" cy="2244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2011" h="2244668">
              <a:moveTo>
                <a:pt x="176043" y="2043827"/>
              </a:moveTo>
              <a:lnTo>
                <a:pt x="68735" y="2154820"/>
              </a:lnTo>
              <a:lnTo>
                <a:pt x="0" y="2225915"/>
              </a:lnTo>
              <a:lnTo>
                <a:pt x="18129" y="2244667"/>
              </a:lnTo>
              <a:lnTo>
                <a:pt x="86864" y="2173571"/>
              </a:lnTo>
              <a:lnTo>
                <a:pt x="193284" y="2063497"/>
              </a:lnTo>
              <a:lnTo>
                <a:pt x="1174373" y="1048715"/>
              </a:lnTo>
              <a:lnTo>
                <a:pt x="2152010" y="37504"/>
              </a:lnTo>
              <a:lnTo>
                <a:pt x="2152010" y="0"/>
              </a:lnTo>
              <a:lnTo>
                <a:pt x="1165323" y="10205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0.1045</cdr:x>
      <cdr:y>0.63887</cdr:y>
    </cdr:from>
    <cdr:to>
      <cdr:x>0.40028</cdr:x>
      <cdr:y>0.9301</cdr:y>
    </cdr:to>
    <cdr:sp macro="" textlink="">
      <cdr:nvSpPr>
        <cdr:cNvPr id="66" name="FracNo 1015 StartRow 873">
          <a:extLst xmlns:a="http://schemas.openxmlformats.org/drawingml/2006/main">
            <a:ext uri="{FF2B5EF4-FFF2-40B4-BE49-F238E27FC236}">
              <a16:creationId xmlns:a16="http://schemas.microsoft.com/office/drawing/2014/main" id="{7E4A1463-4931-2A3F-00BC-5BCE4E4A1B8E}"/>
            </a:ext>
          </a:extLst>
        </cdr:cNvPr>
        <cdr:cNvSpPr/>
      </cdr:nvSpPr>
      <cdr:spPr>
        <a:xfrm xmlns:a="http://schemas.openxmlformats.org/drawingml/2006/main">
          <a:off x="764440" y="4868160"/>
          <a:ext cx="2163654" cy="22192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3654" h="2219206">
              <a:moveTo>
                <a:pt x="1824840" y="331696"/>
              </a:moveTo>
              <a:lnTo>
                <a:pt x="0" y="2219205"/>
              </a:lnTo>
              <a:lnTo>
                <a:pt x="36259" y="2219205"/>
              </a:lnTo>
              <a:lnTo>
                <a:pt x="1844326" y="349046"/>
              </a:lnTo>
              <a:lnTo>
                <a:pt x="1990511" y="197840"/>
              </a:lnTo>
              <a:lnTo>
                <a:pt x="2101404" y="83138"/>
              </a:lnTo>
              <a:lnTo>
                <a:pt x="2163653" y="18752"/>
              </a:lnTo>
              <a:lnTo>
                <a:pt x="2145523" y="0"/>
              </a:lnTo>
              <a:lnTo>
                <a:pt x="2083275" y="64386"/>
              </a:lnTo>
              <a:lnTo>
                <a:pt x="1972382" y="1790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0.13683</cdr:x>
      <cdr:y>0.08544</cdr:y>
    </cdr:from>
    <cdr:to>
      <cdr:x>0.42929</cdr:x>
      <cdr:y>0.37338</cdr:y>
    </cdr:to>
    <cdr:sp macro="" textlink="">
      <cdr:nvSpPr>
        <cdr:cNvPr id="67" name="FracNo 810 StartRow 886">
          <a:extLst xmlns:a="http://schemas.openxmlformats.org/drawingml/2006/main">
            <a:ext uri="{FF2B5EF4-FFF2-40B4-BE49-F238E27FC236}">
              <a16:creationId xmlns:a16="http://schemas.microsoft.com/office/drawing/2014/main" id="{59E4BD9D-3F02-3AE3-3637-515E14507DCB}"/>
            </a:ext>
          </a:extLst>
        </cdr:cNvPr>
        <cdr:cNvSpPr/>
      </cdr:nvSpPr>
      <cdr:spPr>
        <a:xfrm xmlns:a="http://schemas.openxmlformats.org/drawingml/2006/main">
          <a:off x="1000948" y="651036"/>
          <a:ext cx="2139375" cy="21940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9375" h="2194094">
              <a:moveTo>
                <a:pt x="150523" y="2057152"/>
              </a:moveTo>
              <a:lnTo>
                <a:pt x="56099" y="2154819"/>
              </a:lnTo>
              <a:lnTo>
                <a:pt x="18129" y="2194093"/>
              </a:lnTo>
              <a:lnTo>
                <a:pt x="0" y="2175341"/>
              </a:lnTo>
              <a:lnTo>
                <a:pt x="37970" y="2136067"/>
              </a:lnTo>
              <a:lnTo>
                <a:pt x="131581" y="2039242"/>
              </a:lnTo>
              <a:lnTo>
                <a:pt x="1728532" y="387448"/>
              </a:lnTo>
              <a:lnTo>
                <a:pt x="2103116" y="0"/>
              </a:lnTo>
              <a:lnTo>
                <a:pt x="2139374" y="0"/>
              </a:lnTo>
              <a:lnTo>
                <a:pt x="1761345" y="3910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0.39668</cdr:x>
      <cdr:y>0.35234</cdr:y>
    </cdr:from>
    <cdr:to>
      <cdr:x>0.6866</cdr:x>
      <cdr:y>0.64022</cdr:y>
    </cdr:to>
    <cdr:sp macro="" textlink="">
      <cdr:nvSpPr>
        <cdr:cNvPr id="68" name="FracNo 947 StartRow 899">
          <a:extLst xmlns:a="http://schemas.openxmlformats.org/drawingml/2006/main">
            <a:ext uri="{FF2B5EF4-FFF2-40B4-BE49-F238E27FC236}">
              <a16:creationId xmlns:a16="http://schemas.microsoft.com/office/drawing/2014/main" id="{846E3CD9-6F10-FB5C-1114-4B7F41A7CE58}"/>
            </a:ext>
          </a:extLst>
        </cdr:cNvPr>
        <cdr:cNvSpPr/>
      </cdr:nvSpPr>
      <cdr:spPr>
        <a:xfrm xmlns:a="http://schemas.openxmlformats.org/drawingml/2006/main">
          <a:off x="2901805" y="2684861"/>
          <a:ext cx="2120782" cy="2193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0782" h="2193614">
              <a:moveTo>
                <a:pt x="1049483" y="1089337"/>
              </a:moveTo>
              <a:lnTo>
                <a:pt x="0" y="2174861"/>
              </a:lnTo>
              <a:lnTo>
                <a:pt x="18130" y="2193613"/>
              </a:lnTo>
              <a:lnTo>
                <a:pt x="1067613" y="1108088"/>
              </a:lnTo>
              <a:lnTo>
                <a:pt x="1927356" y="218819"/>
              </a:lnTo>
              <a:lnTo>
                <a:pt x="2021934" y="120994"/>
              </a:lnTo>
              <a:lnTo>
                <a:pt x="2120781" y="18752"/>
              </a:lnTo>
              <a:lnTo>
                <a:pt x="2102652" y="0"/>
              </a:lnTo>
              <a:lnTo>
                <a:pt x="2003804" y="102242"/>
              </a:lnTo>
              <a:lnTo>
                <a:pt x="1909227" y="200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0.36464</cdr:x>
      <cdr:y>0.62722</cdr:y>
    </cdr:from>
    <cdr:to>
      <cdr:x>0.6509</cdr:x>
      <cdr:y>0.91147</cdr:y>
    </cdr:to>
    <cdr:sp macro="" textlink="">
      <cdr:nvSpPr>
        <cdr:cNvPr id="69" name="FracNo 871 StartRow 912">
          <a:extLst xmlns:a="http://schemas.openxmlformats.org/drawingml/2006/main">
            <a:ext uri="{FF2B5EF4-FFF2-40B4-BE49-F238E27FC236}">
              <a16:creationId xmlns:a16="http://schemas.microsoft.com/office/drawing/2014/main" id="{D1B479D6-5D0D-1B14-E297-2BE35B8531A1}"/>
            </a:ext>
          </a:extLst>
        </cdr:cNvPr>
        <cdr:cNvSpPr/>
      </cdr:nvSpPr>
      <cdr:spPr>
        <a:xfrm xmlns:a="http://schemas.openxmlformats.org/drawingml/2006/main">
          <a:off x="2667409" y="4779447"/>
          <a:ext cx="2094030" cy="2165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4030" h="2165944">
              <a:moveTo>
                <a:pt x="1621056" y="507968"/>
              </a:moveTo>
              <a:lnTo>
                <a:pt x="87542" y="2094146"/>
              </a:lnTo>
              <a:lnTo>
                <a:pt x="18129" y="2165943"/>
              </a:lnTo>
              <a:lnTo>
                <a:pt x="0" y="2147191"/>
              </a:lnTo>
              <a:lnTo>
                <a:pt x="69413" y="2075394"/>
              </a:lnTo>
              <a:lnTo>
                <a:pt x="1602926" y="489216"/>
              </a:lnTo>
              <a:lnTo>
                <a:pt x="1927884" y="153099"/>
              </a:lnTo>
              <a:lnTo>
                <a:pt x="2075900" y="0"/>
              </a:lnTo>
              <a:lnTo>
                <a:pt x="2094029" y="18752"/>
              </a:lnTo>
              <a:lnTo>
                <a:pt x="1946013" y="1718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0.39722</cdr:x>
      <cdr:y>0.37134</cdr:y>
    </cdr:from>
    <cdr:to>
      <cdr:x>0.68199</cdr:x>
      <cdr:y>0.65411</cdr:y>
    </cdr:to>
    <cdr:sp macro="" textlink="">
      <cdr:nvSpPr>
        <cdr:cNvPr id="70" name="FracNo 881 StartRow 925">
          <a:extLst xmlns:a="http://schemas.openxmlformats.org/drawingml/2006/main">
            <a:ext uri="{FF2B5EF4-FFF2-40B4-BE49-F238E27FC236}">
              <a16:creationId xmlns:a16="http://schemas.microsoft.com/office/drawing/2014/main" id="{D42855F7-571B-C735-249A-C233AC395079}"/>
            </a:ext>
          </a:extLst>
        </cdr:cNvPr>
        <cdr:cNvSpPr/>
      </cdr:nvSpPr>
      <cdr:spPr>
        <a:xfrm xmlns:a="http://schemas.openxmlformats.org/drawingml/2006/main">
          <a:off x="2905728" y="2829592"/>
          <a:ext cx="2083174" cy="21547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3174" h="2154714">
              <a:moveTo>
                <a:pt x="1874620" y="196963"/>
              </a:moveTo>
              <a:lnTo>
                <a:pt x="31912" y="2102954"/>
              </a:lnTo>
              <a:lnTo>
                <a:pt x="0" y="2135961"/>
              </a:lnTo>
              <a:lnTo>
                <a:pt x="18130" y="2154713"/>
              </a:lnTo>
              <a:lnTo>
                <a:pt x="50041" y="2121706"/>
              </a:lnTo>
              <a:lnTo>
                <a:pt x="1892750" y="215715"/>
              </a:lnTo>
              <a:lnTo>
                <a:pt x="1923433" y="183977"/>
              </a:lnTo>
              <a:lnTo>
                <a:pt x="2083173" y="18752"/>
              </a:lnTo>
              <a:lnTo>
                <a:pt x="2065044" y="0"/>
              </a:lnTo>
              <a:lnTo>
                <a:pt x="1905304" y="1652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0.11359</cdr:x>
      <cdr:y>0.65006</cdr:y>
    </cdr:from>
    <cdr:to>
      <cdr:x>0.39809</cdr:x>
      <cdr:y>0.9301</cdr:y>
    </cdr:to>
    <cdr:sp macro="" textlink="">
      <cdr:nvSpPr>
        <cdr:cNvPr id="71" name="FracNo 1035 StartRow 938">
          <a:extLst xmlns:a="http://schemas.openxmlformats.org/drawingml/2006/main">
            <a:ext uri="{FF2B5EF4-FFF2-40B4-BE49-F238E27FC236}">
              <a16:creationId xmlns:a16="http://schemas.microsoft.com/office/drawing/2014/main" id="{701D03B2-9961-6741-A540-6F248372EA6D}"/>
            </a:ext>
          </a:extLst>
        </cdr:cNvPr>
        <cdr:cNvSpPr/>
      </cdr:nvSpPr>
      <cdr:spPr>
        <a:xfrm xmlns:a="http://schemas.openxmlformats.org/drawingml/2006/main">
          <a:off x="830926" y="4953432"/>
          <a:ext cx="2081213" cy="2133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1213" h="2133934">
              <a:moveTo>
                <a:pt x="341593" y="1780609"/>
              </a:moveTo>
              <a:lnTo>
                <a:pt x="0" y="2133933"/>
              </a:lnTo>
              <a:lnTo>
                <a:pt x="36258" y="2133933"/>
              </a:lnTo>
              <a:lnTo>
                <a:pt x="374602" y="1783970"/>
              </a:lnTo>
              <a:lnTo>
                <a:pt x="1924025" y="181337"/>
              </a:lnTo>
              <a:lnTo>
                <a:pt x="2081212" y="18752"/>
              </a:lnTo>
              <a:lnTo>
                <a:pt x="2063083" y="0"/>
              </a:lnTo>
              <a:lnTo>
                <a:pt x="1905896" y="1625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0.32871</cdr:x>
      <cdr:y>0.2582</cdr:y>
    </cdr:from>
    <cdr:to>
      <cdr:x>0.6104</cdr:x>
      <cdr:y>0.53791</cdr:y>
    </cdr:to>
    <cdr:sp macro="" textlink="">
      <cdr:nvSpPr>
        <cdr:cNvPr id="72" name="FracNo 679 StartRow 949">
          <a:extLst xmlns:a="http://schemas.openxmlformats.org/drawingml/2006/main">
            <a:ext uri="{FF2B5EF4-FFF2-40B4-BE49-F238E27FC236}">
              <a16:creationId xmlns:a16="http://schemas.microsoft.com/office/drawing/2014/main" id="{EB69286E-1E62-7AB2-089B-07E8246BB7CA}"/>
            </a:ext>
          </a:extLst>
        </cdr:cNvPr>
        <cdr:cNvSpPr/>
      </cdr:nvSpPr>
      <cdr:spPr>
        <a:xfrm xmlns:a="http://schemas.openxmlformats.org/drawingml/2006/main">
          <a:off x="2404563" y="1967462"/>
          <a:ext cx="2060667" cy="21314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0667" h="2131433">
              <a:moveTo>
                <a:pt x="448890" y="1648375"/>
              </a:moveTo>
              <a:lnTo>
                <a:pt x="332259" y="1769012"/>
              </a:lnTo>
              <a:lnTo>
                <a:pt x="0" y="2112681"/>
              </a:lnTo>
              <a:lnTo>
                <a:pt x="18130" y="2131432"/>
              </a:lnTo>
              <a:lnTo>
                <a:pt x="350388" y="1787764"/>
              </a:lnTo>
              <a:lnTo>
                <a:pt x="467019" y="1667127"/>
              </a:lnTo>
              <a:lnTo>
                <a:pt x="1268238" y="838393"/>
              </a:lnTo>
              <a:lnTo>
                <a:pt x="2060666" y="18752"/>
              </a:lnTo>
              <a:lnTo>
                <a:pt x="2042536" y="0"/>
              </a:lnTo>
              <a:lnTo>
                <a:pt x="1250108" y="8196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0.39746</cdr:y>
    </cdr:from>
    <cdr:to>
      <cdr:x>0.37182</cdr:x>
      <cdr:y>0.67795</cdr:y>
    </cdr:to>
    <cdr:sp macro="" textlink="">
      <cdr:nvSpPr>
        <cdr:cNvPr id="73" name="FracNo 953 StartRow 962">
          <a:extLst xmlns:a="http://schemas.openxmlformats.org/drawingml/2006/main">
            <a:ext uri="{FF2B5EF4-FFF2-40B4-BE49-F238E27FC236}">
              <a16:creationId xmlns:a16="http://schemas.microsoft.com/office/drawing/2014/main" id="{414DE5C1-7224-448E-F209-22822B177841}"/>
            </a:ext>
          </a:extLst>
        </cdr:cNvPr>
        <cdr:cNvSpPr/>
      </cdr:nvSpPr>
      <cdr:spPr>
        <a:xfrm xmlns:a="http://schemas.openxmlformats.org/drawingml/2006/main">
          <a:off x="671676" y="3028640"/>
          <a:ext cx="2048240" cy="2137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8240" h="2137332">
              <a:moveTo>
                <a:pt x="353968" y="1771207"/>
              </a:moveTo>
              <a:lnTo>
                <a:pt x="203644" y="1926694"/>
              </a:lnTo>
              <a:lnTo>
                <a:pt x="0" y="2137331"/>
              </a:lnTo>
              <a:lnTo>
                <a:pt x="0" y="2099828"/>
              </a:lnTo>
              <a:lnTo>
                <a:pt x="193319" y="1899870"/>
              </a:lnTo>
              <a:lnTo>
                <a:pt x="343007" y="1745041"/>
              </a:lnTo>
              <a:lnTo>
                <a:pt x="2030110" y="0"/>
              </a:lnTo>
              <a:lnTo>
                <a:pt x="20482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0.55039</cdr:x>
      <cdr:y>0.11271</cdr:y>
    </cdr:from>
    <cdr:to>
      <cdr:x>0.83155</cdr:x>
      <cdr:y>0.39189</cdr:y>
    </cdr:to>
    <cdr:sp macro="" textlink="">
      <cdr:nvSpPr>
        <cdr:cNvPr id="74" name="FracNo 1036 StartRow 973">
          <a:extLst xmlns:a="http://schemas.openxmlformats.org/drawingml/2006/main">
            <a:ext uri="{FF2B5EF4-FFF2-40B4-BE49-F238E27FC236}">
              <a16:creationId xmlns:a16="http://schemas.microsoft.com/office/drawing/2014/main" id="{42A6C3ED-EED5-16B9-08D4-EBF6659BDC4B}"/>
            </a:ext>
          </a:extLst>
        </cdr:cNvPr>
        <cdr:cNvSpPr/>
      </cdr:nvSpPr>
      <cdr:spPr>
        <a:xfrm xmlns:a="http://schemas.openxmlformats.org/drawingml/2006/main">
          <a:off x="4026229" y="858842"/>
          <a:ext cx="2056703" cy="21273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6703" h="2127334">
              <a:moveTo>
                <a:pt x="603717" y="1521635"/>
              </a:moveTo>
              <a:lnTo>
                <a:pt x="192463" y="1947013"/>
              </a:lnTo>
              <a:lnTo>
                <a:pt x="18130" y="2127333"/>
              </a:lnTo>
              <a:lnTo>
                <a:pt x="0" y="2108582"/>
              </a:lnTo>
              <a:lnTo>
                <a:pt x="174334" y="1928261"/>
              </a:lnTo>
              <a:lnTo>
                <a:pt x="585588" y="1502883"/>
              </a:lnTo>
              <a:lnTo>
                <a:pt x="784803" y="1296827"/>
              </a:lnTo>
              <a:lnTo>
                <a:pt x="2038573" y="0"/>
              </a:lnTo>
              <a:lnTo>
                <a:pt x="2056702" y="18752"/>
              </a:lnTo>
              <a:lnTo>
                <a:pt x="802932" y="13155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0.10495</cdr:x>
      <cdr:y>0.08544</cdr:y>
    </cdr:from>
    <cdr:to>
      <cdr:x>0.38596</cdr:x>
      <cdr:y>0.36201</cdr:y>
    </cdr:to>
    <cdr:sp macro="" textlink="">
      <cdr:nvSpPr>
        <cdr:cNvPr id="75" name="FracNo 423 StartRow 986">
          <a:extLst xmlns:a="http://schemas.openxmlformats.org/drawingml/2006/main">
            <a:ext uri="{FF2B5EF4-FFF2-40B4-BE49-F238E27FC236}">
              <a16:creationId xmlns:a16="http://schemas.microsoft.com/office/drawing/2014/main" id="{832E9805-A948-6453-1C70-3F5CD750BB4B}"/>
            </a:ext>
          </a:extLst>
        </cdr:cNvPr>
        <cdr:cNvSpPr/>
      </cdr:nvSpPr>
      <cdr:spPr>
        <a:xfrm xmlns:a="http://schemas.openxmlformats.org/drawingml/2006/main">
          <a:off x="767766" y="651036"/>
          <a:ext cx="2055631" cy="21074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5631" h="2107474">
              <a:moveTo>
                <a:pt x="134900" y="1986692"/>
              </a:moveTo>
              <a:lnTo>
                <a:pt x="18129" y="2107473"/>
              </a:lnTo>
              <a:lnTo>
                <a:pt x="0" y="2088721"/>
              </a:lnTo>
              <a:lnTo>
                <a:pt x="115734" y="1969012"/>
              </a:lnTo>
              <a:lnTo>
                <a:pt x="1960273" y="61128"/>
              </a:lnTo>
              <a:lnTo>
                <a:pt x="2019371" y="0"/>
              </a:lnTo>
              <a:lnTo>
                <a:pt x="2055630" y="0"/>
              </a:lnTo>
              <a:lnTo>
                <a:pt x="1995968" y="617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0.24114</cdr:x>
      <cdr:y>0.65696</cdr:y>
    </cdr:from>
    <cdr:to>
      <cdr:x>0.51869</cdr:x>
      <cdr:y>0.9301</cdr:y>
    </cdr:to>
    <cdr:sp macro="" textlink="">
      <cdr:nvSpPr>
        <cdr:cNvPr id="76" name="FracNo 820 StartRow 997">
          <a:extLst xmlns:a="http://schemas.openxmlformats.org/drawingml/2006/main">
            <a:ext uri="{FF2B5EF4-FFF2-40B4-BE49-F238E27FC236}">
              <a16:creationId xmlns:a16="http://schemas.microsoft.com/office/drawing/2014/main" id="{6CCBBF49-8778-63F8-33DA-9F046267F2A0}"/>
            </a:ext>
          </a:extLst>
        </cdr:cNvPr>
        <cdr:cNvSpPr/>
      </cdr:nvSpPr>
      <cdr:spPr>
        <a:xfrm xmlns:a="http://schemas.openxmlformats.org/drawingml/2006/main">
          <a:off x="1763969" y="5006072"/>
          <a:ext cx="2030320" cy="20812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0320" h="2081294">
              <a:moveTo>
                <a:pt x="1872932" y="144041"/>
              </a:moveTo>
              <a:lnTo>
                <a:pt x="968474" y="1079560"/>
              </a:lnTo>
              <a:lnTo>
                <a:pt x="0" y="2081293"/>
              </a:lnTo>
              <a:lnTo>
                <a:pt x="36259" y="2081293"/>
              </a:lnTo>
              <a:lnTo>
                <a:pt x="995361" y="1089253"/>
              </a:lnTo>
              <a:lnTo>
                <a:pt x="1892230" y="161584"/>
              </a:lnTo>
              <a:lnTo>
                <a:pt x="2030319" y="18752"/>
              </a:lnTo>
              <a:lnTo>
                <a:pt x="20121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0.66673</cdr:x>
      <cdr:y>0.65631</cdr:y>
    </cdr:from>
    <cdr:to>
      <cdr:x>0.94246</cdr:x>
      <cdr:y>0.9301</cdr:y>
    </cdr:to>
    <cdr:sp macro="" textlink="">
      <cdr:nvSpPr>
        <cdr:cNvPr id="77" name="FracNo 1039 StartRow 1008">
          <a:extLst xmlns:a="http://schemas.openxmlformats.org/drawingml/2006/main">
            <a:ext uri="{FF2B5EF4-FFF2-40B4-BE49-F238E27FC236}">
              <a16:creationId xmlns:a16="http://schemas.microsoft.com/office/drawing/2014/main" id="{B3368A61-FE82-9032-89ED-1D6AA5DA324D}"/>
            </a:ext>
          </a:extLst>
        </cdr:cNvPr>
        <cdr:cNvSpPr/>
      </cdr:nvSpPr>
      <cdr:spPr>
        <a:xfrm xmlns:a="http://schemas.openxmlformats.org/drawingml/2006/main">
          <a:off x="4877299" y="5001089"/>
          <a:ext cx="2017009" cy="20862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7009" h="2086277">
              <a:moveTo>
                <a:pt x="1181096" y="902123"/>
              </a:moveTo>
              <a:lnTo>
                <a:pt x="36259" y="2086276"/>
              </a:lnTo>
              <a:lnTo>
                <a:pt x="0" y="2086276"/>
              </a:lnTo>
              <a:lnTo>
                <a:pt x="1165795" y="880446"/>
              </a:lnTo>
              <a:lnTo>
                <a:pt x="2017008" y="0"/>
              </a:lnTo>
              <a:lnTo>
                <a:pt x="201700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0.36701</cdr:x>
      <cdr:y>0.3587</cdr:y>
    </cdr:to>
    <cdr:sp macro="" textlink="">
      <cdr:nvSpPr>
        <cdr:cNvPr id="78" name="FracNo 892 StartRow 1017">
          <a:extLst xmlns:a="http://schemas.openxmlformats.org/drawingml/2006/main">
            <a:ext uri="{FF2B5EF4-FFF2-40B4-BE49-F238E27FC236}">
              <a16:creationId xmlns:a16="http://schemas.microsoft.com/office/drawing/2014/main" id="{712B21BE-ED73-9B5A-CAFC-27D831F30952}"/>
            </a:ext>
          </a:extLst>
        </cdr:cNvPr>
        <cdr:cNvSpPr/>
      </cdr:nvSpPr>
      <cdr:spPr>
        <a:xfrm xmlns:a="http://schemas.openxmlformats.org/drawingml/2006/main">
          <a:off x="671676" y="651036"/>
          <a:ext cx="2013106" cy="20822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3106" h="2082240">
              <a:moveTo>
                <a:pt x="676061" y="1382960"/>
              </a:moveTo>
              <a:lnTo>
                <a:pt x="0" y="2082239"/>
              </a:lnTo>
              <a:lnTo>
                <a:pt x="0" y="2044735"/>
              </a:lnTo>
              <a:lnTo>
                <a:pt x="663885" y="1358051"/>
              </a:lnTo>
              <a:lnTo>
                <a:pt x="1976846" y="0"/>
              </a:lnTo>
              <a:lnTo>
                <a:pt x="20131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0.19046</cdr:y>
    </cdr:from>
    <cdr:to>
      <cdr:x>0.3642</cdr:x>
      <cdr:y>0.46338</cdr:y>
    </cdr:to>
    <cdr:sp macro="" textlink="">
      <cdr:nvSpPr>
        <cdr:cNvPr id="79" name="FracNo 916 StartRow 1026">
          <a:extLst xmlns:a="http://schemas.openxmlformats.org/drawingml/2006/main">
            <a:ext uri="{FF2B5EF4-FFF2-40B4-BE49-F238E27FC236}">
              <a16:creationId xmlns:a16="http://schemas.microsoft.com/office/drawing/2014/main" id="{65C02F1D-2DBB-2D5A-A44E-E90185E8573D}"/>
            </a:ext>
          </a:extLst>
        </cdr:cNvPr>
        <cdr:cNvSpPr/>
      </cdr:nvSpPr>
      <cdr:spPr>
        <a:xfrm xmlns:a="http://schemas.openxmlformats.org/drawingml/2006/main">
          <a:off x="671676" y="1451270"/>
          <a:ext cx="1992496" cy="20796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2496" h="2079675">
              <a:moveTo>
                <a:pt x="1902665" y="111668"/>
              </a:moveTo>
              <a:lnTo>
                <a:pt x="695262" y="1360536"/>
              </a:lnTo>
              <a:lnTo>
                <a:pt x="0" y="2079674"/>
              </a:lnTo>
              <a:lnTo>
                <a:pt x="0" y="2042171"/>
              </a:lnTo>
              <a:lnTo>
                <a:pt x="688639" y="1329883"/>
              </a:lnTo>
              <a:lnTo>
                <a:pt x="1885332" y="92092"/>
              </a:lnTo>
              <a:lnTo>
                <a:pt x="1974366" y="0"/>
              </a:lnTo>
              <a:lnTo>
                <a:pt x="1992495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0.24828</cdr:x>
      <cdr:y>0.42169</cdr:y>
    </cdr:from>
    <cdr:to>
      <cdr:x>0.52119</cdr:x>
      <cdr:y>0.69268</cdr:y>
    </cdr:to>
    <cdr:sp macro="" textlink="">
      <cdr:nvSpPr>
        <cdr:cNvPr id="80" name="FracNo 959 StartRow 1037">
          <a:extLst xmlns:a="http://schemas.openxmlformats.org/drawingml/2006/main">
            <a:ext uri="{FF2B5EF4-FFF2-40B4-BE49-F238E27FC236}">
              <a16:creationId xmlns:a16="http://schemas.microsoft.com/office/drawing/2014/main" id="{5D76ED7F-92B6-66A5-E801-D8061A1C5F87}"/>
            </a:ext>
          </a:extLst>
        </cdr:cNvPr>
        <cdr:cNvSpPr/>
      </cdr:nvSpPr>
      <cdr:spPr>
        <a:xfrm xmlns:a="http://schemas.openxmlformats.org/drawingml/2006/main">
          <a:off x="1816243" y="3213258"/>
          <a:ext cx="1996375" cy="2064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6375" h="2064934">
              <a:moveTo>
                <a:pt x="1119524" y="888211"/>
              </a:moveTo>
              <a:lnTo>
                <a:pt x="920579" y="1093988"/>
              </a:lnTo>
              <a:lnTo>
                <a:pt x="316040" y="1719288"/>
              </a:lnTo>
              <a:lnTo>
                <a:pt x="0" y="2046181"/>
              </a:lnTo>
              <a:lnTo>
                <a:pt x="18130" y="2064933"/>
              </a:lnTo>
              <a:lnTo>
                <a:pt x="334169" y="1738040"/>
              </a:lnTo>
              <a:lnTo>
                <a:pt x="938708" y="1112740"/>
              </a:lnTo>
              <a:lnTo>
                <a:pt x="1137653" y="906962"/>
              </a:lnTo>
              <a:lnTo>
                <a:pt x="1996374" y="18751"/>
              </a:lnTo>
              <a:lnTo>
                <a:pt x="19782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0.49378</cdr:x>
      <cdr:y>0.08544</cdr:y>
    </cdr:from>
    <cdr:to>
      <cdr:x>0.76467</cdr:x>
      <cdr:y>0.35197</cdr:y>
    </cdr:to>
    <cdr:sp macro="" textlink="">
      <cdr:nvSpPr>
        <cdr:cNvPr id="81" name="FracNo 278 StartRow 1050">
          <a:extLst xmlns:a="http://schemas.openxmlformats.org/drawingml/2006/main">
            <a:ext uri="{FF2B5EF4-FFF2-40B4-BE49-F238E27FC236}">
              <a16:creationId xmlns:a16="http://schemas.microsoft.com/office/drawing/2014/main" id="{53766FE0-C4BF-C8E0-6FFE-4FED9807726D}"/>
            </a:ext>
          </a:extLst>
        </cdr:cNvPr>
        <cdr:cNvSpPr/>
      </cdr:nvSpPr>
      <cdr:spPr>
        <a:xfrm xmlns:a="http://schemas.openxmlformats.org/drawingml/2006/main">
          <a:off x="3612090" y="651036"/>
          <a:ext cx="1981658" cy="20309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1658" h="2030960">
              <a:moveTo>
                <a:pt x="1199848" y="771154"/>
              </a:moveTo>
              <a:lnTo>
                <a:pt x="1198942" y="772092"/>
              </a:lnTo>
              <a:lnTo>
                <a:pt x="0" y="2012207"/>
              </a:lnTo>
              <a:lnTo>
                <a:pt x="18130" y="2030959"/>
              </a:lnTo>
              <a:lnTo>
                <a:pt x="1217071" y="790843"/>
              </a:lnTo>
              <a:lnTo>
                <a:pt x="1217999" y="789884"/>
              </a:lnTo>
              <a:lnTo>
                <a:pt x="1981657" y="0"/>
              </a:lnTo>
              <a:lnTo>
                <a:pt x="19453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0.61985</cdr:x>
      <cdr:y>0.18868</cdr:y>
    </cdr:from>
    <cdr:to>
      <cdr:x>0.88922</cdr:x>
      <cdr:y>0.45615</cdr:y>
    </cdr:to>
    <cdr:sp macro="" textlink="">
      <cdr:nvSpPr>
        <cdr:cNvPr id="82" name="FracNo 272 StartRow 1061">
          <a:extLst xmlns:a="http://schemas.openxmlformats.org/drawingml/2006/main">
            <a:ext uri="{FF2B5EF4-FFF2-40B4-BE49-F238E27FC236}">
              <a16:creationId xmlns:a16="http://schemas.microsoft.com/office/drawing/2014/main" id="{EC15D61C-87D3-9467-D831-769397119806}"/>
            </a:ext>
          </a:extLst>
        </cdr:cNvPr>
        <cdr:cNvSpPr/>
      </cdr:nvSpPr>
      <cdr:spPr>
        <a:xfrm xmlns:a="http://schemas.openxmlformats.org/drawingml/2006/main">
          <a:off x="4534350" y="1437746"/>
          <a:ext cx="1970459" cy="20381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0459" h="2038128">
              <a:moveTo>
                <a:pt x="1635922" y="327273"/>
              </a:moveTo>
              <a:lnTo>
                <a:pt x="647773" y="1349357"/>
              </a:lnTo>
              <a:lnTo>
                <a:pt x="276682" y="1733192"/>
              </a:lnTo>
              <a:lnTo>
                <a:pt x="0" y="2019376"/>
              </a:lnTo>
              <a:lnTo>
                <a:pt x="18129" y="2038127"/>
              </a:lnTo>
              <a:lnTo>
                <a:pt x="294811" y="1751944"/>
              </a:lnTo>
              <a:lnTo>
                <a:pt x="665902" y="1368109"/>
              </a:lnTo>
              <a:lnTo>
                <a:pt x="1654051" y="346025"/>
              </a:lnTo>
              <a:lnTo>
                <a:pt x="1970458" y="18752"/>
              </a:lnTo>
              <a:lnTo>
                <a:pt x="19523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0.57104</cdr:x>
      <cdr:y>0.26062</cdr:y>
    </cdr:from>
    <cdr:to>
      <cdr:x>0.83789</cdr:x>
      <cdr:y>0.52559</cdr:y>
    </cdr:to>
    <cdr:sp macro="" textlink="">
      <cdr:nvSpPr>
        <cdr:cNvPr id="83" name="FracNo 582 StartRow 1074">
          <a:extLst xmlns:a="http://schemas.openxmlformats.org/drawingml/2006/main">
            <a:ext uri="{FF2B5EF4-FFF2-40B4-BE49-F238E27FC236}">
              <a16:creationId xmlns:a16="http://schemas.microsoft.com/office/drawing/2014/main" id="{43F6A4EC-3859-E769-47E0-8419FB0F15C7}"/>
            </a:ext>
          </a:extLst>
        </cdr:cNvPr>
        <cdr:cNvSpPr/>
      </cdr:nvSpPr>
      <cdr:spPr>
        <a:xfrm xmlns:a="http://schemas.openxmlformats.org/drawingml/2006/main">
          <a:off x="4177302" y="1985921"/>
          <a:ext cx="1952014" cy="2019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2014" h="2019050">
              <a:moveTo>
                <a:pt x="927190" y="1078770"/>
              </a:moveTo>
              <a:lnTo>
                <a:pt x="651859" y="1363556"/>
              </a:lnTo>
              <a:lnTo>
                <a:pt x="18130" y="2019049"/>
              </a:lnTo>
              <a:lnTo>
                <a:pt x="0" y="2000297"/>
              </a:lnTo>
              <a:lnTo>
                <a:pt x="633730" y="1344804"/>
              </a:lnTo>
              <a:lnTo>
                <a:pt x="909061" y="1060018"/>
              </a:lnTo>
              <a:lnTo>
                <a:pt x="1159303" y="801182"/>
              </a:lnTo>
              <a:lnTo>
                <a:pt x="1933884" y="0"/>
              </a:lnTo>
              <a:lnTo>
                <a:pt x="1952013" y="18752"/>
              </a:lnTo>
              <a:lnTo>
                <a:pt x="1177432" y="8199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0.18821</cdr:x>
      <cdr:y>0.66754</cdr:y>
    </cdr:from>
    <cdr:to>
      <cdr:x>0.45511</cdr:x>
      <cdr:y>0.9301</cdr:y>
    </cdr:to>
    <cdr:sp macro="" textlink="">
      <cdr:nvSpPr>
        <cdr:cNvPr id="84" name="FracNo 964 StartRow 1087">
          <a:extLst xmlns:a="http://schemas.openxmlformats.org/drawingml/2006/main">
            <a:ext uri="{FF2B5EF4-FFF2-40B4-BE49-F238E27FC236}">
              <a16:creationId xmlns:a16="http://schemas.microsoft.com/office/drawing/2014/main" id="{BD389410-7356-6E4E-6D7D-180F21B6AC01}"/>
            </a:ext>
          </a:extLst>
        </cdr:cNvPr>
        <cdr:cNvSpPr/>
      </cdr:nvSpPr>
      <cdr:spPr>
        <a:xfrm xmlns:a="http://schemas.openxmlformats.org/drawingml/2006/main">
          <a:off x="1376787" y="5086647"/>
          <a:ext cx="1952421" cy="20007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2421" h="2000719">
              <a:moveTo>
                <a:pt x="733986" y="1241525"/>
              </a:moveTo>
              <a:lnTo>
                <a:pt x="0" y="2000718"/>
              </a:lnTo>
              <a:lnTo>
                <a:pt x="36259" y="2000718"/>
              </a:lnTo>
              <a:lnTo>
                <a:pt x="760461" y="1251645"/>
              </a:lnTo>
              <a:lnTo>
                <a:pt x="1378164" y="612729"/>
              </a:lnTo>
              <a:lnTo>
                <a:pt x="1952420" y="18751"/>
              </a:lnTo>
              <a:lnTo>
                <a:pt x="1934291" y="0"/>
              </a:lnTo>
              <a:lnTo>
                <a:pt x="1360035" y="5939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0.67878</cdr:x>
      <cdr:y>0.62558</cdr:y>
    </cdr:from>
    <cdr:to>
      <cdr:x>0.94246</cdr:x>
      <cdr:y>0.88987</cdr:y>
    </cdr:to>
    <cdr:sp macro="" textlink="">
      <cdr:nvSpPr>
        <cdr:cNvPr id="85" name="FracNo 504 StartRow 1098">
          <a:extLst xmlns:a="http://schemas.openxmlformats.org/drawingml/2006/main">
            <a:ext uri="{FF2B5EF4-FFF2-40B4-BE49-F238E27FC236}">
              <a16:creationId xmlns:a16="http://schemas.microsoft.com/office/drawing/2014/main" id="{EEAEAE05-6E71-3334-9EDA-2614FCE87311}"/>
            </a:ext>
          </a:extLst>
        </cdr:cNvPr>
        <cdr:cNvSpPr/>
      </cdr:nvSpPr>
      <cdr:spPr>
        <a:xfrm xmlns:a="http://schemas.openxmlformats.org/drawingml/2006/main">
          <a:off x="4965379" y="4766915"/>
          <a:ext cx="1928929" cy="2013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8929" h="2013925">
              <a:moveTo>
                <a:pt x="672661" y="1336915"/>
              </a:moveTo>
              <a:lnTo>
                <a:pt x="18129" y="2013924"/>
              </a:lnTo>
              <a:lnTo>
                <a:pt x="0" y="1995172"/>
              </a:lnTo>
              <a:lnTo>
                <a:pt x="660464" y="1312026"/>
              </a:lnTo>
              <a:lnTo>
                <a:pt x="1776777" y="157377"/>
              </a:lnTo>
              <a:lnTo>
                <a:pt x="1928928" y="0"/>
              </a:lnTo>
              <a:lnTo>
                <a:pt x="1928928" y="37504"/>
              </a:lnTo>
              <a:lnTo>
                <a:pt x="1778946" y="1926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0.67931</cdr:x>
      <cdr:y>0.2073</cdr:y>
    </cdr:from>
    <cdr:to>
      <cdr:x>0.94246</cdr:x>
      <cdr:y>0.47107</cdr:y>
    </cdr:to>
    <cdr:sp macro="" textlink="">
      <cdr:nvSpPr>
        <cdr:cNvPr id="86" name="FracNo 866 StartRow 1109">
          <a:extLst xmlns:a="http://schemas.openxmlformats.org/drawingml/2006/main">
            <a:ext uri="{FF2B5EF4-FFF2-40B4-BE49-F238E27FC236}">
              <a16:creationId xmlns:a16="http://schemas.microsoft.com/office/drawing/2014/main" id="{9ECFB321-11C4-D51A-E77B-A7FDF931F15F}"/>
            </a:ext>
          </a:extLst>
        </cdr:cNvPr>
        <cdr:cNvSpPr/>
      </cdr:nvSpPr>
      <cdr:spPr>
        <a:xfrm xmlns:a="http://schemas.openxmlformats.org/drawingml/2006/main">
          <a:off x="4969280" y="1579628"/>
          <a:ext cx="1925028" cy="20098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5028" h="2009890">
              <a:moveTo>
                <a:pt x="806143" y="1194814"/>
              </a:moveTo>
              <a:lnTo>
                <a:pt x="775772" y="1226227"/>
              </a:lnTo>
              <a:lnTo>
                <a:pt x="18130" y="2009889"/>
              </a:lnTo>
              <a:lnTo>
                <a:pt x="0" y="1991136"/>
              </a:lnTo>
              <a:lnTo>
                <a:pt x="757643" y="1207475"/>
              </a:lnTo>
              <a:lnTo>
                <a:pt x="788493" y="1175566"/>
              </a:lnTo>
              <a:lnTo>
                <a:pt x="1925027" y="0"/>
              </a:lnTo>
              <a:lnTo>
                <a:pt x="192502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0.35998</cdr:x>
      <cdr:y>0.45353</cdr:y>
    </cdr:from>
    <cdr:to>
      <cdr:x>0.62217</cdr:x>
      <cdr:y>0.71388</cdr:y>
    </cdr:to>
    <cdr:sp macro="" textlink="">
      <cdr:nvSpPr>
        <cdr:cNvPr id="87" name="FracNo 198 StartRow 1120">
          <a:extLst xmlns:a="http://schemas.openxmlformats.org/drawingml/2006/main">
            <a:ext uri="{FF2B5EF4-FFF2-40B4-BE49-F238E27FC236}">
              <a16:creationId xmlns:a16="http://schemas.microsoft.com/office/drawing/2014/main" id="{78A675BC-2506-885E-4EE8-DBB5126ADB4E}"/>
            </a:ext>
          </a:extLst>
        </cdr:cNvPr>
        <cdr:cNvSpPr/>
      </cdr:nvSpPr>
      <cdr:spPr>
        <a:xfrm xmlns:a="http://schemas.openxmlformats.org/drawingml/2006/main">
          <a:off x="2633302" y="3455883"/>
          <a:ext cx="1917981" cy="19838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7981" h="1983849">
              <a:moveTo>
                <a:pt x="247065" y="1747049"/>
              </a:moveTo>
              <a:lnTo>
                <a:pt x="121649" y="1876773"/>
              </a:lnTo>
              <a:lnTo>
                <a:pt x="18129" y="1983848"/>
              </a:lnTo>
              <a:lnTo>
                <a:pt x="0" y="1965096"/>
              </a:lnTo>
              <a:lnTo>
                <a:pt x="103520" y="1858021"/>
              </a:lnTo>
              <a:lnTo>
                <a:pt x="228936" y="1728298"/>
              </a:lnTo>
              <a:lnTo>
                <a:pt x="472216" y="1476663"/>
              </a:lnTo>
              <a:lnTo>
                <a:pt x="1899851" y="0"/>
              </a:lnTo>
              <a:lnTo>
                <a:pt x="1917980" y="18752"/>
              </a:lnTo>
              <a:lnTo>
                <a:pt x="490345" y="14954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0.68227</cdr:x>
      <cdr:y>0.11831</cdr:y>
    </cdr:from>
    <cdr:to>
      <cdr:x>0.94246</cdr:x>
      <cdr:y>0.37913</cdr:y>
    </cdr:to>
    <cdr:sp macro="" textlink="">
      <cdr:nvSpPr>
        <cdr:cNvPr id="88" name="FracNo 914 StartRow 1133">
          <a:extLst xmlns:a="http://schemas.openxmlformats.org/drawingml/2006/main">
            <a:ext uri="{FF2B5EF4-FFF2-40B4-BE49-F238E27FC236}">
              <a16:creationId xmlns:a16="http://schemas.microsoft.com/office/drawing/2014/main" id="{0B69D96F-506C-B39B-054E-9B54EEA7817C}"/>
            </a:ext>
          </a:extLst>
        </cdr:cNvPr>
        <cdr:cNvSpPr/>
      </cdr:nvSpPr>
      <cdr:spPr>
        <a:xfrm xmlns:a="http://schemas.openxmlformats.org/drawingml/2006/main">
          <a:off x="4990930" y="901503"/>
          <a:ext cx="1903378" cy="19874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3378" h="1987496">
              <a:moveTo>
                <a:pt x="863031" y="1076075"/>
              </a:moveTo>
              <a:lnTo>
                <a:pt x="80383" y="1885600"/>
              </a:lnTo>
              <a:lnTo>
                <a:pt x="0" y="1968744"/>
              </a:lnTo>
              <a:lnTo>
                <a:pt x="18129" y="1987495"/>
              </a:lnTo>
              <a:lnTo>
                <a:pt x="98512" y="1904352"/>
              </a:lnTo>
              <a:lnTo>
                <a:pt x="873376" y="1102877"/>
              </a:lnTo>
              <a:lnTo>
                <a:pt x="1903377" y="37504"/>
              </a:lnTo>
              <a:lnTo>
                <a:pt x="19033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0.61909</cdr:y>
    </cdr:from>
    <cdr:to>
      <cdr:x>0.35039</cdr:x>
      <cdr:y>0.8783</cdr:y>
    </cdr:to>
    <cdr:sp macro="" textlink="">
      <cdr:nvSpPr>
        <cdr:cNvPr id="89" name="FracNo 771 StartRow 1144">
          <a:extLst xmlns:a="http://schemas.openxmlformats.org/drawingml/2006/main">
            <a:ext uri="{FF2B5EF4-FFF2-40B4-BE49-F238E27FC236}">
              <a16:creationId xmlns:a16="http://schemas.microsoft.com/office/drawing/2014/main" id="{357FC2FC-706F-BA1F-DA42-E9239D66D750}"/>
            </a:ext>
          </a:extLst>
        </cdr:cNvPr>
        <cdr:cNvSpPr/>
      </cdr:nvSpPr>
      <cdr:spPr>
        <a:xfrm xmlns:a="http://schemas.openxmlformats.org/drawingml/2006/main">
          <a:off x="671676" y="4717429"/>
          <a:ext cx="1891471" cy="1975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1471" h="1975180">
              <a:moveTo>
                <a:pt x="959349" y="982884"/>
              </a:moveTo>
              <a:lnTo>
                <a:pt x="0" y="1975179"/>
              </a:lnTo>
              <a:lnTo>
                <a:pt x="0" y="1937676"/>
              </a:lnTo>
              <a:lnTo>
                <a:pt x="949018" y="956066"/>
              </a:lnTo>
              <a:lnTo>
                <a:pt x="1665366" y="215117"/>
              </a:lnTo>
              <a:lnTo>
                <a:pt x="1873340" y="0"/>
              </a:lnTo>
              <a:lnTo>
                <a:pt x="1891470" y="18752"/>
              </a:lnTo>
              <a:lnTo>
                <a:pt x="1683495" y="2338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0.36932</cdr:x>
      <cdr:y>0.67347</cdr:y>
    </cdr:from>
    <cdr:to>
      <cdr:x>0.63025</cdr:x>
      <cdr:y>0.9301</cdr:y>
    </cdr:to>
    <cdr:sp macro="" textlink="">
      <cdr:nvSpPr>
        <cdr:cNvPr id="90" name="FracNo 187 StartRow 1155">
          <a:extLst xmlns:a="http://schemas.openxmlformats.org/drawingml/2006/main">
            <a:ext uri="{FF2B5EF4-FFF2-40B4-BE49-F238E27FC236}">
              <a16:creationId xmlns:a16="http://schemas.microsoft.com/office/drawing/2014/main" id="{4EDB0007-5F2C-403C-BF76-F5C1F60A4EE6}"/>
            </a:ext>
          </a:extLst>
        </cdr:cNvPr>
        <cdr:cNvSpPr/>
      </cdr:nvSpPr>
      <cdr:spPr>
        <a:xfrm xmlns:a="http://schemas.openxmlformats.org/drawingml/2006/main">
          <a:off x="2701664" y="5131814"/>
          <a:ext cx="1908754" cy="19555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8754" h="1955552">
              <a:moveTo>
                <a:pt x="440191" y="1537746"/>
              </a:moveTo>
              <a:lnTo>
                <a:pt x="61769" y="1929164"/>
              </a:lnTo>
              <a:lnTo>
                <a:pt x="36258" y="1955551"/>
              </a:lnTo>
              <a:lnTo>
                <a:pt x="0" y="1955551"/>
              </a:lnTo>
              <a:lnTo>
                <a:pt x="26675" y="1927960"/>
              </a:lnTo>
              <a:lnTo>
                <a:pt x="408573" y="1532947"/>
              </a:lnTo>
              <a:lnTo>
                <a:pt x="1890623" y="0"/>
              </a:lnTo>
              <a:lnTo>
                <a:pt x="190875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0.43768</cdr:x>
      <cdr:y>0.08544</cdr:y>
    </cdr:from>
    <cdr:to>
      <cdr:x>0.69485</cdr:x>
      <cdr:y>0.33834</cdr:y>
    </cdr:to>
    <cdr:sp macro="" textlink="">
      <cdr:nvSpPr>
        <cdr:cNvPr id="91" name="FracNo 927 StartRow 1166">
          <a:extLst xmlns:a="http://schemas.openxmlformats.org/drawingml/2006/main">
            <a:ext uri="{FF2B5EF4-FFF2-40B4-BE49-F238E27FC236}">
              <a16:creationId xmlns:a16="http://schemas.microsoft.com/office/drawing/2014/main" id="{CBE2225B-C7B5-9C77-D143-F8074ADB103F}"/>
            </a:ext>
          </a:extLst>
        </cdr:cNvPr>
        <cdr:cNvSpPr/>
      </cdr:nvSpPr>
      <cdr:spPr>
        <a:xfrm xmlns:a="http://schemas.openxmlformats.org/drawingml/2006/main">
          <a:off x="3201706" y="651036"/>
          <a:ext cx="1881240" cy="19270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1240" h="1927093">
              <a:moveTo>
                <a:pt x="1257557" y="607596"/>
              </a:moveTo>
              <a:lnTo>
                <a:pt x="0" y="1908340"/>
              </a:lnTo>
              <a:lnTo>
                <a:pt x="18129" y="1927092"/>
              </a:lnTo>
              <a:lnTo>
                <a:pt x="1284028" y="617721"/>
              </a:lnTo>
              <a:lnTo>
                <a:pt x="1632775" y="256997"/>
              </a:lnTo>
              <a:lnTo>
                <a:pt x="1881239" y="0"/>
              </a:lnTo>
              <a:lnTo>
                <a:pt x="1844980" y="0"/>
              </a:lnTo>
              <a:lnTo>
                <a:pt x="1604006" y="2492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0.28012</cdr:x>
      <cdr:y>0.53053</cdr:y>
    </cdr:from>
    <cdr:to>
      <cdr:x>0.53299</cdr:x>
      <cdr:y>0.78162</cdr:y>
    </cdr:to>
    <cdr:sp macro="" textlink="">
      <cdr:nvSpPr>
        <cdr:cNvPr id="92" name="FracNo 798 StartRow 1177">
          <a:extLst xmlns:a="http://schemas.openxmlformats.org/drawingml/2006/main">
            <a:ext uri="{FF2B5EF4-FFF2-40B4-BE49-F238E27FC236}">
              <a16:creationId xmlns:a16="http://schemas.microsoft.com/office/drawing/2014/main" id="{F851E4BD-8548-9725-1099-035F5FF50984}"/>
            </a:ext>
          </a:extLst>
        </cdr:cNvPr>
        <cdr:cNvSpPr/>
      </cdr:nvSpPr>
      <cdr:spPr>
        <a:xfrm xmlns:a="http://schemas.openxmlformats.org/drawingml/2006/main">
          <a:off x="2049116" y="4042644"/>
          <a:ext cx="1849807" cy="19133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9807" h="1913334">
              <a:moveTo>
                <a:pt x="1488174" y="392804"/>
              </a:moveTo>
              <a:lnTo>
                <a:pt x="989451" y="908654"/>
              </a:lnTo>
              <a:lnTo>
                <a:pt x="705835" y="1202010"/>
              </a:lnTo>
              <a:lnTo>
                <a:pt x="18129" y="1913333"/>
              </a:lnTo>
              <a:lnTo>
                <a:pt x="0" y="1894581"/>
              </a:lnTo>
              <a:lnTo>
                <a:pt x="687706" y="1183258"/>
              </a:lnTo>
              <a:lnTo>
                <a:pt x="971322" y="889902"/>
              </a:lnTo>
              <a:lnTo>
                <a:pt x="1470044" y="374052"/>
              </a:lnTo>
              <a:lnTo>
                <a:pt x="1831677" y="0"/>
              </a:lnTo>
              <a:lnTo>
                <a:pt x="18498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0.30271</cdr:x>
      <cdr:y>0.14172</cdr:y>
    </cdr:from>
    <cdr:to>
      <cdr:x>0.55518</cdr:x>
      <cdr:y>0.39242</cdr:y>
    </cdr:to>
    <cdr:sp macro="" textlink="">
      <cdr:nvSpPr>
        <cdr:cNvPr id="93" name="FracNo 110 StartRow 1190">
          <a:extLst xmlns:a="http://schemas.openxmlformats.org/drawingml/2006/main">
            <a:ext uri="{FF2B5EF4-FFF2-40B4-BE49-F238E27FC236}">
              <a16:creationId xmlns:a16="http://schemas.microsoft.com/office/drawing/2014/main" id="{7A2B50CF-80BE-2FE7-C3E7-53018A1E52E1}"/>
            </a:ext>
          </a:extLst>
        </cdr:cNvPr>
        <cdr:cNvSpPr/>
      </cdr:nvSpPr>
      <cdr:spPr>
        <a:xfrm xmlns:a="http://schemas.openxmlformats.org/drawingml/2006/main">
          <a:off x="2214377" y="1079924"/>
          <a:ext cx="1846860" cy="1910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6860" h="1910285">
              <a:moveTo>
                <a:pt x="22874" y="1867872"/>
              </a:moveTo>
              <a:lnTo>
                <a:pt x="0" y="1891532"/>
              </a:lnTo>
              <a:lnTo>
                <a:pt x="18129" y="1910284"/>
              </a:lnTo>
              <a:lnTo>
                <a:pt x="41004" y="1886624"/>
              </a:lnTo>
              <a:lnTo>
                <a:pt x="196361" y="1725931"/>
              </a:lnTo>
              <a:lnTo>
                <a:pt x="540574" y="1369897"/>
              </a:lnTo>
              <a:lnTo>
                <a:pt x="1846859" y="18751"/>
              </a:lnTo>
              <a:lnTo>
                <a:pt x="1828730" y="0"/>
              </a:lnTo>
              <a:lnTo>
                <a:pt x="522445" y="1351145"/>
              </a:lnTo>
              <a:lnTo>
                <a:pt x="178232" y="17071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0.45496</cdr:x>
      <cdr:y>0.68188</cdr:y>
    </cdr:from>
    <cdr:to>
      <cdr:x>0.70742</cdr:x>
      <cdr:y>0.9301</cdr:y>
    </cdr:to>
    <cdr:sp macro="" textlink="">
      <cdr:nvSpPr>
        <cdr:cNvPr id="94" name="FracNo 975 StartRow 1203">
          <a:extLst xmlns:a="http://schemas.openxmlformats.org/drawingml/2006/main">
            <a:ext uri="{FF2B5EF4-FFF2-40B4-BE49-F238E27FC236}">
              <a16:creationId xmlns:a16="http://schemas.microsoft.com/office/drawing/2014/main" id="{88055553-C863-C8E7-6D03-4A22554EA8D7}"/>
            </a:ext>
          </a:extLst>
        </cdr:cNvPr>
        <cdr:cNvSpPr/>
      </cdr:nvSpPr>
      <cdr:spPr>
        <a:xfrm xmlns:a="http://schemas.openxmlformats.org/drawingml/2006/main">
          <a:off x="3328138" y="5195893"/>
          <a:ext cx="1846802" cy="18914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6802" h="1891473">
              <a:moveTo>
                <a:pt x="1300862" y="545936"/>
              </a:moveTo>
              <a:lnTo>
                <a:pt x="0" y="1891472"/>
              </a:lnTo>
              <a:lnTo>
                <a:pt x="36259" y="1891472"/>
              </a:lnTo>
              <a:lnTo>
                <a:pt x="1321217" y="562386"/>
              </a:lnTo>
              <a:lnTo>
                <a:pt x="1501023" y="376404"/>
              </a:lnTo>
              <a:lnTo>
                <a:pt x="1846801" y="18751"/>
              </a:lnTo>
              <a:lnTo>
                <a:pt x="1828672" y="0"/>
              </a:lnTo>
              <a:lnTo>
                <a:pt x="1482894" y="3576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0.33656</cdr:x>
      <cdr:y>0.32845</cdr:y>
    </cdr:to>
    <cdr:sp macro="" textlink="">
      <cdr:nvSpPr>
        <cdr:cNvPr id="95" name="FracNo 787 StartRow 1214">
          <a:extLst xmlns:a="http://schemas.openxmlformats.org/drawingml/2006/main">
            <a:ext uri="{FF2B5EF4-FFF2-40B4-BE49-F238E27FC236}">
              <a16:creationId xmlns:a16="http://schemas.microsoft.com/office/drawing/2014/main" id="{5EE7AE39-4EC9-D5F1-EFCC-057AB5FD943C}"/>
            </a:ext>
          </a:extLst>
        </cdr:cNvPr>
        <cdr:cNvSpPr/>
      </cdr:nvSpPr>
      <cdr:spPr>
        <a:xfrm xmlns:a="http://schemas.openxmlformats.org/drawingml/2006/main">
          <a:off x="671676" y="651036"/>
          <a:ext cx="1790302" cy="1851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0302" h="1851784">
              <a:moveTo>
                <a:pt x="1219344" y="553060"/>
              </a:moveTo>
              <a:lnTo>
                <a:pt x="0" y="1814280"/>
              </a:lnTo>
              <a:lnTo>
                <a:pt x="0" y="1851783"/>
              </a:lnTo>
              <a:lnTo>
                <a:pt x="1244550" y="564493"/>
              </a:lnTo>
              <a:lnTo>
                <a:pt x="1790301" y="0"/>
              </a:lnTo>
              <a:lnTo>
                <a:pt x="17540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0.66463</cdr:x>
      <cdr:y>0.10712</cdr:y>
    </cdr:from>
    <cdr:to>
      <cdr:x>0.90869</cdr:x>
      <cdr:y>0.34947</cdr:y>
    </cdr:to>
    <cdr:sp macro="" textlink="">
      <cdr:nvSpPr>
        <cdr:cNvPr id="96" name="FracNo 280 StartRow 1223">
          <a:extLst xmlns:a="http://schemas.openxmlformats.org/drawingml/2006/main">
            <a:ext uri="{FF2B5EF4-FFF2-40B4-BE49-F238E27FC236}">
              <a16:creationId xmlns:a16="http://schemas.microsoft.com/office/drawing/2014/main" id="{30FAA5BE-3BE6-142F-09C6-2B43002A9EA8}"/>
            </a:ext>
          </a:extLst>
        </cdr:cNvPr>
        <cdr:cNvSpPr/>
      </cdr:nvSpPr>
      <cdr:spPr>
        <a:xfrm xmlns:a="http://schemas.openxmlformats.org/drawingml/2006/main">
          <a:off x="4861880" y="816226"/>
          <a:ext cx="1785405" cy="18467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5405" h="1846718">
              <a:moveTo>
                <a:pt x="68581" y="1757030"/>
              </a:moveTo>
              <a:lnTo>
                <a:pt x="0" y="1827965"/>
              </a:lnTo>
              <a:lnTo>
                <a:pt x="18129" y="1846717"/>
              </a:lnTo>
              <a:lnTo>
                <a:pt x="86710" y="1775781"/>
              </a:lnTo>
              <a:lnTo>
                <a:pt x="1785404" y="18751"/>
              </a:lnTo>
              <a:lnTo>
                <a:pt x="17672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0.53798</cdr:y>
    </cdr:from>
    <cdr:to>
      <cdr:x>0.33374</cdr:x>
      <cdr:y>0.78066</cdr:y>
    </cdr:to>
    <cdr:sp macro="" textlink="">
      <cdr:nvSpPr>
        <cdr:cNvPr id="97" name="FracNo 23 StartRow 1232">
          <a:extLst xmlns:a="http://schemas.openxmlformats.org/drawingml/2006/main">
            <a:ext uri="{FF2B5EF4-FFF2-40B4-BE49-F238E27FC236}">
              <a16:creationId xmlns:a16="http://schemas.microsoft.com/office/drawing/2014/main" id="{5B7B070B-BED9-3D88-A1C2-5477FF14358A}"/>
            </a:ext>
          </a:extLst>
        </cdr:cNvPr>
        <cdr:cNvSpPr/>
      </cdr:nvSpPr>
      <cdr:spPr>
        <a:xfrm xmlns:a="http://schemas.openxmlformats.org/drawingml/2006/main">
          <a:off x="671676" y="4099431"/>
          <a:ext cx="1769665" cy="18491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9665" h="1849191">
              <a:moveTo>
                <a:pt x="655398" y="1133780"/>
              </a:moveTo>
              <a:lnTo>
                <a:pt x="0" y="1811686"/>
              </a:lnTo>
              <a:lnTo>
                <a:pt x="0" y="1849190"/>
              </a:lnTo>
              <a:lnTo>
                <a:pt x="667957" y="1158294"/>
              </a:lnTo>
              <a:lnTo>
                <a:pt x="964210" y="851867"/>
              </a:lnTo>
              <a:lnTo>
                <a:pt x="1769664" y="18752"/>
              </a:lnTo>
              <a:lnTo>
                <a:pt x="1751535" y="0"/>
              </a:lnTo>
              <a:lnTo>
                <a:pt x="946080" y="8331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0.70247</cdr:x>
      <cdr:y>0.40288</cdr:y>
    </cdr:from>
    <cdr:to>
      <cdr:x>0.94246</cdr:x>
      <cdr:y>0.64364</cdr:y>
    </cdr:to>
    <cdr:sp macro="" textlink="">
      <cdr:nvSpPr>
        <cdr:cNvPr id="98" name="FracNo 778 StartRow 1243">
          <a:extLst xmlns:a="http://schemas.openxmlformats.org/drawingml/2006/main">
            <a:ext uri="{FF2B5EF4-FFF2-40B4-BE49-F238E27FC236}">
              <a16:creationId xmlns:a16="http://schemas.microsoft.com/office/drawing/2014/main" id="{91AEA01D-A705-9C76-A346-CA8160A0534F}"/>
            </a:ext>
          </a:extLst>
        </cdr:cNvPr>
        <cdr:cNvSpPr/>
      </cdr:nvSpPr>
      <cdr:spPr>
        <a:xfrm xmlns:a="http://schemas.openxmlformats.org/drawingml/2006/main">
          <a:off x="5138731" y="3069928"/>
          <a:ext cx="1755577" cy="1834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5577" h="1834619">
              <a:moveTo>
                <a:pt x="114986" y="1696931"/>
              </a:moveTo>
              <a:lnTo>
                <a:pt x="0" y="1815867"/>
              </a:lnTo>
              <a:lnTo>
                <a:pt x="18129" y="1834618"/>
              </a:lnTo>
              <a:lnTo>
                <a:pt x="131928" y="1716911"/>
              </a:lnTo>
              <a:lnTo>
                <a:pt x="1755576" y="37504"/>
              </a:lnTo>
              <a:lnTo>
                <a:pt x="17555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0.26279</cdr:x>
      <cdr:y>0.48488</cdr:y>
    </cdr:from>
    <cdr:to>
      <cdr:x>0.50263</cdr:x>
      <cdr:y>0.72303</cdr:y>
    </cdr:to>
    <cdr:sp macro="" textlink="">
      <cdr:nvSpPr>
        <cdr:cNvPr id="99" name="FracNo 749 StartRow 1252">
          <a:extLst xmlns:a="http://schemas.openxmlformats.org/drawingml/2006/main">
            <a:ext uri="{FF2B5EF4-FFF2-40B4-BE49-F238E27FC236}">
              <a16:creationId xmlns:a16="http://schemas.microsoft.com/office/drawing/2014/main" id="{762FE2C1-C9F7-D11B-99FB-8F610AA05064}"/>
            </a:ext>
          </a:extLst>
        </cdr:cNvPr>
        <cdr:cNvSpPr/>
      </cdr:nvSpPr>
      <cdr:spPr>
        <a:xfrm xmlns:a="http://schemas.openxmlformats.org/drawingml/2006/main">
          <a:off x="1922392" y="3694755"/>
          <a:ext cx="1754446" cy="18146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4446" h="1814697">
              <a:moveTo>
                <a:pt x="1234996" y="518536"/>
              </a:moveTo>
              <a:lnTo>
                <a:pt x="814430" y="953545"/>
              </a:lnTo>
              <a:lnTo>
                <a:pt x="539622" y="1237791"/>
              </a:lnTo>
              <a:lnTo>
                <a:pt x="0" y="1795945"/>
              </a:lnTo>
              <a:lnTo>
                <a:pt x="18129" y="1814696"/>
              </a:lnTo>
              <a:lnTo>
                <a:pt x="557751" y="1256543"/>
              </a:lnTo>
              <a:lnTo>
                <a:pt x="832559" y="972297"/>
              </a:lnTo>
              <a:lnTo>
                <a:pt x="1253125" y="537288"/>
              </a:lnTo>
              <a:lnTo>
                <a:pt x="1754445" y="18752"/>
              </a:lnTo>
              <a:lnTo>
                <a:pt x="17363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0.70617</cdr:x>
      <cdr:y>0.44846</cdr:y>
    </cdr:from>
    <cdr:to>
      <cdr:x>0.94246</cdr:x>
      <cdr:y>0.68555</cdr:y>
    </cdr:to>
    <cdr:sp macro="" textlink="">
      <cdr:nvSpPr>
        <cdr:cNvPr id="100" name="FracNo 896 StartRow 1265">
          <a:extLst xmlns:a="http://schemas.openxmlformats.org/drawingml/2006/main">
            <a:ext uri="{FF2B5EF4-FFF2-40B4-BE49-F238E27FC236}">
              <a16:creationId xmlns:a16="http://schemas.microsoft.com/office/drawing/2014/main" id="{1A1F84F8-118F-F50F-A4F2-64467BCFF243}"/>
            </a:ext>
          </a:extLst>
        </cdr:cNvPr>
        <cdr:cNvSpPr/>
      </cdr:nvSpPr>
      <cdr:spPr>
        <a:xfrm xmlns:a="http://schemas.openxmlformats.org/drawingml/2006/main">
          <a:off x="5165761" y="3417242"/>
          <a:ext cx="1728547" cy="18066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8547" h="1806661">
              <a:moveTo>
                <a:pt x="883406" y="911668"/>
              </a:moveTo>
              <a:lnTo>
                <a:pt x="281682" y="1534056"/>
              </a:lnTo>
              <a:lnTo>
                <a:pt x="18129" y="1806660"/>
              </a:lnTo>
              <a:lnTo>
                <a:pt x="0" y="1787909"/>
              </a:lnTo>
              <a:lnTo>
                <a:pt x="263553" y="1515304"/>
              </a:lnTo>
              <a:lnTo>
                <a:pt x="872817" y="885117"/>
              </a:lnTo>
              <a:lnTo>
                <a:pt x="1728546" y="0"/>
              </a:lnTo>
              <a:lnTo>
                <a:pt x="172854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0.70619</cdr:x>
      <cdr:y>0.48837</cdr:y>
    </cdr:from>
    <cdr:to>
      <cdr:x>0.94246</cdr:x>
      <cdr:y>0.72544</cdr:y>
    </cdr:to>
    <cdr:sp macro="" textlink="">
      <cdr:nvSpPr>
        <cdr:cNvPr id="101" name="FracNo 588 StartRow 1276">
          <a:extLst xmlns:a="http://schemas.openxmlformats.org/drawingml/2006/main">
            <a:ext uri="{FF2B5EF4-FFF2-40B4-BE49-F238E27FC236}">
              <a16:creationId xmlns:a16="http://schemas.microsoft.com/office/drawing/2014/main" id="{59922CB5-B3CF-3068-B68C-042A4F659571}"/>
            </a:ext>
          </a:extLst>
        </cdr:cNvPr>
        <cdr:cNvSpPr/>
      </cdr:nvSpPr>
      <cdr:spPr>
        <a:xfrm xmlns:a="http://schemas.openxmlformats.org/drawingml/2006/main">
          <a:off x="5165916" y="3721362"/>
          <a:ext cx="1728392" cy="18065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8392" h="1806500">
              <a:moveTo>
                <a:pt x="759684" y="1039478"/>
              </a:moveTo>
              <a:lnTo>
                <a:pt x="575549" y="1229936"/>
              </a:lnTo>
              <a:lnTo>
                <a:pt x="18129" y="1806499"/>
              </a:lnTo>
              <a:lnTo>
                <a:pt x="0" y="1787747"/>
              </a:lnTo>
              <a:lnTo>
                <a:pt x="557420" y="1211184"/>
              </a:lnTo>
              <a:lnTo>
                <a:pt x="744451" y="1017731"/>
              </a:lnTo>
              <a:lnTo>
                <a:pt x="1728391" y="0"/>
              </a:lnTo>
              <a:lnTo>
                <a:pt x="172839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0.70962</cdr:x>
      <cdr:y>0.27689</cdr:y>
    </cdr:from>
    <cdr:to>
      <cdr:x>0.94246</cdr:x>
      <cdr:y>0.51055</cdr:y>
    </cdr:to>
    <cdr:sp macro="" textlink="">
      <cdr:nvSpPr>
        <cdr:cNvPr id="102" name="FracNo 830 StartRow 1287">
          <a:extLst xmlns:a="http://schemas.openxmlformats.org/drawingml/2006/main">
            <a:ext uri="{FF2B5EF4-FFF2-40B4-BE49-F238E27FC236}">
              <a16:creationId xmlns:a16="http://schemas.microsoft.com/office/drawing/2014/main" id="{E36B8140-31F5-A275-59C0-076505DDC1B9}"/>
            </a:ext>
          </a:extLst>
        </cdr:cNvPr>
        <cdr:cNvSpPr/>
      </cdr:nvSpPr>
      <cdr:spPr>
        <a:xfrm xmlns:a="http://schemas.openxmlformats.org/drawingml/2006/main">
          <a:off x="5191036" y="2109864"/>
          <a:ext cx="1703272" cy="17805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3272" h="1780518">
              <a:moveTo>
                <a:pt x="999754" y="765181"/>
              </a:moveTo>
              <a:lnTo>
                <a:pt x="18130" y="1780517"/>
              </a:lnTo>
              <a:lnTo>
                <a:pt x="0" y="1761765"/>
              </a:lnTo>
              <a:lnTo>
                <a:pt x="983202" y="744798"/>
              </a:lnTo>
              <a:lnTo>
                <a:pt x="1049359" y="676368"/>
              </a:lnTo>
              <a:lnTo>
                <a:pt x="1703271" y="0"/>
              </a:lnTo>
              <a:lnTo>
                <a:pt x="1703271" y="37504"/>
              </a:lnTo>
              <a:lnTo>
                <a:pt x="1065805" y="6968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0.60117</cdr:x>
      <cdr:y>0.70189</cdr:y>
    </cdr:from>
    <cdr:to>
      <cdr:x>0.83347</cdr:x>
      <cdr:y>0.9301</cdr:y>
    </cdr:to>
    <cdr:sp macro="" textlink="">
      <cdr:nvSpPr>
        <cdr:cNvPr id="103" name="FracNo 518 StartRow 1298">
          <a:extLst xmlns:a="http://schemas.openxmlformats.org/drawingml/2006/main">
            <a:ext uri="{FF2B5EF4-FFF2-40B4-BE49-F238E27FC236}">
              <a16:creationId xmlns:a16="http://schemas.microsoft.com/office/drawing/2014/main" id="{48B77C9C-043E-0CB4-904D-DCB1C17A412F}"/>
            </a:ext>
          </a:extLst>
        </cdr:cNvPr>
        <cdr:cNvSpPr/>
      </cdr:nvSpPr>
      <cdr:spPr>
        <a:xfrm xmlns:a="http://schemas.openxmlformats.org/drawingml/2006/main">
          <a:off x="4397675" y="5348400"/>
          <a:ext cx="1699357" cy="17389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9357" h="1738966">
              <a:moveTo>
                <a:pt x="1091388" y="647600"/>
              </a:moveTo>
              <a:lnTo>
                <a:pt x="437098" y="1324359"/>
              </a:lnTo>
              <a:lnTo>
                <a:pt x="36258" y="1738965"/>
              </a:lnTo>
              <a:lnTo>
                <a:pt x="0" y="1738965"/>
              </a:lnTo>
              <a:lnTo>
                <a:pt x="407745" y="1317216"/>
              </a:lnTo>
              <a:lnTo>
                <a:pt x="1067853" y="634439"/>
              </a:lnTo>
              <a:lnTo>
                <a:pt x="1681227" y="0"/>
              </a:lnTo>
              <a:lnTo>
                <a:pt x="16993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0.41718</cdr:x>
      <cdr:y>0.62446</cdr:y>
    </cdr:from>
    <cdr:to>
      <cdr:x>0.64811</cdr:x>
      <cdr:y>0.85377</cdr:y>
    </cdr:to>
    <cdr:sp macro="" textlink="">
      <cdr:nvSpPr>
        <cdr:cNvPr id="104" name="FracNo 1009 StartRow 1309">
          <a:extLst xmlns:a="http://schemas.openxmlformats.org/drawingml/2006/main">
            <a:ext uri="{FF2B5EF4-FFF2-40B4-BE49-F238E27FC236}">
              <a16:creationId xmlns:a16="http://schemas.microsoft.com/office/drawing/2014/main" id="{A2DFBBC9-75C9-8BF6-A202-F973B30E0540}"/>
            </a:ext>
          </a:extLst>
        </cdr:cNvPr>
        <cdr:cNvSpPr/>
      </cdr:nvSpPr>
      <cdr:spPr>
        <a:xfrm xmlns:a="http://schemas.openxmlformats.org/drawingml/2006/main">
          <a:off x="3051730" y="4758393"/>
          <a:ext cx="1689354" cy="17473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9354" h="1747370">
              <a:moveTo>
                <a:pt x="692289" y="1050057"/>
              </a:moveTo>
              <a:lnTo>
                <a:pt x="18129" y="1747369"/>
              </a:lnTo>
              <a:lnTo>
                <a:pt x="0" y="1728617"/>
              </a:lnTo>
              <a:lnTo>
                <a:pt x="674160" y="1031305"/>
              </a:lnTo>
              <a:lnTo>
                <a:pt x="1502852" y="174153"/>
              </a:lnTo>
              <a:lnTo>
                <a:pt x="1671224" y="0"/>
              </a:lnTo>
              <a:lnTo>
                <a:pt x="1689353" y="18751"/>
              </a:lnTo>
              <a:lnTo>
                <a:pt x="1520982" y="1929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0.59202</cdr:x>
      <cdr:y>0.12832</cdr:y>
    </cdr:from>
    <cdr:to>
      <cdr:x>0.82237</cdr:x>
      <cdr:y>0.35705</cdr:y>
    </cdr:to>
    <cdr:sp macro="" textlink="">
      <cdr:nvSpPr>
        <cdr:cNvPr id="105" name="FracNo 999 StartRow 1320">
          <a:extLst xmlns:a="http://schemas.openxmlformats.org/drawingml/2006/main">
            <a:ext uri="{FF2B5EF4-FFF2-40B4-BE49-F238E27FC236}">
              <a16:creationId xmlns:a16="http://schemas.microsoft.com/office/drawing/2014/main" id="{2900AD99-AF63-7DD3-637C-D2BC68D56CB2}"/>
            </a:ext>
          </a:extLst>
        </cdr:cNvPr>
        <cdr:cNvSpPr/>
      </cdr:nvSpPr>
      <cdr:spPr>
        <a:xfrm xmlns:a="http://schemas.openxmlformats.org/drawingml/2006/main">
          <a:off x="4330774" y="977783"/>
          <a:ext cx="1685050" cy="1742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5050" h="1742919">
              <a:moveTo>
                <a:pt x="73149" y="1686008"/>
              </a:moveTo>
              <a:lnTo>
                <a:pt x="18129" y="1742918"/>
              </a:lnTo>
              <a:lnTo>
                <a:pt x="0" y="1724166"/>
              </a:lnTo>
              <a:lnTo>
                <a:pt x="55020" y="1667256"/>
              </a:lnTo>
              <a:lnTo>
                <a:pt x="480258" y="1227415"/>
              </a:lnTo>
              <a:lnTo>
                <a:pt x="1666920" y="0"/>
              </a:lnTo>
              <a:lnTo>
                <a:pt x="1685049" y="18752"/>
              </a:lnTo>
              <a:lnTo>
                <a:pt x="498387" y="12461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0.40298</cdr:x>
      <cdr:y>0.08544</cdr:y>
    </cdr:from>
    <cdr:to>
      <cdr:x>0.63437</cdr:x>
      <cdr:y>0.31273</cdr:y>
    </cdr:to>
    <cdr:sp macro="" textlink="">
      <cdr:nvSpPr>
        <cdr:cNvPr id="106" name="FracNo 855 StartRow 1331">
          <a:extLst xmlns:a="http://schemas.openxmlformats.org/drawingml/2006/main">
            <a:ext uri="{FF2B5EF4-FFF2-40B4-BE49-F238E27FC236}">
              <a16:creationId xmlns:a16="http://schemas.microsoft.com/office/drawing/2014/main" id="{6854B0D7-E5BC-3CD0-04B5-41B0E8641505}"/>
            </a:ext>
          </a:extLst>
        </cdr:cNvPr>
        <cdr:cNvSpPr/>
      </cdr:nvSpPr>
      <cdr:spPr>
        <a:xfrm xmlns:a="http://schemas.openxmlformats.org/drawingml/2006/main">
          <a:off x="2947912" y="651036"/>
          <a:ext cx="1692599" cy="1731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2599" h="1731975">
              <a:moveTo>
                <a:pt x="1431050" y="233026"/>
              </a:moveTo>
              <a:lnTo>
                <a:pt x="0" y="1713222"/>
              </a:lnTo>
              <a:lnTo>
                <a:pt x="18129" y="1731974"/>
              </a:lnTo>
              <a:lnTo>
                <a:pt x="1464843" y="235577"/>
              </a:lnTo>
              <a:lnTo>
                <a:pt x="1692598" y="0"/>
              </a:lnTo>
              <a:lnTo>
                <a:pt x="16563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0.57386</cdr:x>
      <cdr:y>0.30072</cdr:y>
    </cdr:from>
    <cdr:to>
      <cdr:x>0.80315</cdr:x>
      <cdr:y>0.52839</cdr:y>
    </cdr:to>
    <cdr:sp macro="" textlink="">
      <cdr:nvSpPr>
        <cdr:cNvPr id="107" name="FracNo 675 StartRow 1340">
          <a:extLst xmlns:a="http://schemas.openxmlformats.org/drawingml/2006/main">
            <a:ext uri="{FF2B5EF4-FFF2-40B4-BE49-F238E27FC236}">
              <a16:creationId xmlns:a16="http://schemas.microsoft.com/office/drawing/2014/main" id="{C9071C56-9B5E-C39F-EEB8-BD185549050B}"/>
            </a:ext>
          </a:extLst>
        </cdr:cNvPr>
        <cdr:cNvSpPr/>
      </cdr:nvSpPr>
      <cdr:spPr>
        <a:xfrm xmlns:a="http://schemas.openxmlformats.org/drawingml/2006/main">
          <a:off x="4197935" y="2291450"/>
          <a:ext cx="1677262" cy="17348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7262" h="1734863">
              <a:moveTo>
                <a:pt x="594282" y="1138923"/>
              </a:moveTo>
              <a:lnTo>
                <a:pt x="18130" y="1734862"/>
              </a:lnTo>
              <a:lnTo>
                <a:pt x="0" y="1716110"/>
              </a:lnTo>
              <a:lnTo>
                <a:pt x="576153" y="1120171"/>
              </a:lnTo>
              <a:lnTo>
                <a:pt x="613097" y="1081958"/>
              </a:lnTo>
              <a:lnTo>
                <a:pt x="1179936" y="495653"/>
              </a:lnTo>
              <a:lnTo>
                <a:pt x="1659132" y="0"/>
              </a:lnTo>
              <a:lnTo>
                <a:pt x="1677261" y="18752"/>
              </a:lnTo>
              <a:lnTo>
                <a:pt x="1198065" y="514405"/>
              </a:lnTo>
              <a:lnTo>
                <a:pt x="631226" y="11007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0.22535</cdr:y>
    </cdr:from>
    <cdr:to>
      <cdr:x>0.31954</cdr:x>
      <cdr:y>0.45392</cdr:y>
    </cdr:to>
    <cdr:sp macro="" textlink="">
      <cdr:nvSpPr>
        <cdr:cNvPr id="108" name="FracNo 957 StartRow 1353">
          <a:extLst xmlns:a="http://schemas.openxmlformats.org/drawingml/2006/main">
            <a:ext uri="{FF2B5EF4-FFF2-40B4-BE49-F238E27FC236}">
              <a16:creationId xmlns:a16="http://schemas.microsoft.com/office/drawing/2014/main" id="{793C582A-FF09-B87C-8474-99F89D1831F8}"/>
            </a:ext>
          </a:extLst>
        </cdr:cNvPr>
        <cdr:cNvSpPr/>
      </cdr:nvSpPr>
      <cdr:spPr>
        <a:xfrm xmlns:a="http://schemas.openxmlformats.org/drawingml/2006/main">
          <a:off x="671676" y="1717136"/>
          <a:ext cx="1665793" cy="17417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5793" h="1741752">
              <a:moveTo>
                <a:pt x="258865" y="1436492"/>
              </a:moveTo>
              <a:lnTo>
                <a:pt x="0" y="1704247"/>
              </a:lnTo>
              <a:lnTo>
                <a:pt x="0" y="1741751"/>
              </a:lnTo>
              <a:lnTo>
                <a:pt x="266518" y="1466080"/>
              </a:lnTo>
              <a:lnTo>
                <a:pt x="631350" y="1088719"/>
              </a:lnTo>
              <a:lnTo>
                <a:pt x="1665792" y="18752"/>
              </a:lnTo>
              <a:lnTo>
                <a:pt x="1647663" y="0"/>
              </a:lnTo>
              <a:lnTo>
                <a:pt x="613221" y="10699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0.71695</cdr:x>
      <cdr:y>0.70494</cdr:y>
    </cdr:from>
    <cdr:to>
      <cdr:x>0.94246</cdr:x>
      <cdr:y>0.93133</cdr:y>
    </cdr:to>
    <cdr:sp macro="" textlink="">
      <cdr:nvSpPr>
        <cdr:cNvPr id="109" name="FracNo 725 StartRow 1364">
          <a:extLst xmlns:a="http://schemas.openxmlformats.org/drawingml/2006/main">
            <a:ext uri="{FF2B5EF4-FFF2-40B4-BE49-F238E27FC236}">
              <a16:creationId xmlns:a16="http://schemas.microsoft.com/office/drawing/2014/main" id="{8981A912-69D1-9025-1DAB-0D4AA4220ECB}"/>
            </a:ext>
          </a:extLst>
        </cdr:cNvPr>
        <cdr:cNvSpPr/>
      </cdr:nvSpPr>
      <cdr:spPr>
        <a:xfrm xmlns:a="http://schemas.openxmlformats.org/drawingml/2006/main">
          <a:off x="5244598" y="5371626"/>
          <a:ext cx="1649710" cy="17251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9710" h="1725116">
              <a:moveTo>
                <a:pt x="1154484" y="512233"/>
              </a:moveTo>
              <a:lnTo>
                <a:pt x="0" y="1706363"/>
              </a:lnTo>
              <a:lnTo>
                <a:pt x="18130" y="1725115"/>
              </a:lnTo>
              <a:lnTo>
                <a:pt x="1159926" y="544107"/>
              </a:lnTo>
              <a:lnTo>
                <a:pt x="1649709" y="37504"/>
              </a:lnTo>
              <a:lnTo>
                <a:pt x="16497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0.31854</cdr:x>
      <cdr:y>0.31056</cdr:y>
    </cdr:to>
    <cdr:sp macro="" textlink="">
      <cdr:nvSpPr>
        <cdr:cNvPr id="110" name="FracNo 950 StartRow 1373">
          <a:extLst xmlns:a="http://schemas.openxmlformats.org/drawingml/2006/main">
            <a:ext uri="{FF2B5EF4-FFF2-40B4-BE49-F238E27FC236}">
              <a16:creationId xmlns:a16="http://schemas.microsoft.com/office/drawing/2014/main" id="{8A1546AD-43FA-D232-4E4F-5F1F11CA2872}"/>
            </a:ext>
          </a:extLst>
        </cdr:cNvPr>
        <cdr:cNvSpPr/>
      </cdr:nvSpPr>
      <cdr:spPr>
        <a:xfrm xmlns:a="http://schemas.openxmlformats.org/drawingml/2006/main">
          <a:off x="671676" y="651036"/>
          <a:ext cx="1658483" cy="17154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8483" h="1715439">
              <a:moveTo>
                <a:pt x="981991" y="662220"/>
              </a:moveTo>
              <a:lnTo>
                <a:pt x="0" y="1677934"/>
              </a:lnTo>
              <a:lnTo>
                <a:pt x="0" y="1715438"/>
              </a:lnTo>
              <a:lnTo>
                <a:pt x="1003939" y="677022"/>
              </a:lnTo>
              <a:lnTo>
                <a:pt x="1658482" y="0"/>
              </a:lnTo>
              <a:lnTo>
                <a:pt x="16222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0.71758</cdr:x>
      <cdr:y>0.58143</cdr:y>
    </cdr:from>
    <cdr:to>
      <cdr:x>0.94246</cdr:x>
      <cdr:y>0.80719</cdr:y>
    </cdr:to>
    <cdr:sp macro="" textlink="">
      <cdr:nvSpPr>
        <cdr:cNvPr id="111" name="FracNo 942 StartRow 1382">
          <a:extLst xmlns:a="http://schemas.openxmlformats.org/drawingml/2006/main">
            <a:ext uri="{FF2B5EF4-FFF2-40B4-BE49-F238E27FC236}">
              <a16:creationId xmlns:a16="http://schemas.microsoft.com/office/drawing/2014/main" id="{445D4A4F-27DA-20F7-1039-50BFA4D8AAC5}"/>
            </a:ext>
          </a:extLst>
        </cdr:cNvPr>
        <cdr:cNvSpPr/>
      </cdr:nvSpPr>
      <cdr:spPr>
        <a:xfrm xmlns:a="http://schemas.openxmlformats.org/drawingml/2006/main">
          <a:off x="5249225" y="4430469"/>
          <a:ext cx="1645083" cy="17203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5083" h="1720330">
              <a:moveTo>
                <a:pt x="1302512" y="391838"/>
              </a:moveTo>
              <a:lnTo>
                <a:pt x="1177804" y="520829"/>
              </a:lnTo>
              <a:lnTo>
                <a:pt x="18130" y="1720329"/>
              </a:lnTo>
              <a:lnTo>
                <a:pt x="0" y="1701577"/>
              </a:lnTo>
              <a:lnTo>
                <a:pt x="1159675" y="502077"/>
              </a:lnTo>
              <a:lnTo>
                <a:pt x="1289221" y="368082"/>
              </a:lnTo>
              <a:lnTo>
                <a:pt x="1645082" y="0"/>
              </a:lnTo>
              <a:lnTo>
                <a:pt x="164508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0.67786</cdr:x>
      <cdr:y>0.08544</cdr:y>
    </cdr:from>
    <cdr:to>
      <cdr:x>0.90484</cdr:x>
      <cdr:y>0.30836</cdr:y>
    </cdr:to>
    <cdr:sp macro="" textlink="">
      <cdr:nvSpPr>
        <cdr:cNvPr id="112" name="FracNo 742 StartRow 1393">
          <a:extLst xmlns:a="http://schemas.openxmlformats.org/drawingml/2006/main">
            <a:ext uri="{FF2B5EF4-FFF2-40B4-BE49-F238E27FC236}">
              <a16:creationId xmlns:a16="http://schemas.microsoft.com/office/drawing/2014/main" id="{696506FB-2FCD-CBFD-DAF2-EBE7D37E8EA4}"/>
            </a:ext>
          </a:extLst>
        </cdr:cNvPr>
        <cdr:cNvSpPr/>
      </cdr:nvSpPr>
      <cdr:spPr>
        <a:xfrm xmlns:a="http://schemas.openxmlformats.org/drawingml/2006/main">
          <a:off x="4958662" y="651036"/>
          <a:ext cx="1660418" cy="16986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0418" h="1698688">
              <a:moveTo>
                <a:pt x="835149" y="853610"/>
              </a:moveTo>
              <a:lnTo>
                <a:pt x="18130" y="1698687"/>
              </a:lnTo>
              <a:lnTo>
                <a:pt x="0" y="1679935"/>
              </a:lnTo>
              <a:lnTo>
                <a:pt x="808000" y="844187"/>
              </a:lnTo>
              <a:lnTo>
                <a:pt x="1624159" y="0"/>
              </a:lnTo>
              <a:lnTo>
                <a:pt x="16604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0.22175</cdr:y>
    </cdr:from>
    <cdr:to>
      <cdr:x>0.31591</cdr:x>
      <cdr:y>0.44673</cdr:y>
    </cdr:to>
    <cdr:sp macro="" textlink="">
      <cdr:nvSpPr>
        <cdr:cNvPr id="113" name="FracNo 789 StartRow 1402">
          <a:extLst xmlns:a="http://schemas.openxmlformats.org/drawingml/2006/main">
            <a:ext uri="{FF2B5EF4-FFF2-40B4-BE49-F238E27FC236}">
              <a16:creationId xmlns:a16="http://schemas.microsoft.com/office/drawing/2014/main" id="{CADF0E65-4C17-7839-1F12-420F83DEE2C4}"/>
            </a:ext>
          </a:extLst>
        </cdr:cNvPr>
        <cdr:cNvSpPr/>
      </cdr:nvSpPr>
      <cdr:spPr>
        <a:xfrm xmlns:a="http://schemas.openxmlformats.org/drawingml/2006/main">
          <a:off x="671676" y="1689726"/>
          <a:ext cx="1639292" cy="1714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9292" h="1714340">
              <a:moveTo>
                <a:pt x="723726" y="928255"/>
              </a:moveTo>
              <a:lnTo>
                <a:pt x="562226" y="1095302"/>
              </a:lnTo>
              <a:lnTo>
                <a:pt x="0" y="1676835"/>
              </a:lnTo>
              <a:lnTo>
                <a:pt x="0" y="1714339"/>
              </a:lnTo>
              <a:lnTo>
                <a:pt x="576342" y="1118204"/>
              </a:lnTo>
              <a:lnTo>
                <a:pt x="738455" y="950524"/>
              </a:lnTo>
              <a:lnTo>
                <a:pt x="1639291" y="18751"/>
              </a:lnTo>
              <a:lnTo>
                <a:pt x="16211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0.48697</cdr:x>
      <cdr:y>0.50801</cdr:y>
    </cdr:from>
    <cdr:to>
      <cdr:x>0.71202</cdr:x>
      <cdr:y>0.73148</cdr:y>
    </cdr:to>
    <cdr:sp macro="" textlink="">
      <cdr:nvSpPr>
        <cdr:cNvPr id="114" name="FracNo 664 StartRow 1413">
          <a:extLst xmlns:a="http://schemas.openxmlformats.org/drawingml/2006/main">
            <a:ext uri="{FF2B5EF4-FFF2-40B4-BE49-F238E27FC236}">
              <a16:creationId xmlns:a16="http://schemas.microsoft.com/office/drawing/2014/main" id="{7E03193C-300E-36CF-C11D-925EF9883C34}"/>
            </a:ext>
          </a:extLst>
        </cdr:cNvPr>
        <cdr:cNvSpPr/>
      </cdr:nvSpPr>
      <cdr:spPr>
        <a:xfrm xmlns:a="http://schemas.openxmlformats.org/drawingml/2006/main">
          <a:off x="3562297" y="3871043"/>
          <a:ext cx="1646303" cy="17028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6303" h="1702840">
              <a:moveTo>
                <a:pt x="613362" y="1049661"/>
              </a:moveTo>
              <a:lnTo>
                <a:pt x="601913" y="1061503"/>
              </a:lnTo>
              <a:lnTo>
                <a:pt x="0" y="1684087"/>
              </a:lnTo>
              <a:lnTo>
                <a:pt x="18129" y="1702839"/>
              </a:lnTo>
              <a:lnTo>
                <a:pt x="620042" y="1080255"/>
              </a:lnTo>
              <a:lnTo>
                <a:pt x="631491" y="1068413"/>
              </a:lnTo>
              <a:lnTo>
                <a:pt x="1266864" y="411220"/>
              </a:lnTo>
              <a:lnTo>
                <a:pt x="1646302" y="18752"/>
              </a:lnTo>
              <a:lnTo>
                <a:pt x="1628173" y="0"/>
              </a:lnTo>
              <a:lnTo>
                <a:pt x="1248735" y="3924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0.18905</cdr:x>
      <cdr:y>0.19179</cdr:y>
    </cdr:from>
    <cdr:to>
      <cdr:x>0.41162</cdr:x>
      <cdr:y>0.41278</cdr:y>
    </cdr:to>
    <cdr:sp macro="" textlink="">
      <cdr:nvSpPr>
        <cdr:cNvPr id="115" name="FracNo 846 StartRow 1426">
          <a:extLst xmlns:a="http://schemas.openxmlformats.org/drawingml/2006/main">
            <a:ext uri="{FF2B5EF4-FFF2-40B4-BE49-F238E27FC236}">
              <a16:creationId xmlns:a16="http://schemas.microsoft.com/office/drawing/2014/main" id="{BD78F0A1-8FA1-B752-12A1-E2C57E7B6AF1}"/>
            </a:ext>
          </a:extLst>
        </cdr:cNvPr>
        <cdr:cNvSpPr/>
      </cdr:nvSpPr>
      <cdr:spPr>
        <a:xfrm xmlns:a="http://schemas.openxmlformats.org/drawingml/2006/main">
          <a:off x="1382973" y="1461414"/>
          <a:ext cx="1628085" cy="16839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8085" h="1683996">
              <a:moveTo>
                <a:pt x="1248662" y="373701"/>
              </a:moveTo>
              <a:lnTo>
                <a:pt x="328281" y="1325689"/>
              </a:lnTo>
              <a:lnTo>
                <a:pt x="0" y="1665244"/>
              </a:lnTo>
              <a:lnTo>
                <a:pt x="18129" y="1683995"/>
              </a:lnTo>
              <a:lnTo>
                <a:pt x="346410" y="1344441"/>
              </a:lnTo>
              <a:lnTo>
                <a:pt x="1266791" y="392452"/>
              </a:lnTo>
              <a:lnTo>
                <a:pt x="1371978" y="283653"/>
              </a:lnTo>
              <a:lnTo>
                <a:pt x="1628084" y="18752"/>
              </a:lnTo>
              <a:lnTo>
                <a:pt x="1609954" y="0"/>
              </a:lnTo>
              <a:lnTo>
                <a:pt x="1353849" y="2649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0.63925</cdr:x>
      <cdr:y>0.56141</cdr:y>
    </cdr:from>
    <cdr:to>
      <cdr:x>0.86144</cdr:x>
      <cdr:y>0.78203</cdr:y>
    </cdr:to>
    <cdr:sp macro="" textlink="">
      <cdr:nvSpPr>
        <cdr:cNvPr id="116" name="FracNo 893 StartRow 1439">
          <a:extLst xmlns:a="http://schemas.openxmlformats.org/drawingml/2006/main">
            <a:ext uri="{FF2B5EF4-FFF2-40B4-BE49-F238E27FC236}">
              <a16:creationId xmlns:a16="http://schemas.microsoft.com/office/drawing/2014/main" id="{067CE16C-104D-643B-32DA-CFD92B99B0B9}"/>
            </a:ext>
          </a:extLst>
        </cdr:cNvPr>
        <cdr:cNvSpPr/>
      </cdr:nvSpPr>
      <cdr:spPr>
        <a:xfrm xmlns:a="http://schemas.openxmlformats.org/drawingml/2006/main">
          <a:off x="4676224" y="4277918"/>
          <a:ext cx="1625366" cy="1681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5366" h="1681184">
              <a:moveTo>
                <a:pt x="304231" y="1347753"/>
              </a:moveTo>
              <a:lnTo>
                <a:pt x="134808" y="1522993"/>
              </a:lnTo>
              <a:lnTo>
                <a:pt x="0" y="1662431"/>
              </a:lnTo>
              <a:lnTo>
                <a:pt x="18129" y="1681183"/>
              </a:lnTo>
              <a:lnTo>
                <a:pt x="152937" y="1541745"/>
              </a:lnTo>
              <a:lnTo>
                <a:pt x="322360" y="1366505"/>
              </a:lnTo>
              <a:lnTo>
                <a:pt x="992471" y="673380"/>
              </a:lnTo>
              <a:lnTo>
                <a:pt x="1625365" y="18752"/>
              </a:lnTo>
              <a:lnTo>
                <a:pt x="1607235" y="0"/>
              </a:lnTo>
              <a:lnTo>
                <a:pt x="974342" y="6546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0.69343</cdr:y>
    </cdr:from>
    <cdr:to>
      <cdr:x>0.31265</cdr:x>
      <cdr:y>0.91517</cdr:y>
    </cdr:to>
    <cdr:sp macro="" textlink="">
      <cdr:nvSpPr>
        <cdr:cNvPr id="117" name="FracNo 770 StartRow 1452">
          <a:extLst xmlns:a="http://schemas.openxmlformats.org/drawingml/2006/main">
            <a:ext uri="{FF2B5EF4-FFF2-40B4-BE49-F238E27FC236}">
              <a16:creationId xmlns:a16="http://schemas.microsoft.com/office/drawing/2014/main" id="{8AA47931-A56B-26D5-8839-AA6752FF1FF0}"/>
            </a:ext>
          </a:extLst>
        </cdr:cNvPr>
        <cdr:cNvSpPr/>
      </cdr:nvSpPr>
      <cdr:spPr>
        <a:xfrm xmlns:a="http://schemas.openxmlformats.org/drawingml/2006/main">
          <a:off x="671676" y="5283964"/>
          <a:ext cx="1615417" cy="16896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5417" h="1689645">
              <a:moveTo>
                <a:pt x="583643" y="1085958"/>
              </a:moveTo>
              <a:lnTo>
                <a:pt x="0" y="1689644"/>
              </a:lnTo>
              <a:lnTo>
                <a:pt x="0" y="1652141"/>
              </a:lnTo>
              <a:lnTo>
                <a:pt x="577093" y="1055229"/>
              </a:lnTo>
              <a:lnTo>
                <a:pt x="1597287" y="0"/>
              </a:lnTo>
              <a:lnTo>
                <a:pt x="161541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0.18602</cdr:x>
      <cdr:y>0.31203</cdr:y>
    </cdr:from>
    <cdr:to>
      <cdr:x>0.40723</cdr:x>
      <cdr:y>0.53168</cdr:y>
    </cdr:to>
    <cdr:sp macro="" textlink="">
      <cdr:nvSpPr>
        <cdr:cNvPr id="118" name="FracNo 112 StartRow 1461">
          <a:extLst xmlns:a="http://schemas.openxmlformats.org/drawingml/2006/main">
            <a:ext uri="{FF2B5EF4-FFF2-40B4-BE49-F238E27FC236}">
              <a16:creationId xmlns:a16="http://schemas.microsoft.com/office/drawing/2014/main" id="{FD69F973-1A36-88CF-E036-520D7B140D3F}"/>
            </a:ext>
          </a:extLst>
        </cdr:cNvPr>
        <cdr:cNvSpPr/>
      </cdr:nvSpPr>
      <cdr:spPr>
        <a:xfrm xmlns:a="http://schemas.openxmlformats.org/drawingml/2006/main">
          <a:off x="1360757" y="2377635"/>
          <a:ext cx="1618218" cy="16737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8218" h="1673791">
              <a:moveTo>
                <a:pt x="122235" y="1528606"/>
              </a:moveTo>
              <a:lnTo>
                <a:pt x="0" y="1655038"/>
              </a:lnTo>
              <a:lnTo>
                <a:pt x="18129" y="1673790"/>
              </a:lnTo>
              <a:lnTo>
                <a:pt x="140364" y="1547357"/>
              </a:lnTo>
              <a:lnTo>
                <a:pt x="1222344" y="428220"/>
              </a:lnTo>
              <a:lnTo>
                <a:pt x="1394194" y="250469"/>
              </a:lnTo>
              <a:lnTo>
                <a:pt x="1618217" y="18752"/>
              </a:lnTo>
              <a:lnTo>
                <a:pt x="1600088" y="0"/>
              </a:lnTo>
              <a:lnTo>
                <a:pt x="1376065" y="231717"/>
              </a:lnTo>
              <a:lnTo>
                <a:pt x="1204215" y="4094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0.48573</cdr:x>
      <cdr:y>0.08544</cdr:y>
    </cdr:from>
    <cdr:to>
      <cdr:x>0.70802</cdr:x>
      <cdr:y>0.3037</cdr:y>
    </cdr:to>
    <cdr:sp macro="" textlink="">
      <cdr:nvSpPr>
        <cdr:cNvPr id="119" name="FracNo 1046 StartRow 1474">
          <a:extLst xmlns:a="http://schemas.openxmlformats.org/drawingml/2006/main">
            <a:ext uri="{FF2B5EF4-FFF2-40B4-BE49-F238E27FC236}">
              <a16:creationId xmlns:a16="http://schemas.microsoft.com/office/drawing/2014/main" id="{509C23AD-DB97-CD12-EBA2-DA53129134EA}"/>
            </a:ext>
          </a:extLst>
        </cdr:cNvPr>
        <cdr:cNvSpPr/>
      </cdr:nvSpPr>
      <cdr:spPr>
        <a:xfrm xmlns:a="http://schemas.openxmlformats.org/drawingml/2006/main">
          <a:off x="3553236" y="651036"/>
          <a:ext cx="1626036" cy="16631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6036" h="1663125">
              <a:moveTo>
                <a:pt x="443569" y="1223074"/>
              </a:moveTo>
              <a:lnTo>
                <a:pt x="18130" y="1663124"/>
              </a:lnTo>
              <a:lnTo>
                <a:pt x="0" y="1644372"/>
              </a:lnTo>
              <a:lnTo>
                <a:pt x="421109" y="1208802"/>
              </a:lnTo>
              <a:lnTo>
                <a:pt x="1251361" y="350037"/>
              </a:lnTo>
              <a:lnTo>
                <a:pt x="1589776" y="0"/>
              </a:lnTo>
              <a:lnTo>
                <a:pt x="1626035" y="0"/>
              </a:lnTo>
              <a:lnTo>
                <a:pt x="1282360" y="3554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0.72382</cdr:x>
      <cdr:y>0.66272</cdr:y>
    </cdr:from>
    <cdr:to>
      <cdr:x>0.94246</cdr:x>
      <cdr:y>0.8823</cdr:y>
    </cdr:to>
    <cdr:sp macro="" textlink="">
      <cdr:nvSpPr>
        <cdr:cNvPr id="120" name="FracNo 501 StartRow 1485">
          <a:extLst xmlns:a="http://schemas.openxmlformats.org/drawingml/2006/main">
            <a:ext uri="{FF2B5EF4-FFF2-40B4-BE49-F238E27FC236}">
              <a16:creationId xmlns:a16="http://schemas.microsoft.com/office/drawing/2014/main" id="{85FC4139-0F34-8C35-758B-FCF299F4B51D}"/>
            </a:ext>
          </a:extLst>
        </cdr:cNvPr>
        <cdr:cNvSpPr/>
      </cdr:nvSpPr>
      <cdr:spPr>
        <a:xfrm xmlns:a="http://schemas.openxmlformats.org/drawingml/2006/main">
          <a:off x="5294855" y="5049960"/>
          <a:ext cx="1599453" cy="1673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9453" h="1673134">
              <a:moveTo>
                <a:pt x="438459" y="1200864"/>
              </a:moveTo>
              <a:lnTo>
                <a:pt x="0" y="1654381"/>
              </a:lnTo>
              <a:lnTo>
                <a:pt x="18129" y="1673133"/>
              </a:lnTo>
              <a:lnTo>
                <a:pt x="451619" y="1224756"/>
              </a:lnTo>
              <a:lnTo>
                <a:pt x="1599452" y="37504"/>
              </a:lnTo>
              <a:lnTo>
                <a:pt x="15994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0.59378</cdr:x>
      <cdr:y>0.08544</cdr:y>
    </cdr:from>
    <cdr:to>
      <cdr:x>0.81445</cdr:x>
      <cdr:y>0.30209</cdr:y>
    </cdr:to>
    <cdr:sp macro="" textlink="">
      <cdr:nvSpPr>
        <cdr:cNvPr id="121" name="FracNo 347 StartRow 1494">
          <a:extLst xmlns:a="http://schemas.openxmlformats.org/drawingml/2006/main">
            <a:ext uri="{FF2B5EF4-FFF2-40B4-BE49-F238E27FC236}">
              <a16:creationId xmlns:a16="http://schemas.microsoft.com/office/drawing/2014/main" id="{D9679B1F-D3EC-2898-E4AD-D0AC4B1AC82A}"/>
            </a:ext>
          </a:extLst>
        </cdr:cNvPr>
        <cdr:cNvSpPr/>
      </cdr:nvSpPr>
      <cdr:spPr>
        <a:xfrm xmlns:a="http://schemas.openxmlformats.org/drawingml/2006/main">
          <a:off x="4343587" y="651036"/>
          <a:ext cx="1614242" cy="1650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4242" h="1650927">
              <a:moveTo>
                <a:pt x="156183" y="1508131"/>
              </a:moveTo>
              <a:lnTo>
                <a:pt x="18129" y="1650926"/>
              </a:lnTo>
              <a:lnTo>
                <a:pt x="0" y="1632174"/>
              </a:lnTo>
              <a:lnTo>
                <a:pt x="136840" y="1490634"/>
              </a:lnTo>
              <a:lnTo>
                <a:pt x="465381" y="1150810"/>
              </a:lnTo>
              <a:lnTo>
                <a:pt x="1577983" y="0"/>
              </a:lnTo>
              <a:lnTo>
                <a:pt x="1614241" y="0"/>
              </a:lnTo>
              <a:lnTo>
                <a:pt x="487638" y="11652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0.69007</cdr:y>
    </cdr:from>
    <cdr:to>
      <cdr:x>0.30926</cdr:x>
      <cdr:y>0.90844</cdr:y>
    </cdr:to>
    <cdr:sp macro="" textlink="">
      <cdr:nvSpPr>
        <cdr:cNvPr id="122" name="FracNo 890 StartRow 1505">
          <a:extLst xmlns:a="http://schemas.openxmlformats.org/drawingml/2006/main">
            <a:ext uri="{FF2B5EF4-FFF2-40B4-BE49-F238E27FC236}">
              <a16:creationId xmlns:a16="http://schemas.microsoft.com/office/drawing/2014/main" id="{02A8878D-25CE-D6A1-2444-5ABE1E7D2502}"/>
            </a:ext>
          </a:extLst>
        </cdr:cNvPr>
        <cdr:cNvSpPr/>
      </cdr:nvSpPr>
      <cdr:spPr>
        <a:xfrm xmlns:a="http://schemas.openxmlformats.org/drawingml/2006/main">
          <a:off x="671676" y="5258320"/>
          <a:ext cx="1590624" cy="1664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0624" h="1664001">
              <a:moveTo>
                <a:pt x="1543093" y="67913"/>
              </a:moveTo>
              <a:lnTo>
                <a:pt x="0" y="1664000"/>
              </a:lnTo>
              <a:lnTo>
                <a:pt x="0" y="1626496"/>
              </a:lnTo>
              <a:lnTo>
                <a:pt x="1525506" y="48601"/>
              </a:lnTo>
              <a:lnTo>
                <a:pt x="1572494" y="0"/>
              </a:lnTo>
              <a:lnTo>
                <a:pt x="15906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0.30987</cdr:x>
      <cdr:y>0.30195</cdr:y>
    </cdr:to>
    <cdr:sp macro="" textlink="">
      <cdr:nvSpPr>
        <cdr:cNvPr id="123" name="FracNo 963 StartRow 1514">
          <a:extLst xmlns:a="http://schemas.openxmlformats.org/drawingml/2006/main">
            <a:ext uri="{FF2B5EF4-FFF2-40B4-BE49-F238E27FC236}">
              <a16:creationId xmlns:a16="http://schemas.microsoft.com/office/drawing/2014/main" id="{220CB307-7A62-FBB4-8D3B-B84D15DCA6DF}"/>
            </a:ext>
          </a:extLst>
        </cdr:cNvPr>
        <cdr:cNvSpPr/>
      </cdr:nvSpPr>
      <cdr:spPr>
        <a:xfrm xmlns:a="http://schemas.openxmlformats.org/drawingml/2006/main">
          <a:off x="671676" y="651036"/>
          <a:ext cx="1595079" cy="16498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5079" h="1649857">
              <a:moveTo>
                <a:pt x="1517659" y="42574"/>
              </a:moveTo>
              <a:lnTo>
                <a:pt x="0" y="1612353"/>
              </a:lnTo>
              <a:lnTo>
                <a:pt x="0" y="1649856"/>
              </a:lnTo>
              <a:lnTo>
                <a:pt x="1552960" y="43565"/>
              </a:lnTo>
              <a:lnTo>
                <a:pt x="1595078" y="0"/>
              </a:lnTo>
              <a:lnTo>
                <a:pt x="15588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0.65491</cdr:x>
      <cdr:y>0.08544</cdr:y>
    </cdr:from>
    <cdr:to>
      <cdr:x>0.87345</cdr:x>
      <cdr:y>0.29998</cdr:y>
    </cdr:to>
    <cdr:sp macro="" textlink="">
      <cdr:nvSpPr>
        <cdr:cNvPr id="124" name="FracNo 1023 StartRow 1523">
          <a:extLst xmlns:a="http://schemas.openxmlformats.org/drawingml/2006/main">
            <a:ext uri="{FF2B5EF4-FFF2-40B4-BE49-F238E27FC236}">
              <a16:creationId xmlns:a16="http://schemas.microsoft.com/office/drawing/2014/main" id="{54BAACE6-6EB2-5092-FA71-A5FEB29BD262}"/>
            </a:ext>
          </a:extLst>
        </cdr:cNvPr>
        <cdr:cNvSpPr/>
      </cdr:nvSpPr>
      <cdr:spPr>
        <a:xfrm xmlns:a="http://schemas.openxmlformats.org/drawingml/2006/main">
          <a:off x="4790795" y="651036"/>
          <a:ext cx="1598690" cy="16348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8690" h="1634840">
              <a:moveTo>
                <a:pt x="1217793" y="356472"/>
              </a:moveTo>
              <a:lnTo>
                <a:pt x="20237" y="1595155"/>
              </a:lnTo>
              <a:lnTo>
                <a:pt x="0" y="1616087"/>
              </a:lnTo>
              <a:lnTo>
                <a:pt x="18129" y="1634839"/>
              </a:lnTo>
              <a:lnTo>
                <a:pt x="38366" y="1613907"/>
              </a:lnTo>
              <a:lnTo>
                <a:pt x="1250000" y="360663"/>
              </a:lnTo>
              <a:lnTo>
                <a:pt x="1598689" y="0"/>
              </a:lnTo>
              <a:lnTo>
                <a:pt x="15624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0.72725</cdr:x>
      <cdr:y>0.17239</cdr:y>
    </cdr:from>
    <cdr:to>
      <cdr:x>0.94246</cdr:x>
      <cdr:y>0.38855</cdr:y>
    </cdr:to>
    <cdr:sp macro="" textlink="">
      <cdr:nvSpPr>
        <cdr:cNvPr id="125" name="FracNo 795 StartRow 1534">
          <a:extLst xmlns:a="http://schemas.openxmlformats.org/drawingml/2006/main">
            <a:ext uri="{FF2B5EF4-FFF2-40B4-BE49-F238E27FC236}">
              <a16:creationId xmlns:a16="http://schemas.microsoft.com/office/drawing/2014/main" id="{842E2C33-6602-A6B6-0FC3-4E1D579F7C60}"/>
            </a:ext>
          </a:extLst>
        </cdr:cNvPr>
        <cdr:cNvSpPr/>
      </cdr:nvSpPr>
      <cdr:spPr>
        <a:xfrm xmlns:a="http://schemas.openxmlformats.org/drawingml/2006/main">
          <a:off x="5319983" y="1313595"/>
          <a:ext cx="1574325" cy="16471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4325" h="1647143">
              <a:moveTo>
                <a:pt x="584401" y="1061423"/>
              </a:moveTo>
              <a:lnTo>
                <a:pt x="167869" y="1492260"/>
              </a:lnTo>
              <a:lnTo>
                <a:pt x="18129" y="1647142"/>
              </a:lnTo>
              <a:lnTo>
                <a:pt x="0" y="1628391"/>
              </a:lnTo>
              <a:lnTo>
                <a:pt x="149740" y="1473508"/>
              </a:lnTo>
              <a:lnTo>
                <a:pt x="571640" y="1037118"/>
              </a:lnTo>
              <a:lnTo>
                <a:pt x="1574324" y="0"/>
              </a:lnTo>
              <a:lnTo>
                <a:pt x="157432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0.15932</cdr:x>
      <cdr:y>0.52544</cdr:y>
    </cdr:from>
    <cdr:to>
      <cdr:x>0.37401</cdr:x>
      <cdr:y>0.73862</cdr:y>
    </cdr:to>
    <cdr:sp macro="" textlink="">
      <cdr:nvSpPr>
        <cdr:cNvPr id="126" name="FracNo 901 StartRow 1545">
          <a:extLst xmlns:a="http://schemas.openxmlformats.org/drawingml/2006/main">
            <a:ext uri="{FF2B5EF4-FFF2-40B4-BE49-F238E27FC236}">
              <a16:creationId xmlns:a16="http://schemas.microsoft.com/office/drawing/2014/main" id="{8657CBD4-7DDF-CFD9-DC1D-A16BBE3B3C64}"/>
            </a:ext>
          </a:extLst>
        </cdr:cNvPr>
        <cdr:cNvSpPr/>
      </cdr:nvSpPr>
      <cdr:spPr>
        <a:xfrm xmlns:a="http://schemas.openxmlformats.org/drawingml/2006/main">
          <a:off x="1165480" y="4003844"/>
          <a:ext cx="1570486" cy="1624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0486" h="1624420">
              <a:moveTo>
                <a:pt x="72013" y="1568684"/>
              </a:moveTo>
              <a:lnTo>
                <a:pt x="18129" y="1624419"/>
              </a:lnTo>
              <a:lnTo>
                <a:pt x="0" y="1605667"/>
              </a:lnTo>
              <a:lnTo>
                <a:pt x="53883" y="1549933"/>
              </a:lnTo>
              <a:lnTo>
                <a:pt x="654488" y="928702"/>
              </a:lnTo>
              <a:lnTo>
                <a:pt x="1552356" y="0"/>
              </a:lnTo>
              <a:lnTo>
                <a:pt x="1570485" y="18752"/>
              </a:lnTo>
              <a:lnTo>
                <a:pt x="672617" y="9474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0.73014</cdr:x>
      <cdr:y>0.43916</cdr:y>
    </cdr:from>
    <cdr:to>
      <cdr:x>0.94246</cdr:x>
      <cdr:y>0.65245</cdr:y>
    </cdr:to>
    <cdr:sp macro="" textlink="">
      <cdr:nvSpPr>
        <cdr:cNvPr id="127" name="FracNo 939 StartRow 1556">
          <a:extLst xmlns:a="http://schemas.openxmlformats.org/drawingml/2006/main">
            <a:ext uri="{FF2B5EF4-FFF2-40B4-BE49-F238E27FC236}">
              <a16:creationId xmlns:a16="http://schemas.microsoft.com/office/drawing/2014/main" id="{7B23771A-B95C-A844-0F30-9C6DAF03FA98}"/>
            </a:ext>
          </a:extLst>
        </cdr:cNvPr>
        <cdr:cNvSpPr/>
      </cdr:nvSpPr>
      <cdr:spPr>
        <a:xfrm xmlns:a="http://schemas.openxmlformats.org/drawingml/2006/main">
          <a:off x="5341141" y="3346419"/>
          <a:ext cx="1553167" cy="16252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3167" h="1625259">
              <a:moveTo>
                <a:pt x="772619" y="844856"/>
              </a:moveTo>
              <a:lnTo>
                <a:pt x="37831" y="1604879"/>
              </a:lnTo>
              <a:lnTo>
                <a:pt x="18129" y="1625258"/>
              </a:lnTo>
              <a:lnTo>
                <a:pt x="0" y="1606506"/>
              </a:lnTo>
              <a:lnTo>
                <a:pt x="19702" y="1586127"/>
              </a:lnTo>
              <a:lnTo>
                <a:pt x="763281" y="817012"/>
              </a:lnTo>
              <a:lnTo>
                <a:pt x="1553166" y="0"/>
              </a:lnTo>
              <a:lnTo>
                <a:pt x="155316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0.53698</cdr:y>
    </cdr:from>
    <cdr:to>
      <cdr:x>0.30284</cdr:x>
      <cdr:y>0.74897</cdr:y>
    </cdr:to>
    <cdr:sp macro="" textlink="">
      <cdr:nvSpPr>
        <cdr:cNvPr id="128" name="FracNo 22 StartRow 1567">
          <a:extLst xmlns:a="http://schemas.openxmlformats.org/drawingml/2006/main">
            <a:ext uri="{FF2B5EF4-FFF2-40B4-BE49-F238E27FC236}">
              <a16:creationId xmlns:a16="http://schemas.microsoft.com/office/drawing/2014/main" id="{684F03E5-364D-440C-9FC0-2D937DD9D669}"/>
            </a:ext>
          </a:extLst>
        </cdr:cNvPr>
        <cdr:cNvSpPr/>
      </cdr:nvSpPr>
      <cdr:spPr>
        <a:xfrm xmlns:a="http://schemas.openxmlformats.org/drawingml/2006/main">
          <a:off x="671676" y="4091752"/>
          <a:ext cx="1543661" cy="16154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3661" h="1615426">
              <a:moveTo>
                <a:pt x="642617" y="950739"/>
              </a:moveTo>
              <a:lnTo>
                <a:pt x="0" y="1615425"/>
              </a:lnTo>
              <a:lnTo>
                <a:pt x="0" y="1577921"/>
              </a:lnTo>
              <a:lnTo>
                <a:pt x="626675" y="929725"/>
              </a:lnTo>
              <a:lnTo>
                <a:pt x="712653" y="840794"/>
              </a:lnTo>
              <a:lnTo>
                <a:pt x="1525531" y="0"/>
              </a:lnTo>
              <a:lnTo>
                <a:pt x="1543660" y="18752"/>
              </a:lnTo>
              <a:lnTo>
                <a:pt x="730782" y="8595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0.63198</cdr:x>
      <cdr:y>0.1315</cdr:y>
    </cdr:from>
    <cdr:to>
      <cdr:x>0.84337</cdr:x>
      <cdr:y>0.3414</cdr:y>
    </cdr:to>
    <cdr:sp macro="" textlink="">
      <cdr:nvSpPr>
        <cdr:cNvPr id="129" name="FracNo 264 StartRow 1578">
          <a:extLst xmlns:a="http://schemas.openxmlformats.org/drawingml/2006/main">
            <a:ext uri="{FF2B5EF4-FFF2-40B4-BE49-F238E27FC236}">
              <a16:creationId xmlns:a16="http://schemas.microsoft.com/office/drawing/2014/main" id="{CC85D18A-DD82-CA94-4DCA-934D6717F200}"/>
            </a:ext>
          </a:extLst>
        </cdr:cNvPr>
        <cdr:cNvSpPr/>
      </cdr:nvSpPr>
      <cdr:spPr>
        <a:xfrm xmlns:a="http://schemas.openxmlformats.org/drawingml/2006/main">
          <a:off x="4623083" y="1002047"/>
          <a:ext cx="1546336" cy="1599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6336" h="1599441">
              <a:moveTo>
                <a:pt x="1457334" y="73306"/>
              </a:moveTo>
              <a:lnTo>
                <a:pt x="187949" y="1386284"/>
              </a:lnTo>
              <a:lnTo>
                <a:pt x="0" y="1580688"/>
              </a:lnTo>
              <a:lnTo>
                <a:pt x="18129" y="1599440"/>
              </a:lnTo>
              <a:lnTo>
                <a:pt x="206078" y="1405036"/>
              </a:lnTo>
              <a:lnTo>
                <a:pt x="1475463" y="92058"/>
              </a:lnTo>
              <a:lnTo>
                <a:pt x="1546335" y="18752"/>
              </a:lnTo>
              <a:lnTo>
                <a:pt x="15282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0.24611</cdr:x>
      <cdr:y>0.45212</cdr:y>
    </cdr:from>
    <cdr:to>
      <cdr:x>0.45729</cdr:x>
      <cdr:y>0.66181</cdr:y>
    </cdr:to>
    <cdr:sp macro="" textlink="">
      <cdr:nvSpPr>
        <cdr:cNvPr id="130" name="FracNo 952 StartRow 1589">
          <a:extLst xmlns:a="http://schemas.openxmlformats.org/drawingml/2006/main">
            <a:ext uri="{FF2B5EF4-FFF2-40B4-BE49-F238E27FC236}">
              <a16:creationId xmlns:a16="http://schemas.microsoft.com/office/drawing/2014/main" id="{A194E5BE-ED4F-D64D-F29E-DC31217C76C3}"/>
            </a:ext>
          </a:extLst>
        </cdr:cNvPr>
        <cdr:cNvSpPr/>
      </cdr:nvSpPr>
      <cdr:spPr>
        <a:xfrm xmlns:a="http://schemas.openxmlformats.org/drawingml/2006/main">
          <a:off x="1800356" y="3445125"/>
          <a:ext cx="1544809" cy="15978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4809" h="1597861">
              <a:moveTo>
                <a:pt x="1133589" y="406590"/>
              </a:moveTo>
              <a:lnTo>
                <a:pt x="936466" y="610482"/>
              </a:lnTo>
              <a:lnTo>
                <a:pt x="88643" y="1487421"/>
              </a:lnTo>
              <a:lnTo>
                <a:pt x="0" y="1579109"/>
              </a:lnTo>
              <a:lnTo>
                <a:pt x="18129" y="1597860"/>
              </a:lnTo>
              <a:lnTo>
                <a:pt x="106772" y="1506173"/>
              </a:lnTo>
              <a:lnTo>
                <a:pt x="954595" y="629234"/>
              </a:lnTo>
              <a:lnTo>
                <a:pt x="1151718" y="425341"/>
              </a:lnTo>
              <a:lnTo>
                <a:pt x="1544808" y="18752"/>
              </a:lnTo>
              <a:lnTo>
                <a:pt x="15266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0.47188</cdr:x>
      <cdr:y>0.08544</cdr:y>
    </cdr:from>
    <cdr:to>
      <cdr:x>0.68337</cdr:x>
      <cdr:y>0.29299</cdr:y>
    </cdr:to>
    <cdr:sp macro="" textlink="">
      <cdr:nvSpPr>
        <cdr:cNvPr id="131" name="FracNo 841 StartRow 1602">
          <a:extLst xmlns:a="http://schemas.openxmlformats.org/drawingml/2006/main">
            <a:ext uri="{FF2B5EF4-FFF2-40B4-BE49-F238E27FC236}">
              <a16:creationId xmlns:a16="http://schemas.microsoft.com/office/drawing/2014/main" id="{5727E70E-6DA9-CF93-EA5F-7265ABD93139}"/>
            </a:ext>
          </a:extLst>
        </cdr:cNvPr>
        <cdr:cNvSpPr/>
      </cdr:nvSpPr>
      <cdr:spPr>
        <a:xfrm xmlns:a="http://schemas.openxmlformats.org/drawingml/2006/main">
          <a:off x="3451878" y="651036"/>
          <a:ext cx="1547144" cy="15815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7144" h="1581525">
              <a:moveTo>
                <a:pt x="663041" y="876961"/>
              </a:moveTo>
              <a:lnTo>
                <a:pt x="0" y="1562772"/>
              </a:lnTo>
              <a:lnTo>
                <a:pt x="18129" y="1581524"/>
              </a:lnTo>
              <a:lnTo>
                <a:pt x="688386" y="888249"/>
              </a:lnTo>
              <a:lnTo>
                <a:pt x="1384640" y="168084"/>
              </a:lnTo>
              <a:lnTo>
                <a:pt x="1547143" y="0"/>
              </a:lnTo>
              <a:lnTo>
                <a:pt x="1510885" y="0"/>
              </a:lnTo>
              <a:lnTo>
                <a:pt x="1351797" y="1645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0.37447</cdr:x>
      <cdr:y>0.08544</cdr:y>
    </cdr:from>
    <cdr:to>
      <cdr:x>0.58508</cdr:x>
      <cdr:y>0.29211</cdr:y>
    </cdr:to>
    <cdr:sp macro="" textlink="">
      <cdr:nvSpPr>
        <cdr:cNvPr id="132" name="FracNo 348 StartRow 1613">
          <a:extLst xmlns:a="http://schemas.openxmlformats.org/drawingml/2006/main">
            <a:ext uri="{FF2B5EF4-FFF2-40B4-BE49-F238E27FC236}">
              <a16:creationId xmlns:a16="http://schemas.microsoft.com/office/drawing/2014/main" id="{98159237-D65E-1534-D0F3-D4F65320062C}"/>
            </a:ext>
          </a:extLst>
        </cdr:cNvPr>
        <cdr:cNvSpPr/>
      </cdr:nvSpPr>
      <cdr:spPr>
        <a:xfrm xmlns:a="http://schemas.openxmlformats.org/drawingml/2006/main">
          <a:off x="2739309" y="651036"/>
          <a:ext cx="1540687" cy="1574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0687" h="1574846">
              <a:moveTo>
                <a:pt x="623886" y="910781"/>
              </a:moveTo>
              <a:lnTo>
                <a:pt x="0" y="1556093"/>
              </a:lnTo>
              <a:lnTo>
                <a:pt x="18129" y="1574845"/>
              </a:lnTo>
              <a:lnTo>
                <a:pt x="649533" y="921757"/>
              </a:lnTo>
              <a:lnTo>
                <a:pt x="1540686" y="0"/>
              </a:lnTo>
              <a:lnTo>
                <a:pt x="15044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0.19463</cdr:x>
      <cdr:y>0.72375</cdr:y>
    </cdr:from>
    <cdr:to>
      <cdr:x>0.40492</cdr:x>
      <cdr:y>0.9301</cdr:y>
    </cdr:to>
    <cdr:sp macro="" textlink="">
      <cdr:nvSpPr>
        <cdr:cNvPr id="133" name="FracNo 1041 StartRow 1622">
          <a:extLst xmlns:a="http://schemas.openxmlformats.org/drawingml/2006/main">
            <a:ext uri="{FF2B5EF4-FFF2-40B4-BE49-F238E27FC236}">
              <a16:creationId xmlns:a16="http://schemas.microsoft.com/office/drawing/2014/main" id="{0C0302AB-939A-3094-F928-566D325F528E}"/>
            </a:ext>
          </a:extLst>
        </cdr:cNvPr>
        <cdr:cNvSpPr/>
      </cdr:nvSpPr>
      <cdr:spPr>
        <a:xfrm xmlns:a="http://schemas.openxmlformats.org/drawingml/2006/main">
          <a:off x="1423758" y="5514970"/>
          <a:ext cx="1538319" cy="1572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8319" h="1572396">
              <a:moveTo>
                <a:pt x="560793" y="1029847"/>
              </a:moveTo>
              <a:lnTo>
                <a:pt x="36258" y="1572395"/>
              </a:lnTo>
              <a:lnTo>
                <a:pt x="0" y="1572395"/>
              </a:lnTo>
              <a:lnTo>
                <a:pt x="531878" y="1022251"/>
              </a:lnTo>
              <a:lnTo>
                <a:pt x="1313064" y="214238"/>
              </a:lnTo>
              <a:lnTo>
                <a:pt x="1520189" y="0"/>
              </a:lnTo>
              <a:lnTo>
                <a:pt x="1538318" y="18752"/>
              </a:lnTo>
              <a:lnTo>
                <a:pt x="1331193" y="2329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0.5233</cdr:x>
      <cdr:y>0.64872</cdr:y>
    </cdr:from>
    <cdr:to>
      <cdr:x>0.73134</cdr:x>
      <cdr:y>0.85529</cdr:y>
    </cdr:to>
    <cdr:sp macro="" textlink="">
      <cdr:nvSpPr>
        <cdr:cNvPr id="134" name="FracNo 930 StartRow 1633">
          <a:extLst xmlns:a="http://schemas.openxmlformats.org/drawingml/2006/main">
            <a:ext uri="{FF2B5EF4-FFF2-40B4-BE49-F238E27FC236}">
              <a16:creationId xmlns:a16="http://schemas.microsoft.com/office/drawing/2014/main" id="{41874F5D-C564-EA81-7C7A-7FF97C33C684}"/>
            </a:ext>
          </a:extLst>
        </cdr:cNvPr>
        <cdr:cNvSpPr/>
      </cdr:nvSpPr>
      <cdr:spPr>
        <a:xfrm xmlns:a="http://schemas.openxmlformats.org/drawingml/2006/main">
          <a:off x="3828042" y="4943225"/>
          <a:ext cx="1521851" cy="15741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1851" h="1574114">
              <a:moveTo>
                <a:pt x="433123" y="1144867"/>
              </a:moveTo>
              <a:lnTo>
                <a:pt x="18129" y="1574113"/>
              </a:lnTo>
              <a:lnTo>
                <a:pt x="0" y="1555361"/>
              </a:lnTo>
              <a:lnTo>
                <a:pt x="414994" y="1126115"/>
              </a:lnTo>
              <a:lnTo>
                <a:pt x="982990" y="538613"/>
              </a:lnTo>
              <a:lnTo>
                <a:pt x="1503721" y="0"/>
              </a:lnTo>
              <a:lnTo>
                <a:pt x="1521850" y="18752"/>
              </a:lnTo>
              <a:lnTo>
                <a:pt x="1001119" y="5573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0.58221</cdr:y>
    </cdr:from>
    <cdr:to>
      <cdr:x>0.29797</cdr:x>
      <cdr:y>0.78937</cdr:y>
    </cdr:to>
    <cdr:sp macro="" textlink="">
      <cdr:nvSpPr>
        <cdr:cNvPr id="135" name="FracNo 109 StartRow 1644">
          <a:extLst xmlns:a="http://schemas.openxmlformats.org/drawingml/2006/main">
            <a:ext uri="{FF2B5EF4-FFF2-40B4-BE49-F238E27FC236}">
              <a16:creationId xmlns:a16="http://schemas.microsoft.com/office/drawing/2014/main" id="{3ED952A5-84B6-6705-AE5B-1DBB7FC414EE}"/>
            </a:ext>
          </a:extLst>
        </cdr:cNvPr>
        <cdr:cNvSpPr/>
      </cdr:nvSpPr>
      <cdr:spPr>
        <a:xfrm xmlns:a="http://schemas.openxmlformats.org/drawingml/2006/main">
          <a:off x="671676" y="4436429"/>
          <a:ext cx="1508061" cy="15786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8061" h="1578602">
              <a:moveTo>
                <a:pt x="1113899" y="388945"/>
              </a:moveTo>
              <a:lnTo>
                <a:pt x="1011117" y="495257"/>
              </a:lnTo>
              <a:lnTo>
                <a:pt x="0" y="1541098"/>
              </a:lnTo>
              <a:lnTo>
                <a:pt x="0" y="1578601"/>
              </a:lnTo>
              <a:lnTo>
                <a:pt x="1027583" y="515729"/>
              </a:lnTo>
              <a:lnTo>
                <a:pt x="1130723" y="409047"/>
              </a:lnTo>
              <a:lnTo>
                <a:pt x="1508060" y="18752"/>
              </a:lnTo>
              <a:lnTo>
                <a:pt x="14899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0.47702</cdr:x>
      <cdr:y>0.14318</cdr:y>
    </cdr:from>
    <cdr:to>
      <cdr:x>0.68427</cdr:x>
      <cdr:y>0.34897</cdr:y>
    </cdr:to>
    <cdr:sp macro="" textlink="">
      <cdr:nvSpPr>
        <cdr:cNvPr id="136" name="FracNo 341 StartRow 1655">
          <a:extLst xmlns:a="http://schemas.openxmlformats.org/drawingml/2006/main">
            <a:ext uri="{FF2B5EF4-FFF2-40B4-BE49-F238E27FC236}">
              <a16:creationId xmlns:a16="http://schemas.microsoft.com/office/drawing/2014/main" id="{C502DA2B-AEAA-275B-36E3-228B3084AD3D}"/>
            </a:ext>
          </a:extLst>
        </cdr:cNvPr>
        <cdr:cNvSpPr/>
      </cdr:nvSpPr>
      <cdr:spPr>
        <a:xfrm xmlns:a="http://schemas.openxmlformats.org/drawingml/2006/main">
          <a:off x="3489487" y="1090999"/>
          <a:ext cx="1516050" cy="15681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6050" h="1568115">
              <a:moveTo>
                <a:pt x="21388" y="1527239"/>
              </a:moveTo>
              <a:lnTo>
                <a:pt x="0" y="1549362"/>
              </a:lnTo>
              <a:lnTo>
                <a:pt x="18129" y="1568114"/>
              </a:lnTo>
              <a:lnTo>
                <a:pt x="39517" y="1545991"/>
              </a:lnTo>
              <a:lnTo>
                <a:pt x="1339674" y="201184"/>
              </a:lnTo>
              <a:lnTo>
                <a:pt x="1516049" y="18752"/>
              </a:lnTo>
              <a:lnTo>
                <a:pt x="1497920" y="0"/>
              </a:lnTo>
              <a:lnTo>
                <a:pt x="1321545" y="1824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0.28199</cdr:x>
      <cdr:y>0.72779</cdr:y>
    </cdr:from>
    <cdr:to>
      <cdr:x>0.48821</cdr:x>
      <cdr:y>0.9301</cdr:y>
    </cdr:to>
    <cdr:sp macro="" textlink="">
      <cdr:nvSpPr>
        <cdr:cNvPr id="137" name="FracNo 200 StartRow 1666">
          <a:extLst xmlns:a="http://schemas.openxmlformats.org/drawingml/2006/main">
            <a:ext uri="{FF2B5EF4-FFF2-40B4-BE49-F238E27FC236}">
              <a16:creationId xmlns:a16="http://schemas.microsoft.com/office/drawing/2014/main" id="{BB4539F9-1422-56CC-F5AC-5EF53F87C1E3}"/>
            </a:ext>
          </a:extLst>
        </cdr:cNvPr>
        <cdr:cNvSpPr/>
      </cdr:nvSpPr>
      <cdr:spPr>
        <a:xfrm xmlns:a="http://schemas.openxmlformats.org/drawingml/2006/main">
          <a:off x="2062807" y="5545755"/>
          <a:ext cx="1508556" cy="15416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8556" h="1541611">
              <a:moveTo>
                <a:pt x="869937" y="641798"/>
              </a:moveTo>
              <a:lnTo>
                <a:pt x="671939" y="846596"/>
              </a:lnTo>
              <a:lnTo>
                <a:pt x="0" y="1541610"/>
              </a:lnTo>
              <a:lnTo>
                <a:pt x="36259" y="1541610"/>
              </a:lnTo>
              <a:lnTo>
                <a:pt x="694220" y="861054"/>
              </a:lnTo>
              <a:lnTo>
                <a:pt x="891214" y="657294"/>
              </a:lnTo>
              <a:lnTo>
                <a:pt x="1508555" y="18752"/>
              </a:lnTo>
              <a:lnTo>
                <a:pt x="14904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0.20339</cdr:x>
      <cdr:y>0.7281</cdr:y>
    </cdr:from>
    <cdr:to>
      <cdr:x>0.4093</cdr:x>
      <cdr:y>0.9301</cdr:y>
    </cdr:to>
    <cdr:sp macro="" textlink="">
      <cdr:nvSpPr>
        <cdr:cNvPr id="138" name="FracNo 803 StartRow 1677">
          <a:extLst xmlns:a="http://schemas.openxmlformats.org/drawingml/2006/main">
            <a:ext uri="{FF2B5EF4-FFF2-40B4-BE49-F238E27FC236}">
              <a16:creationId xmlns:a16="http://schemas.microsoft.com/office/drawing/2014/main" id="{968D5B7F-DCCC-B9E5-77D1-E4E8F80858CA}"/>
            </a:ext>
          </a:extLst>
        </cdr:cNvPr>
        <cdr:cNvSpPr/>
      </cdr:nvSpPr>
      <cdr:spPr>
        <a:xfrm xmlns:a="http://schemas.openxmlformats.org/drawingml/2006/main">
          <a:off x="1487819" y="5548100"/>
          <a:ext cx="1506288" cy="15392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6288" h="1539266">
              <a:moveTo>
                <a:pt x="432047" y="1092381"/>
              </a:moveTo>
              <a:lnTo>
                <a:pt x="0" y="1539265"/>
              </a:lnTo>
              <a:lnTo>
                <a:pt x="36258" y="1539265"/>
              </a:lnTo>
              <a:lnTo>
                <a:pt x="462034" y="1098867"/>
              </a:lnTo>
              <a:lnTo>
                <a:pt x="1267132" y="266121"/>
              </a:lnTo>
              <a:lnTo>
                <a:pt x="1506287" y="18752"/>
              </a:lnTo>
              <a:lnTo>
                <a:pt x="1488158" y="0"/>
              </a:lnTo>
              <a:lnTo>
                <a:pt x="1249003" y="2473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0.73917</cdr:x>
      <cdr:y>0.72823</cdr:y>
    </cdr:from>
    <cdr:to>
      <cdr:x>0.94246</cdr:x>
      <cdr:y>0.9301</cdr:y>
    </cdr:to>
    <cdr:sp macro="" textlink="">
      <cdr:nvSpPr>
        <cdr:cNvPr id="139" name="FracNo 724 StartRow 1688">
          <a:extLst xmlns:a="http://schemas.openxmlformats.org/drawingml/2006/main">
            <a:ext uri="{FF2B5EF4-FFF2-40B4-BE49-F238E27FC236}">
              <a16:creationId xmlns:a16="http://schemas.microsoft.com/office/drawing/2014/main" id="{F3FE6123-0596-124F-A5C0-15FD75952F1D}"/>
            </a:ext>
          </a:extLst>
        </cdr:cNvPr>
        <cdr:cNvSpPr/>
      </cdr:nvSpPr>
      <cdr:spPr>
        <a:xfrm xmlns:a="http://schemas.openxmlformats.org/drawingml/2006/main">
          <a:off x="5407143" y="5549129"/>
          <a:ext cx="1487165" cy="1538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7165" h="1538237">
              <a:moveTo>
                <a:pt x="655391" y="897841"/>
              </a:moveTo>
              <a:lnTo>
                <a:pt x="36259" y="1538236"/>
              </a:lnTo>
              <a:lnTo>
                <a:pt x="0" y="1538236"/>
              </a:lnTo>
              <a:lnTo>
                <a:pt x="634605" y="881837"/>
              </a:lnTo>
              <a:lnTo>
                <a:pt x="1487164" y="0"/>
              </a:lnTo>
              <a:lnTo>
                <a:pt x="148716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0.49213</cdr:y>
    </cdr:from>
    <cdr:to>
      <cdr:x>0.29377</cdr:x>
      <cdr:y>0.69512</cdr:y>
    </cdr:to>
    <cdr:sp macro="" textlink="">
      <cdr:nvSpPr>
        <cdr:cNvPr id="140" name="FracNo 829 StartRow 1697">
          <a:extLst xmlns:a="http://schemas.openxmlformats.org/drawingml/2006/main">
            <a:ext uri="{FF2B5EF4-FFF2-40B4-BE49-F238E27FC236}">
              <a16:creationId xmlns:a16="http://schemas.microsoft.com/office/drawing/2014/main" id="{D4FAEF23-A6A8-6C52-2D43-5D6AD7D161A3}"/>
            </a:ext>
          </a:extLst>
        </cdr:cNvPr>
        <cdr:cNvSpPr/>
      </cdr:nvSpPr>
      <cdr:spPr>
        <a:xfrm xmlns:a="http://schemas.openxmlformats.org/drawingml/2006/main">
          <a:off x="671676" y="3750028"/>
          <a:ext cx="1477311" cy="15467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7311" h="1546796">
              <a:moveTo>
                <a:pt x="756896" y="726401"/>
              </a:moveTo>
              <a:lnTo>
                <a:pt x="321126" y="1177137"/>
              </a:lnTo>
              <a:lnTo>
                <a:pt x="0" y="1509291"/>
              </a:lnTo>
              <a:lnTo>
                <a:pt x="0" y="1546795"/>
              </a:lnTo>
              <a:lnTo>
                <a:pt x="328851" y="1206651"/>
              </a:lnTo>
              <a:lnTo>
                <a:pt x="768605" y="751795"/>
              </a:lnTo>
              <a:lnTo>
                <a:pt x="1477310" y="18751"/>
              </a:lnTo>
              <a:lnTo>
                <a:pt x="14591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0.49732</cdr:x>
      <cdr:y>0.22516</cdr:y>
    </cdr:from>
    <cdr:to>
      <cdr:x>0.69995</cdr:x>
      <cdr:y>0.42637</cdr:y>
    </cdr:to>
    <cdr:sp macro="" textlink="">
      <cdr:nvSpPr>
        <cdr:cNvPr id="141" name="FracNo 1011 StartRow 1708">
          <a:extLst xmlns:a="http://schemas.openxmlformats.org/drawingml/2006/main">
            <a:ext uri="{FF2B5EF4-FFF2-40B4-BE49-F238E27FC236}">
              <a16:creationId xmlns:a16="http://schemas.microsoft.com/office/drawing/2014/main" id="{D6C3A9E1-9E84-B63D-B650-0FA15E704693}"/>
            </a:ext>
          </a:extLst>
        </cdr:cNvPr>
        <cdr:cNvSpPr/>
      </cdr:nvSpPr>
      <cdr:spPr>
        <a:xfrm xmlns:a="http://schemas.openxmlformats.org/drawingml/2006/main">
          <a:off x="3637975" y="1715704"/>
          <a:ext cx="1482332" cy="15332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2332" h="1533238">
              <a:moveTo>
                <a:pt x="69075" y="1480542"/>
              </a:moveTo>
              <a:lnTo>
                <a:pt x="18129" y="1533237"/>
              </a:lnTo>
              <a:lnTo>
                <a:pt x="0" y="1514485"/>
              </a:lnTo>
              <a:lnTo>
                <a:pt x="50946" y="1461790"/>
              </a:lnTo>
              <a:lnTo>
                <a:pt x="428375" y="1071399"/>
              </a:lnTo>
              <a:lnTo>
                <a:pt x="1173057" y="301143"/>
              </a:lnTo>
              <a:lnTo>
                <a:pt x="1464202" y="0"/>
              </a:lnTo>
              <a:lnTo>
                <a:pt x="1482331" y="18752"/>
              </a:lnTo>
              <a:lnTo>
                <a:pt x="1191186" y="319894"/>
              </a:lnTo>
              <a:lnTo>
                <a:pt x="446504" y="10901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0.52187</cdr:x>
      <cdr:y>0.28184</cdr:y>
    </cdr:from>
    <cdr:to>
      <cdr:x>0.72403</cdr:x>
      <cdr:y>0.48258</cdr:y>
    </cdr:to>
    <cdr:sp macro="" textlink="">
      <cdr:nvSpPr>
        <cdr:cNvPr id="142" name="FracNo 269 StartRow 1721">
          <a:extLst xmlns:a="http://schemas.openxmlformats.org/drawingml/2006/main">
            <a:ext uri="{FF2B5EF4-FFF2-40B4-BE49-F238E27FC236}">
              <a16:creationId xmlns:a16="http://schemas.microsoft.com/office/drawing/2014/main" id="{B03929A8-0280-124B-0EE1-424BF49FFEEE}"/>
            </a:ext>
          </a:extLst>
        </cdr:cNvPr>
        <cdr:cNvSpPr/>
      </cdr:nvSpPr>
      <cdr:spPr>
        <a:xfrm xmlns:a="http://schemas.openxmlformats.org/drawingml/2006/main">
          <a:off x="3817605" y="2147614"/>
          <a:ext cx="1478838" cy="15296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8838" h="1529624">
              <a:moveTo>
                <a:pt x="1165919" y="342416"/>
              </a:moveTo>
              <a:lnTo>
                <a:pt x="1011556" y="502079"/>
              </a:lnTo>
              <a:lnTo>
                <a:pt x="860580" y="658241"/>
              </a:lnTo>
              <a:lnTo>
                <a:pt x="18129" y="1529623"/>
              </a:lnTo>
              <a:lnTo>
                <a:pt x="0" y="1510871"/>
              </a:lnTo>
              <a:lnTo>
                <a:pt x="842451" y="639489"/>
              </a:lnTo>
              <a:lnTo>
                <a:pt x="993427" y="483328"/>
              </a:lnTo>
              <a:lnTo>
                <a:pt x="1147790" y="323664"/>
              </a:lnTo>
              <a:lnTo>
                <a:pt x="1460708" y="0"/>
              </a:lnTo>
              <a:lnTo>
                <a:pt x="147883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0.44043</cdr:x>
      <cdr:y>0.62719</cdr:y>
    </cdr:from>
    <cdr:to>
      <cdr:x>0.63826</cdr:x>
      <cdr:y>0.82363</cdr:y>
    </cdr:to>
    <cdr:sp macro="" textlink="">
      <cdr:nvSpPr>
        <cdr:cNvPr id="143" name="FracNo 860 StartRow 1734">
          <a:extLst xmlns:a="http://schemas.openxmlformats.org/drawingml/2006/main">
            <a:ext uri="{FF2B5EF4-FFF2-40B4-BE49-F238E27FC236}">
              <a16:creationId xmlns:a16="http://schemas.microsoft.com/office/drawing/2014/main" id="{754D74C5-DF4F-042A-C5A6-222B62C876BA}"/>
            </a:ext>
          </a:extLst>
        </cdr:cNvPr>
        <cdr:cNvSpPr/>
      </cdr:nvSpPr>
      <cdr:spPr>
        <a:xfrm xmlns:a="http://schemas.openxmlformats.org/drawingml/2006/main">
          <a:off x="3221797" y="4779163"/>
          <a:ext cx="1447166" cy="14968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7166" h="1496864">
              <a:moveTo>
                <a:pt x="787290" y="663784"/>
              </a:moveTo>
              <a:lnTo>
                <a:pt x="0" y="1478111"/>
              </a:lnTo>
              <a:lnTo>
                <a:pt x="18129" y="1496863"/>
              </a:lnTo>
              <a:lnTo>
                <a:pt x="805419" y="682536"/>
              </a:lnTo>
              <a:lnTo>
                <a:pt x="1298874" y="172135"/>
              </a:lnTo>
              <a:lnTo>
                <a:pt x="1447165" y="18752"/>
              </a:lnTo>
              <a:lnTo>
                <a:pt x="1429035" y="0"/>
              </a:lnTo>
              <a:lnTo>
                <a:pt x="1280744" y="1533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0.29318</cdr:x>
      <cdr:y>0.30202</cdr:y>
    </cdr:from>
    <cdr:to>
      <cdr:x>0.48901</cdr:x>
      <cdr:y>0.49647</cdr:y>
    </cdr:to>
    <cdr:sp macro="" textlink="">
      <cdr:nvSpPr>
        <cdr:cNvPr id="144" name="FracNo 662 StartRow 1745">
          <a:extLst xmlns:a="http://schemas.openxmlformats.org/drawingml/2006/main">
            <a:ext uri="{FF2B5EF4-FFF2-40B4-BE49-F238E27FC236}">
              <a16:creationId xmlns:a16="http://schemas.microsoft.com/office/drawing/2014/main" id="{072FA68F-BF89-1454-9385-B5CF70FF4B68}"/>
            </a:ext>
          </a:extLst>
        </cdr:cNvPr>
        <cdr:cNvSpPr/>
      </cdr:nvSpPr>
      <cdr:spPr>
        <a:xfrm xmlns:a="http://schemas.openxmlformats.org/drawingml/2006/main">
          <a:off x="2144689" y="2301411"/>
          <a:ext cx="1432482" cy="1481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2482" h="1481677">
              <a:moveTo>
                <a:pt x="735944" y="701705"/>
              </a:moveTo>
              <a:lnTo>
                <a:pt x="592133" y="850456"/>
              </a:lnTo>
              <a:lnTo>
                <a:pt x="0" y="1462924"/>
              </a:lnTo>
              <a:lnTo>
                <a:pt x="18129" y="1481676"/>
              </a:lnTo>
              <a:lnTo>
                <a:pt x="610262" y="869207"/>
              </a:lnTo>
              <a:lnTo>
                <a:pt x="754074" y="720457"/>
              </a:lnTo>
              <a:lnTo>
                <a:pt x="962915" y="504444"/>
              </a:lnTo>
              <a:lnTo>
                <a:pt x="1432481" y="18753"/>
              </a:lnTo>
              <a:lnTo>
                <a:pt x="1414351" y="0"/>
              </a:lnTo>
              <a:lnTo>
                <a:pt x="944785" y="4856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0.30109</cdr:x>
      <cdr:y>0.34794</cdr:y>
    </cdr:from>
    <cdr:to>
      <cdr:x>0.49468</cdr:x>
      <cdr:y>0.54016</cdr:y>
    </cdr:to>
    <cdr:sp macro="" textlink="">
      <cdr:nvSpPr>
        <cdr:cNvPr id="145" name="FracNo 677 StartRow 1758">
          <a:extLst xmlns:a="http://schemas.openxmlformats.org/drawingml/2006/main">
            <a:ext uri="{FF2B5EF4-FFF2-40B4-BE49-F238E27FC236}">
              <a16:creationId xmlns:a16="http://schemas.microsoft.com/office/drawing/2014/main" id="{3F4759E1-DF3B-54EB-9251-616E60CD7923}"/>
            </a:ext>
          </a:extLst>
        </cdr:cNvPr>
        <cdr:cNvSpPr/>
      </cdr:nvSpPr>
      <cdr:spPr>
        <a:xfrm xmlns:a="http://schemas.openxmlformats.org/drawingml/2006/main">
          <a:off x="2202570" y="2651308"/>
          <a:ext cx="1416112" cy="14647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6112" h="1464744">
              <a:moveTo>
                <a:pt x="909019" y="543259"/>
              </a:moveTo>
              <a:lnTo>
                <a:pt x="552381" y="912145"/>
              </a:lnTo>
              <a:lnTo>
                <a:pt x="18130" y="1464743"/>
              </a:lnTo>
              <a:lnTo>
                <a:pt x="0" y="1445991"/>
              </a:lnTo>
              <a:lnTo>
                <a:pt x="534252" y="893393"/>
              </a:lnTo>
              <a:lnTo>
                <a:pt x="890890" y="524507"/>
              </a:lnTo>
              <a:lnTo>
                <a:pt x="1266696" y="135795"/>
              </a:lnTo>
              <a:lnTo>
                <a:pt x="1397982" y="0"/>
              </a:lnTo>
              <a:lnTo>
                <a:pt x="1416111" y="18752"/>
              </a:lnTo>
              <a:lnTo>
                <a:pt x="1284825" y="1545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0.15213</cdr:x>
      <cdr:y>0.61441</cdr:y>
    </cdr:from>
    <cdr:to>
      <cdr:x>0.34568</cdr:x>
      <cdr:y>0.80661</cdr:y>
    </cdr:to>
    <cdr:sp macro="" textlink="">
      <cdr:nvSpPr>
        <cdr:cNvPr id="146" name="FracNo 24 StartRow 1771">
          <a:extLst xmlns:a="http://schemas.openxmlformats.org/drawingml/2006/main">
            <a:ext uri="{FF2B5EF4-FFF2-40B4-BE49-F238E27FC236}">
              <a16:creationId xmlns:a16="http://schemas.microsoft.com/office/drawing/2014/main" id="{1946547B-5018-CAA7-E118-C695664F3676}"/>
            </a:ext>
          </a:extLst>
        </cdr:cNvPr>
        <cdr:cNvSpPr/>
      </cdr:nvSpPr>
      <cdr:spPr>
        <a:xfrm xmlns:a="http://schemas.openxmlformats.org/drawingml/2006/main">
          <a:off x="1112825" y="4681836"/>
          <a:ext cx="1415910" cy="14645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5910" h="1464534">
              <a:moveTo>
                <a:pt x="210635" y="1227913"/>
              </a:moveTo>
              <a:lnTo>
                <a:pt x="0" y="1445781"/>
              </a:lnTo>
              <a:lnTo>
                <a:pt x="18130" y="1464533"/>
              </a:lnTo>
              <a:lnTo>
                <a:pt x="228764" y="1246665"/>
              </a:lnTo>
              <a:lnTo>
                <a:pt x="1173522" y="269462"/>
              </a:lnTo>
              <a:lnTo>
                <a:pt x="1415909" y="18752"/>
              </a:lnTo>
              <a:lnTo>
                <a:pt x="1397779" y="0"/>
              </a:lnTo>
              <a:lnTo>
                <a:pt x="1155393" y="2507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0.26104</cdr:x>
      <cdr:y>0.73997</cdr:y>
    </cdr:from>
    <cdr:to>
      <cdr:x>0.45499</cdr:x>
      <cdr:y>0.9301</cdr:y>
    </cdr:to>
    <cdr:sp macro="" textlink="">
      <cdr:nvSpPr>
        <cdr:cNvPr id="147" name="FracNo 983 StartRow 1782">
          <a:extLst xmlns:a="http://schemas.openxmlformats.org/drawingml/2006/main">
            <a:ext uri="{FF2B5EF4-FFF2-40B4-BE49-F238E27FC236}">
              <a16:creationId xmlns:a16="http://schemas.microsoft.com/office/drawing/2014/main" id="{663F4BD4-A5BD-07F8-F0CD-EF4F9551142C}"/>
            </a:ext>
          </a:extLst>
        </cdr:cNvPr>
        <cdr:cNvSpPr/>
      </cdr:nvSpPr>
      <cdr:spPr>
        <a:xfrm xmlns:a="http://schemas.openxmlformats.org/drawingml/2006/main">
          <a:off x="1909547" y="5638601"/>
          <a:ext cx="1418793" cy="14487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8793" h="1448765">
              <a:moveTo>
                <a:pt x="672615" y="753050"/>
              </a:moveTo>
              <a:lnTo>
                <a:pt x="0" y="1448764"/>
              </a:lnTo>
              <a:lnTo>
                <a:pt x="36259" y="1448764"/>
              </a:lnTo>
              <a:lnTo>
                <a:pt x="694134" y="768297"/>
              </a:lnTo>
              <a:lnTo>
                <a:pt x="845404" y="611831"/>
              </a:lnTo>
              <a:lnTo>
                <a:pt x="1418792" y="18752"/>
              </a:lnTo>
              <a:lnTo>
                <a:pt x="1400663" y="0"/>
              </a:lnTo>
              <a:lnTo>
                <a:pt x="827275" y="5930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0.26589</cdr:x>
      <cdr:y>0.53513</cdr:y>
    </cdr:from>
    <cdr:to>
      <cdr:x>0.45821</cdr:x>
      <cdr:y>0.7261</cdr:y>
    </cdr:to>
    <cdr:sp macro="" textlink="">
      <cdr:nvSpPr>
        <cdr:cNvPr id="148" name="FracNo 835 StartRow 1793">
          <a:extLst xmlns:a="http://schemas.openxmlformats.org/drawingml/2006/main">
            <a:ext uri="{FF2B5EF4-FFF2-40B4-BE49-F238E27FC236}">
              <a16:creationId xmlns:a16="http://schemas.microsoft.com/office/drawing/2014/main" id="{1DEC3C87-8AA4-1214-7CBE-0C61154F5F79}"/>
            </a:ext>
          </a:extLst>
        </cdr:cNvPr>
        <cdr:cNvSpPr/>
      </cdr:nvSpPr>
      <cdr:spPr>
        <a:xfrm xmlns:a="http://schemas.openxmlformats.org/drawingml/2006/main">
          <a:off x="1945054" y="4077722"/>
          <a:ext cx="1406856" cy="1455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6856" h="1455170">
              <a:moveTo>
                <a:pt x="153916" y="1277215"/>
              </a:moveTo>
              <a:lnTo>
                <a:pt x="0" y="1436417"/>
              </a:lnTo>
              <a:lnTo>
                <a:pt x="18129" y="1455169"/>
              </a:lnTo>
              <a:lnTo>
                <a:pt x="172045" y="1295967"/>
              </a:lnTo>
              <a:lnTo>
                <a:pt x="580412" y="873576"/>
              </a:lnTo>
              <a:lnTo>
                <a:pt x="809897" y="636210"/>
              </a:lnTo>
              <a:lnTo>
                <a:pt x="1406855" y="18752"/>
              </a:lnTo>
              <a:lnTo>
                <a:pt x="1388725" y="0"/>
              </a:lnTo>
              <a:lnTo>
                <a:pt x="791768" y="617458"/>
              </a:lnTo>
              <a:lnTo>
                <a:pt x="562283" y="8548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0.53563</cdr:x>
      <cdr:y>0.74128</cdr:y>
    </cdr:from>
    <cdr:to>
      <cdr:x>0.72827</cdr:x>
      <cdr:y>0.9301</cdr:y>
    </cdr:to>
    <cdr:sp macro="" textlink="">
      <cdr:nvSpPr>
        <cdr:cNvPr id="149" name="FracNo 183 StartRow 1806">
          <a:extLst xmlns:a="http://schemas.openxmlformats.org/drawingml/2006/main">
            <a:ext uri="{FF2B5EF4-FFF2-40B4-BE49-F238E27FC236}">
              <a16:creationId xmlns:a16="http://schemas.microsoft.com/office/drawing/2014/main" id="{D43A1C93-CC08-2369-6F77-5DEC5D1B90D0}"/>
            </a:ext>
          </a:extLst>
        </cdr:cNvPr>
        <cdr:cNvSpPr/>
      </cdr:nvSpPr>
      <cdr:spPr>
        <a:xfrm xmlns:a="http://schemas.openxmlformats.org/drawingml/2006/main">
          <a:off x="3918268" y="5648528"/>
          <a:ext cx="1409196" cy="1438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9196" h="1438838">
              <a:moveTo>
                <a:pt x="95422" y="1377642"/>
              </a:moveTo>
              <a:lnTo>
                <a:pt x="36258" y="1438837"/>
              </a:lnTo>
              <a:lnTo>
                <a:pt x="0" y="1438837"/>
              </a:lnTo>
              <a:lnTo>
                <a:pt x="60390" y="1376373"/>
              </a:lnTo>
              <a:lnTo>
                <a:pt x="892764" y="515413"/>
              </a:lnTo>
              <a:lnTo>
                <a:pt x="1391065" y="0"/>
              </a:lnTo>
              <a:lnTo>
                <a:pt x="1409195" y="18751"/>
              </a:lnTo>
              <a:lnTo>
                <a:pt x="910893" y="5341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0.49278</cdr:x>
      <cdr:y>0.72785</cdr:y>
    </cdr:from>
    <cdr:to>
      <cdr:x>0.68363</cdr:x>
      <cdr:y>0.91736</cdr:y>
    </cdr:to>
    <cdr:sp macro="" textlink="">
      <cdr:nvSpPr>
        <cdr:cNvPr id="150" name="FracNo 834 StartRow 1817">
          <a:extLst xmlns:a="http://schemas.openxmlformats.org/drawingml/2006/main">
            <a:ext uri="{FF2B5EF4-FFF2-40B4-BE49-F238E27FC236}">
              <a16:creationId xmlns:a16="http://schemas.microsoft.com/office/drawing/2014/main" id="{6109D500-544F-7896-B613-C0D55F659A95}"/>
            </a:ext>
          </a:extLst>
        </cdr:cNvPr>
        <cdr:cNvSpPr/>
      </cdr:nvSpPr>
      <cdr:spPr>
        <a:xfrm xmlns:a="http://schemas.openxmlformats.org/drawingml/2006/main">
          <a:off x="3604793" y="5546225"/>
          <a:ext cx="1396098" cy="14440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6098" h="1444043">
              <a:moveTo>
                <a:pt x="1051655" y="375023"/>
              </a:moveTo>
              <a:lnTo>
                <a:pt x="18129" y="1444042"/>
              </a:lnTo>
              <a:lnTo>
                <a:pt x="0" y="1425291"/>
              </a:lnTo>
              <a:lnTo>
                <a:pt x="1033525" y="356271"/>
              </a:lnTo>
              <a:lnTo>
                <a:pt x="1206239" y="177626"/>
              </a:lnTo>
              <a:lnTo>
                <a:pt x="1377968" y="0"/>
              </a:lnTo>
              <a:lnTo>
                <a:pt x="1396097" y="18752"/>
              </a:lnTo>
              <a:lnTo>
                <a:pt x="1224368" y="1963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0.34524</cdr:x>
      <cdr:y>0.43019</cdr:y>
    </cdr:from>
    <cdr:to>
      <cdr:x>0.53528</cdr:x>
      <cdr:y>0.61889</cdr:y>
    </cdr:to>
    <cdr:sp macro="" textlink="">
      <cdr:nvSpPr>
        <cdr:cNvPr id="151" name="FracNo 665 StartRow 1828">
          <a:extLst xmlns:a="http://schemas.openxmlformats.org/drawingml/2006/main">
            <a:ext uri="{FF2B5EF4-FFF2-40B4-BE49-F238E27FC236}">
              <a16:creationId xmlns:a16="http://schemas.microsoft.com/office/drawing/2014/main" id="{8B0175C0-B058-B717-33EA-A5F81BC1E6D6}"/>
            </a:ext>
          </a:extLst>
        </cdr:cNvPr>
        <cdr:cNvSpPr/>
      </cdr:nvSpPr>
      <cdr:spPr>
        <a:xfrm xmlns:a="http://schemas.openxmlformats.org/drawingml/2006/main">
          <a:off x="2525483" y="3278057"/>
          <a:ext cx="1390180" cy="14379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0180" h="1437921">
              <a:moveTo>
                <a:pt x="947938" y="476180"/>
              </a:moveTo>
              <a:lnTo>
                <a:pt x="229468" y="1219324"/>
              </a:lnTo>
              <a:lnTo>
                <a:pt x="18129" y="1437920"/>
              </a:lnTo>
              <a:lnTo>
                <a:pt x="0" y="1419169"/>
              </a:lnTo>
              <a:lnTo>
                <a:pt x="211339" y="1200572"/>
              </a:lnTo>
              <a:lnTo>
                <a:pt x="929809" y="457429"/>
              </a:lnTo>
              <a:lnTo>
                <a:pt x="1372050" y="0"/>
              </a:lnTo>
              <a:lnTo>
                <a:pt x="13901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0.5719</cdr:x>
      <cdr:y>0.42659</cdr:y>
    </cdr:from>
    <cdr:to>
      <cdr:x>0.76087</cdr:x>
      <cdr:y>0.61423</cdr:y>
    </cdr:to>
    <cdr:sp macro="" textlink="">
      <cdr:nvSpPr>
        <cdr:cNvPr id="152" name="FracNo 1033 StartRow 1839">
          <a:extLst xmlns:a="http://schemas.openxmlformats.org/drawingml/2006/main">
            <a:ext uri="{FF2B5EF4-FFF2-40B4-BE49-F238E27FC236}">
              <a16:creationId xmlns:a16="http://schemas.microsoft.com/office/drawing/2014/main" id="{91F0767A-FDFE-98C4-2342-4A4BE1E48AAE}"/>
            </a:ext>
          </a:extLst>
        </cdr:cNvPr>
        <cdr:cNvSpPr/>
      </cdr:nvSpPr>
      <cdr:spPr>
        <a:xfrm xmlns:a="http://schemas.openxmlformats.org/drawingml/2006/main">
          <a:off x="4183579" y="3250582"/>
          <a:ext cx="1382358" cy="1429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2358" h="1429831">
              <a:moveTo>
                <a:pt x="1237393" y="131191"/>
              </a:moveTo>
              <a:lnTo>
                <a:pt x="627453" y="762077"/>
              </a:lnTo>
              <a:lnTo>
                <a:pt x="0" y="1411078"/>
              </a:lnTo>
              <a:lnTo>
                <a:pt x="18129" y="1429830"/>
              </a:lnTo>
              <a:lnTo>
                <a:pt x="645582" y="780829"/>
              </a:lnTo>
              <a:lnTo>
                <a:pt x="1255523" y="149942"/>
              </a:lnTo>
              <a:lnTo>
                <a:pt x="1382357" y="18752"/>
              </a:lnTo>
              <a:lnTo>
                <a:pt x="13642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0.63603</cdr:x>
      <cdr:y>0.66803</cdr:y>
    </cdr:from>
    <cdr:to>
      <cdr:x>0.82453</cdr:x>
      <cdr:y>0.8552</cdr:y>
    </cdr:to>
    <cdr:sp macro="" textlink="">
      <cdr:nvSpPr>
        <cdr:cNvPr id="153" name="FracNo 807 StartRow 1850">
          <a:extLst xmlns:a="http://schemas.openxmlformats.org/drawingml/2006/main">
            <a:ext uri="{FF2B5EF4-FFF2-40B4-BE49-F238E27FC236}">
              <a16:creationId xmlns:a16="http://schemas.microsoft.com/office/drawing/2014/main" id="{9853459F-CA69-53E8-46CA-67AF0ECC0CFE}"/>
            </a:ext>
          </a:extLst>
        </cdr:cNvPr>
        <cdr:cNvSpPr/>
      </cdr:nvSpPr>
      <cdr:spPr>
        <a:xfrm xmlns:a="http://schemas.openxmlformats.org/drawingml/2006/main">
          <a:off x="4652717" y="5090359"/>
          <a:ext cx="1378875" cy="14262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8875" h="1426228">
              <a:moveTo>
                <a:pt x="518051" y="871633"/>
              </a:moveTo>
              <a:lnTo>
                <a:pt x="158315" y="1243724"/>
              </a:lnTo>
              <a:lnTo>
                <a:pt x="0" y="1407476"/>
              </a:lnTo>
              <a:lnTo>
                <a:pt x="18129" y="1426227"/>
              </a:lnTo>
              <a:lnTo>
                <a:pt x="176444" y="1262475"/>
              </a:lnTo>
              <a:lnTo>
                <a:pt x="536181" y="890385"/>
              </a:lnTo>
              <a:lnTo>
                <a:pt x="1378874" y="18752"/>
              </a:lnTo>
              <a:lnTo>
                <a:pt x="13607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0.49367</cdr:x>
      <cdr:y>0.46847</cdr:y>
    </cdr:from>
    <cdr:to>
      <cdr:x>0.68165</cdr:x>
      <cdr:y>0.65514</cdr:y>
    </cdr:to>
    <cdr:sp macro="" textlink="">
      <cdr:nvSpPr>
        <cdr:cNvPr id="154" name="FracNo 674 StartRow 1861">
          <a:extLst xmlns:a="http://schemas.openxmlformats.org/drawingml/2006/main">
            <a:ext uri="{FF2B5EF4-FFF2-40B4-BE49-F238E27FC236}">
              <a16:creationId xmlns:a16="http://schemas.microsoft.com/office/drawing/2014/main" id="{06A125AA-DDEA-85A7-B1FD-1710A76A992E}"/>
            </a:ext>
          </a:extLst>
        </cdr:cNvPr>
        <cdr:cNvSpPr/>
      </cdr:nvSpPr>
      <cdr:spPr>
        <a:xfrm xmlns:a="http://schemas.openxmlformats.org/drawingml/2006/main">
          <a:off x="3611275" y="3569752"/>
          <a:ext cx="1375157" cy="14223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5157" h="1422382">
              <a:moveTo>
                <a:pt x="503003" y="883353"/>
              </a:moveTo>
              <a:lnTo>
                <a:pt x="39480" y="1362794"/>
              </a:lnTo>
              <a:lnTo>
                <a:pt x="0" y="1403629"/>
              </a:lnTo>
              <a:lnTo>
                <a:pt x="18130" y="1422381"/>
              </a:lnTo>
              <a:lnTo>
                <a:pt x="57609" y="1381546"/>
              </a:lnTo>
              <a:lnTo>
                <a:pt x="521132" y="902105"/>
              </a:lnTo>
              <a:lnTo>
                <a:pt x="1217886" y="181422"/>
              </a:lnTo>
              <a:lnTo>
                <a:pt x="1375156" y="18752"/>
              </a:lnTo>
              <a:lnTo>
                <a:pt x="1357026" y="0"/>
              </a:lnTo>
              <a:lnTo>
                <a:pt x="1199757" y="1626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0.67999</cdr:x>
      <cdr:y>0.7469</cdr:y>
    </cdr:from>
    <cdr:to>
      <cdr:x>0.86696</cdr:x>
      <cdr:y>0.9301</cdr:y>
    </cdr:to>
    <cdr:sp macro="" textlink="">
      <cdr:nvSpPr>
        <cdr:cNvPr id="155" name="FracNo 722 StartRow 1874">
          <a:extLst xmlns:a="http://schemas.openxmlformats.org/drawingml/2006/main">
            <a:ext uri="{FF2B5EF4-FFF2-40B4-BE49-F238E27FC236}">
              <a16:creationId xmlns:a16="http://schemas.microsoft.com/office/drawing/2014/main" id="{41611D29-59CB-5F72-511C-5FF262B013D5}"/>
            </a:ext>
          </a:extLst>
        </cdr:cNvPr>
        <cdr:cNvSpPr/>
      </cdr:nvSpPr>
      <cdr:spPr>
        <a:xfrm xmlns:a="http://schemas.openxmlformats.org/drawingml/2006/main">
          <a:off x="4974227" y="5691407"/>
          <a:ext cx="1367740" cy="1395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7740" h="1395959">
              <a:moveTo>
                <a:pt x="1317262" y="33458"/>
              </a:moveTo>
              <a:lnTo>
                <a:pt x="0" y="1395958"/>
              </a:lnTo>
              <a:lnTo>
                <a:pt x="36258" y="1395958"/>
              </a:lnTo>
              <a:lnTo>
                <a:pt x="1335825" y="51761"/>
              </a:lnTo>
              <a:lnTo>
                <a:pt x="1367739" y="18752"/>
              </a:lnTo>
              <a:lnTo>
                <a:pt x="13496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0.75676</cdr:x>
      <cdr:y>0.74571</cdr:y>
    </cdr:from>
    <cdr:to>
      <cdr:x>0.94246</cdr:x>
      <cdr:y>0.9301</cdr:y>
    </cdr:to>
    <cdr:sp macro="" textlink="">
      <cdr:nvSpPr>
        <cdr:cNvPr id="156" name="FracNo 967 StartRow 1883">
          <a:extLst xmlns:a="http://schemas.openxmlformats.org/drawingml/2006/main">
            <a:ext uri="{FF2B5EF4-FFF2-40B4-BE49-F238E27FC236}">
              <a16:creationId xmlns:a16="http://schemas.microsoft.com/office/drawing/2014/main" id="{83F49901-7D3A-F4FF-1A08-65FCAC7FD568}"/>
            </a:ext>
          </a:extLst>
        </cdr:cNvPr>
        <cdr:cNvSpPr/>
      </cdr:nvSpPr>
      <cdr:spPr>
        <a:xfrm xmlns:a="http://schemas.openxmlformats.org/drawingml/2006/main">
          <a:off x="5535873" y="5682280"/>
          <a:ext cx="1358435" cy="14050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8435" h="1405086">
              <a:moveTo>
                <a:pt x="108171" y="1330703"/>
              </a:moveTo>
              <a:lnTo>
                <a:pt x="36259" y="1405085"/>
              </a:lnTo>
              <a:lnTo>
                <a:pt x="0" y="1405085"/>
              </a:lnTo>
              <a:lnTo>
                <a:pt x="73885" y="1328663"/>
              </a:lnTo>
              <a:lnTo>
                <a:pt x="1358434" y="0"/>
              </a:lnTo>
              <a:lnTo>
                <a:pt x="1358434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0.40885</cdr:x>
      <cdr:y>0.61437</cdr:y>
    </cdr:from>
    <cdr:to>
      <cdr:x>0.59314</cdr:x>
      <cdr:y>0.79736</cdr:y>
    </cdr:to>
    <cdr:sp macro="" textlink="">
      <cdr:nvSpPr>
        <cdr:cNvPr id="157" name="FracNo 195 StartRow 1892">
          <a:extLst xmlns:a="http://schemas.openxmlformats.org/drawingml/2006/main">
            <a:ext uri="{FF2B5EF4-FFF2-40B4-BE49-F238E27FC236}">
              <a16:creationId xmlns:a16="http://schemas.microsoft.com/office/drawing/2014/main" id="{EE78B5DE-7929-F70B-1BDC-93D9273AE24C}"/>
            </a:ext>
          </a:extLst>
        </cdr:cNvPr>
        <cdr:cNvSpPr/>
      </cdr:nvSpPr>
      <cdr:spPr>
        <a:xfrm xmlns:a="http://schemas.openxmlformats.org/drawingml/2006/main">
          <a:off x="2990806" y="4681476"/>
          <a:ext cx="1348124" cy="1394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8124" h="1394422">
              <a:moveTo>
                <a:pt x="576153" y="779730"/>
              </a:moveTo>
              <a:lnTo>
                <a:pt x="0" y="1375669"/>
              </a:lnTo>
              <a:lnTo>
                <a:pt x="18130" y="1394421"/>
              </a:lnTo>
              <a:lnTo>
                <a:pt x="594282" y="798482"/>
              </a:lnTo>
              <a:lnTo>
                <a:pt x="1105389" y="269822"/>
              </a:lnTo>
              <a:lnTo>
                <a:pt x="1348123" y="18752"/>
              </a:lnTo>
              <a:lnTo>
                <a:pt x="1329994" y="0"/>
              </a:lnTo>
              <a:lnTo>
                <a:pt x="1087260" y="2510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0.22615</cdr:x>
      <cdr:y>0.29461</cdr:y>
    </cdr:from>
    <cdr:to>
      <cdr:x>0.41017</cdr:x>
      <cdr:y>0.47734</cdr:y>
    </cdr:to>
    <cdr:sp macro="" textlink="">
      <cdr:nvSpPr>
        <cdr:cNvPr id="158" name="FracNo 925 StartRow 1903">
          <a:extLst xmlns:a="http://schemas.openxmlformats.org/drawingml/2006/main">
            <a:ext uri="{FF2B5EF4-FFF2-40B4-BE49-F238E27FC236}">
              <a16:creationId xmlns:a16="http://schemas.microsoft.com/office/drawing/2014/main" id="{BAFB87B3-0761-AED9-A99C-852D4BF977BF}"/>
            </a:ext>
          </a:extLst>
        </cdr:cNvPr>
        <cdr:cNvSpPr/>
      </cdr:nvSpPr>
      <cdr:spPr>
        <a:xfrm xmlns:a="http://schemas.openxmlformats.org/drawingml/2006/main">
          <a:off x="1654325" y="2244962"/>
          <a:ext cx="1346151" cy="13923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6151" h="1392381">
              <a:moveTo>
                <a:pt x="1300955" y="65499"/>
              </a:moveTo>
              <a:lnTo>
                <a:pt x="1100626" y="272708"/>
              </a:lnTo>
              <a:lnTo>
                <a:pt x="822009" y="560893"/>
              </a:lnTo>
              <a:lnTo>
                <a:pt x="18129" y="1392380"/>
              </a:lnTo>
              <a:lnTo>
                <a:pt x="0" y="1373628"/>
              </a:lnTo>
              <a:lnTo>
                <a:pt x="803880" y="542141"/>
              </a:lnTo>
              <a:lnTo>
                <a:pt x="1082497" y="253956"/>
              </a:lnTo>
              <a:lnTo>
                <a:pt x="1282826" y="46747"/>
              </a:lnTo>
              <a:lnTo>
                <a:pt x="1328021" y="0"/>
              </a:lnTo>
              <a:lnTo>
                <a:pt x="13461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0.61411</cdr:x>
      <cdr:y>0.08544</cdr:y>
    </cdr:from>
    <cdr:to>
      <cdr:x>0.79924</cdr:x>
      <cdr:y>0.2668</cdr:y>
    </cdr:to>
    <cdr:sp macro="" textlink="">
      <cdr:nvSpPr>
        <cdr:cNvPr id="159" name="FracNo 995 StartRow 1916">
          <a:extLst xmlns:a="http://schemas.openxmlformats.org/drawingml/2006/main">
            <a:ext uri="{FF2B5EF4-FFF2-40B4-BE49-F238E27FC236}">
              <a16:creationId xmlns:a16="http://schemas.microsoft.com/office/drawing/2014/main" id="{0C174274-2CB3-7FA9-FDF4-456FCE82968C}"/>
            </a:ext>
          </a:extLst>
        </cdr:cNvPr>
        <cdr:cNvSpPr/>
      </cdr:nvSpPr>
      <cdr:spPr>
        <a:xfrm xmlns:a="http://schemas.openxmlformats.org/drawingml/2006/main">
          <a:off x="4492373" y="651036"/>
          <a:ext cx="1354252" cy="1382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4252" h="1382008">
              <a:moveTo>
                <a:pt x="1207804" y="151476"/>
              </a:moveTo>
              <a:lnTo>
                <a:pt x="336788" y="1052404"/>
              </a:lnTo>
              <a:lnTo>
                <a:pt x="18130" y="1382007"/>
              </a:lnTo>
              <a:lnTo>
                <a:pt x="0" y="1363255"/>
              </a:lnTo>
              <a:lnTo>
                <a:pt x="318659" y="1033652"/>
              </a:lnTo>
              <a:lnTo>
                <a:pt x="1174155" y="148777"/>
              </a:lnTo>
              <a:lnTo>
                <a:pt x="1317992" y="0"/>
              </a:lnTo>
              <a:lnTo>
                <a:pt x="13542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0.52408</cdr:x>
      <cdr:y>0.72213</cdr:y>
    </cdr:from>
    <cdr:to>
      <cdr:x>0.70782</cdr:x>
      <cdr:y>0.90458</cdr:y>
    </cdr:to>
    <cdr:sp macro="" textlink="">
      <cdr:nvSpPr>
        <cdr:cNvPr id="160" name="FracNo 193 StartRow 1927">
          <a:extLst xmlns:a="http://schemas.openxmlformats.org/drawingml/2006/main">
            <a:ext uri="{FF2B5EF4-FFF2-40B4-BE49-F238E27FC236}">
              <a16:creationId xmlns:a16="http://schemas.microsoft.com/office/drawing/2014/main" id="{47BEB4D3-9465-27A1-BA18-3F11C62018CD}"/>
            </a:ext>
          </a:extLst>
        </cdr:cNvPr>
        <cdr:cNvSpPr/>
      </cdr:nvSpPr>
      <cdr:spPr>
        <a:xfrm xmlns:a="http://schemas.openxmlformats.org/drawingml/2006/main">
          <a:off x="3833758" y="5502665"/>
          <a:ext cx="1344057" cy="1390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4057" h="1390215">
              <a:moveTo>
                <a:pt x="587470" y="763817"/>
              </a:moveTo>
              <a:lnTo>
                <a:pt x="0" y="1371462"/>
              </a:lnTo>
              <a:lnTo>
                <a:pt x="18129" y="1390214"/>
              </a:lnTo>
              <a:lnTo>
                <a:pt x="605599" y="782569"/>
              </a:lnTo>
              <a:lnTo>
                <a:pt x="995403" y="379378"/>
              </a:lnTo>
              <a:lnTo>
                <a:pt x="1344056" y="18752"/>
              </a:lnTo>
              <a:lnTo>
                <a:pt x="1325927" y="0"/>
              </a:lnTo>
              <a:lnTo>
                <a:pt x="977274" y="3606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0.26938</cdr:x>
      <cdr:y>0.56073</cdr:y>
    </cdr:from>
    <cdr:to>
      <cdr:x>0.45299</cdr:x>
      <cdr:y>0.74304</cdr:y>
    </cdr:to>
    <cdr:sp macro="" textlink="">
      <cdr:nvSpPr>
        <cdr:cNvPr id="161" name="FracNo 990 StartRow 1938">
          <a:extLst xmlns:a="http://schemas.openxmlformats.org/drawingml/2006/main">
            <a:ext uri="{FF2B5EF4-FFF2-40B4-BE49-F238E27FC236}">
              <a16:creationId xmlns:a16="http://schemas.microsoft.com/office/drawing/2014/main" id="{8A8D1B30-26AD-7559-6FCA-919AAF20FA01}"/>
            </a:ext>
          </a:extLst>
        </cdr:cNvPr>
        <cdr:cNvSpPr/>
      </cdr:nvSpPr>
      <cdr:spPr>
        <a:xfrm xmlns:a="http://schemas.openxmlformats.org/drawingml/2006/main">
          <a:off x="1970587" y="4272741"/>
          <a:ext cx="1343118" cy="13892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3118" h="1389243">
              <a:moveTo>
                <a:pt x="1105977" y="226532"/>
              </a:moveTo>
              <a:lnTo>
                <a:pt x="766235" y="577942"/>
              </a:lnTo>
              <a:lnTo>
                <a:pt x="687089" y="659805"/>
              </a:lnTo>
              <a:lnTo>
                <a:pt x="0" y="1370490"/>
              </a:lnTo>
              <a:lnTo>
                <a:pt x="18130" y="1389242"/>
              </a:lnTo>
              <a:lnTo>
                <a:pt x="705219" y="678557"/>
              </a:lnTo>
              <a:lnTo>
                <a:pt x="784364" y="596694"/>
              </a:lnTo>
              <a:lnTo>
                <a:pt x="1124106" y="245284"/>
              </a:lnTo>
              <a:lnTo>
                <a:pt x="1343117" y="18751"/>
              </a:lnTo>
              <a:lnTo>
                <a:pt x="13249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0.6859</cdr:x>
      <cdr:y>0.74984</cdr:y>
    </cdr:from>
    <cdr:to>
      <cdr:x>0.86992</cdr:x>
      <cdr:y>0.9301</cdr:y>
    </cdr:to>
    <cdr:sp macro="" textlink="">
      <cdr:nvSpPr>
        <cdr:cNvPr id="162" name="FracNo 981 StartRow 1951">
          <a:extLst xmlns:a="http://schemas.openxmlformats.org/drawingml/2006/main">
            <a:ext uri="{FF2B5EF4-FFF2-40B4-BE49-F238E27FC236}">
              <a16:creationId xmlns:a16="http://schemas.microsoft.com/office/drawing/2014/main" id="{A42E8B95-6DC8-D83A-E1F8-FAA56008A9EF}"/>
            </a:ext>
          </a:extLst>
        </cdr:cNvPr>
        <cdr:cNvSpPr/>
      </cdr:nvSpPr>
      <cdr:spPr>
        <a:xfrm xmlns:a="http://schemas.openxmlformats.org/drawingml/2006/main">
          <a:off x="5017522" y="5713798"/>
          <a:ext cx="1346092" cy="1373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6092" h="1373568">
              <a:moveTo>
                <a:pt x="843957" y="538130"/>
              </a:moveTo>
              <a:lnTo>
                <a:pt x="36258" y="1373567"/>
              </a:lnTo>
              <a:lnTo>
                <a:pt x="0" y="1373567"/>
              </a:lnTo>
              <a:lnTo>
                <a:pt x="818877" y="526567"/>
              </a:lnTo>
              <a:lnTo>
                <a:pt x="1327962" y="0"/>
              </a:lnTo>
              <a:lnTo>
                <a:pt x="13460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0.63553</cdr:x>
      <cdr:y>0.44858</cdr:y>
    </cdr:from>
    <cdr:to>
      <cdr:x>0.81764</cdr:x>
      <cdr:y>0.62941</cdr:y>
    </cdr:to>
    <cdr:sp macro="" textlink="">
      <cdr:nvSpPr>
        <cdr:cNvPr id="163" name="FracNo 814 StartRow 1960">
          <a:extLst xmlns:a="http://schemas.openxmlformats.org/drawingml/2006/main">
            <a:ext uri="{FF2B5EF4-FFF2-40B4-BE49-F238E27FC236}">
              <a16:creationId xmlns:a16="http://schemas.microsoft.com/office/drawing/2014/main" id="{F04C4D40-596C-299E-1D51-EC92C40AE062}"/>
            </a:ext>
          </a:extLst>
        </cdr:cNvPr>
        <cdr:cNvSpPr/>
      </cdr:nvSpPr>
      <cdr:spPr>
        <a:xfrm xmlns:a="http://schemas.openxmlformats.org/drawingml/2006/main">
          <a:off x="4649048" y="3418177"/>
          <a:ext cx="1332145" cy="1377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145" h="1377894">
              <a:moveTo>
                <a:pt x="707048" y="665315"/>
              </a:moveTo>
              <a:lnTo>
                <a:pt x="180113" y="1210346"/>
              </a:lnTo>
              <a:lnTo>
                <a:pt x="18129" y="1377893"/>
              </a:lnTo>
              <a:lnTo>
                <a:pt x="0" y="1359141"/>
              </a:lnTo>
              <a:lnTo>
                <a:pt x="161984" y="1191594"/>
              </a:lnTo>
              <a:lnTo>
                <a:pt x="688919" y="646563"/>
              </a:lnTo>
              <a:lnTo>
                <a:pt x="1314014" y="0"/>
              </a:lnTo>
              <a:lnTo>
                <a:pt x="13321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0.49991</cdr:x>
      <cdr:y>0.30693</cdr:y>
    </cdr:from>
    <cdr:to>
      <cdr:x>0.68137</cdr:x>
      <cdr:y>0.4871</cdr:y>
    </cdr:to>
    <cdr:sp macro="" textlink="">
      <cdr:nvSpPr>
        <cdr:cNvPr id="164" name="FracNo 673 StartRow 1971">
          <a:extLst xmlns:a="http://schemas.openxmlformats.org/drawingml/2006/main">
            <a:ext uri="{FF2B5EF4-FFF2-40B4-BE49-F238E27FC236}">
              <a16:creationId xmlns:a16="http://schemas.microsoft.com/office/drawing/2014/main" id="{621F0944-3B09-B120-A00D-4D4B3B922AF2}"/>
            </a:ext>
          </a:extLst>
        </cdr:cNvPr>
        <cdr:cNvSpPr/>
      </cdr:nvSpPr>
      <cdr:spPr>
        <a:xfrm xmlns:a="http://schemas.openxmlformats.org/drawingml/2006/main">
          <a:off x="3656974" y="2338771"/>
          <a:ext cx="1327360" cy="1372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7360" h="1372944">
              <a:moveTo>
                <a:pt x="525222" y="848436"/>
              </a:moveTo>
              <a:lnTo>
                <a:pt x="18130" y="1372943"/>
              </a:lnTo>
              <a:lnTo>
                <a:pt x="0" y="1354191"/>
              </a:lnTo>
              <a:lnTo>
                <a:pt x="507093" y="829685"/>
              </a:lnTo>
              <a:lnTo>
                <a:pt x="875783" y="448332"/>
              </a:lnTo>
              <a:lnTo>
                <a:pt x="1154058" y="160501"/>
              </a:lnTo>
              <a:lnTo>
                <a:pt x="1309230" y="0"/>
              </a:lnTo>
              <a:lnTo>
                <a:pt x="1327359" y="18752"/>
              </a:lnTo>
              <a:lnTo>
                <a:pt x="1172187" y="179253"/>
              </a:lnTo>
              <a:lnTo>
                <a:pt x="893913" y="4670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0.72307</cdr:x>
      <cdr:y>0.1058</cdr:y>
    </cdr:from>
    <cdr:to>
      <cdr:x>0.90436</cdr:x>
      <cdr:y>0.28581</cdr:y>
    </cdr:to>
    <cdr:sp macro="" textlink="">
      <cdr:nvSpPr>
        <cdr:cNvPr id="165" name="FracNo 741 StartRow 1984">
          <a:extLst xmlns:a="http://schemas.openxmlformats.org/drawingml/2006/main">
            <a:ext uri="{FF2B5EF4-FFF2-40B4-BE49-F238E27FC236}">
              <a16:creationId xmlns:a16="http://schemas.microsoft.com/office/drawing/2014/main" id="{E6F0DEA2-8C5E-3340-18C8-32212869D38A}"/>
            </a:ext>
          </a:extLst>
        </cdr:cNvPr>
        <cdr:cNvSpPr/>
      </cdr:nvSpPr>
      <cdr:spPr>
        <a:xfrm xmlns:a="http://schemas.openxmlformats.org/drawingml/2006/main">
          <a:off x="5289424" y="806205"/>
          <a:ext cx="1326114" cy="13716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6114" h="1371655">
              <a:moveTo>
                <a:pt x="665840" y="701700"/>
              </a:moveTo>
              <a:lnTo>
                <a:pt x="18130" y="1371654"/>
              </a:lnTo>
              <a:lnTo>
                <a:pt x="0" y="1352902"/>
              </a:lnTo>
              <a:lnTo>
                <a:pt x="647710" y="682948"/>
              </a:lnTo>
              <a:lnTo>
                <a:pt x="1307983" y="0"/>
              </a:lnTo>
              <a:lnTo>
                <a:pt x="1326113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0.25645</cdr:x>
      <cdr:y>0.08544</cdr:y>
    </cdr:from>
    <cdr:to>
      <cdr:x>0.43812</cdr:x>
      <cdr:y>0.26337</cdr:y>
    </cdr:to>
    <cdr:sp macro="" textlink="">
      <cdr:nvSpPr>
        <cdr:cNvPr id="166" name="FracNo 440 StartRow 1993">
          <a:extLst xmlns:a="http://schemas.openxmlformats.org/drawingml/2006/main">
            <a:ext uri="{FF2B5EF4-FFF2-40B4-BE49-F238E27FC236}">
              <a16:creationId xmlns:a16="http://schemas.microsoft.com/office/drawing/2014/main" id="{B0C5FC5D-0472-83C9-3A1D-5B9316A4F6A0}"/>
            </a:ext>
          </a:extLst>
        </cdr:cNvPr>
        <cdr:cNvSpPr/>
      </cdr:nvSpPr>
      <cdr:spPr>
        <a:xfrm xmlns:a="http://schemas.openxmlformats.org/drawingml/2006/main">
          <a:off x="1875966" y="651036"/>
          <a:ext cx="1328951" cy="1355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8951" h="1355838">
              <a:moveTo>
                <a:pt x="129497" y="1203140"/>
              </a:moveTo>
              <a:lnTo>
                <a:pt x="0" y="1337085"/>
              </a:lnTo>
              <a:lnTo>
                <a:pt x="18129" y="1355837"/>
              </a:lnTo>
              <a:lnTo>
                <a:pt x="149339" y="1220121"/>
              </a:lnTo>
              <a:lnTo>
                <a:pt x="884638" y="459571"/>
              </a:lnTo>
              <a:lnTo>
                <a:pt x="1328950" y="0"/>
              </a:lnTo>
              <a:lnTo>
                <a:pt x="1292691" y="0"/>
              </a:lnTo>
              <a:lnTo>
                <a:pt x="855203" y="4525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0.50484</cdr:x>
      <cdr:y>0.34953</cdr:y>
    </cdr:from>
    <cdr:to>
      <cdr:x>0.68376</cdr:x>
      <cdr:y>0.5272</cdr:y>
    </cdr:to>
    <cdr:sp macro="" textlink="">
      <cdr:nvSpPr>
        <cdr:cNvPr id="167" name="FracNo 661 StartRow 2004">
          <a:extLst xmlns:a="http://schemas.openxmlformats.org/drawingml/2006/main">
            <a:ext uri="{FF2B5EF4-FFF2-40B4-BE49-F238E27FC236}">
              <a16:creationId xmlns:a16="http://schemas.microsoft.com/office/drawing/2014/main" id="{A61CAD5B-584D-1139-1991-98BBDE3BA20F}"/>
            </a:ext>
          </a:extLst>
        </cdr:cNvPr>
        <cdr:cNvSpPr/>
      </cdr:nvSpPr>
      <cdr:spPr>
        <a:xfrm xmlns:a="http://schemas.openxmlformats.org/drawingml/2006/main">
          <a:off x="3693016" y="2663431"/>
          <a:ext cx="1308853" cy="13538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8853" h="1353802">
              <a:moveTo>
                <a:pt x="856675" y="448954"/>
              </a:moveTo>
              <a:lnTo>
                <a:pt x="0" y="1335048"/>
              </a:lnTo>
              <a:lnTo>
                <a:pt x="18130" y="1353801"/>
              </a:lnTo>
              <a:lnTo>
                <a:pt x="874804" y="467706"/>
              </a:lnTo>
              <a:lnTo>
                <a:pt x="1136145" y="197390"/>
              </a:lnTo>
              <a:lnTo>
                <a:pt x="1189286" y="142424"/>
              </a:lnTo>
              <a:lnTo>
                <a:pt x="1308852" y="18752"/>
              </a:lnTo>
              <a:lnTo>
                <a:pt x="1290723" y="0"/>
              </a:lnTo>
              <a:lnTo>
                <a:pt x="1171157" y="123672"/>
              </a:lnTo>
              <a:lnTo>
                <a:pt x="1118016" y="1786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0.6618</cdr:x>
      <cdr:y>0.12853</cdr:y>
    </cdr:from>
    <cdr:to>
      <cdr:x>0.84038</cdr:x>
      <cdr:y>0.30586</cdr:y>
    </cdr:to>
    <cdr:sp macro="" textlink="">
      <cdr:nvSpPr>
        <cdr:cNvPr id="168" name="FracNo 978 StartRow 2017">
          <a:extLst xmlns:a="http://schemas.openxmlformats.org/drawingml/2006/main">
            <a:ext uri="{FF2B5EF4-FFF2-40B4-BE49-F238E27FC236}">
              <a16:creationId xmlns:a16="http://schemas.microsoft.com/office/drawing/2014/main" id="{C146917C-2C3D-1577-BA6B-7030A9AC8682}"/>
            </a:ext>
          </a:extLst>
        </cdr:cNvPr>
        <cdr:cNvSpPr/>
      </cdr:nvSpPr>
      <cdr:spPr>
        <a:xfrm xmlns:a="http://schemas.openxmlformats.org/drawingml/2006/main">
          <a:off x="4841206" y="979423"/>
          <a:ext cx="1306341" cy="13512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6341" h="1351203">
              <a:moveTo>
                <a:pt x="1134420" y="159072"/>
              </a:moveTo>
              <a:lnTo>
                <a:pt x="0" y="1332450"/>
              </a:lnTo>
              <a:lnTo>
                <a:pt x="18130" y="1351202"/>
              </a:lnTo>
              <a:lnTo>
                <a:pt x="1152549" y="177824"/>
              </a:lnTo>
              <a:lnTo>
                <a:pt x="1306340" y="18752"/>
              </a:lnTo>
              <a:lnTo>
                <a:pt x="12882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0.6775</cdr:x>
      <cdr:y>0.70565</cdr:y>
    </cdr:from>
    <cdr:to>
      <cdr:x>0.85278</cdr:x>
      <cdr:y>0.8797</cdr:y>
    </cdr:to>
    <cdr:sp macro="" textlink="">
      <cdr:nvSpPr>
        <cdr:cNvPr id="169" name="FracNo 976 StartRow 2026">
          <a:extLst xmlns:a="http://schemas.openxmlformats.org/drawingml/2006/main">
            <a:ext uri="{FF2B5EF4-FFF2-40B4-BE49-F238E27FC236}">
              <a16:creationId xmlns:a16="http://schemas.microsoft.com/office/drawing/2014/main" id="{00EC8743-6C23-3101-679A-7C42C2F0C2F6}"/>
            </a:ext>
          </a:extLst>
        </cdr:cNvPr>
        <cdr:cNvSpPr/>
      </cdr:nvSpPr>
      <cdr:spPr>
        <a:xfrm xmlns:a="http://schemas.openxmlformats.org/drawingml/2006/main">
          <a:off x="4956023" y="5377018"/>
          <a:ext cx="1282245" cy="13262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2245" h="1326279">
              <a:moveTo>
                <a:pt x="559971" y="765829"/>
              </a:moveTo>
              <a:lnTo>
                <a:pt x="18129" y="1326278"/>
              </a:lnTo>
              <a:lnTo>
                <a:pt x="0" y="1307527"/>
              </a:lnTo>
              <a:lnTo>
                <a:pt x="541842" y="747077"/>
              </a:lnTo>
              <a:lnTo>
                <a:pt x="1264114" y="0"/>
              </a:lnTo>
              <a:lnTo>
                <a:pt x="128224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0.76728</cdr:x>
      <cdr:y>0.75615</cdr:y>
    </cdr:from>
    <cdr:to>
      <cdr:x>0.94246</cdr:x>
      <cdr:y>0.9301</cdr:y>
    </cdr:to>
    <cdr:sp macro="" textlink="">
      <cdr:nvSpPr>
        <cdr:cNvPr id="170" name="FracNo 862 StartRow 2035">
          <a:extLst xmlns:a="http://schemas.openxmlformats.org/drawingml/2006/main">
            <a:ext uri="{FF2B5EF4-FFF2-40B4-BE49-F238E27FC236}">
              <a16:creationId xmlns:a16="http://schemas.microsoft.com/office/drawing/2014/main" id="{D8563548-002E-4BD0-FD34-94609C18242A}"/>
            </a:ext>
          </a:extLst>
        </cdr:cNvPr>
        <cdr:cNvSpPr/>
      </cdr:nvSpPr>
      <cdr:spPr>
        <a:xfrm xmlns:a="http://schemas.openxmlformats.org/drawingml/2006/main">
          <a:off x="5612837" y="5761887"/>
          <a:ext cx="1281471" cy="13254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1471" h="1325479">
              <a:moveTo>
                <a:pt x="207895" y="1110445"/>
              </a:moveTo>
              <a:lnTo>
                <a:pt x="0" y="1325478"/>
              </a:lnTo>
              <a:lnTo>
                <a:pt x="36259" y="1325478"/>
              </a:lnTo>
              <a:lnTo>
                <a:pt x="238271" y="1116529"/>
              </a:lnTo>
              <a:lnTo>
                <a:pt x="1281470" y="37504"/>
              </a:lnTo>
              <a:lnTo>
                <a:pt x="12814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0.76864</cdr:x>
      <cdr:y>0.18733</cdr:y>
    </cdr:from>
    <cdr:to>
      <cdr:x>0.94246</cdr:x>
      <cdr:y>0.36239</cdr:y>
    </cdr:to>
    <cdr:sp macro="" textlink="">
      <cdr:nvSpPr>
        <cdr:cNvPr id="171" name="FracNo 261 StartRow 2044">
          <a:extLst xmlns:a="http://schemas.openxmlformats.org/drawingml/2006/main">
            <a:ext uri="{FF2B5EF4-FFF2-40B4-BE49-F238E27FC236}">
              <a16:creationId xmlns:a16="http://schemas.microsoft.com/office/drawing/2014/main" id="{5AD4D58F-5101-8B44-A6AB-A2A29551A5CC}"/>
            </a:ext>
          </a:extLst>
        </cdr:cNvPr>
        <cdr:cNvSpPr/>
      </cdr:nvSpPr>
      <cdr:spPr>
        <a:xfrm xmlns:a="http://schemas.openxmlformats.org/drawingml/2006/main">
          <a:off x="5622784" y="1427435"/>
          <a:ext cx="1271524" cy="1333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1524" h="1333943">
              <a:moveTo>
                <a:pt x="267183" y="1076335"/>
              </a:moveTo>
              <a:lnTo>
                <a:pt x="18129" y="1333942"/>
              </a:lnTo>
              <a:lnTo>
                <a:pt x="0" y="1315190"/>
              </a:lnTo>
              <a:lnTo>
                <a:pt x="252656" y="1053857"/>
              </a:lnTo>
              <a:lnTo>
                <a:pt x="1271523" y="0"/>
              </a:lnTo>
              <a:lnTo>
                <a:pt x="127152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0.63591</cdr:x>
      <cdr:y>0.41716</cdr:y>
    </cdr:from>
    <cdr:to>
      <cdr:x>0.81</cdr:x>
      <cdr:y>0.59003</cdr:y>
    </cdr:to>
    <cdr:sp macro="" textlink="">
      <cdr:nvSpPr>
        <cdr:cNvPr id="172" name="FracNo 590 StartRow 2053">
          <a:extLst xmlns:a="http://schemas.openxmlformats.org/drawingml/2006/main">
            <a:ext uri="{FF2B5EF4-FFF2-40B4-BE49-F238E27FC236}">
              <a16:creationId xmlns:a16="http://schemas.microsoft.com/office/drawing/2014/main" id="{9C45027D-4569-B1B3-3560-7C54A8CCE701}"/>
            </a:ext>
          </a:extLst>
        </cdr:cNvPr>
        <cdr:cNvSpPr/>
      </cdr:nvSpPr>
      <cdr:spPr>
        <a:xfrm xmlns:a="http://schemas.openxmlformats.org/drawingml/2006/main">
          <a:off x="4651810" y="3178767"/>
          <a:ext cx="1273510" cy="13172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3510" h="1317244">
              <a:moveTo>
                <a:pt x="358482" y="927699"/>
              </a:moveTo>
              <a:lnTo>
                <a:pt x="159222" y="1133802"/>
              </a:lnTo>
              <a:lnTo>
                <a:pt x="0" y="1298491"/>
              </a:lnTo>
              <a:lnTo>
                <a:pt x="18130" y="1317243"/>
              </a:lnTo>
              <a:lnTo>
                <a:pt x="177351" y="1152553"/>
              </a:lnTo>
              <a:lnTo>
                <a:pt x="376611" y="946450"/>
              </a:lnTo>
              <a:lnTo>
                <a:pt x="1273509" y="18752"/>
              </a:lnTo>
              <a:lnTo>
                <a:pt x="12553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0.17709</cdr:x>
      <cdr:y>0.62647</cdr:y>
    </cdr:from>
    <cdr:to>
      <cdr:x>0.34926</cdr:x>
      <cdr:y>0.79742</cdr:y>
    </cdr:to>
    <cdr:sp macro="" textlink="">
      <cdr:nvSpPr>
        <cdr:cNvPr id="173" name="FracNo 25 StartRow 2064">
          <a:extLst xmlns:a="http://schemas.openxmlformats.org/drawingml/2006/main">
            <a:ext uri="{FF2B5EF4-FFF2-40B4-BE49-F238E27FC236}">
              <a16:creationId xmlns:a16="http://schemas.microsoft.com/office/drawing/2014/main" id="{7B437B99-46FF-6B23-89B9-E97F418CF659}"/>
            </a:ext>
          </a:extLst>
        </cdr:cNvPr>
        <cdr:cNvSpPr/>
      </cdr:nvSpPr>
      <cdr:spPr>
        <a:xfrm xmlns:a="http://schemas.openxmlformats.org/drawingml/2006/main">
          <a:off x="1295478" y="4773682"/>
          <a:ext cx="1259435" cy="13026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9435" h="1302687">
              <a:moveTo>
                <a:pt x="950111" y="301194"/>
              </a:moveTo>
              <a:lnTo>
                <a:pt x="0" y="1283934"/>
              </a:lnTo>
              <a:lnTo>
                <a:pt x="18129" y="1302686"/>
              </a:lnTo>
              <a:lnTo>
                <a:pt x="968241" y="319945"/>
              </a:lnTo>
              <a:lnTo>
                <a:pt x="1105845" y="177616"/>
              </a:lnTo>
              <a:lnTo>
                <a:pt x="1259434" y="18752"/>
              </a:lnTo>
              <a:lnTo>
                <a:pt x="1241305" y="0"/>
              </a:lnTo>
              <a:lnTo>
                <a:pt x="1087715" y="1588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0.50205</cdr:x>
      <cdr:y>0.35377</cdr:y>
    </cdr:from>
    <cdr:to>
      <cdr:x>0.67391</cdr:x>
      <cdr:y>0.52442</cdr:y>
    </cdr:to>
    <cdr:sp macro="" textlink="">
      <cdr:nvSpPr>
        <cdr:cNvPr id="174" name="FracNo 979 StartRow 2075">
          <a:extLst xmlns:a="http://schemas.openxmlformats.org/drawingml/2006/main">
            <a:ext uri="{FF2B5EF4-FFF2-40B4-BE49-F238E27FC236}">
              <a16:creationId xmlns:a16="http://schemas.microsoft.com/office/drawing/2014/main" id="{C80BFF1E-14D1-C7A2-EBD0-22BBB0FC0EFE}"/>
            </a:ext>
          </a:extLst>
        </cdr:cNvPr>
        <cdr:cNvSpPr/>
      </cdr:nvSpPr>
      <cdr:spPr>
        <a:xfrm xmlns:a="http://schemas.openxmlformats.org/drawingml/2006/main">
          <a:off x="3672595" y="2695710"/>
          <a:ext cx="1257224" cy="13004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7224" h="1300400">
              <a:moveTo>
                <a:pt x="783593" y="471143"/>
              </a:moveTo>
              <a:lnTo>
                <a:pt x="0" y="1281647"/>
              </a:lnTo>
              <a:lnTo>
                <a:pt x="18130" y="1300399"/>
              </a:lnTo>
              <a:lnTo>
                <a:pt x="801723" y="489895"/>
              </a:lnTo>
              <a:lnTo>
                <a:pt x="1156566" y="122866"/>
              </a:lnTo>
              <a:lnTo>
                <a:pt x="1168865" y="110145"/>
              </a:lnTo>
              <a:lnTo>
                <a:pt x="1257223" y="18752"/>
              </a:lnTo>
              <a:lnTo>
                <a:pt x="1239094" y="0"/>
              </a:lnTo>
              <a:lnTo>
                <a:pt x="1150736" y="91393"/>
              </a:lnTo>
              <a:lnTo>
                <a:pt x="1138437" y="1041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0.40151</cdr:x>
      <cdr:y>0.08544</cdr:y>
    </cdr:from>
    <cdr:to>
      <cdr:x>0.57426</cdr:x>
      <cdr:y>0.25451</cdr:y>
    </cdr:to>
    <cdr:sp macro="" textlink="">
      <cdr:nvSpPr>
        <cdr:cNvPr id="175" name="FracNo 958 StartRow 2088">
          <a:extLst xmlns:a="http://schemas.openxmlformats.org/drawingml/2006/main">
            <a:ext uri="{FF2B5EF4-FFF2-40B4-BE49-F238E27FC236}">
              <a16:creationId xmlns:a16="http://schemas.microsoft.com/office/drawing/2014/main" id="{A2629A33-6361-90EB-52FF-99C2514E7869}"/>
            </a:ext>
          </a:extLst>
        </cdr:cNvPr>
        <cdr:cNvSpPr/>
      </cdr:nvSpPr>
      <cdr:spPr>
        <a:xfrm xmlns:a="http://schemas.openxmlformats.org/drawingml/2006/main">
          <a:off x="2937146" y="651036"/>
          <a:ext cx="1263682" cy="1288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3682" h="1288327">
              <a:moveTo>
                <a:pt x="71563" y="1195553"/>
              </a:moveTo>
              <a:lnTo>
                <a:pt x="0" y="1269574"/>
              </a:lnTo>
              <a:lnTo>
                <a:pt x="18129" y="1288326"/>
              </a:lnTo>
              <a:lnTo>
                <a:pt x="90750" y="1213212"/>
              </a:lnTo>
              <a:lnTo>
                <a:pt x="1263681" y="0"/>
              </a:lnTo>
              <a:lnTo>
                <a:pt x="12274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0.47024</cdr:x>
      <cdr:y>0.27841</cdr:y>
    </cdr:from>
    <cdr:to>
      <cdr:x>0.64075</cdr:x>
      <cdr:y>0.44772</cdr:y>
    </cdr:to>
    <cdr:sp macro="" textlink="">
      <cdr:nvSpPr>
        <cdr:cNvPr id="176" name="FracNo 919 StartRow 2097">
          <a:extLst xmlns:a="http://schemas.openxmlformats.org/drawingml/2006/main">
            <a:ext uri="{FF2B5EF4-FFF2-40B4-BE49-F238E27FC236}">
              <a16:creationId xmlns:a16="http://schemas.microsoft.com/office/drawing/2014/main" id="{E1673C87-86E2-3B9C-6467-3EF2AC30BAE4}"/>
            </a:ext>
          </a:extLst>
        </cdr:cNvPr>
        <cdr:cNvSpPr/>
      </cdr:nvSpPr>
      <cdr:spPr>
        <a:xfrm xmlns:a="http://schemas.openxmlformats.org/drawingml/2006/main">
          <a:off x="3439864" y="2121484"/>
          <a:ext cx="1247337" cy="1290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7337" h="1290173">
              <a:moveTo>
                <a:pt x="1165142" y="103769"/>
              </a:moveTo>
              <a:lnTo>
                <a:pt x="603816" y="684371"/>
              </a:lnTo>
              <a:lnTo>
                <a:pt x="18129" y="1290172"/>
              </a:lnTo>
              <a:lnTo>
                <a:pt x="0" y="1271421"/>
              </a:lnTo>
              <a:lnTo>
                <a:pt x="585687" y="665619"/>
              </a:lnTo>
              <a:lnTo>
                <a:pt x="1147012" y="85017"/>
              </a:lnTo>
              <a:lnTo>
                <a:pt x="1229206" y="0"/>
              </a:lnTo>
              <a:lnTo>
                <a:pt x="12473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0.15618</cdr:x>
      <cdr:y>0.15049</cdr:y>
    </cdr:from>
    <cdr:to>
      <cdr:x>0.32505</cdr:x>
      <cdr:y>0.31817</cdr:y>
    </cdr:to>
    <cdr:sp macro="" textlink="">
      <cdr:nvSpPr>
        <cdr:cNvPr id="177" name="FracNo 996 StartRow 2108">
          <a:extLst xmlns:a="http://schemas.openxmlformats.org/drawingml/2006/main">
            <a:ext uri="{FF2B5EF4-FFF2-40B4-BE49-F238E27FC236}">
              <a16:creationId xmlns:a16="http://schemas.microsoft.com/office/drawing/2014/main" id="{92311AC2-C92C-4B0B-3E4E-2C399912A20F}"/>
            </a:ext>
          </a:extLst>
        </cdr:cNvPr>
        <cdr:cNvSpPr/>
      </cdr:nvSpPr>
      <cdr:spPr>
        <a:xfrm xmlns:a="http://schemas.openxmlformats.org/drawingml/2006/main">
          <a:off x="1142473" y="1146716"/>
          <a:ext cx="1235328" cy="12777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5328" h="1277751">
              <a:moveTo>
                <a:pt x="931332" y="295683"/>
              </a:moveTo>
              <a:lnTo>
                <a:pt x="0" y="1258998"/>
              </a:lnTo>
              <a:lnTo>
                <a:pt x="18130" y="1277750"/>
              </a:lnTo>
              <a:lnTo>
                <a:pt x="949461" y="314434"/>
              </a:lnTo>
              <a:lnTo>
                <a:pt x="1235327" y="18752"/>
              </a:lnTo>
              <a:lnTo>
                <a:pt x="12171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0.26124</cdr:y>
    </cdr:from>
    <cdr:to>
      <cdr:x>0.25926</cdr:x>
      <cdr:y>0.42996</cdr:y>
    </cdr:to>
    <cdr:sp macro="" textlink="">
      <cdr:nvSpPr>
        <cdr:cNvPr id="178" name="FracNo 434 StartRow 2117">
          <a:extLst xmlns:a="http://schemas.openxmlformats.org/drawingml/2006/main">
            <a:ext uri="{FF2B5EF4-FFF2-40B4-BE49-F238E27FC236}">
              <a16:creationId xmlns:a16="http://schemas.microsoft.com/office/drawing/2014/main" id="{3F1DB363-7FDD-AF97-2C24-B5FD29D46EFB}"/>
            </a:ext>
          </a:extLst>
        </cdr:cNvPr>
        <cdr:cNvSpPr/>
      </cdr:nvSpPr>
      <cdr:spPr>
        <a:xfrm xmlns:a="http://schemas.openxmlformats.org/drawingml/2006/main">
          <a:off x="671676" y="1990637"/>
          <a:ext cx="1224853" cy="1285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4853" h="1285668">
              <a:moveTo>
                <a:pt x="1094722" y="153351"/>
              </a:moveTo>
              <a:lnTo>
                <a:pt x="449484" y="820747"/>
              </a:lnTo>
              <a:lnTo>
                <a:pt x="0" y="1285667"/>
              </a:lnTo>
              <a:lnTo>
                <a:pt x="0" y="1248164"/>
              </a:lnTo>
              <a:lnTo>
                <a:pt x="442046" y="790937"/>
              </a:lnTo>
              <a:lnTo>
                <a:pt x="1078387" y="132743"/>
              </a:lnTo>
              <a:lnTo>
                <a:pt x="1206722" y="0"/>
              </a:lnTo>
              <a:lnTo>
                <a:pt x="12248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0.56296</cdr:x>
      <cdr:y>0.74399</cdr:y>
    </cdr:from>
    <cdr:to>
      <cdr:x>0.731</cdr:x>
      <cdr:y>0.91085</cdr:y>
    </cdr:to>
    <cdr:sp macro="" textlink="">
      <cdr:nvSpPr>
        <cdr:cNvPr id="179" name="FracNo 755 StartRow 2128">
          <a:extLst xmlns:a="http://schemas.openxmlformats.org/drawingml/2006/main">
            <a:ext uri="{FF2B5EF4-FFF2-40B4-BE49-F238E27FC236}">
              <a16:creationId xmlns:a16="http://schemas.microsoft.com/office/drawing/2014/main" id="{A177E43C-39F3-A33F-874B-7E46AE2C4918}"/>
            </a:ext>
          </a:extLst>
        </cdr:cNvPr>
        <cdr:cNvSpPr/>
      </cdr:nvSpPr>
      <cdr:spPr>
        <a:xfrm xmlns:a="http://schemas.openxmlformats.org/drawingml/2006/main">
          <a:off x="4118145" y="5669184"/>
          <a:ext cx="1229289" cy="12715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9289" h="1271505">
              <a:moveTo>
                <a:pt x="426752" y="811344"/>
              </a:moveTo>
              <a:lnTo>
                <a:pt x="0" y="1252752"/>
              </a:lnTo>
              <a:lnTo>
                <a:pt x="18129" y="1271504"/>
              </a:lnTo>
              <a:lnTo>
                <a:pt x="444882" y="830096"/>
              </a:lnTo>
              <a:lnTo>
                <a:pt x="711016" y="554821"/>
              </a:lnTo>
              <a:lnTo>
                <a:pt x="1229288" y="18751"/>
              </a:lnTo>
              <a:lnTo>
                <a:pt x="1211158" y="0"/>
              </a:lnTo>
              <a:lnTo>
                <a:pt x="692887" y="5360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0.66942</cdr:y>
    </cdr:from>
    <cdr:to>
      <cdr:x>0.25497</cdr:x>
      <cdr:y>0.83388</cdr:y>
    </cdr:to>
    <cdr:sp macro="" textlink="">
      <cdr:nvSpPr>
        <cdr:cNvPr id="180" name="FracNo 36 StartRow 2139">
          <a:extLst xmlns:a="http://schemas.openxmlformats.org/drawingml/2006/main">
            <a:ext uri="{FF2B5EF4-FFF2-40B4-BE49-F238E27FC236}">
              <a16:creationId xmlns:a16="http://schemas.microsoft.com/office/drawing/2014/main" id="{1BAEFA40-0723-9602-DCAA-6BF91329ECB0}"/>
            </a:ext>
          </a:extLst>
        </cdr:cNvPr>
        <cdr:cNvSpPr/>
      </cdr:nvSpPr>
      <cdr:spPr>
        <a:xfrm xmlns:a="http://schemas.openxmlformats.org/drawingml/2006/main">
          <a:off x="671676" y="5101003"/>
          <a:ext cx="1193448" cy="12531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3448" h="1253185">
              <a:moveTo>
                <a:pt x="1130656" y="83699"/>
              </a:moveTo>
              <a:lnTo>
                <a:pt x="0" y="1253184"/>
              </a:lnTo>
              <a:lnTo>
                <a:pt x="0" y="1215680"/>
              </a:lnTo>
              <a:lnTo>
                <a:pt x="1113481" y="63960"/>
              </a:lnTo>
              <a:lnTo>
                <a:pt x="1175317" y="0"/>
              </a:lnTo>
              <a:lnTo>
                <a:pt x="11934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0.53637</cdr:x>
      <cdr:y>0.08544</cdr:y>
    </cdr:from>
    <cdr:to>
      <cdr:x>0.70176</cdr:x>
      <cdr:y>0.2472</cdr:y>
    </cdr:to>
    <cdr:sp macro="" textlink="">
      <cdr:nvSpPr>
        <cdr:cNvPr id="181" name="FracNo 736 StartRow 2148">
          <a:extLst xmlns:a="http://schemas.openxmlformats.org/drawingml/2006/main">
            <a:ext uri="{FF2B5EF4-FFF2-40B4-BE49-F238E27FC236}">
              <a16:creationId xmlns:a16="http://schemas.microsoft.com/office/drawing/2014/main" id="{76CBC1F8-DEA3-9A8D-B519-40F7BFD4D7E9}"/>
            </a:ext>
          </a:extLst>
        </cdr:cNvPr>
        <cdr:cNvSpPr/>
      </cdr:nvSpPr>
      <cdr:spPr>
        <a:xfrm xmlns:a="http://schemas.openxmlformats.org/drawingml/2006/main">
          <a:off x="3923668" y="651036"/>
          <a:ext cx="1209819" cy="12326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9819" h="1232615">
              <a:moveTo>
                <a:pt x="169757" y="1075779"/>
              </a:moveTo>
              <a:lnTo>
                <a:pt x="18129" y="1232614"/>
              </a:lnTo>
              <a:lnTo>
                <a:pt x="0" y="1213862"/>
              </a:lnTo>
              <a:lnTo>
                <a:pt x="149432" y="1059298"/>
              </a:lnTo>
              <a:lnTo>
                <a:pt x="880893" y="302718"/>
              </a:lnTo>
              <a:lnTo>
                <a:pt x="1173560" y="0"/>
              </a:lnTo>
              <a:lnTo>
                <a:pt x="1209818" y="0"/>
              </a:lnTo>
              <a:lnTo>
                <a:pt x="911965" y="3080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0.45181</cdr:x>
      <cdr:y>0.2629</cdr:y>
    </cdr:from>
    <cdr:to>
      <cdr:x>0.61514</cdr:x>
      <cdr:y>0.42508</cdr:y>
    </cdr:to>
    <cdr:sp macro="" textlink="">
      <cdr:nvSpPr>
        <cdr:cNvPr id="182" name="FracNo 732 StartRow 2159">
          <a:extLst xmlns:a="http://schemas.openxmlformats.org/drawingml/2006/main">
            <a:ext uri="{FF2B5EF4-FFF2-40B4-BE49-F238E27FC236}">
              <a16:creationId xmlns:a16="http://schemas.microsoft.com/office/drawing/2014/main" id="{3A736B39-C4AA-49DA-A98B-33E671628F00}"/>
            </a:ext>
          </a:extLst>
        </cdr:cNvPr>
        <cdr:cNvSpPr/>
      </cdr:nvSpPr>
      <cdr:spPr>
        <a:xfrm xmlns:a="http://schemas.openxmlformats.org/drawingml/2006/main">
          <a:off x="3305073" y="2003274"/>
          <a:ext cx="1194780" cy="1235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4780" h="1235811">
              <a:moveTo>
                <a:pt x="768250" y="422425"/>
              </a:moveTo>
              <a:lnTo>
                <a:pt x="418845" y="783829"/>
              </a:lnTo>
              <a:lnTo>
                <a:pt x="0" y="1217058"/>
              </a:lnTo>
              <a:lnTo>
                <a:pt x="18130" y="1235810"/>
              </a:lnTo>
              <a:lnTo>
                <a:pt x="436974" y="802581"/>
              </a:lnTo>
              <a:lnTo>
                <a:pt x="786379" y="441177"/>
              </a:lnTo>
              <a:lnTo>
                <a:pt x="1194779" y="18752"/>
              </a:lnTo>
              <a:lnTo>
                <a:pt x="11766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0.36308</cdr:x>
      <cdr:y>0.42556</cdr:y>
    </cdr:from>
    <cdr:to>
      <cdr:x>0.52509</cdr:x>
      <cdr:y>0.58643</cdr:y>
    </cdr:to>
    <cdr:sp macro="" textlink="">
      <cdr:nvSpPr>
        <cdr:cNvPr id="183" name="FracNo 745 StartRow 2170">
          <a:extLst xmlns:a="http://schemas.openxmlformats.org/drawingml/2006/main">
            <a:ext uri="{FF2B5EF4-FFF2-40B4-BE49-F238E27FC236}">
              <a16:creationId xmlns:a16="http://schemas.microsoft.com/office/drawing/2014/main" id="{0D46A767-3D62-FC94-A2FB-67997CFCDADE}"/>
            </a:ext>
          </a:extLst>
        </cdr:cNvPr>
        <cdr:cNvSpPr/>
      </cdr:nvSpPr>
      <cdr:spPr>
        <a:xfrm xmlns:a="http://schemas.openxmlformats.org/drawingml/2006/main">
          <a:off x="2655976" y="3242733"/>
          <a:ext cx="1185139" cy="1225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5139" h="1225839">
              <a:moveTo>
                <a:pt x="836005" y="342372"/>
              </a:moveTo>
              <a:lnTo>
                <a:pt x="80846" y="1123465"/>
              </a:lnTo>
              <a:lnTo>
                <a:pt x="0" y="1207086"/>
              </a:lnTo>
              <a:lnTo>
                <a:pt x="18130" y="1225838"/>
              </a:lnTo>
              <a:lnTo>
                <a:pt x="98975" y="1142216"/>
              </a:lnTo>
              <a:lnTo>
                <a:pt x="854134" y="361123"/>
              </a:lnTo>
              <a:lnTo>
                <a:pt x="1185138" y="18752"/>
              </a:lnTo>
              <a:lnTo>
                <a:pt x="11670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0.36667</cdr:x>
      <cdr:y>0.42912</cdr:y>
    </cdr:from>
    <cdr:to>
      <cdr:x>0.52868</cdr:x>
      <cdr:y>0.58999</cdr:y>
    </cdr:to>
    <cdr:sp macro="" textlink="">
      <cdr:nvSpPr>
        <cdr:cNvPr id="184" name="FracNo 1003 StartRow 2181">
          <a:extLst xmlns:a="http://schemas.openxmlformats.org/drawingml/2006/main">
            <a:ext uri="{FF2B5EF4-FFF2-40B4-BE49-F238E27FC236}">
              <a16:creationId xmlns:a16="http://schemas.microsoft.com/office/drawing/2014/main" id="{3C24EBF8-9DFA-8729-102B-DE02ED8185BA}"/>
            </a:ext>
          </a:extLst>
        </cdr:cNvPr>
        <cdr:cNvSpPr/>
      </cdr:nvSpPr>
      <cdr:spPr>
        <a:xfrm xmlns:a="http://schemas.openxmlformats.org/drawingml/2006/main">
          <a:off x="2682254" y="3269914"/>
          <a:ext cx="1185139" cy="1225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5139" h="1225839">
              <a:moveTo>
                <a:pt x="433549" y="796152"/>
              </a:moveTo>
              <a:lnTo>
                <a:pt x="72697" y="1169396"/>
              </a:lnTo>
              <a:lnTo>
                <a:pt x="18130" y="1225838"/>
              </a:lnTo>
              <a:lnTo>
                <a:pt x="0" y="1207086"/>
              </a:lnTo>
              <a:lnTo>
                <a:pt x="54568" y="1150644"/>
              </a:lnTo>
              <a:lnTo>
                <a:pt x="415420" y="777400"/>
              </a:lnTo>
              <a:lnTo>
                <a:pt x="1167009" y="0"/>
              </a:lnTo>
              <a:lnTo>
                <a:pt x="118513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0.38896</cdr:x>
      <cdr:y>0.67845</cdr:y>
    </cdr:from>
    <cdr:to>
      <cdr:x>0.55057</cdr:x>
      <cdr:y>0.83892</cdr:y>
    </cdr:to>
    <cdr:sp macro="" textlink="">
      <cdr:nvSpPr>
        <cdr:cNvPr id="185" name="FracNo 757 StartRow 2192">
          <a:extLst xmlns:a="http://schemas.openxmlformats.org/drawingml/2006/main">
            <a:ext uri="{FF2B5EF4-FFF2-40B4-BE49-F238E27FC236}">
              <a16:creationId xmlns:a16="http://schemas.microsoft.com/office/drawing/2014/main" id="{DBDA31F1-52CD-9856-028E-AE656E74A904}"/>
            </a:ext>
          </a:extLst>
        </cdr:cNvPr>
        <cdr:cNvSpPr/>
      </cdr:nvSpPr>
      <cdr:spPr>
        <a:xfrm xmlns:a="http://schemas.openxmlformats.org/drawingml/2006/main">
          <a:off x="2845334" y="5169812"/>
          <a:ext cx="1182161" cy="1222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2161" h="1222760">
              <a:moveTo>
                <a:pt x="887311" y="323727"/>
              </a:moveTo>
              <a:lnTo>
                <a:pt x="18129" y="1222759"/>
              </a:lnTo>
              <a:lnTo>
                <a:pt x="0" y="1204007"/>
              </a:lnTo>
              <a:lnTo>
                <a:pt x="869182" y="304976"/>
              </a:lnTo>
              <a:lnTo>
                <a:pt x="1164032" y="0"/>
              </a:lnTo>
              <a:lnTo>
                <a:pt x="11821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0.28927</cdr:x>
      <cdr:y>0.17176</cdr:y>
    </cdr:from>
    <cdr:to>
      <cdr:x>0.45088</cdr:x>
      <cdr:y>0.33223</cdr:y>
    </cdr:to>
    <cdr:sp macro="" textlink="">
      <cdr:nvSpPr>
        <cdr:cNvPr id="186" name="FracNo 735 StartRow 2201">
          <a:extLst xmlns:a="http://schemas.openxmlformats.org/drawingml/2006/main">
            <a:ext uri="{FF2B5EF4-FFF2-40B4-BE49-F238E27FC236}">
              <a16:creationId xmlns:a16="http://schemas.microsoft.com/office/drawing/2014/main" id="{FA2014B5-9ECF-2E7F-A320-FA53C3966D2C}"/>
            </a:ext>
          </a:extLst>
        </cdr:cNvPr>
        <cdr:cNvSpPr/>
      </cdr:nvSpPr>
      <cdr:spPr>
        <a:xfrm xmlns:a="http://schemas.openxmlformats.org/drawingml/2006/main">
          <a:off x="2116082" y="1308803"/>
          <a:ext cx="1182161" cy="12227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2161" h="1222759">
              <a:moveTo>
                <a:pt x="692092" y="525650"/>
              </a:moveTo>
              <a:lnTo>
                <a:pt x="638869" y="580701"/>
              </a:lnTo>
              <a:lnTo>
                <a:pt x="18129" y="1222758"/>
              </a:lnTo>
              <a:lnTo>
                <a:pt x="0" y="1204007"/>
              </a:lnTo>
              <a:lnTo>
                <a:pt x="620740" y="561949"/>
              </a:lnTo>
              <a:lnTo>
                <a:pt x="673963" y="506898"/>
              </a:lnTo>
              <a:lnTo>
                <a:pt x="1164031" y="0"/>
              </a:lnTo>
              <a:lnTo>
                <a:pt x="118216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0.62712</cdr:x>
      <cdr:y>0.41276</cdr:y>
    </cdr:from>
    <cdr:to>
      <cdr:x>0.78813</cdr:x>
      <cdr:y>0.57264</cdr:y>
    </cdr:to>
    <cdr:sp macro="" textlink="">
      <cdr:nvSpPr>
        <cdr:cNvPr id="187" name="FracNo 748 StartRow 2212">
          <a:extLst xmlns:a="http://schemas.openxmlformats.org/drawingml/2006/main">
            <a:ext uri="{FF2B5EF4-FFF2-40B4-BE49-F238E27FC236}">
              <a16:creationId xmlns:a16="http://schemas.microsoft.com/office/drawing/2014/main" id="{FEEAC2C9-0FD6-F5D4-754B-88976E854B53}"/>
            </a:ext>
          </a:extLst>
        </cdr:cNvPr>
        <cdr:cNvSpPr/>
      </cdr:nvSpPr>
      <cdr:spPr>
        <a:xfrm xmlns:a="http://schemas.openxmlformats.org/drawingml/2006/main">
          <a:off x="4587496" y="3145231"/>
          <a:ext cx="1177854" cy="1218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7854" h="1218304">
              <a:moveTo>
                <a:pt x="100228" y="1095881"/>
              </a:moveTo>
              <a:lnTo>
                <a:pt x="0" y="1199551"/>
              </a:lnTo>
              <a:lnTo>
                <a:pt x="18129" y="1218303"/>
              </a:lnTo>
              <a:lnTo>
                <a:pt x="118357" y="1114633"/>
              </a:lnTo>
              <a:lnTo>
                <a:pt x="241665" y="987090"/>
              </a:lnTo>
              <a:lnTo>
                <a:pt x="1177853" y="18752"/>
              </a:lnTo>
              <a:lnTo>
                <a:pt x="1159724" y="0"/>
              </a:lnTo>
              <a:lnTo>
                <a:pt x="223536" y="9683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0.29565</cdr:x>
      <cdr:y>0.42496</cdr:y>
    </cdr:from>
    <cdr:to>
      <cdr:x>0.45665</cdr:x>
      <cdr:y>0.58482</cdr:y>
    </cdr:to>
    <cdr:sp macro="" textlink="">
      <cdr:nvSpPr>
        <cdr:cNvPr id="188" name="FracNo 119 StartRow 2223">
          <a:extLst xmlns:a="http://schemas.openxmlformats.org/drawingml/2006/main">
            <a:ext uri="{FF2B5EF4-FFF2-40B4-BE49-F238E27FC236}">
              <a16:creationId xmlns:a16="http://schemas.microsoft.com/office/drawing/2014/main" id="{3A5BFD50-5083-3997-F74C-81BA96F7E0F3}"/>
            </a:ext>
          </a:extLst>
        </cdr:cNvPr>
        <cdr:cNvSpPr/>
      </cdr:nvSpPr>
      <cdr:spPr>
        <a:xfrm xmlns:a="http://schemas.openxmlformats.org/drawingml/2006/main">
          <a:off x="2162734" y="3238179"/>
          <a:ext cx="1177724" cy="1218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7724" h="1218169">
              <a:moveTo>
                <a:pt x="373929" y="812646"/>
              </a:moveTo>
              <a:lnTo>
                <a:pt x="0" y="1199416"/>
              </a:lnTo>
              <a:lnTo>
                <a:pt x="18130" y="1218168"/>
              </a:lnTo>
              <a:lnTo>
                <a:pt x="392059" y="831398"/>
              </a:lnTo>
              <a:lnTo>
                <a:pt x="592217" y="624365"/>
              </a:lnTo>
              <a:lnTo>
                <a:pt x="1177723" y="18752"/>
              </a:lnTo>
              <a:lnTo>
                <a:pt x="1159594" y="0"/>
              </a:lnTo>
              <a:lnTo>
                <a:pt x="574088" y="6056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0.58106</cdr:y>
    </cdr:from>
    <cdr:to>
      <cdr:x>0.25154</cdr:x>
      <cdr:y>0.74212</cdr:y>
    </cdr:to>
    <cdr:sp macro="" textlink="">
      <cdr:nvSpPr>
        <cdr:cNvPr id="189" name="FracNo 1038 StartRow 2234">
          <a:extLst xmlns:a="http://schemas.openxmlformats.org/drawingml/2006/main">
            <a:ext uri="{FF2B5EF4-FFF2-40B4-BE49-F238E27FC236}">
              <a16:creationId xmlns:a16="http://schemas.microsoft.com/office/drawing/2014/main" id="{80E1BE1F-8CD7-70B1-B063-5B27A3AC622B}"/>
            </a:ext>
          </a:extLst>
        </cdr:cNvPr>
        <cdr:cNvSpPr/>
      </cdr:nvSpPr>
      <cdr:spPr>
        <a:xfrm xmlns:a="http://schemas.openxmlformats.org/drawingml/2006/main">
          <a:off x="671676" y="4427710"/>
          <a:ext cx="1168391" cy="12272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8391" h="1227268">
              <a:moveTo>
                <a:pt x="958599" y="198243"/>
              </a:moveTo>
              <a:lnTo>
                <a:pt x="664956" y="501971"/>
              </a:lnTo>
              <a:lnTo>
                <a:pt x="0" y="1189763"/>
              </a:lnTo>
              <a:lnTo>
                <a:pt x="0" y="1227267"/>
              </a:lnTo>
              <a:lnTo>
                <a:pt x="677546" y="526453"/>
              </a:lnTo>
              <a:lnTo>
                <a:pt x="974541" y="219258"/>
              </a:lnTo>
              <a:lnTo>
                <a:pt x="1168390" y="18752"/>
              </a:lnTo>
              <a:lnTo>
                <a:pt x="11502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0.78225</cdr:x>
      <cdr:y>0.77101</cdr:y>
    </cdr:from>
    <cdr:to>
      <cdr:x>0.94246</cdr:x>
      <cdr:y>0.9301</cdr:y>
    </cdr:to>
    <cdr:sp macro="" textlink="">
      <cdr:nvSpPr>
        <cdr:cNvPr id="190" name="FracNo 513 StartRow 2245">
          <a:extLst xmlns:a="http://schemas.openxmlformats.org/drawingml/2006/main">
            <a:ext uri="{FF2B5EF4-FFF2-40B4-BE49-F238E27FC236}">
              <a16:creationId xmlns:a16="http://schemas.microsoft.com/office/drawing/2014/main" id="{D4266EFE-6CC6-C04C-3317-5155F2F15245}"/>
            </a:ext>
          </a:extLst>
        </cdr:cNvPr>
        <cdr:cNvSpPr/>
      </cdr:nvSpPr>
      <cdr:spPr>
        <a:xfrm xmlns:a="http://schemas.openxmlformats.org/drawingml/2006/main">
          <a:off x="5722291" y="5875099"/>
          <a:ext cx="1172017" cy="12122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2017" h="1212267">
              <a:moveTo>
                <a:pt x="541887" y="689273"/>
              </a:moveTo>
              <a:lnTo>
                <a:pt x="36258" y="1212266"/>
              </a:lnTo>
              <a:lnTo>
                <a:pt x="0" y="1212266"/>
              </a:lnTo>
              <a:lnTo>
                <a:pt x="521770" y="672577"/>
              </a:lnTo>
              <a:lnTo>
                <a:pt x="1172016" y="0"/>
              </a:lnTo>
              <a:lnTo>
                <a:pt x="117201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0.66127</cdr:y>
    </cdr:from>
    <cdr:to>
      <cdr:x>0.25053</cdr:x>
      <cdr:y>0.8201</cdr:y>
    </cdr:to>
    <cdr:sp macro="" textlink="">
      <cdr:nvSpPr>
        <cdr:cNvPr id="191" name="FracNo 40 StartRow 2254">
          <a:extLst xmlns:a="http://schemas.openxmlformats.org/drawingml/2006/main">
            <a:ext uri="{FF2B5EF4-FFF2-40B4-BE49-F238E27FC236}">
              <a16:creationId xmlns:a16="http://schemas.microsoft.com/office/drawing/2014/main" id="{E7681485-E146-E02E-66BA-55760F6A3018}"/>
            </a:ext>
          </a:extLst>
        </cdr:cNvPr>
        <cdr:cNvSpPr/>
      </cdr:nvSpPr>
      <cdr:spPr>
        <a:xfrm xmlns:a="http://schemas.openxmlformats.org/drawingml/2006/main">
          <a:off x="662611" y="5038895"/>
          <a:ext cx="1170050" cy="1210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0050" h="1210232">
              <a:moveTo>
                <a:pt x="1155032" y="34285"/>
              </a:moveTo>
              <a:lnTo>
                <a:pt x="18130" y="1210231"/>
              </a:lnTo>
              <a:lnTo>
                <a:pt x="0" y="1191479"/>
              </a:lnTo>
              <a:lnTo>
                <a:pt x="1136903" y="15533"/>
              </a:lnTo>
              <a:lnTo>
                <a:pt x="1151920" y="0"/>
              </a:lnTo>
              <a:lnTo>
                <a:pt x="11700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0.3256</cdr:y>
    </cdr:from>
    <cdr:to>
      <cdr:x>0.2499</cdr:x>
      <cdr:y>0.48503</cdr:y>
    </cdr:to>
    <cdr:sp macro="" textlink="">
      <cdr:nvSpPr>
        <cdr:cNvPr id="192" name="FracNo 912 StartRow 2263">
          <a:extLst xmlns:a="http://schemas.openxmlformats.org/drawingml/2006/main">
            <a:ext uri="{FF2B5EF4-FFF2-40B4-BE49-F238E27FC236}">
              <a16:creationId xmlns:a16="http://schemas.microsoft.com/office/drawing/2014/main" id="{1F5FF6A7-87F3-5EC4-F754-B0E5A3417899}"/>
            </a:ext>
          </a:extLst>
        </cdr:cNvPr>
        <cdr:cNvSpPr/>
      </cdr:nvSpPr>
      <cdr:spPr>
        <a:xfrm xmlns:a="http://schemas.openxmlformats.org/drawingml/2006/main">
          <a:off x="671676" y="2481063"/>
          <a:ext cx="1156427" cy="12148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6427" h="1214893">
              <a:moveTo>
                <a:pt x="854173" y="331385"/>
              </a:moveTo>
              <a:lnTo>
                <a:pt x="0" y="1214892"/>
              </a:lnTo>
              <a:lnTo>
                <a:pt x="0" y="1177388"/>
              </a:lnTo>
              <a:lnTo>
                <a:pt x="836178" y="312494"/>
              </a:lnTo>
              <a:lnTo>
                <a:pt x="842418" y="306040"/>
              </a:lnTo>
              <a:lnTo>
                <a:pt x="1138297" y="0"/>
              </a:lnTo>
              <a:lnTo>
                <a:pt x="1156426" y="18752"/>
              </a:lnTo>
              <a:lnTo>
                <a:pt x="860547" y="3247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0.54738</cdr:x>
      <cdr:y>0.23127</cdr:y>
    </cdr:from>
    <cdr:to>
      <cdr:x>0.70611</cdr:x>
      <cdr:y>0.38889</cdr:y>
    </cdr:to>
    <cdr:sp macro="" textlink="">
      <cdr:nvSpPr>
        <cdr:cNvPr id="193" name="FracNo 747 StartRow 2274">
          <a:extLst xmlns:a="http://schemas.openxmlformats.org/drawingml/2006/main">
            <a:ext uri="{FF2B5EF4-FFF2-40B4-BE49-F238E27FC236}">
              <a16:creationId xmlns:a16="http://schemas.microsoft.com/office/drawing/2014/main" id="{018C79E0-A1FE-833A-17E4-1416A996BA14}"/>
            </a:ext>
          </a:extLst>
        </cdr:cNvPr>
        <cdr:cNvSpPr/>
      </cdr:nvSpPr>
      <cdr:spPr>
        <a:xfrm xmlns:a="http://schemas.openxmlformats.org/drawingml/2006/main">
          <a:off x="4004177" y="1762305"/>
          <a:ext cx="1161184" cy="12010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1184" h="1201062">
              <a:moveTo>
                <a:pt x="45047" y="1135716"/>
              </a:moveTo>
              <a:lnTo>
                <a:pt x="0" y="1182309"/>
              </a:lnTo>
              <a:lnTo>
                <a:pt x="18129" y="1201061"/>
              </a:lnTo>
              <a:lnTo>
                <a:pt x="63176" y="1154468"/>
              </a:lnTo>
              <a:lnTo>
                <a:pt x="170411" y="1043550"/>
              </a:lnTo>
              <a:lnTo>
                <a:pt x="824984" y="366497"/>
              </a:lnTo>
              <a:lnTo>
                <a:pt x="1161183" y="18753"/>
              </a:lnTo>
              <a:lnTo>
                <a:pt x="1143054" y="0"/>
              </a:lnTo>
              <a:lnTo>
                <a:pt x="806855" y="347745"/>
              </a:lnTo>
              <a:lnTo>
                <a:pt x="152282" y="10247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0.78515</cdr:x>
      <cdr:y>0.25605</cdr:y>
    </cdr:from>
    <cdr:to>
      <cdr:x>0.94246</cdr:x>
      <cdr:y>0.41472</cdr:y>
    </cdr:to>
    <cdr:sp macro="" textlink="">
      <cdr:nvSpPr>
        <cdr:cNvPr id="194" name="FracNo 277 StartRow 2287">
          <a:extLst xmlns:a="http://schemas.openxmlformats.org/drawingml/2006/main">
            <a:ext uri="{FF2B5EF4-FFF2-40B4-BE49-F238E27FC236}">
              <a16:creationId xmlns:a16="http://schemas.microsoft.com/office/drawing/2014/main" id="{D765E10D-573C-7384-83DD-1C0D9379EDF1}"/>
            </a:ext>
          </a:extLst>
        </cdr:cNvPr>
        <cdr:cNvSpPr/>
      </cdr:nvSpPr>
      <cdr:spPr>
        <a:xfrm xmlns:a="http://schemas.openxmlformats.org/drawingml/2006/main">
          <a:off x="5743513" y="1951084"/>
          <a:ext cx="1150795" cy="1209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0795" h="1209067">
              <a:moveTo>
                <a:pt x="1071065" y="119970"/>
              </a:moveTo>
              <a:lnTo>
                <a:pt x="360661" y="854771"/>
              </a:lnTo>
              <a:lnTo>
                <a:pt x="18130" y="1209066"/>
              </a:lnTo>
              <a:lnTo>
                <a:pt x="0" y="1190314"/>
              </a:lnTo>
              <a:lnTo>
                <a:pt x="342532" y="836019"/>
              </a:lnTo>
              <a:lnTo>
                <a:pt x="1069235" y="84359"/>
              </a:lnTo>
              <a:lnTo>
                <a:pt x="1150794" y="0"/>
              </a:lnTo>
              <a:lnTo>
                <a:pt x="1150794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0.09349</cdr:x>
      <cdr:y>0.66603</cdr:y>
    </cdr:from>
    <cdr:to>
      <cdr:x>0.25155</cdr:x>
      <cdr:y>0.82299</cdr:y>
    </cdr:to>
    <cdr:sp macro="" textlink="">
      <cdr:nvSpPr>
        <cdr:cNvPr id="195" name="FracNo 1016 StartRow 2298">
          <a:extLst xmlns:a="http://schemas.openxmlformats.org/drawingml/2006/main">
            <a:ext uri="{FF2B5EF4-FFF2-40B4-BE49-F238E27FC236}">
              <a16:creationId xmlns:a16="http://schemas.microsoft.com/office/drawing/2014/main" id="{7224AA1F-ECA6-5A30-8DEB-F673C9FE4E13}"/>
            </a:ext>
          </a:extLst>
        </cdr:cNvPr>
        <cdr:cNvSpPr/>
      </cdr:nvSpPr>
      <cdr:spPr>
        <a:xfrm xmlns:a="http://schemas.openxmlformats.org/drawingml/2006/main">
          <a:off x="683900" y="5075180"/>
          <a:ext cx="1156258" cy="11959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6258" h="1195967">
              <a:moveTo>
                <a:pt x="1149682" y="25552"/>
              </a:moveTo>
              <a:lnTo>
                <a:pt x="18129" y="1195966"/>
              </a:lnTo>
              <a:lnTo>
                <a:pt x="0" y="1177214"/>
              </a:lnTo>
              <a:lnTo>
                <a:pt x="1131553" y="6801"/>
              </a:lnTo>
              <a:lnTo>
                <a:pt x="1138128" y="0"/>
              </a:lnTo>
              <a:lnTo>
                <a:pt x="11562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0.49004</cdr:x>
      <cdr:y>0.19143</cdr:y>
    </cdr:from>
    <cdr:to>
      <cdr:x>0.64797</cdr:x>
      <cdr:y>0.34826</cdr:y>
    </cdr:to>
    <cdr:sp macro="" textlink="">
      <cdr:nvSpPr>
        <cdr:cNvPr id="196" name="FracNo 357 StartRow 2307">
          <a:extLst xmlns:a="http://schemas.openxmlformats.org/drawingml/2006/main">
            <a:ext uri="{FF2B5EF4-FFF2-40B4-BE49-F238E27FC236}">
              <a16:creationId xmlns:a16="http://schemas.microsoft.com/office/drawing/2014/main" id="{0C9A4922-2884-123A-F478-5ADA1B9CCF6B}"/>
            </a:ext>
          </a:extLst>
        </cdr:cNvPr>
        <cdr:cNvSpPr/>
      </cdr:nvSpPr>
      <cdr:spPr>
        <a:xfrm xmlns:a="http://schemas.openxmlformats.org/drawingml/2006/main">
          <a:off x="3584739" y="1458715"/>
          <a:ext cx="1155314" cy="1194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5314" h="1194990">
              <a:moveTo>
                <a:pt x="514107" y="644475"/>
              </a:moveTo>
              <a:lnTo>
                <a:pt x="0" y="1176237"/>
              </a:lnTo>
              <a:lnTo>
                <a:pt x="18129" y="1194989"/>
              </a:lnTo>
              <a:lnTo>
                <a:pt x="532236" y="663227"/>
              </a:lnTo>
              <a:lnTo>
                <a:pt x="1155313" y="18753"/>
              </a:lnTo>
              <a:lnTo>
                <a:pt x="11371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0.4516</cdr:x>
      <cdr:y>0.51383</cdr:y>
    </cdr:from>
    <cdr:to>
      <cdr:x>0.60784</cdr:x>
      <cdr:y>0.66897</cdr:y>
    </cdr:to>
    <cdr:sp macro="" textlink="">
      <cdr:nvSpPr>
        <cdr:cNvPr id="197" name="FracNo 746 StartRow 2316">
          <a:extLst xmlns:a="http://schemas.openxmlformats.org/drawingml/2006/main">
            <a:ext uri="{FF2B5EF4-FFF2-40B4-BE49-F238E27FC236}">
              <a16:creationId xmlns:a16="http://schemas.microsoft.com/office/drawing/2014/main" id="{C4BF100F-09A6-44BC-5629-73560FCA0215}"/>
            </a:ext>
          </a:extLst>
        </cdr:cNvPr>
        <cdr:cNvSpPr/>
      </cdr:nvSpPr>
      <cdr:spPr>
        <a:xfrm xmlns:a="http://schemas.openxmlformats.org/drawingml/2006/main">
          <a:off x="3303525" y="3915381"/>
          <a:ext cx="1142955" cy="1182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2955" h="1182207">
              <a:moveTo>
                <a:pt x="835991" y="336257"/>
              </a:moveTo>
              <a:lnTo>
                <a:pt x="159561" y="1035917"/>
              </a:lnTo>
              <a:lnTo>
                <a:pt x="18130" y="1182206"/>
              </a:lnTo>
              <a:lnTo>
                <a:pt x="0" y="1163454"/>
              </a:lnTo>
              <a:lnTo>
                <a:pt x="141432" y="1017165"/>
              </a:lnTo>
              <a:lnTo>
                <a:pt x="817862" y="317505"/>
              </a:lnTo>
              <a:lnTo>
                <a:pt x="1124825" y="0"/>
              </a:lnTo>
              <a:lnTo>
                <a:pt x="11429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0.7877</cdr:x>
      <cdr:y>0.32975</cdr:y>
    </cdr:from>
    <cdr:to>
      <cdr:x>0.94246</cdr:x>
      <cdr:y>0.48588</cdr:y>
    </cdr:to>
    <cdr:sp macro="" textlink="">
      <cdr:nvSpPr>
        <cdr:cNvPr id="198" name="FracNo 793 StartRow 2327">
          <a:extLst xmlns:a="http://schemas.openxmlformats.org/drawingml/2006/main">
            <a:ext uri="{FF2B5EF4-FFF2-40B4-BE49-F238E27FC236}">
              <a16:creationId xmlns:a16="http://schemas.microsoft.com/office/drawing/2014/main" id="{D2605E06-E3BA-3C00-CC00-9276C730F600}"/>
            </a:ext>
          </a:extLst>
        </cdr:cNvPr>
        <cdr:cNvSpPr/>
      </cdr:nvSpPr>
      <cdr:spPr>
        <a:xfrm xmlns:a="http://schemas.openxmlformats.org/drawingml/2006/main">
          <a:off x="5762202" y="2512659"/>
          <a:ext cx="1132106" cy="1189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2106" h="1189737">
              <a:moveTo>
                <a:pt x="451435" y="704047"/>
              </a:moveTo>
              <a:lnTo>
                <a:pt x="0" y="1170984"/>
              </a:lnTo>
              <a:lnTo>
                <a:pt x="18129" y="1189736"/>
              </a:lnTo>
              <a:lnTo>
                <a:pt x="463746" y="728815"/>
              </a:lnTo>
              <a:lnTo>
                <a:pt x="879282" y="299009"/>
              </a:lnTo>
              <a:lnTo>
                <a:pt x="1132105" y="37504"/>
              </a:lnTo>
              <a:lnTo>
                <a:pt x="1132105" y="0"/>
              </a:lnTo>
              <a:lnTo>
                <a:pt x="872394" y="2686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0.52949</cdr:x>
      <cdr:y>0.37724</cdr:y>
    </cdr:from>
    <cdr:to>
      <cdr:x>0.68532</cdr:x>
      <cdr:y>0.53197</cdr:y>
    </cdr:to>
    <cdr:sp macro="" textlink="">
      <cdr:nvSpPr>
        <cdr:cNvPr id="199" name="FracNo 903 StartRow 2338">
          <a:extLst xmlns:a="http://schemas.openxmlformats.org/drawingml/2006/main">
            <a:ext uri="{FF2B5EF4-FFF2-40B4-BE49-F238E27FC236}">
              <a16:creationId xmlns:a16="http://schemas.microsoft.com/office/drawing/2014/main" id="{457AB3DA-F487-73EF-7858-3C8AEBC9F82E}"/>
            </a:ext>
          </a:extLst>
        </cdr:cNvPr>
        <cdr:cNvSpPr/>
      </cdr:nvSpPr>
      <cdr:spPr>
        <a:xfrm xmlns:a="http://schemas.openxmlformats.org/drawingml/2006/main">
          <a:off x="3873289" y="2874553"/>
          <a:ext cx="1139935" cy="11790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9935" h="1179082">
              <a:moveTo>
                <a:pt x="163697" y="1028515"/>
              </a:moveTo>
              <a:lnTo>
                <a:pt x="18130" y="1179081"/>
              </a:lnTo>
              <a:lnTo>
                <a:pt x="0" y="1160329"/>
              </a:lnTo>
              <a:lnTo>
                <a:pt x="145568" y="1009763"/>
              </a:lnTo>
              <a:lnTo>
                <a:pt x="937743" y="190382"/>
              </a:lnTo>
              <a:lnTo>
                <a:pt x="1121805" y="0"/>
              </a:lnTo>
              <a:lnTo>
                <a:pt x="1139934" y="18752"/>
              </a:lnTo>
              <a:lnTo>
                <a:pt x="955872" y="2091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0.30777</cdr:x>
      <cdr:y>0.53963</cdr:y>
    </cdr:from>
    <cdr:to>
      <cdr:x>0.46274</cdr:x>
      <cdr:y>0.69351</cdr:y>
    </cdr:to>
    <cdr:sp macro="" textlink="">
      <cdr:nvSpPr>
        <cdr:cNvPr id="200" name="FracNo 34 StartRow 2349">
          <a:extLst xmlns:a="http://schemas.openxmlformats.org/drawingml/2006/main">
            <a:ext uri="{FF2B5EF4-FFF2-40B4-BE49-F238E27FC236}">
              <a16:creationId xmlns:a16="http://schemas.microsoft.com/office/drawing/2014/main" id="{E0C3BF1B-1CD1-DD77-9166-458FAAFB83BC}"/>
            </a:ext>
          </a:extLst>
        </cdr:cNvPr>
        <cdr:cNvSpPr/>
      </cdr:nvSpPr>
      <cdr:spPr>
        <a:xfrm xmlns:a="http://schemas.openxmlformats.org/drawingml/2006/main">
          <a:off x="2251392" y="4111977"/>
          <a:ext cx="1133635" cy="1172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3635" h="1172566">
              <a:moveTo>
                <a:pt x="223556" y="960084"/>
              </a:moveTo>
              <a:lnTo>
                <a:pt x="18129" y="1172565"/>
              </a:lnTo>
              <a:lnTo>
                <a:pt x="0" y="1153813"/>
              </a:lnTo>
              <a:lnTo>
                <a:pt x="205427" y="941332"/>
              </a:lnTo>
              <a:lnTo>
                <a:pt x="322180" y="820569"/>
              </a:lnTo>
              <a:lnTo>
                <a:pt x="485430" y="651713"/>
              </a:lnTo>
              <a:lnTo>
                <a:pt x="1115505" y="0"/>
              </a:lnTo>
              <a:lnTo>
                <a:pt x="1133634" y="18751"/>
              </a:lnTo>
              <a:lnTo>
                <a:pt x="503559" y="670465"/>
              </a:lnTo>
              <a:lnTo>
                <a:pt x="340309" y="8393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0.41018</cdr:x>
      <cdr:y>0.08544</cdr:y>
    </cdr:from>
    <cdr:to>
      <cdr:x>0.5656</cdr:x>
      <cdr:y>0.23731</cdr:y>
    </cdr:to>
    <cdr:sp macro="" textlink="">
      <cdr:nvSpPr>
        <cdr:cNvPr id="201" name="FracNo 828 StartRow 2362">
          <a:extLst xmlns:a="http://schemas.openxmlformats.org/drawingml/2006/main">
            <a:ext uri="{FF2B5EF4-FFF2-40B4-BE49-F238E27FC236}">
              <a16:creationId xmlns:a16="http://schemas.microsoft.com/office/drawing/2014/main" id="{145AB1C5-5510-502B-681A-803E7F79DDD6}"/>
            </a:ext>
          </a:extLst>
        </cdr:cNvPr>
        <cdr:cNvSpPr/>
      </cdr:nvSpPr>
      <cdr:spPr>
        <a:xfrm xmlns:a="http://schemas.openxmlformats.org/drawingml/2006/main">
          <a:off x="3000514" y="651036"/>
          <a:ext cx="1136949" cy="11572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6949" h="1157243">
              <a:moveTo>
                <a:pt x="1007997" y="133380"/>
              </a:moveTo>
              <a:lnTo>
                <a:pt x="18129" y="1157242"/>
              </a:lnTo>
              <a:lnTo>
                <a:pt x="0" y="1138490"/>
              </a:lnTo>
              <a:lnTo>
                <a:pt x="973828" y="131218"/>
              </a:lnTo>
              <a:lnTo>
                <a:pt x="1100690" y="0"/>
              </a:lnTo>
              <a:lnTo>
                <a:pt x="11369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0.29331</cdr:x>
      <cdr:y>0.08544</cdr:y>
    </cdr:from>
    <cdr:to>
      <cdr:x>0.44833</cdr:x>
      <cdr:y>0.2369</cdr:y>
    </cdr:to>
    <cdr:sp macro="" textlink="">
      <cdr:nvSpPr>
        <cdr:cNvPr id="202" name="FracNo 832 StartRow 2371">
          <a:extLst xmlns:a="http://schemas.openxmlformats.org/drawingml/2006/main">
            <a:ext uri="{FF2B5EF4-FFF2-40B4-BE49-F238E27FC236}">
              <a16:creationId xmlns:a16="http://schemas.microsoft.com/office/drawing/2014/main" id="{3DD47762-0443-2BE8-BF79-C534D74D52AC}"/>
            </a:ext>
          </a:extLst>
        </cdr:cNvPr>
        <cdr:cNvSpPr/>
      </cdr:nvSpPr>
      <cdr:spPr>
        <a:xfrm xmlns:a="http://schemas.openxmlformats.org/drawingml/2006/main">
          <a:off x="2145633" y="651036"/>
          <a:ext cx="1133982" cy="1154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3982" h="1154173">
              <a:moveTo>
                <a:pt x="79304" y="1053392"/>
              </a:moveTo>
              <a:lnTo>
                <a:pt x="0" y="1135420"/>
              </a:lnTo>
              <a:lnTo>
                <a:pt x="18129" y="1154172"/>
              </a:lnTo>
              <a:lnTo>
                <a:pt x="98654" y="1070882"/>
              </a:lnTo>
              <a:lnTo>
                <a:pt x="613831" y="538012"/>
              </a:lnTo>
              <a:lnTo>
                <a:pt x="1133981" y="0"/>
              </a:lnTo>
              <a:lnTo>
                <a:pt x="1097722" y="0"/>
              </a:lnTo>
              <a:lnTo>
                <a:pt x="586676" y="5285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0.79167</cdr:x>
      <cdr:y>0.33763</cdr:y>
    </cdr:from>
    <cdr:to>
      <cdr:x>0.94246</cdr:x>
      <cdr:y>0.48982</cdr:y>
    </cdr:to>
    <cdr:sp macro="" textlink="">
      <cdr:nvSpPr>
        <cdr:cNvPr id="203" name="FracNo 267 StartRow 2382">
          <a:extLst xmlns:a="http://schemas.openxmlformats.org/drawingml/2006/main">
            <a:ext uri="{FF2B5EF4-FFF2-40B4-BE49-F238E27FC236}">
              <a16:creationId xmlns:a16="http://schemas.microsoft.com/office/drawing/2014/main" id="{43207568-9F2A-5FE2-7193-E0F4B5972508}"/>
            </a:ext>
          </a:extLst>
        </cdr:cNvPr>
        <cdr:cNvSpPr/>
      </cdr:nvSpPr>
      <cdr:spPr>
        <a:xfrm xmlns:a="http://schemas.openxmlformats.org/drawingml/2006/main">
          <a:off x="5791255" y="2572760"/>
          <a:ext cx="1103053" cy="11596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3053" h="1159686">
              <a:moveTo>
                <a:pt x="971095" y="136490"/>
              </a:moveTo>
              <a:lnTo>
                <a:pt x="895826" y="214343"/>
              </a:lnTo>
              <a:lnTo>
                <a:pt x="0" y="1140933"/>
              </a:lnTo>
              <a:lnTo>
                <a:pt x="18129" y="1159685"/>
              </a:lnTo>
              <a:lnTo>
                <a:pt x="913955" y="233095"/>
              </a:lnTo>
              <a:lnTo>
                <a:pt x="982639" y="162053"/>
              </a:lnTo>
              <a:lnTo>
                <a:pt x="1103052" y="37504"/>
              </a:lnTo>
              <a:lnTo>
                <a:pt x="11030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0.79192</cdr:x>
      <cdr:y>0.38458</cdr:y>
    </cdr:from>
    <cdr:to>
      <cdr:x>0.94246</cdr:x>
      <cdr:y>0.53653</cdr:y>
    </cdr:to>
    <cdr:sp macro="" textlink="">
      <cdr:nvSpPr>
        <cdr:cNvPr id="204" name="FracNo 589 StartRow 2393">
          <a:extLst xmlns:a="http://schemas.openxmlformats.org/drawingml/2006/main">
            <a:ext uri="{FF2B5EF4-FFF2-40B4-BE49-F238E27FC236}">
              <a16:creationId xmlns:a16="http://schemas.microsoft.com/office/drawing/2014/main" id="{774E3867-8B86-6182-90A9-E8C68B12BD1E}"/>
            </a:ext>
          </a:extLst>
        </cdr:cNvPr>
        <cdr:cNvSpPr/>
      </cdr:nvSpPr>
      <cdr:spPr>
        <a:xfrm xmlns:a="http://schemas.openxmlformats.org/drawingml/2006/main">
          <a:off x="5793046" y="2930534"/>
          <a:ext cx="1101262" cy="11578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1262" h="1157834">
              <a:moveTo>
                <a:pt x="303314" y="825351"/>
              </a:moveTo>
              <a:lnTo>
                <a:pt x="0" y="1139082"/>
              </a:lnTo>
              <a:lnTo>
                <a:pt x="18129" y="1157833"/>
              </a:lnTo>
              <a:lnTo>
                <a:pt x="316450" y="849268"/>
              </a:lnTo>
              <a:lnTo>
                <a:pt x="1101261" y="37504"/>
              </a:lnTo>
              <a:lnTo>
                <a:pt x="11012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0.79084</cdr:x>
      <cdr:y>0.77955</cdr:y>
    </cdr:from>
    <cdr:to>
      <cdr:x>0.94246</cdr:x>
      <cdr:y>0.9301</cdr:y>
    </cdr:to>
    <cdr:sp macro="" textlink="">
      <cdr:nvSpPr>
        <cdr:cNvPr id="205" name="FracNo 972 StartRow 2402">
          <a:extLst xmlns:a="http://schemas.openxmlformats.org/drawingml/2006/main">
            <a:ext uri="{FF2B5EF4-FFF2-40B4-BE49-F238E27FC236}">
              <a16:creationId xmlns:a16="http://schemas.microsoft.com/office/drawing/2014/main" id="{CE6866DA-7773-5058-6B4D-0C0EBF72D14F}"/>
            </a:ext>
          </a:extLst>
        </cdr:cNvPr>
        <cdr:cNvSpPr/>
      </cdr:nvSpPr>
      <cdr:spPr>
        <a:xfrm xmlns:a="http://schemas.openxmlformats.org/drawingml/2006/main">
          <a:off x="5785175" y="5940143"/>
          <a:ext cx="1109133" cy="11472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9133" h="1147223">
              <a:moveTo>
                <a:pt x="521503" y="645313"/>
              </a:moveTo>
              <a:lnTo>
                <a:pt x="36258" y="1147222"/>
              </a:lnTo>
              <a:lnTo>
                <a:pt x="0" y="1147222"/>
              </a:lnTo>
              <a:lnTo>
                <a:pt x="501644" y="628351"/>
              </a:lnTo>
              <a:lnTo>
                <a:pt x="1109132" y="0"/>
              </a:lnTo>
              <a:lnTo>
                <a:pt x="110913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0.20879</cdr:x>
      <cdr:y>0.78116</cdr:y>
    </cdr:from>
    <cdr:to>
      <cdr:x>0.36126</cdr:x>
      <cdr:y>0.9301</cdr:y>
    </cdr:to>
    <cdr:sp macro="" textlink="">
      <cdr:nvSpPr>
        <cdr:cNvPr id="206" name="FracNo 994 StartRow 2411">
          <a:extLst xmlns:a="http://schemas.openxmlformats.org/drawingml/2006/main">
            <a:ext uri="{FF2B5EF4-FFF2-40B4-BE49-F238E27FC236}">
              <a16:creationId xmlns:a16="http://schemas.microsoft.com/office/drawing/2014/main" id="{06F80E66-23AB-84BD-92CD-6F1943499BE6}"/>
            </a:ext>
          </a:extLst>
        </cdr:cNvPr>
        <cdr:cNvSpPr/>
      </cdr:nvSpPr>
      <cdr:spPr>
        <a:xfrm xmlns:a="http://schemas.openxmlformats.org/drawingml/2006/main">
          <a:off x="1527342" y="5952476"/>
          <a:ext cx="1115338" cy="11348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5338" h="1134890">
              <a:moveTo>
                <a:pt x="762925" y="345763"/>
              </a:moveTo>
              <a:lnTo>
                <a:pt x="0" y="1134889"/>
              </a:lnTo>
              <a:lnTo>
                <a:pt x="36258" y="1134889"/>
              </a:lnTo>
              <a:lnTo>
                <a:pt x="786578" y="358802"/>
              </a:lnTo>
              <a:lnTo>
                <a:pt x="1115337" y="18752"/>
              </a:lnTo>
              <a:lnTo>
                <a:pt x="10972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0.17825</cdr:x>
      <cdr:y>0.08544</cdr:y>
    </cdr:from>
    <cdr:to>
      <cdr:x>0.33051</cdr:x>
      <cdr:y>0.23417</cdr:y>
    </cdr:to>
    <cdr:sp macro="" textlink="">
      <cdr:nvSpPr>
        <cdr:cNvPr id="207" name="FracNo 982 StartRow 2420">
          <a:extLst xmlns:a="http://schemas.openxmlformats.org/drawingml/2006/main">
            <a:ext uri="{FF2B5EF4-FFF2-40B4-BE49-F238E27FC236}">
              <a16:creationId xmlns:a16="http://schemas.microsoft.com/office/drawing/2014/main" id="{43C363B0-7502-D40D-0E44-98F5FE0B520B}"/>
            </a:ext>
          </a:extLst>
        </cdr:cNvPr>
        <cdr:cNvSpPr/>
      </cdr:nvSpPr>
      <cdr:spPr>
        <a:xfrm xmlns:a="http://schemas.openxmlformats.org/drawingml/2006/main">
          <a:off x="1303908" y="651036"/>
          <a:ext cx="1113817" cy="11333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3817" h="1133316">
              <a:moveTo>
                <a:pt x="1047775" y="68309"/>
              </a:moveTo>
              <a:lnTo>
                <a:pt x="18129" y="1133315"/>
              </a:lnTo>
              <a:lnTo>
                <a:pt x="0" y="1114563"/>
              </a:lnTo>
              <a:lnTo>
                <a:pt x="1012610" y="67178"/>
              </a:lnTo>
              <a:lnTo>
                <a:pt x="1077557" y="0"/>
              </a:lnTo>
              <a:lnTo>
                <a:pt x="11138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0.44088</cdr:x>
      <cdr:y>0.65426</cdr:y>
    </cdr:from>
    <cdr:to>
      <cdr:x>0.59178</cdr:x>
      <cdr:y>0.8041</cdr:y>
    </cdr:to>
    <cdr:sp macro="" textlink="">
      <cdr:nvSpPr>
        <cdr:cNvPr id="208" name="FracNo 754 StartRow 2429">
          <a:extLst xmlns:a="http://schemas.openxmlformats.org/drawingml/2006/main">
            <a:ext uri="{FF2B5EF4-FFF2-40B4-BE49-F238E27FC236}">
              <a16:creationId xmlns:a16="http://schemas.microsoft.com/office/drawing/2014/main" id="{F0EB74FC-8665-C683-5F5B-6380CE3BAE29}"/>
            </a:ext>
          </a:extLst>
        </cdr:cNvPr>
        <cdr:cNvSpPr/>
      </cdr:nvSpPr>
      <cdr:spPr>
        <a:xfrm xmlns:a="http://schemas.openxmlformats.org/drawingml/2006/main">
          <a:off x="3225120" y="4985433"/>
          <a:ext cx="1103876" cy="11417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3876" h="1141785">
              <a:moveTo>
                <a:pt x="31254" y="1090704"/>
              </a:moveTo>
              <a:lnTo>
                <a:pt x="0" y="1123033"/>
              </a:lnTo>
              <a:lnTo>
                <a:pt x="18129" y="1141784"/>
              </a:lnTo>
              <a:lnTo>
                <a:pt x="49383" y="1109456"/>
              </a:lnTo>
              <a:lnTo>
                <a:pt x="1103875" y="18751"/>
              </a:lnTo>
              <a:lnTo>
                <a:pt x="10857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0.34937</cdr:x>
      <cdr:y>0.7815</cdr:y>
    </cdr:from>
    <cdr:to>
      <cdr:x>0.50151</cdr:x>
      <cdr:y>0.9301</cdr:y>
    </cdr:to>
    <cdr:sp macro="" textlink="">
      <cdr:nvSpPr>
        <cdr:cNvPr id="209" name="FracNo 1017 StartRow 2438">
          <a:extLst xmlns:a="http://schemas.openxmlformats.org/drawingml/2006/main">
            <a:ext uri="{FF2B5EF4-FFF2-40B4-BE49-F238E27FC236}">
              <a16:creationId xmlns:a16="http://schemas.microsoft.com/office/drawing/2014/main" id="{B2C9532C-5BB3-A07D-DB5F-AA054E29F3F0}"/>
            </a:ext>
          </a:extLst>
        </cdr:cNvPr>
        <cdr:cNvSpPr/>
      </cdr:nvSpPr>
      <cdr:spPr>
        <a:xfrm xmlns:a="http://schemas.openxmlformats.org/drawingml/2006/main">
          <a:off x="2555729" y="5954993"/>
          <a:ext cx="1112905" cy="1132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2905" h="1132373">
              <a:moveTo>
                <a:pt x="673900" y="472832"/>
              </a:moveTo>
              <a:lnTo>
                <a:pt x="205863" y="956942"/>
              </a:lnTo>
              <a:lnTo>
                <a:pt x="36258" y="1132372"/>
              </a:lnTo>
              <a:lnTo>
                <a:pt x="0" y="1132372"/>
              </a:lnTo>
              <a:lnTo>
                <a:pt x="174451" y="951930"/>
              </a:lnTo>
              <a:lnTo>
                <a:pt x="649342" y="460730"/>
              </a:lnTo>
              <a:lnTo>
                <a:pt x="1094775" y="0"/>
              </a:lnTo>
              <a:lnTo>
                <a:pt x="11129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0.7032</cdr:x>
      <cdr:y>0.08544</cdr:y>
    </cdr:from>
    <cdr:to>
      <cdr:x>0.85459</cdr:x>
      <cdr:y>0.2333</cdr:y>
    </cdr:to>
    <cdr:sp macro="" textlink="">
      <cdr:nvSpPr>
        <cdr:cNvPr id="210" name="FracNo 275 StartRow 2449">
          <a:extLst xmlns:a="http://schemas.openxmlformats.org/drawingml/2006/main">
            <a:ext uri="{FF2B5EF4-FFF2-40B4-BE49-F238E27FC236}">
              <a16:creationId xmlns:a16="http://schemas.microsoft.com/office/drawing/2014/main" id="{A1B21CBE-528E-22B4-F2D6-95F6DDF6429E}"/>
            </a:ext>
          </a:extLst>
        </cdr:cNvPr>
        <cdr:cNvSpPr/>
      </cdr:nvSpPr>
      <cdr:spPr>
        <a:xfrm xmlns:a="http://schemas.openxmlformats.org/drawingml/2006/main">
          <a:off x="5144045" y="651036"/>
          <a:ext cx="1107446" cy="11267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7446" h="1126726">
              <a:moveTo>
                <a:pt x="546350" y="580364"/>
              </a:moveTo>
              <a:lnTo>
                <a:pt x="18129" y="1126725"/>
              </a:lnTo>
              <a:lnTo>
                <a:pt x="0" y="1107973"/>
              </a:lnTo>
              <a:lnTo>
                <a:pt x="519429" y="570706"/>
              </a:lnTo>
              <a:lnTo>
                <a:pt x="1071187" y="0"/>
              </a:lnTo>
              <a:lnTo>
                <a:pt x="11074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0.56912</cdr:x>
      <cdr:y>0.68309</cdr:y>
    </cdr:from>
    <cdr:to>
      <cdr:x>0.71891</cdr:x>
      <cdr:y>0.83182</cdr:y>
    </cdr:to>
    <cdr:sp macro="" textlink="">
      <cdr:nvSpPr>
        <cdr:cNvPr id="211" name="FracNo 808 StartRow 2458">
          <a:extLst xmlns:a="http://schemas.openxmlformats.org/drawingml/2006/main">
            <a:ext uri="{FF2B5EF4-FFF2-40B4-BE49-F238E27FC236}">
              <a16:creationId xmlns:a16="http://schemas.microsoft.com/office/drawing/2014/main" id="{F4ECEF3A-6499-167B-9A56-350F1F772EC3}"/>
            </a:ext>
          </a:extLst>
        </cdr:cNvPr>
        <cdr:cNvSpPr/>
      </cdr:nvSpPr>
      <cdr:spPr>
        <a:xfrm xmlns:a="http://schemas.openxmlformats.org/drawingml/2006/main">
          <a:off x="4163242" y="5205131"/>
          <a:ext cx="1095712" cy="11333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5712" h="1133341">
              <a:moveTo>
                <a:pt x="857102" y="265556"/>
              </a:moveTo>
              <a:lnTo>
                <a:pt x="665919" y="463303"/>
              </a:lnTo>
              <a:lnTo>
                <a:pt x="18129" y="1133340"/>
              </a:lnTo>
              <a:lnTo>
                <a:pt x="0" y="1114588"/>
              </a:lnTo>
              <a:lnTo>
                <a:pt x="647790" y="444551"/>
              </a:lnTo>
              <a:lnTo>
                <a:pt x="838972" y="246804"/>
              </a:lnTo>
              <a:lnTo>
                <a:pt x="1077582" y="0"/>
              </a:lnTo>
              <a:lnTo>
                <a:pt x="10957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0.61989</cdr:y>
    </cdr:from>
    <cdr:to>
      <cdr:x>0.23893</cdr:x>
      <cdr:y>0.76843</cdr:y>
    </cdr:to>
    <cdr:sp macro="" textlink="">
      <cdr:nvSpPr>
        <cdr:cNvPr id="212" name="FracNo 837 StartRow 2469">
          <a:extLst xmlns:a="http://schemas.openxmlformats.org/drawingml/2006/main">
            <a:ext uri="{FF2B5EF4-FFF2-40B4-BE49-F238E27FC236}">
              <a16:creationId xmlns:a16="http://schemas.microsoft.com/office/drawing/2014/main" id="{AA90221E-E91F-80AC-187A-872C929EDB71}"/>
            </a:ext>
          </a:extLst>
        </cdr:cNvPr>
        <cdr:cNvSpPr/>
      </cdr:nvSpPr>
      <cdr:spPr>
        <a:xfrm xmlns:a="http://schemas.openxmlformats.org/drawingml/2006/main">
          <a:off x="671676" y="4723583"/>
          <a:ext cx="1076138" cy="1131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6138" h="1131847">
              <a:moveTo>
                <a:pt x="866521" y="198064"/>
              </a:moveTo>
              <a:lnTo>
                <a:pt x="856091" y="208852"/>
              </a:lnTo>
              <a:lnTo>
                <a:pt x="0" y="1094343"/>
              </a:lnTo>
              <a:lnTo>
                <a:pt x="0" y="1131846"/>
              </a:lnTo>
              <a:lnTo>
                <a:pt x="874005" y="227827"/>
              </a:lnTo>
              <a:lnTo>
                <a:pt x="884445" y="217028"/>
              </a:lnTo>
              <a:lnTo>
                <a:pt x="1076137" y="18752"/>
              </a:lnTo>
              <a:lnTo>
                <a:pt x="10580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0.72205</cdr:x>
      <cdr:y>0.67706</cdr:y>
    </cdr:from>
    <cdr:to>
      <cdr:x>0.86959</cdr:x>
      <cdr:y>0.82356</cdr:y>
    </cdr:to>
    <cdr:sp macro="" textlink="">
      <cdr:nvSpPr>
        <cdr:cNvPr id="213" name="FracNo 813 StartRow 2480">
          <a:extLst xmlns:a="http://schemas.openxmlformats.org/drawingml/2006/main">
            <a:ext uri="{FF2B5EF4-FFF2-40B4-BE49-F238E27FC236}">
              <a16:creationId xmlns:a16="http://schemas.microsoft.com/office/drawing/2014/main" id="{D7D31253-3D8E-F801-D4A7-29A80D97FDE6}"/>
            </a:ext>
          </a:extLst>
        </cdr:cNvPr>
        <cdr:cNvSpPr/>
      </cdr:nvSpPr>
      <cdr:spPr>
        <a:xfrm xmlns:a="http://schemas.openxmlformats.org/drawingml/2006/main">
          <a:off x="5281963" y="5159208"/>
          <a:ext cx="1079288" cy="11163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9288" h="1116353">
              <a:moveTo>
                <a:pt x="164560" y="964892"/>
              </a:moveTo>
              <a:lnTo>
                <a:pt x="18129" y="1116352"/>
              </a:lnTo>
              <a:lnTo>
                <a:pt x="0" y="1097600"/>
              </a:lnTo>
              <a:lnTo>
                <a:pt x="146431" y="946140"/>
              </a:lnTo>
              <a:lnTo>
                <a:pt x="1061157" y="0"/>
              </a:lnTo>
              <a:lnTo>
                <a:pt x="10792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0.70842</cdr:x>
      <cdr:y>0.78507</cdr:y>
    </cdr:from>
    <cdr:to>
      <cdr:x>0.85696</cdr:x>
      <cdr:y>0.9301</cdr:y>
    </cdr:to>
    <cdr:sp macro="" textlink="">
      <cdr:nvSpPr>
        <cdr:cNvPr id="214" name="FracNo 508 StartRow 2489">
          <a:extLst xmlns:a="http://schemas.openxmlformats.org/drawingml/2006/main">
            <a:ext uri="{FF2B5EF4-FFF2-40B4-BE49-F238E27FC236}">
              <a16:creationId xmlns:a16="http://schemas.microsoft.com/office/drawing/2014/main" id="{DF1C252C-F844-B474-A03E-40FE389CE906}"/>
            </a:ext>
          </a:extLst>
        </cdr:cNvPr>
        <cdr:cNvSpPr/>
      </cdr:nvSpPr>
      <cdr:spPr>
        <a:xfrm xmlns:a="http://schemas.openxmlformats.org/drawingml/2006/main">
          <a:off x="5182247" y="5982244"/>
          <a:ext cx="1086560" cy="1105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6560" h="1105122">
              <a:moveTo>
                <a:pt x="1015903" y="91834"/>
              </a:moveTo>
              <a:lnTo>
                <a:pt x="36259" y="1105121"/>
              </a:lnTo>
              <a:lnTo>
                <a:pt x="0" y="1105121"/>
              </a:lnTo>
              <a:lnTo>
                <a:pt x="996554" y="74344"/>
              </a:lnTo>
              <a:lnTo>
                <a:pt x="1068430" y="0"/>
              </a:lnTo>
              <a:lnTo>
                <a:pt x="10865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0.70007</cdr:x>
      <cdr:y>0.08544</cdr:y>
    </cdr:from>
    <cdr:to>
      <cdr:x>0.84833</cdr:x>
      <cdr:y>0.23019</cdr:y>
    </cdr:to>
    <cdr:sp macro="" textlink="">
      <cdr:nvSpPr>
        <cdr:cNvPr id="215" name="FracNo 739 StartRow 2498">
          <a:extLst xmlns:a="http://schemas.openxmlformats.org/drawingml/2006/main">
            <a:ext uri="{FF2B5EF4-FFF2-40B4-BE49-F238E27FC236}">
              <a16:creationId xmlns:a16="http://schemas.microsoft.com/office/drawing/2014/main" id="{791F8435-5F84-5E8C-5AA7-38750CA31D73}"/>
            </a:ext>
          </a:extLst>
        </cdr:cNvPr>
        <cdr:cNvSpPr/>
      </cdr:nvSpPr>
      <cdr:spPr>
        <a:xfrm xmlns:a="http://schemas.openxmlformats.org/drawingml/2006/main">
          <a:off x="5121154" y="651036"/>
          <a:ext cx="1084555" cy="1103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4555" h="1103049">
              <a:moveTo>
                <a:pt x="528299" y="575358"/>
              </a:moveTo>
              <a:lnTo>
                <a:pt x="18129" y="1103048"/>
              </a:lnTo>
              <a:lnTo>
                <a:pt x="0" y="1084296"/>
              </a:lnTo>
              <a:lnTo>
                <a:pt x="501497" y="565576"/>
              </a:lnTo>
              <a:lnTo>
                <a:pt x="1048295" y="0"/>
              </a:lnTo>
              <a:lnTo>
                <a:pt x="10845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0.67932</cdr:x>
      <cdr:y>0.22818</cdr:y>
    </cdr:from>
    <cdr:to>
      <cdr:x>0.82577</cdr:x>
      <cdr:y>0.3736</cdr:y>
    </cdr:to>
    <cdr:sp macro="" textlink="">
      <cdr:nvSpPr>
        <cdr:cNvPr id="216" name="FracNo 263 StartRow 2507">
          <a:extLst xmlns:a="http://schemas.openxmlformats.org/drawingml/2006/main">
            <a:ext uri="{FF2B5EF4-FFF2-40B4-BE49-F238E27FC236}">
              <a16:creationId xmlns:a16="http://schemas.microsoft.com/office/drawing/2014/main" id="{ED9569A7-802F-1BA3-02D7-CD6E1FA5E411}"/>
            </a:ext>
          </a:extLst>
        </cdr:cNvPr>
        <cdr:cNvSpPr/>
      </cdr:nvSpPr>
      <cdr:spPr>
        <a:xfrm xmlns:a="http://schemas.openxmlformats.org/drawingml/2006/main">
          <a:off x="4969333" y="1738742"/>
          <a:ext cx="1071324" cy="11081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1324" h="1108115">
              <a:moveTo>
                <a:pt x="314737" y="763817"/>
              </a:moveTo>
              <a:lnTo>
                <a:pt x="39640" y="1048361"/>
              </a:lnTo>
              <a:lnTo>
                <a:pt x="0" y="1089362"/>
              </a:lnTo>
              <a:lnTo>
                <a:pt x="18129" y="1108114"/>
              </a:lnTo>
              <a:lnTo>
                <a:pt x="57769" y="1067113"/>
              </a:lnTo>
              <a:lnTo>
                <a:pt x="332866" y="782569"/>
              </a:lnTo>
              <a:lnTo>
                <a:pt x="1071323" y="18751"/>
              </a:lnTo>
              <a:lnTo>
                <a:pt x="10531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0.79722</cdr:x>
      <cdr:y>0.78587</cdr:y>
    </cdr:from>
    <cdr:to>
      <cdr:x>0.94246</cdr:x>
      <cdr:y>0.9301</cdr:y>
    </cdr:to>
    <cdr:sp macro="" textlink="">
      <cdr:nvSpPr>
        <cdr:cNvPr id="217" name="FracNo 514 StartRow 2518">
          <a:extLst xmlns:a="http://schemas.openxmlformats.org/drawingml/2006/main">
            <a:ext uri="{FF2B5EF4-FFF2-40B4-BE49-F238E27FC236}">
              <a16:creationId xmlns:a16="http://schemas.microsoft.com/office/drawing/2014/main" id="{68E3F968-FC13-98D6-2F12-55CA44B1B870}"/>
            </a:ext>
          </a:extLst>
        </cdr:cNvPr>
        <cdr:cNvSpPr/>
      </cdr:nvSpPr>
      <cdr:spPr>
        <a:xfrm xmlns:a="http://schemas.openxmlformats.org/drawingml/2006/main">
          <a:off x="5831791" y="5988360"/>
          <a:ext cx="1062517" cy="10990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2517" h="1099006">
              <a:moveTo>
                <a:pt x="855987" y="251126"/>
              </a:moveTo>
              <a:lnTo>
                <a:pt x="36259" y="1099005"/>
              </a:lnTo>
              <a:lnTo>
                <a:pt x="0" y="1099005"/>
              </a:lnTo>
              <a:lnTo>
                <a:pt x="848690" y="221170"/>
              </a:lnTo>
              <a:lnTo>
                <a:pt x="1062516" y="0"/>
              </a:lnTo>
              <a:lnTo>
                <a:pt x="106251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0.56631</cdr:x>
      <cdr:y>0.68539</cdr:y>
    </cdr:from>
    <cdr:to>
      <cdr:x>0.71097</cdr:x>
      <cdr:y>0.82903</cdr:y>
    </cdr:to>
    <cdr:sp macro="" textlink="">
      <cdr:nvSpPr>
        <cdr:cNvPr id="218" name="FracNo 1026 StartRow 2527">
          <a:extLst xmlns:a="http://schemas.openxmlformats.org/drawingml/2006/main">
            <a:ext uri="{FF2B5EF4-FFF2-40B4-BE49-F238E27FC236}">
              <a16:creationId xmlns:a16="http://schemas.microsoft.com/office/drawing/2014/main" id="{8AC442F2-8643-D6A4-BFB0-C9949C4F536C}"/>
            </a:ext>
          </a:extLst>
        </cdr:cNvPr>
        <cdr:cNvSpPr/>
      </cdr:nvSpPr>
      <cdr:spPr>
        <a:xfrm xmlns:a="http://schemas.openxmlformats.org/drawingml/2006/main">
          <a:off x="4142682" y="5222695"/>
          <a:ext cx="1058171" cy="1094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8171" h="1094511">
              <a:moveTo>
                <a:pt x="956334" y="124086"/>
              </a:moveTo>
              <a:lnTo>
                <a:pt x="686479" y="403207"/>
              </a:lnTo>
              <a:lnTo>
                <a:pt x="18129" y="1094510"/>
              </a:lnTo>
              <a:lnTo>
                <a:pt x="0" y="1075758"/>
              </a:lnTo>
              <a:lnTo>
                <a:pt x="668350" y="384455"/>
              </a:lnTo>
              <a:lnTo>
                <a:pt x="938204" y="105334"/>
              </a:lnTo>
              <a:lnTo>
                <a:pt x="1040040" y="0"/>
              </a:lnTo>
              <a:lnTo>
                <a:pt x="10581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0.64775</cdr:x>
      <cdr:y>0.48551</cdr:y>
    </cdr:from>
    <cdr:to>
      <cdr:x>0.79229</cdr:x>
      <cdr:y>0.62902</cdr:y>
    </cdr:to>
    <cdr:sp macro="" textlink="">
      <cdr:nvSpPr>
        <cdr:cNvPr id="219" name="FracNo 587 StartRow 2538">
          <a:extLst xmlns:a="http://schemas.openxmlformats.org/drawingml/2006/main">
            <a:ext uri="{FF2B5EF4-FFF2-40B4-BE49-F238E27FC236}">
              <a16:creationId xmlns:a16="http://schemas.microsoft.com/office/drawing/2014/main" id="{175E6594-C121-E6DE-C976-6FBE80D8F072}"/>
            </a:ext>
          </a:extLst>
        </cdr:cNvPr>
        <cdr:cNvSpPr/>
      </cdr:nvSpPr>
      <cdr:spPr>
        <a:xfrm xmlns:a="http://schemas.openxmlformats.org/drawingml/2006/main">
          <a:off x="4738444" y="3699571"/>
          <a:ext cx="1057287" cy="10935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7287" h="1093597">
              <a:moveTo>
                <a:pt x="574691" y="480417"/>
              </a:moveTo>
              <a:lnTo>
                <a:pt x="72588" y="999763"/>
              </a:lnTo>
              <a:lnTo>
                <a:pt x="0" y="1074844"/>
              </a:lnTo>
              <a:lnTo>
                <a:pt x="18129" y="1093596"/>
              </a:lnTo>
              <a:lnTo>
                <a:pt x="90717" y="1018515"/>
              </a:lnTo>
              <a:lnTo>
                <a:pt x="592820" y="499169"/>
              </a:lnTo>
              <a:lnTo>
                <a:pt x="1057286" y="18752"/>
              </a:lnTo>
              <a:lnTo>
                <a:pt x="10391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0.31574</cdr:x>
      <cdr:y>0.08544</cdr:y>
    </cdr:from>
    <cdr:to>
      <cdr:x>0.46028</cdr:x>
      <cdr:y>0.2265</cdr:y>
    </cdr:to>
    <cdr:sp macro="" textlink="">
      <cdr:nvSpPr>
        <cdr:cNvPr id="220" name="FracNo 358 StartRow 2549">
          <a:extLst xmlns:a="http://schemas.openxmlformats.org/drawingml/2006/main">
            <a:ext uri="{FF2B5EF4-FFF2-40B4-BE49-F238E27FC236}">
              <a16:creationId xmlns:a16="http://schemas.microsoft.com/office/drawing/2014/main" id="{71BC59AD-136F-A8A9-0EAB-2AC6B7427E0F}"/>
            </a:ext>
          </a:extLst>
        </cdr:cNvPr>
        <cdr:cNvSpPr/>
      </cdr:nvSpPr>
      <cdr:spPr>
        <a:xfrm xmlns:a="http://schemas.openxmlformats.org/drawingml/2006/main">
          <a:off x="2309694" y="651036"/>
          <a:ext cx="1057319" cy="10748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7319" h="1074878">
              <a:moveTo>
                <a:pt x="883918" y="141852"/>
              </a:moveTo>
              <a:lnTo>
                <a:pt x="427128" y="614329"/>
              </a:lnTo>
              <a:lnTo>
                <a:pt x="0" y="1056125"/>
              </a:lnTo>
              <a:lnTo>
                <a:pt x="18129" y="1074877"/>
              </a:lnTo>
              <a:lnTo>
                <a:pt x="445257" y="633080"/>
              </a:lnTo>
              <a:lnTo>
                <a:pt x="915990" y="146182"/>
              </a:lnTo>
              <a:lnTo>
                <a:pt x="1057318" y="0"/>
              </a:lnTo>
              <a:lnTo>
                <a:pt x="10210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0.43274</cdr:x>
      <cdr:y>0.52409</cdr:y>
    </cdr:from>
    <cdr:to>
      <cdr:x>0.5745</cdr:x>
      <cdr:y>0.66485</cdr:y>
    </cdr:to>
    <cdr:sp macro="" textlink="">
      <cdr:nvSpPr>
        <cdr:cNvPr id="221" name="FracNo 965 StartRow 2560">
          <a:extLst xmlns:a="http://schemas.openxmlformats.org/drawingml/2006/main">
            <a:ext uri="{FF2B5EF4-FFF2-40B4-BE49-F238E27FC236}">
              <a16:creationId xmlns:a16="http://schemas.microsoft.com/office/drawing/2014/main" id="{27523FA4-9250-674B-28E4-F6B920D47754}"/>
            </a:ext>
          </a:extLst>
        </cdr:cNvPr>
        <cdr:cNvSpPr/>
      </cdr:nvSpPr>
      <cdr:spPr>
        <a:xfrm xmlns:a="http://schemas.openxmlformats.org/drawingml/2006/main">
          <a:off x="3165609" y="3993598"/>
          <a:ext cx="1036958" cy="1072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6958" h="1072569">
              <a:moveTo>
                <a:pt x="128839" y="958056"/>
              </a:moveTo>
              <a:lnTo>
                <a:pt x="18129" y="1072568"/>
              </a:lnTo>
              <a:lnTo>
                <a:pt x="0" y="1053816"/>
              </a:lnTo>
              <a:lnTo>
                <a:pt x="110710" y="939304"/>
              </a:lnTo>
              <a:lnTo>
                <a:pt x="111055" y="938948"/>
              </a:lnTo>
              <a:lnTo>
                <a:pt x="1018828" y="0"/>
              </a:lnTo>
              <a:lnTo>
                <a:pt x="1036957" y="18752"/>
              </a:lnTo>
              <a:lnTo>
                <a:pt x="129184" y="9577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0.43251</cdr:x>
      <cdr:y>0.52386</cdr:y>
    </cdr:from>
    <cdr:to>
      <cdr:x>0.57426</cdr:x>
      <cdr:y>0.66461</cdr:y>
    </cdr:to>
    <cdr:sp macro="" textlink="">
      <cdr:nvSpPr>
        <cdr:cNvPr id="222" name="FracNo 668 StartRow 2571">
          <a:extLst xmlns:a="http://schemas.openxmlformats.org/drawingml/2006/main">
            <a:ext uri="{FF2B5EF4-FFF2-40B4-BE49-F238E27FC236}">
              <a16:creationId xmlns:a16="http://schemas.microsoft.com/office/drawing/2014/main" id="{957446CD-C412-D124-850F-723BB37D31CB}"/>
            </a:ext>
          </a:extLst>
        </cdr:cNvPr>
        <cdr:cNvSpPr/>
      </cdr:nvSpPr>
      <cdr:spPr>
        <a:xfrm xmlns:a="http://schemas.openxmlformats.org/drawingml/2006/main">
          <a:off x="3163864" y="3991794"/>
          <a:ext cx="1036958" cy="1072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6958" h="1072569">
              <a:moveTo>
                <a:pt x="452177" y="623614"/>
              </a:moveTo>
              <a:lnTo>
                <a:pt x="127439" y="959504"/>
              </a:lnTo>
              <a:lnTo>
                <a:pt x="18130" y="1072568"/>
              </a:lnTo>
              <a:lnTo>
                <a:pt x="0" y="1053816"/>
              </a:lnTo>
              <a:lnTo>
                <a:pt x="109310" y="940752"/>
              </a:lnTo>
              <a:lnTo>
                <a:pt x="434048" y="604862"/>
              </a:lnTo>
              <a:lnTo>
                <a:pt x="1018828" y="0"/>
              </a:lnTo>
              <a:lnTo>
                <a:pt x="10369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0.42709</cdr:x>
      <cdr:y>0.40791</cdr:y>
    </cdr:from>
    <cdr:to>
      <cdr:x>0.56877</cdr:x>
      <cdr:y>0.54859</cdr:y>
    </cdr:to>
    <cdr:sp macro="" textlink="">
      <cdr:nvSpPr>
        <cdr:cNvPr id="223" name="FracNo 680 StartRow 2582">
          <a:extLst xmlns:a="http://schemas.openxmlformats.org/drawingml/2006/main">
            <a:ext uri="{FF2B5EF4-FFF2-40B4-BE49-F238E27FC236}">
              <a16:creationId xmlns:a16="http://schemas.microsoft.com/office/drawing/2014/main" id="{A305B4F6-8539-C8EA-7C65-56109A568643}"/>
            </a:ext>
          </a:extLst>
        </cdr:cNvPr>
        <cdr:cNvSpPr/>
      </cdr:nvSpPr>
      <cdr:spPr>
        <a:xfrm xmlns:a="http://schemas.openxmlformats.org/drawingml/2006/main">
          <a:off x="3124274" y="3108308"/>
          <a:ext cx="1036369" cy="10719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6369" h="1071960">
              <a:moveTo>
                <a:pt x="686291" y="343348"/>
              </a:moveTo>
              <a:lnTo>
                <a:pt x="0" y="1053207"/>
              </a:lnTo>
              <a:lnTo>
                <a:pt x="18130" y="1071959"/>
              </a:lnTo>
              <a:lnTo>
                <a:pt x="704421" y="362100"/>
              </a:lnTo>
              <a:lnTo>
                <a:pt x="1036368" y="18752"/>
              </a:lnTo>
              <a:lnTo>
                <a:pt x="10182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0.12128</cdr:x>
      <cdr:y>0.08544</cdr:y>
    </cdr:from>
    <cdr:to>
      <cdr:x>0.26173</cdr:x>
      <cdr:y>0.22243</cdr:y>
    </cdr:to>
    <cdr:sp macro="" textlink="">
      <cdr:nvSpPr>
        <cdr:cNvPr id="224" name="FracNo 1043 StartRow 2591">
          <a:extLst xmlns:a="http://schemas.openxmlformats.org/drawingml/2006/main">
            <a:ext uri="{FF2B5EF4-FFF2-40B4-BE49-F238E27FC236}">
              <a16:creationId xmlns:a16="http://schemas.microsoft.com/office/drawing/2014/main" id="{5F54B3EC-D5CB-EEF9-BD33-E95FCF56CE71}"/>
            </a:ext>
          </a:extLst>
        </cdr:cNvPr>
        <cdr:cNvSpPr/>
      </cdr:nvSpPr>
      <cdr:spPr>
        <a:xfrm xmlns:a="http://schemas.openxmlformats.org/drawingml/2006/main">
          <a:off x="887219" y="651036"/>
          <a:ext cx="1027384" cy="10439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7384" h="1043914">
              <a:moveTo>
                <a:pt x="216306" y="838931"/>
              </a:moveTo>
              <a:lnTo>
                <a:pt x="18129" y="1043913"/>
              </a:lnTo>
              <a:lnTo>
                <a:pt x="0" y="1025161"/>
              </a:lnTo>
              <a:lnTo>
                <a:pt x="194617" y="823861"/>
              </a:lnTo>
              <a:lnTo>
                <a:pt x="991124" y="0"/>
              </a:lnTo>
              <a:lnTo>
                <a:pt x="10273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0.27258</cdr:x>
      <cdr:y>0.79485</cdr:y>
    </cdr:from>
    <cdr:to>
      <cdr:x>0.41127</cdr:x>
      <cdr:y>0.9301</cdr:y>
    </cdr:to>
    <cdr:sp macro="" textlink="">
      <cdr:nvSpPr>
        <cdr:cNvPr id="225" name="FracNo 847 StartRow 2600">
          <a:extLst xmlns:a="http://schemas.openxmlformats.org/drawingml/2006/main">
            <a:ext uri="{FF2B5EF4-FFF2-40B4-BE49-F238E27FC236}">
              <a16:creationId xmlns:a16="http://schemas.microsoft.com/office/drawing/2014/main" id="{05A15937-3B1D-D8E8-14F7-A267EA5A2BCB}"/>
            </a:ext>
          </a:extLst>
        </cdr:cNvPr>
        <cdr:cNvSpPr/>
      </cdr:nvSpPr>
      <cdr:spPr>
        <a:xfrm xmlns:a="http://schemas.openxmlformats.org/drawingml/2006/main">
          <a:off x="1993973" y="6056722"/>
          <a:ext cx="1014555" cy="10306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4555" h="1030644">
              <a:moveTo>
                <a:pt x="476837" y="537431"/>
              </a:moveTo>
              <a:lnTo>
                <a:pt x="0" y="1030643"/>
              </a:lnTo>
              <a:lnTo>
                <a:pt x="36259" y="1030643"/>
              </a:lnTo>
              <a:lnTo>
                <a:pt x="501458" y="549468"/>
              </a:lnTo>
              <a:lnTo>
                <a:pt x="760978" y="281035"/>
              </a:lnTo>
              <a:lnTo>
                <a:pt x="1014554" y="18751"/>
              </a:lnTo>
              <a:lnTo>
                <a:pt x="996424" y="0"/>
              </a:lnTo>
              <a:lnTo>
                <a:pt x="742849" y="2622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0.58774</cdr:x>
      <cdr:y>0.51972</cdr:y>
    </cdr:from>
    <cdr:to>
      <cdr:x>0.72414</cdr:x>
      <cdr:y>0.65516</cdr:y>
    </cdr:to>
    <cdr:sp macro="" textlink="">
      <cdr:nvSpPr>
        <cdr:cNvPr id="226" name="FracNo 940 StartRow 2611">
          <a:extLst xmlns:a="http://schemas.openxmlformats.org/drawingml/2006/main">
            <a:ext uri="{FF2B5EF4-FFF2-40B4-BE49-F238E27FC236}">
              <a16:creationId xmlns:a16="http://schemas.microsoft.com/office/drawing/2014/main" id="{0BA20912-2203-1FC6-7AF1-19C2150DF392}"/>
            </a:ext>
          </a:extLst>
        </cdr:cNvPr>
        <cdr:cNvSpPr/>
      </cdr:nvSpPr>
      <cdr:spPr>
        <a:xfrm xmlns:a="http://schemas.openxmlformats.org/drawingml/2006/main">
          <a:off x="4299412" y="3960280"/>
          <a:ext cx="997793" cy="10320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7793" h="1032059">
              <a:moveTo>
                <a:pt x="245053" y="759838"/>
              </a:moveTo>
              <a:lnTo>
                <a:pt x="39677" y="972266"/>
              </a:lnTo>
              <a:lnTo>
                <a:pt x="0" y="1013306"/>
              </a:lnTo>
              <a:lnTo>
                <a:pt x="18130" y="1032058"/>
              </a:lnTo>
              <a:lnTo>
                <a:pt x="57807" y="991018"/>
              </a:lnTo>
              <a:lnTo>
                <a:pt x="263182" y="778589"/>
              </a:lnTo>
              <a:lnTo>
                <a:pt x="529749" y="502868"/>
              </a:lnTo>
              <a:lnTo>
                <a:pt x="997792" y="18752"/>
              </a:lnTo>
              <a:lnTo>
                <a:pt x="979662" y="0"/>
              </a:lnTo>
              <a:lnTo>
                <a:pt x="511620" y="4841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0.47283</cdr:y>
    </cdr:from>
    <cdr:to>
      <cdr:x>0.22657</cdr:x>
      <cdr:y>0.60909</cdr:y>
    </cdr:to>
    <cdr:sp macro="" textlink="">
      <cdr:nvSpPr>
        <cdr:cNvPr id="227" name="FracNo 102 StartRow 2624">
          <a:extLst xmlns:a="http://schemas.openxmlformats.org/drawingml/2006/main">
            <a:ext uri="{FF2B5EF4-FFF2-40B4-BE49-F238E27FC236}">
              <a16:creationId xmlns:a16="http://schemas.microsoft.com/office/drawing/2014/main" id="{595F71A7-34CB-BC48-4BF4-07FD3E9B7337}"/>
            </a:ext>
          </a:extLst>
        </cdr:cNvPr>
        <cdr:cNvSpPr/>
      </cdr:nvSpPr>
      <cdr:spPr>
        <a:xfrm xmlns:a="http://schemas.openxmlformats.org/drawingml/2006/main">
          <a:off x="671676" y="3602991"/>
          <a:ext cx="985697" cy="10383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5697" h="1038300">
              <a:moveTo>
                <a:pt x="596165" y="421660"/>
              </a:moveTo>
              <a:lnTo>
                <a:pt x="0" y="1038299"/>
              </a:lnTo>
              <a:lnTo>
                <a:pt x="0" y="1000795"/>
              </a:lnTo>
              <a:lnTo>
                <a:pt x="585200" y="395497"/>
              </a:lnTo>
              <a:lnTo>
                <a:pt x="967567" y="0"/>
              </a:lnTo>
              <a:lnTo>
                <a:pt x="98569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0.80774</cdr:x>
      <cdr:y>0.45841</cdr:y>
    </cdr:from>
    <cdr:to>
      <cdr:x>0.94246</cdr:x>
      <cdr:y>0.59465</cdr:y>
    </cdr:to>
    <cdr:sp macro="" textlink="">
      <cdr:nvSpPr>
        <cdr:cNvPr id="228" name="FracNo 600 StartRow 2633">
          <a:extLst xmlns:a="http://schemas.openxmlformats.org/drawingml/2006/main">
            <a:ext uri="{FF2B5EF4-FFF2-40B4-BE49-F238E27FC236}">
              <a16:creationId xmlns:a16="http://schemas.microsoft.com/office/drawing/2014/main" id="{882ACD49-92E3-5510-EC8A-E76AAE3250DF}"/>
            </a:ext>
          </a:extLst>
        </cdr:cNvPr>
        <cdr:cNvSpPr/>
      </cdr:nvSpPr>
      <cdr:spPr>
        <a:xfrm xmlns:a="http://schemas.openxmlformats.org/drawingml/2006/main">
          <a:off x="5908777" y="3493113"/>
          <a:ext cx="985531" cy="10381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5531" h="1038128">
              <a:moveTo>
                <a:pt x="197426" y="815169"/>
              </a:moveTo>
              <a:lnTo>
                <a:pt x="0" y="1019375"/>
              </a:lnTo>
              <a:lnTo>
                <a:pt x="18129" y="1038127"/>
              </a:lnTo>
              <a:lnTo>
                <a:pt x="211923" y="837678"/>
              </a:lnTo>
              <a:lnTo>
                <a:pt x="985530" y="37503"/>
              </a:lnTo>
              <a:lnTo>
                <a:pt x="9855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0.12242</cdr:x>
      <cdr:y>0.79651</cdr:y>
    </cdr:from>
    <cdr:to>
      <cdr:x>0.25943</cdr:x>
      <cdr:y>0.9301</cdr:y>
    </cdr:to>
    <cdr:sp macro="" textlink="">
      <cdr:nvSpPr>
        <cdr:cNvPr id="229" name="FracNo 804 StartRow 2642">
          <a:extLst xmlns:a="http://schemas.openxmlformats.org/drawingml/2006/main">
            <a:ext uri="{FF2B5EF4-FFF2-40B4-BE49-F238E27FC236}">
              <a16:creationId xmlns:a16="http://schemas.microsoft.com/office/drawing/2014/main" id="{FFA200BD-0B5D-3F96-22E8-4D28FF731624}"/>
            </a:ext>
          </a:extLst>
        </cdr:cNvPr>
        <cdr:cNvSpPr/>
      </cdr:nvSpPr>
      <cdr:spPr>
        <a:xfrm xmlns:a="http://schemas.openxmlformats.org/drawingml/2006/main">
          <a:off x="895493" y="6069437"/>
          <a:ext cx="1002261" cy="10179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2261" h="1017929">
              <a:moveTo>
                <a:pt x="994522" y="26756"/>
              </a:moveTo>
              <a:lnTo>
                <a:pt x="36258" y="1017928"/>
              </a:lnTo>
              <a:lnTo>
                <a:pt x="0" y="1017928"/>
              </a:lnTo>
              <a:lnTo>
                <a:pt x="976247" y="8154"/>
              </a:lnTo>
              <a:lnTo>
                <a:pt x="984130" y="0"/>
              </a:lnTo>
              <a:lnTo>
                <a:pt x="10022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0.10953</cdr:x>
      <cdr:y>0.34329</cdr:y>
    </cdr:from>
    <cdr:to>
      <cdr:x>0.24528</cdr:x>
      <cdr:y>0.47808</cdr:y>
    </cdr:to>
    <cdr:sp macro="" textlink="">
      <cdr:nvSpPr>
        <cdr:cNvPr id="230" name="FracNo 801 StartRow 2651">
          <a:extLst xmlns:a="http://schemas.openxmlformats.org/drawingml/2006/main">
            <a:ext uri="{FF2B5EF4-FFF2-40B4-BE49-F238E27FC236}">
              <a16:creationId xmlns:a16="http://schemas.microsoft.com/office/drawing/2014/main" id="{EDA375B5-096F-C0EF-1789-C0D2D95289C5}"/>
            </a:ext>
          </a:extLst>
        </cdr:cNvPr>
        <cdr:cNvSpPr/>
      </cdr:nvSpPr>
      <cdr:spPr>
        <a:xfrm xmlns:a="http://schemas.openxmlformats.org/drawingml/2006/main">
          <a:off x="801270" y="2615874"/>
          <a:ext cx="993005" cy="10271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3005" h="1027107">
              <a:moveTo>
                <a:pt x="532019" y="458065"/>
              </a:moveTo>
              <a:lnTo>
                <a:pt x="0" y="1008354"/>
              </a:lnTo>
              <a:lnTo>
                <a:pt x="18130" y="1027106"/>
              </a:lnTo>
              <a:lnTo>
                <a:pt x="550148" y="476817"/>
              </a:lnTo>
              <a:lnTo>
                <a:pt x="827460" y="189981"/>
              </a:lnTo>
              <a:lnTo>
                <a:pt x="993004" y="18752"/>
              </a:lnTo>
              <a:lnTo>
                <a:pt x="974875" y="0"/>
              </a:lnTo>
              <a:lnTo>
                <a:pt x="809331" y="1712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0.80826</cdr:x>
      <cdr:y>0.42008</cdr:y>
    </cdr:from>
    <cdr:to>
      <cdr:x>0.94246</cdr:x>
      <cdr:y>0.5558</cdr:y>
    </cdr:to>
    <cdr:sp macro="" textlink="">
      <cdr:nvSpPr>
        <cdr:cNvPr id="231" name="FracNo 592 StartRow 2662">
          <a:extLst xmlns:a="http://schemas.openxmlformats.org/drawingml/2006/main">
            <a:ext uri="{FF2B5EF4-FFF2-40B4-BE49-F238E27FC236}">
              <a16:creationId xmlns:a16="http://schemas.microsoft.com/office/drawing/2014/main" id="{AAF3934C-790C-44DC-C30D-C2649F3424CF}"/>
            </a:ext>
          </a:extLst>
        </cdr:cNvPr>
        <cdr:cNvSpPr/>
      </cdr:nvSpPr>
      <cdr:spPr>
        <a:xfrm xmlns:a="http://schemas.openxmlformats.org/drawingml/2006/main">
          <a:off x="5912603" y="3201001"/>
          <a:ext cx="981705" cy="1034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1705" h="1034170">
              <a:moveTo>
                <a:pt x="420726" y="617747"/>
              </a:moveTo>
              <a:lnTo>
                <a:pt x="18130" y="1034169"/>
              </a:lnTo>
              <a:lnTo>
                <a:pt x="0" y="1015418"/>
              </a:lnTo>
              <a:lnTo>
                <a:pt x="410172" y="591160"/>
              </a:lnTo>
              <a:lnTo>
                <a:pt x="981704" y="0"/>
              </a:lnTo>
              <a:lnTo>
                <a:pt x="98170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0.80861</cdr:x>
      <cdr:y>0.28533</cdr:y>
    </cdr:from>
    <cdr:to>
      <cdr:x>0.94246</cdr:x>
      <cdr:y>0.4207</cdr:y>
    </cdr:to>
    <cdr:sp macro="" textlink="">
      <cdr:nvSpPr>
        <cdr:cNvPr id="232" name="FracNo 262 StartRow 2671">
          <a:extLst xmlns:a="http://schemas.openxmlformats.org/drawingml/2006/main">
            <a:ext uri="{FF2B5EF4-FFF2-40B4-BE49-F238E27FC236}">
              <a16:creationId xmlns:a16="http://schemas.microsoft.com/office/drawing/2014/main" id="{AE821288-E823-A51E-617A-E337EA22256D}"/>
            </a:ext>
          </a:extLst>
        </cdr:cNvPr>
        <cdr:cNvSpPr/>
      </cdr:nvSpPr>
      <cdr:spPr>
        <a:xfrm xmlns:a="http://schemas.openxmlformats.org/drawingml/2006/main">
          <a:off x="5915139" y="2174194"/>
          <a:ext cx="979169" cy="10315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9169" h="1031548">
              <a:moveTo>
                <a:pt x="901184" y="118166"/>
              </a:moveTo>
              <a:lnTo>
                <a:pt x="404738" y="631661"/>
              </a:lnTo>
              <a:lnTo>
                <a:pt x="18129" y="1031547"/>
              </a:lnTo>
              <a:lnTo>
                <a:pt x="0" y="1012795"/>
              </a:lnTo>
              <a:lnTo>
                <a:pt x="386609" y="612909"/>
              </a:lnTo>
              <a:lnTo>
                <a:pt x="898723" y="83208"/>
              </a:lnTo>
              <a:lnTo>
                <a:pt x="979168" y="0"/>
              </a:lnTo>
              <a:lnTo>
                <a:pt x="97916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0.26309</cdr:x>
      <cdr:y>0.42671</cdr:y>
    </cdr:from>
    <cdr:to>
      <cdr:x>0.39816</cdr:x>
      <cdr:y>0.56083</cdr:y>
    </cdr:to>
    <cdr:sp macro="" textlink="">
      <cdr:nvSpPr>
        <cdr:cNvPr id="233" name="FracNo 111 StartRow 2682">
          <a:extLst xmlns:a="http://schemas.openxmlformats.org/drawingml/2006/main">
            <a:ext uri="{FF2B5EF4-FFF2-40B4-BE49-F238E27FC236}">
              <a16:creationId xmlns:a16="http://schemas.microsoft.com/office/drawing/2014/main" id="{B02E2049-02D5-048D-FD8F-458613537E4B}"/>
            </a:ext>
          </a:extLst>
        </cdr:cNvPr>
        <cdr:cNvSpPr/>
      </cdr:nvSpPr>
      <cdr:spPr>
        <a:xfrm xmlns:a="http://schemas.openxmlformats.org/drawingml/2006/main">
          <a:off x="1924551" y="3251553"/>
          <a:ext cx="988057" cy="10219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8057" h="1021989">
              <a:moveTo>
                <a:pt x="203095" y="793167"/>
              </a:moveTo>
              <a:lnTo>
                <a:pt x="0" y="1003236"/>
              </a:lnTo>
              <a:lnTo>
                <a:pt x="18129" y="1021988"/>
              </a:lnTo>
              <a:lnTo>
                <a:pt x="221224" y="811919"/>
              </a:lnTo>
              <a:lnTo>
                <a:pt x="830400" y="181822"/>
              </a:lnTo>
              <a:lnTo>
                <a:pt x="988056" y="18752"/>
              </a:lnTo>
              <a:lnTo>
                <a:pt x="969927" y="0"/>
              </a:lnTo>
              <a:lnTo>
                <a:pt x="812271" y="1630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0.11698</cdr:x>
      <cdr:y>0.08544</cdr:y>
    </cdr:from>
    <cdr:to>
      <cdr:x>0.25312</cdr:x>
      <cdr:y>0.21816</cdr:y>
    </cdr:to>
    <cdr:sp macro="" textlink="">
      <cdr:nvSpPr>
        <cdr:cNvPr id="234" name="FracNo 426 StartRow 2693">
          <a:extLst xmlns:a="http://schemas.openxmlformats.org/drawingml/2006/main">
            <a:ext uri="{FF2B5EF4-FFF2-40B4-BE49-F238E27FC236}">
              <a16:creationId xmlns:a16="http://schemas.microsoft.com/office/drawing/2014/main" id="{9B6B087B-EEC9-68A9-7EB7-75213BFD7A82}"/>
            </a:ext>
          </a:extLst>
        </cdr:cNvPr>
        <cdr:cNvSpPr/>
      </cdr:nvSpPr>
      <cdr:spPr>
        <a:xfrm xmlns:a="http://schemas.openxmlformats.org/drawingml/2006/main">
          <a:off x="855734" y="651036"/>
          <a:ext cx="995899" cy="1011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5899" h="1011348">
              <a:moveTo>
                <a:pt x="541129" y="470386"/>
              </a:moveTo>
              <a:lnTo>
                <a:pt x="18129" y="1011347"/>
              </a:lnTo>
              <a:lnTo>
                <a:pt x="0" y="992595"/>
              </a:lnTo>
              <a:lnTo>
                <a:pt x="513303" y="461665"/>
              </a:lnTo>
              <a:lnTo>
                <a:pt x="959639" y="0"/>
              </a:lnTo>
              <a:lnTo>
                <a:pt x="9958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0.50367</cdr:x>
      <cdr:y>0.5028</cdr:y>
    </cdr:from>
    <cdr:to>
      <cdr:x>0.63823</cdr:x>
      <cdr:y>0.63642</cdr:y>
    </cdr:to>
    <cdr:sp macro="" textlink="">
      <cdr:nvSpPr>
        <cdr:cNvPr id="235" name="FracNo 678 StartRow 2702">
          <a:extLst xmlns:a="http://schemas.openxmlformats.org/drawingml/2006/main">
            <a:ext uri="{FF2B5EF4-FFF2-40B4-BE49-F238E27FC236}">
              <a16:creationId xmlns:a16="http://schemas.microsoft.com/office/drawing/2014/main" id="{E5201E88-3BE4-22E8-4E5C-69567C4FDF3B}"/>
            </a:ext>
          </a:extLst>
        </cdr:cNvPr>
        <cdr:cNvSpPr/>
      </cdr:nvSpPr>
      <cdr:spPr>
        <a:xfrm xmlns:a="http://schemas.openxmlformats.org/drawingml/2006/main">
          <a:off x="3684433" y="3831361"/>
          <a:ext cx="984375" cy="1018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4375" h="1018180">
              <a:moveTo>
                <a:pt x="260970" y="766999"/>
              </a:moveTo>
              <a:lnTo>
                <a:pt x="18129" y="1018179"/>
              </a:lnTo>
              <a:lnTo>
                <a:pt x="0" y="999427"/>
              </a:lnTo>
              <a:lnTo>
                <a:pt x="242840" y="748247"/>
              </a:lnTo>
              <a:lnTo>
                <a:pt x="966244" y="0"/>
              </a:lnTo>
              <a:lnTo>
                <a:pt x="9843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0.68611</cdr:x>
      <cdr:y>0.22323</cdr:y>
    </cdr:from>
    <cdr:to>
      <cdr:x>0.82061</cdr:x>
      <cdr:y>0.35679</cdr:y>
    </cdr:to>
    <cdr:sp macro="" textlink="">
      <cdr:nvSpPr>
        <cdr:cNvPr id="236" name="FracNo 988 StartRow 2711">
          <a:extLst xmlns:a="http://schemas.openxmlformats.org/drawingml/2006/main">
            <a:ext uri="{FF2B5EF4-FFF2-40B4-BE49-F238E27FC236}">
              <a16:creationId xmlns:a16="http://schemas.microsoft.com/office/drawing/2014/main" id="{AA4FF25C-A468-9E18-0A4F-8830D17B835C}"/>
            </a:ext>
          </a:extLst>
        </cdr:cNvPr>
        <cdr:cNvSpPr/>
      </cdr:nvSpPr>
      <cdr:spPr>
        <a:xfrm xmlns:a="http://schemas.openxmlformats.org/drawingml/2006/main">
          <a:off x="5019050" y="1701035"/>
          <a:ext cx="983885" cy="10176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3885" h="1017673">
              <a:moveTo>
                <a:pt x="73397" y="960506"/>
              </a:moveTo>
              <a:lnTo>
                <a:pt x="18130" y="1017672"/>
              </a:lnTo>
              <a:lnTo>
                <a:pt x="0" y="998920"/>
              </a:lnTo>
              <a:lnTo>
                <a:pt x="55268" y="941754"/>
              </a:lnTo>
              <a:lnTo>
                <a:pt x="965755" y="0"/>
              </a:lnTo>
              <a:lnTo>
                <a:pt x="98388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0.53723</cdr:x>
      <cdr:y>0.08544</cdr:y>
    </cdr:from>
    <cdr:to>
      <cdr:x>0.67181</cdr:x>
      <cdr:y>0.21661</cdr:y>
    </cdr:to>
    <cdr:sp macro="" textlink="">
      <cdr:nvSpPr>
        <cdr:cNvPr id="237" name="FracNo 730 StartRow 2720">
          <a:extLst xmlns:a="http://schemas.openxmlformats.org/drawingml/2006/main">
            <a:ext uri="{FF2B5EF4-FFF2-40B4-BE49-F238E27FC236}">
              <a16:creationId xmlns:a16="http://schemas.microsoft.com/office/drawing/2014/main" id="{67595CEC-E83C-8FC6-DF5B-9BE03C61934E}"/>
            </a:ext>
          </a:extLst>
        </cdr:cNvPr>
        <cdr:cNvSpPr/>
      </cdr:nvSpPr>
      <cdr:spPr>
        <a:xfrm xmlns:a="http://schemas.openxmlformats.org/drawingml/2006/main">
          <a:off x="3929978" y="651036"/>
          <a:ext cx="984475" cy="9995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4475" h="999533">
              <a:moveTo>
                <a:pt x="120626" y="893515"/>
              </a:moveTo>
              <a:lnTo>
                <a:pt x="18129" y="999532"/>
              </a:lnTo>
              <a:lnTo>
                <a:pt x="0" y="980780"/>
              </a:lnTo>
              <a:lnTo>
                <a:pt x="100593" y="876732"/>
              </a:lnTo>
              <a:lnTo>
                <a:pt x="872797" y="78009"/>
              </a:lnTo>
              <a:lnTo>
                <a:pt x="948216" y="0"/>
              </a:lnTo>
              <a:lnTo>
                <a:pt x="984474" y="0"/>
              </a:lnTo>
              <a:lnTo>
                <a:pt x="907440" y="796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0.47014</cdr:y>
    </cdr:from>
    <cdr:to>
      <cdr:x>0.22386</cdr:x>
      <cdr:y>0.60372</cdr:y>
    </cdr:to>
    <cdr:sp macro="" textlink="">
      <cdr:nvSpPr>
        <cdr:cNvPr id="238" name="FracNo 937 StartRow 2731">
          <a:extLst xmlns:a="http://schemas.openxmlformats.org/drawingml/2006/main">
            <a:ext uri="{FF2B5EF4-FFF2-40B4-BE49-F238E27FC236}">
              <a16:creationId xmlns:a16="http://schemas.microsoft.com/office/drawing/2014/main" id="{D34E5F83-AC5D-89F2-D4E0-24BDEC6A049E}"/>
            </a:ext>
          </a:extLst>
        </cdr:cNvPr>
        <cdr:cNvSpPr/>
      </cdr:nvSpPr>
      <cdr:spPr>
        <a:xfrm xmlns:a="http://schemas.openxmlformats.org/drawingml/2006/main">
          <a:off x="671676" y="3582501"/>
          <a:ext cx="965888" cy="1017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5888" h="1017810">
              <a:moveTo>
                <a:pt x="275145" y="695712"/>
              </a:moveTo>
              <a:lnTo>
                <a:pt x="0" y="980306"/>
              </a:lnTo>
              <a:lnTo>
                <a:pt x="0" y="1017809"/>
              </a:lnTo>
              <a:lnTo>
                <a:pt x="280408" y="727772"/>
              </a:lnTo>
              <a:lnTo>
                <a:pt x="965887" y="18752"/>
              </a:lnTo>
              <a:lnTo>
                <a:pt x="9477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0.52475</cdr:x>
      <cdr:y>0.29798</cdr:y>
    </cdr:from>
    <cdr:to>
      <cdr:x>0.65785</cdr:x>
      <cdr:y>0.43015</cdr:y>
    </cdr:to>
    <cdr:sp macro="" textlink="">
      <cdr:nvSpPr>
        <cdr:cNvPr id="239" name="FracNo 985 StartRow 2740">
          <a:extLst xmlns:a="http://schemas.openxmlformats.org/drawingml/2006/main">
            <a:ext uri="{FF2B5EF4-FFF2-40B4-BE49-F238E27FC236}">
              <a16:creationId xmlns:a16="http://schemas.microsoft.com/office/drawing/2014/main" id="{FBCA220B-0788-879B-D97B-C4106D425C00}"/>
            </a:ext>
          </a:extLst>
        </cdr:cNvPr>
        <cdr:cNvSpPr/>
      </cdr:nvSpPr>
      <cdr:spPr>
        <a:xfrm xmlns:a="http://schemas.openxmlformats.org/drawingml/2006/main">
          <a:off x="3838680" y="2270639"/>
          <a:ext cx="973645" cy="1007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3645" h="1007081">
              <a:moveTo>
                <a:pt x="100975" y="921389"/>
              </a:moveTo>
              <a:lnTo>
                <a:pt x="18130" y="1007080"/>
              </a:lnTo>
              <a:lnTo>
                <a:pt x="0" y="988328"/>
              </a:lnTo>
              <a:lnTo>
                <a:pt x="82846" y="902638"/>
              </a:lnTo>
              <a:lnTo>
                <a:pt x="456198" y="516464"/>
              </a:lnTo>
              <a:lnTo>
                <a:pt x="955515" y="0"/>
              </a:lnTo>
              <a:lnTo>
                <a:pt x="973644" y="18752"/>
              </a:lnTo>
              <a:lnTo>
                <a:pt x="474328" y="5352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0.81032</cdr:x>
      <cdr:y>0.79888</cdr:y>
    </cdr:from>
    <cdr:to>
      <cdr:x>0.94246</cdr:x>
      <cdr:y>0.9301</cdr:y>
    </cdr:to>
    <cdr:sp macro="" textlink="">
      <cdr:nvSpPr>
        <cdr:cNvPr id="240" name="FracNo 884 StartRow 2751">
          <a:extLst xmlns:a="http://schemas.openxmlformats.org/drawingml/2006/main">
            <a:ext uri="{FF2B5EF4-FFF2-40B4-BE49-F238E27FC236}">
              <a16:creationId xmlns:a16="http://schemas.microsoft.com/office/drawing/2014/main" id="{02FB210B-F653-939F-3FBC-063CD64C72E4}"/>
            </a:ext>
          </a:extLst>
        </cdr:cNvPr>
        <cdr:cNvSpPr/>
      </cdr:nvSpPr>
      <cdr:spPr>
        <a:xfrm xmlns:a="http://schemas.openxmlformats.org/drawingml/2006/main">
          <a:off x="5927627" y="6087487"/>
          <a:ext cx="966681" cy="999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6681" h="999879">
              <a:moveTo>
                <a:pt x="850672" y="157495"/>
              </a:moveTo>
              <a:lnTo>
                <a:pt x="36258" y="999878"/>
              </a:lnTo>
              <a:lnTo>
                <a:pt x="0" y="999878"/>
              </a:lnTo>
              <a:lnTo>
                <a:pt x="846152" y="124668"/>
              </a:lnTo>
              <a:lnTo>
                <a:pt x="966680" y="0"/>
              </a:lnTo>
              <a:lnTo>
                <a:pt x="966680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0.81313</cdr:x>
      <cdr:y>0.49731</cdr:y>
    </cdr:from>
    <cdr:to>
      <cdr:x>0.94246</cdr:x>
      <cdr:y>0.62819</cdr:y>
    </cdr:to>
    <cdr:sp macro="" textlink="">
      <cdr:nvSpPr>
        <cdr:cNvPr id="241" name="FracNo 781 StartRow 2760">
          <a:extLst xmlns:a="http://schemas.openxmlformats.org/drawingml/2006/main">
            <a:ext uri="{FF2B5EF4-FFF2-40B4-BE49-F238E27FC236}">
              <a16:creationId xmlns:a16="http://schemas.microsoft.com/office/drawing/2014/main" id="{275E4F65-1A58-13BC-6027-28DC0425C730}"/>
            </a:ext>
          </a:extLst>
        </cdr:cNvPr>
        <cdr:cNvSpPr/>
      </cdr:nvSpPr>
      <cdr:spPr>
        <a:xfrm xmlns:a="http://schemas.openxmlformats.org/drawingml/2006/main">
          <a:off x="5948190" y="3789468"/>
          <a:ext cx="946118" cy="9973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6118" h="997362">
              <a:moveTo>
                <a:pt x="78767" y="934641"/>
              </a:moveTo>
              <a:lnTo>
                <a:pt x="18129" y="997361"/>
              </a:lnTo>
              <a:lnTo>
                <a:pt x="0" y="978609"/>
              </a:lnTo>
              <a:lnTo>
                <a:pt x="61822" y="914664"/>
              </a:lnTo>
              <a:lnTo>
                <a:pt x="946117" y="0"/>
              </a:lnTo>
              <a:lnTo>
                <a:pt x="946117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0.306</cdr:x>
      <cdr:y>0.66371</cdr:y>
    </cdr:from>
    <cdr:to>
      <cdr:x>0.43655</cdr:x>
      <cdr:y>0.79333</cdr:y>
    </cdr:to>
    <cdr:sp macro="" textlink="">
      <cdr:nvSpPr>
        <cdr:cNvPr id="242" name="FracNo 191 StartRow 2769">
          <a:extLst xmlns:a="http://schemas.openxmlformats.org/drawingml/2006/main">
            <a:ext uri="{FF2B5EF4-FFF2-40B4-BE49-F238E27FC236}">
              <a16:creationId xmlns:a16="http://schemas.microsoft.com/office/drawing/2014/main" id="{08AC7A32-77F0-8D8A-F11C-63D49387E4C9}"/>
            </a:ext>
          </a:extLst>
        </cdr:cNvPr>
        <cdr:cNvSpPr/>
      </cdr:nvSpPr>
      <cdr:spPr>
        <a:xfrm xmlns:a="http://schemas.openxmlformats.org/drawingml/2006/main">
          <a:off x="2238468" y="5057436"/>
          <a:ext cx="954960" cy="9877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4960" h="987755">
              <a:moveTo>
                <a:pt x="520068" y="468577"/>
              </a:moveTo>
              <a:lnTo>
                <a:pt x="516483" y="472286"/>
              </a:lnTo>
              <a:lnTo>
                <a:pt x="18129" y="987754"/>
              </a:lnTo>
              <a:lnTo>
                <a:pt x="0" y="969003"/>
              </a:lnTo>
              <a:lnTo>
                <a:pt x="498354" y="453534"/>
              </a:lnTo>
              <a:lnTo>
                <a:pt x="501939" y="449826"/>
              </a:lnTo>
              <a:lnTo>
                <a:pt x="936830" y="0"/>
              </a:lnTo>
              <a:lnTo>
                <a:pt x="9549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0.40935</cdr:x>
      <cdr:y>0.80254</cdr:y>
    </cdr:from>
    <cdr:to>
      <cdr:x>0.5403</cdr:x>
      <cdr:y>0.9301</cdr:y>
    </cdr:to>
    <cdr:sp macro="" textlink="">
      <cdr:nvSpPr>
        <cdr:cNvPr id="243" name="FracNo 186 StartRow 2780">
          <a:extLst xmlns:a="http://schemas.openxmlformats.org/drawingml/2006/main">
            <a:ext uri="{FF2B5EF4-FFF2-40B4-BE49-F238E27FC236}">
              <a16:creationId xmlns:a16="http://schemas.microsoft.com/office/drawing/2014/main" id="{D5DFA07E-DFA9-E5A4-571F-6D680436C787}"/>
            </a:ext>
          </a:extLst>
        </cdr:cNvPr>
        <cdr:cNvSpPr/>
      </cdr:nvSpPr>
      <cdr:spPr>
        <a:xfrm xmlns:a="http://schemas.openxmlformats.org/drawingml/2006/main">
          <a:off x="2994484" y="6115331"/>
          <a:ext cx="957891" cy="9720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7891" h="972035">
              <a:moveTo>
                <a:pt x="881114" y="60661"/>
              </a:moveTo>
              <a:lnTo>
                <a:pt x="0" y="972034"/>
              </a:lnTo>
              <a:lnTo>
                <a:pt x="36258" y="972034"/>
              </a:lnTo>
              <a:lnTo>
                <a:pt x="900375" y="78243"/>
              </a:lnTo>
              <a:lnTo>
                <a:pt x="957890" y="18752"/>
              </a:lnTo>
              <a:lnTo>
                <a:pt x="9397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0.8147</cdr:x>
      <cdr:y>0.30696</cdr:y>
    </cdr:from>
    <cdr:to>
      <cdr:x>0.94246</cdr:x>
      <cdr:y>0.43629</cdr:y>
    </cdr:to>
    <cdr:sp macro="" textlink="">
      <cdr:nvSpPr>
        <cdr:cNvPr id="244" name="FracNo 794 StartRow 2789">
          <a:extLst xmlns:a="http://schemas.openxmlformats.org/drawingml/2006/main">
            <a:ext uri="{FF2B5EF4-FFF2-40B4-BE49-F238E27FC236}">
              <a16:creationId xmlns:a16="http://schemas.microsoft.com/office/drawing/2014/main" id="{C73576D5-83D0-3483-14F5-824C56609C06}"/>
            </a:ext>
          </a:extLst>
        </cdr:cNvPr>
        <cdr:cNvSpPr/>
      </cdr:nvSpPr>
      <cdr:spPr>
        <a:xfrm xmlns:a="http://schemas.openxmlformats.org/drawingml/2006/main">
          <a:off x="5959687" y="2339064"/>
          <a:ext cx="934621" cy="9854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4621" h="985469">
              <a:moveTo>
                <a:pt x="481546" y="468633"/>
              </a:moveTo>
              <a:lnTo>
                <a:pt x="0" y="966716"/>
              </a:lnTo>
              <a:lnTo>
                <a:pt x="18130" y="985468"/>
              </a:lnTo>
              <a:lnTo>
                <a:pt x="498880" y="488207"/>
              </a:lnTo>
              <a:lnTo>
                <a:pt x="519172" y="467219"/>
              </a:lnTo>
              <a:lnTo>
                <a:pt x="934620" y="37504"/>
              </a:lnTo>
              <a:lnTo>
                <a:pt x="934620" y="0"/>
              </a:lnTo>
              <a:lnTo>
                <a:pt x="501871" y="4476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0.69992</cdr:x>
      <cdr:y>0.20055</cdr:y>
    </cdr:from>
    <cdr:to>
      <cdr:x>0.82798</cdr:x>
      <cdr:y>0.32771</cdr:y>
    </cdr:to>
    <cdr:sp macro="" textlink="">
      <cdr:nvSpPr>
        <cdr:cNvPr id="245" name="FracNo 873 StartRow 2800">
          <a:extLst xmlns:a="http://schemas.openxmlformats.org/drawingml/2006/main">
            <a:ext uri="{FF2B5EF4-FFF2-40B4-BE49-F238E27FC236}">
              <a16:creationId xmlns:a16="http://schemas.microsoft.com/office/drawing/2014/main" id="{9FAF8D1A-7810-0074-C09C-9F72F8D3BA27}"/>
            </a:ext>
          </a:extLst>
        </cdr:cNvPr>
        <cdr:cNvSpPr/>
      </cdr:nvSpPr>
      <cdr:spPr>
        <a:xfrm xmlns:a="http://schemas.openxmlformats.org/drawingml/2006/main">
          <a:off x="5120086" y="1528187"/>
          <a:ext cx="936786" cy="968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6786" h="968959">
              <a:moveTo>
                <a:pt x="215524" y="764784"/>
              </a:moveTo>
              <a:lnTo>
                <a:pt x="18129" y="968958"/>
              </a:lnTo>
              <a:lnTo>
                <a:pt x="0" y="950206"/>
              </a:lnTo>
              <a:lnTo>
                <a:pt x="197394" y="746032"/>
              </a:lnTo>
              <a:lnTo>
                <a:pt x="918656" y="0"/>
              </a:lnTo>
              <a:lnTo>
                <a:pt x="9367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0.36979</cdr:x>
      <cdr:y>0.65419</cdr:y>
    </cdr:from>
    <cdr:to>
      <cdr:x>0.49767</cdr:x>
      <cdr:y>0.78118</cdr:y>
    </cdr:to>
    <cdr:sp macro="" textlink="">
      <cdr:nvSpPr>
        <cdr:cNvPr id="246" name="FracNo 911 StartRow 2809">
          <a:extLst xmlns:a="http://schemas.openxmlformats.org/drawingml/2006/main">
            <a:ext uri="{FF2B5EF4-FFF2-40B4-BE49-F238E27FC236}">
              <a16:creationId xmlns:a16="http://schemas.microsoft.com/office/drawing/2014/main" id="{025E33F5-511F-ECB9-244F-6F3FB666ADBC}"/>
            </a:ext>
          </a:extLst>
        </cdr:cNvPr>
        <cdr:cNvSpPr/>
      </cdr:nvSpPr>
      <cdr:spPr>
        <a:xfrm xmlns:a="http://schemas.openxmlformats.org/drawingml/2006/main">
          <a:off x="2705063" y="4984949"/>
          <a:ext cx="935527" cy="9676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5527" h="967655">
              <a:moveTo>
                <a:pt x="706842" y="255290"/>
              </a:moveTo>
              <a:lnTo>
                <a:pt x="49888" y="934805"/>
              </a:lnTo>
              <a:lnTo>
                <a:pt x="18129" y="967654"/>
              </a:lnTo>
              <a:lnTo>
                <a:pt x="0" y="948903"/>
              </a:lnTo>
              <a:lnTo>
                <a:pt x="31759" y="916053"/>
              </a:lnTo>
              <a:lnTo>
                <a:pt x="688713" y="236538"/>
              </a:lnTo>
              <a:lnTo>
                <a:pt x="917397" y="0"/>
              </a:lnTo>
              <a:lnTo>
                <a:pt x="9355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0.22769</cdr:x>
      <cdr:y>0.80478</cdr:y>
    </cdr:from>
    <cdr:to>
      <cdr:x>0.35637</cdr:x>
      <cdr:y>0.9301</cdr:y>
    </cdr:to>
    <cdr:sp macro="" textlink="">
      <cdr:nvSpPr>
        <cdr:cNvPr id="247" name="FracNo 879 StartRow 2820">
          <a:extLst xmlns:a="http://schemas.openxmlformats.org/drawingml/2006/main">
            <a:ext uri="{FF2B5EF4-FFF2-40B4-BE49-F238E27FC236}">
              <a16:creationId xmlns:a16="http://schemas.microsoft.com/office/drawing/2014/main" id="{E5442701-151B-283E-390E-4B51ADE159C4}"/>
            </a:ext>
          </a:extLst>
        </cdr:cNvPr>
        <cdr:cNvSpPr/>
      </cdr:nvSpPr>
      <cdr:spPr>
        <a:xfrm xmlns:a="http://schemas.openxmlformats.org/drawingml/2006/main">
          <a:off x="1665584" y="6132450"/>
          <a:ext cx="941341" cy="9549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1341" h="954916">
              <a:moveTo>
                <a:pt x="393880" y="585012"/>
              </a:moveTo>
              <a:lnTo>
                <a:pt x="36259" y="954915"/>
              </a:lnTo>
              <a:lnTo>
                <a:pt x="0" y="954915"/>
              </a:lnTo>
              <a:lnTo>
                <a:pt x="364785" y="577603"/>
              </a:lnTo>
              <a:lnTo>
                <a:pt x="923210" y="0"/>
              </a:lnTo>
              <a:lnTo>
                <a:pt x="9413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0.81648</cdr:x>
      <cdr:y>0.09649</cdr:y>
    </cdr:from>
    <cdr:to>
      <cdr:x>0.94246</cdr:x>
      <cdr:y>0.22405</cdr:y>
    </cdr:to>
    <cdr:sp macro="" textlink="">
      <cdr:nvSpPr>
        <cdr:cNvPr id="248" name="FracNo 946 StartRow 2829">
          <a:extLst xmlns:a="http://schemas.openxmlformats.org/drawingml/2006/main">
            <a:ext uri="{FF2B5EF4-FFF2-40B4-BE49-F238E27FC236}">
              <a16:creationId xmlns:a16="http://schemas.microsoft.com/office/drawing/2014/main" id="{40183C42-76E4-3CA0-9A14-7685037E8E63}"/>
            </a:ext>
          </a:extLst>
        </cdr:cNvPr>
        <cdr:cNvSpPr/>
      </cdr:nvSpPr>
      <cdr:spPr>
        <a:xfrm xmlns:a="http://schemas.openxmlformats.org/drawingml/2006/main">
          <a:off x="5972687" y="735231"/>
          <a:ext cx="921621" cy="9720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1621" h="972023">
              <a:moveTo>
                <a:pt x="382572" y="595063"/>
              </a:moveTo>
              <a:lnTo>
                <a:pt x="18129" y="972022"/>
              </a:lnTo>
              <a:lnTo>
                <a:pt x="0" y="953270"/>
              </a:lnTo>
              <a:lnTo>
                <a:pt x="371756" y="568748"/>
              </a:lnTo>
              <a:lnTo>
                <a:pt x="921620" y="0"/>
              </a:lnTo>
              <a:lnTo>
                <a:pt x="92162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0.3281</cdr:x>
      <cdr:y>0.18276</cdr:y>
    </cdr:from>
    <cdr:to>
      <cdr:x>0.45409</cdr:x>
      <cdr:y>0.30787</cdr:y>
    </cdr:to>
    <cdr:sp macro="" textlink="">
      <cdr:nvSpPr>
        <cdr:cNvPr id="249" name="FracNo 848 StartRow 2838">
          <a:extLst xmlns:a="http://schemas.openxmlformats.org/drawingml/2006/main">
            <a:ext uri="{FF2B5EF4-FFF2-40B4-BE49-F238E27FC236}">
              <a16:creationId xmlns:a16="http://schemas.microsoft.com/office/drawing/2014/main" id="{41E8EF36-BEDC-7AE6-8091-4423171D7898}"/>
            </a:ext>
          </a:extLst>
        </cdr:cNvPr>
        <cdr:cNvSpPr/>
      </cdr:nvSpPr>
      <cdr:spPr>
        <a:xfrm xmlns:a="http://schemas.openxmlformats.org/drawingml/2006/main">
          <a:off x="2400095" y="1392668"/>
          <a:ext cx="921683" cy="9533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1683" h="953335">
              <a:moveTo>
                <a:pt x="348035" y="574595"/>
              </a:moveTo>
              <a:lnTo>
                <a:pt x="336727" y="586292"/>
              </a:lnTo>
              <a:lnTo>
                <a:pt x="0" y="934582"/>
              </a:lnTo>
              <a:lnTo>
                <a:pt x="18129" y="953334"/>
              </a:lnTo>
              <a:lnTo>
                <a:pt x="354856" y="605044"/>
              </a:lnTo>
              <a:lnTo>
                <a:pt x="366164" y="593347"/>
              </a:lnTo>
              <a:lnTo>
                <a:pt x="921682" y="18752"/>
              </a:lnTo>
              <a:lnTo>
                <a:pt x="9035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0.46847</cdr:x>
      <cdr:y>0.57225</cdr:y>
    </cdr:from>
    <cdr:to>
      <cdr:x>0.59381</cdr:x>
      <cdr:y>0.6967</cdr:y>
    </cdr:to>
    <cdr:sp macro="" textlink="">
      <cdr:nvSpPr>
        <cdr:cNvPr id="250" name="FracNo 182 StartRow 2849">
          <a:extLst xmlns:a="http://schemas.openxmlformats.org/drawingml/2006/main">
            <a:ext uri="{FF2B5EF4-FFF2-40B4-BE49-F238E27FC236}">
              <a16:creationId xmlns:a16="http://schemas.microsoft.com/office/drawing/2014/main" id="{320C78D9-A869-D698-DA7F-CFF696F5BE05}"/>
            </a:ext>
          </a:extLst>
        </cdr:cNvPr>
        <cdr:cNvSpPr/>
      </cdr:nvSpPr>
      <cdr:spPr>
        <a:xfrm xmlns:a="http://schemas.openxmlformats.org/drawingml/2006/main">
          <a:off x="3426976" y="4360525"/>
          <a:ext cx="916844" cy="9483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6844" h="948330">
              <a:moveTo>
                <a:pt x="189065" y="771523"/>
              </a:moveTo>
              <a:lnTo>
                <a:pt x="18129" y="948329"/>
              </a:lnTo>
              <a:lnTo>
                <a:pt x="0" y="929577"/>
              </a:lnTo>
              <a:lnTo>
                <a:pt x="170935" y="752771"/>
              </a:lnTo>
              <a:lnTo>
                <a:pt x="345684" y="572021"/>
              </a:lnTo>
              <a:lnTo>
                <a:pt x="898713" y="0"/>
              </a:lnTo>
              <a:lnTo>
                <a:pt x="916843" y="18751"/>
              </a:lnTo>
              <a:lnTo>
                <a:pt x="363813" y="5907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0.81802</cdr:x>
      <cdr:y>0.80653</cdr:y>
    </cdr:from>
    <cdr:to>
      <cdr:x>0.94246</cdr:x>
      <cdr:y>0.9301</cdr:y>
    </cdr:to>
    <cdr:sp macro="" textlink="">
      <cdr:nvSpPr>
        <cdr:cNvPr id="251" name="FracNo 1028 StartRow 2860">
          <a:extLst xmlns:a="http://schemas.openxmlformats.org/drawingml/2006/main">
            <a:ext uri="{FF2B5EF4-FFF2-40B4-BE49-F238E27FC236}">
              <a16:creationId xmlns:a16="http://schemas.microsoft.com/office/drawing/2014/main" id="{E69F615C-BAB9-6C40-C3AE-2614BBBF2268}"/>
            </a:ext>
          </a:extLst>
        </cdr:cNvPr>
        <cdr:cNvSpPr/>
      </cdr:nvSpPr>
      <cdr:spPr>
        <a:xfrm xmlns:a="http://schemas.openxmlformats.org/drawingml/2006/main">
          <a:off x="5983970" y="6145765"/>
          <a:ext cx="910338" cy="941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0338" h="941601">
              <a:moveTo>
                <a:pt x="672168" y="283852"/>
              </a:moveTo>
              <a:lnTo>
                <a:pt x="36258" y="941600"/>
              </a:lnTo>
              <a:lnTo>
                <a:pt x="0" y="941600"/>
              </a:lnTo>
              <a:lnTo>
                <a:pt x="662289" y="256567"/>
              </a:lnTo>
              <a:lnTo>
                <a:pt x="910337" y="0"/>
              </a:lnTo>
              <a:lnTo>
                <a:pt x="91033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0.23411</cdr:x>
      <cdr:y>0.80797</cdr:y>
    </cdr:from>
    <cdr:to>
      <cdr:x>0.35958</cdr:x>
      <cdr:y>0.9301</cdr:y>
    </cdr:to>
    <cdr:sp macro="" textlink="">
      <cdr:nvSpPr>
        <cdr:cNvPr id="252" name="FracNo 961 StartRow 2869">
          <a:extLst xmlns:a="http://schemas.openxmlformats.org/drawingml/2006/main">
            <a:ext uri="{FF2B5EF4-FFF2-40B4-BE49-F238E27FC236}">
              <a16:creationId xmlns:a16="http://schemas.microsoft.com/office/drawing/2014/main" id="{2A0D07CB-83C8-F618-2F33-DC4E10FA020B}"/>
            </a:ext>
          </a:extLst>
        </cdr:cNvPr>
        <cdr:cNvSpPr/>
      </cdr:nvSpPr>
      <cdr:spPr>
        <a:xfrm xmlns:a="http://schemas.openxmlformats.org/drawingml/2006/main">
          <a:off x="1712586" y="6156758"/>
          <a:ext cx="917840" cy="9306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7840" h="930608">
              <a:moveTo>
                <a:pt x="880904" y="19451"/>
              </a:moveTo>
              <a:lnTo>
                <a:pt x="0" y="930607"/>
              </a:lnTo>
              <a:lnTo>
                <a:pt x="36259" y="930607"/>
              </a:lnTo>
              <a:lnTo>
                <a:pt x="899412" y="37811"/>
              </a:lnTo>
              <a:lnTo>
                <a:pt x="917839" y="18752"/>
              </a:lnTo>
              <a:lnTo>
                <a:pt x="8997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0.81963</cdr:x>
      <cdr:y>0.54366</cdr:y>
    </cdr:from>
    <cdr:to>
      <cdr:x>0.94246</cdr:x>
      <cdr:y>0.66809</cdr:y>
    </cdr:to>
    <cdr:sp macro="" textlink="">
      <cdr:nvSpPr>
        <cdr:cNvPr id="253" name="FracNo 861 StartRow 2878">
          <a:extLst xmlns:a="http://schemas.openxmlformats.org/drawingml/2006/main">
            <a:ext uri="{FF2B5EF4-FFF2-40B4-BE49-F238E27FC236}">
              <a16:creationId xmlns:a16="http://schemas.microsoft.com/office/drawing/2014/main" id="{B3E942DF-6DD3-C523-A1D3-CCC4F427BD85}"/>
            </a:ext>
          </a:extLst>
        </cdr:cNvPr>
        <cdr:cNvSpPr/>
      </cdr:nvSpPr>
      <cdr:spPr>
        <a:xfrm xmlns:a="http://schemas.openxmlformats.org/drawingml/2006/main">
          <a:off x="5995776" y="4142679"/>
          <a:ext cx="898532" cy="948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8532" h="948141">
              <a:moveTo>
                <a:pt x="793589" y="108546"/>
              </a:moveTo>
              <a:lnTo>
                <a:pt x="134889" y="789867"/>
              </a:lnTo>
              <a:lnTo>
                <a:pt x="0" y="929388"/>
              </a:lnTo>
              <a:lnTo>
                <a:pt x="18130" y="948140"/>
              </a:lnTo>
              <a:lnTo>
                <a:pt x="153018" y="808619"/>
              </a:lnTo>
              <a:lnTo>
                <a:pt x="796080" y="143473"/>
              </a:lnTo>
              <a:lnTo>
                <a:pt x="898531" y="37503"/>
              </a:lnTo>
              <a:lnTo>
                <a:pt x="8985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0.28703</cdr:x>
      <cdr:y>0.69488</cdr:y>
    </cdr:from>
    <cdr:to>
      <cdr:x>0.41109</cdr:x>
      <cdr:y>0.81807</cdr:y>
    </cdr:to>
    <cdr:sp macro="" textlink="">
      <cdr:nvSpPr>
        <cdr:cNvPr id="254" name="FracNo 192 StartRow 2889">
          <a:extLst xmlns:a="http://schemas.openxmlformats.org/drawingml/2006/main">
            <a:ext uri="{FF2B5EF4-FFF2-40B4-BE49-F238E27FC236}">
              <a16:creationId xmlns:a16="http://schemas.microsoft.com/office/drawing/2014/main" id="{626EEBB6-ECD4-A2D9-355D-6D8F51BA6D2E}"/>
            </a:ext>
          </a:extLst>
        </cdr:cNvPr>
        <cdr:cNvSpPr/>
      </cdr:nvSpPr>
      <cdr:spPr>
        <a:xfrm xmlns:a="http://schemas.openxmlformats.org/drawingml/2006/main">
          <a:off x="2099675" y="5295012"/>
          <a:ext cx="907542" cy="9387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7542" h="938709">
              <a:moveTo>
                <a:pt x="701233" y="194641"/>
              </a:moveTo>
              <a:lnTo>
                <a:pt x="637147" y="260928"/>
              </a:lnTo>
              <a:lnTo>
                <a:pt x="0" y="919956"/>
              </a:lnTo>
              <a:lnTo>
                <a:pt x="18129" y="938708"/>
              </a:lnTo>
              <a:lnTo>
                <a:pt x="655276" y="279680"/>
              </a:lnTo>
              <a:lnTo>
                <a:pt x="719362" y="213393"/>
              </a:lnTo>
              <a:lnTo>
                <a:pt x="907541" y="18752"/>
              </a:lnTo>
              <a:lnTo>
                <a:pt x="8894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0.72704</cdr:x>
      <cdr:y>0.62214</cdr:y>
    </cdr:from>
    <cdr:to>
      <cdr:x>0.85075</cdr:x>
      <cdr:y>0.74497</cdr:y>
    </cdr:to>
    <cdr:sp macro="" textlink="">
      <cdr:nvSpPr>
        <cdr:cNvPr id="255" name="FracNo 872 StartRow 2900">
          <a:extLst xmlns:a="http://schemas.openxmlformats.org/drawingml/2006/main">
            <a:ext uri="{FF2B5EF4-FFF2-40B4-BE49-F238E27FC236}">
              <a16:creationId xmlns:a16="http://schemas.microsoft.com/office/drawing/2014/main" id="{8AD04ABF-F892-7B78-7549-64B5FC628F2E}"/>
            </a:ext>
          </a:extLst>
        </cdr:cNvPr>
        <cdr:cNvSpPr/>
      </cdr:nvSpPr>
      <cdr:spPr>
        <a:xfrm xmlns:a="http://schemas.openxmlformats.org/drawingml/2006/main">
          <a:off x="5318449" y="4740672"/>
          <a:ext cx="904958" cy="9360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4958" h="936037">
              <a:moveTo>
                <a:pt x="688070" y="205583"/>
              </a:moveTo>
              <a:lnTo>
                <a:pt x="0" y="917284"/>
              </a:lnTo>
              <a:lnTo>
                <a:pt x="18129" y="936036"/>
              </a:lnTo>
              <a:lnTo>
                <a:pt x="706200" y="224335"/>
              </a:lnTo>
              <a:lnTo>
                <a:pt x="719454" y="210626"/>
              </a:lnTo>
              <a:lnTo>
                <a:pt x="904957" y="18752"/>
              </a:lnTo>
              <a:lnTo>
                <a:pt x="886828" y="0"/>
              </a:lnTo>
              <a:lnTo>
                <a:pt x="701324" y="1918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0.82016</cdr:x>
      <cdr:y>0.1038</cdr:y>
    </cdr:from>
    <cdr:to>
      <cdr:x>0.94246</cdr:x>
      <cdr:y>0.22771</cdr:y>
    </cdr:to>
    <cdr:sp macro="" textlink="">
      <cdr:nvSpPr>
        <cdr:cNvPr id="256" name="FracNo 1029 StartRow 2911">
          <a:extLst xmlns:a="http://schemas.openxmlformats.org/drawingml/2006/main">
            <a:ext uri="{FF2B5EF4-FFF2-40B4-BE49-F238E27FC236}">
              <a16:creationId xmlns:a16="http://schemas.microsoft.com/office/drawing/2014/main" id="{A0D0A862-7F49-AA2C-92D9-D49F2ADF0C73}"/>
            </a:ext>
          </a:extLst>
        </cdr:cNvPr>
        <cdr:cNvSpPr/>
      </cdr:nvSpPr>
      <cdr:spPr>
        <a:xfrm xmlns:a="http://schemas.openxmlformats.org/drawingml/2006/main">
          <a:off x="5999630" y="790966"/>
          <a:ext cx="894678" cy="9441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4678" h="944156">
              <a:moveTo>
                <a:pt x="261173" y="692764"/>
              </a:moveTo>
              <a:lnTo>
                <a:pt x="18129" y="944155"/>
              </a:lnTo>
              <a:lnTo>
                <a:pt x="0" y="925403"/>
              </a:lnTo>
              <a:lnTo>
                <a:pt x="248071" y="668813"/>
              </a:lnTo>
              <a:lnTo>
                <a:pt x="894677" y="0"/>
              </a:lnTo>
              <a:lnTo>
                <a:pt x="89467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0.70259</cdr:x>
      <cdr:y>0.80883</cdr:y>
    </cdr:from>
    <cdr:to>
      <cdr:x>0.82719</cdr:x>
      <cdr:y>0.9301</cdr:y>
    </cdr:to>
    <cdr:sp macro="" textlink="">
      <cdr:nvSpPr>
        <cdr:cNvPr id="257" name="FracNo 507 StartRow 2920">
          <a:extLst xmlns:a="http://schemas.openxmlformats.org/drawingml/2006/main">
            <a:ext uri="{FF2B5EF4-FFF2-40B4-BE49-F238E27FC236}">
              <a16:creationId xmlns:a16="http://schemas.microsoft.com/office/drawing/2014/main" id="{96B685A4-C907-4838-7D7E-6ED329B88B1A}"/>
            </a:ext>
          </a:extLst>
        </cdr:cNvPr>
        <cdr:cNvSpPr/>
      </cdr:nvSpPr>
      <cdr:spPr>
        <a:xfrm xmlns:a="http://schemas.openxmlformats.org/drawingml/2006/main">
          <a:off x="5139557" y="6163294"/>
          <a:ext cx="911521" cy="9240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1521" h="924072">
              <a:moveTo>
                <a:pt x="859349" y="35211"/>
              </a:moveTo>
              <a:lnTo>
                <a:pt x="0" y="924071"/>
              </a:lnTo>
              <a:lnTo>
                <a:pt x="36258" y="924071"/>
              </a:lnTo>
              <a:lnTo>
                <a:pt x="878168" y="53248"/>
              </a:lnTo>
              <a:lnTo>
                <a:pt x="911520" y="18752"/>
              </a:lnTo>
              <a:lnTo>
                <a:pt x="8933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0.6564</cdr:x>
      <cdr:y>0.08544</cdr:y>
    </cdr:from>
    <cdr:to>
      <cdr:x>0.78046</cdr:x>
      <cdr:y>0.20616</cdr:y>
    </cdr:to>
    <cdr:sp macro="" textlink="">
      <cdr:nvSpPr>
        <cdr:cNvPr id="258" name="FracNo 1022 StartRow 2929">
          <a:extLst xmlns:a="http://schemas.openxmlformats.org/drawingml/2006/main">
            <a:ext uri="{FF2B5EF4-FFF2-40B4-BE49-F238E27FC236}">
              <a16:creationId xmlns:a16="http://schemas.microsoft.com/office/drawing/2014/main" id="{3DBFFBCE-C582-0684-389F-7A28FA083E15}"/>
            </a:ext>
          </a:extLst>
        </cdr:cNvPr>
        <cdr:cNvSpPr/>
      </cdr:nvSpPr>
      <cdr:spPr>
        <a:xfrm xmlns:a="http://schemas.openxmlformats.org/drawingml/2006/main">
          <a:off x="4801719" y="651036"/>
          <a:ext cx="907481" cy="919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7481" h="919894">
              <a:moveTo>
                <a:pt x="679810" y="197985"/>
              </a:moveTo>
              <a:lnTo>
                <a:pt x="9313" y="891507"/>
              </a:lnTo>
              <a:lnTo>
                <a:pt x="0" y="901140"/>
              </a:lnTo>
              <a:lnTo>
                <a:pt x="18129" y="919893"/>
              </a:lnTo>
              <a:lnTo>
                <a:pt x="27442" y="910260"/>
              </a:lnTo>
              <a:lnTo>
                <a:pt x="712042" y="202149"/>
              </a:lnTo>
              <a:lnTo>
                <a:pt x="907480" y="0"/>
              </a:lnTo>
              <a:lnTo>
                <a:pt x="8712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0.59035</cdr:x>
      <cdr:y>0.17744</cdr:y>
    </cdr:from>
    <cdr:to>
      <cdr:x>0.71247</cdr:x>
      <cdr:y>0.2987</cdr:y>
    </cdr:to>
    <cdr:sp macro="" textlink="">
      <cdr:nvSpPr>
        <cdr:cNvPr id="259" name="FracNo 907 StartRow 2940">
          <a:extLst xmlns:a="http://schemas.openxmlformats.org/drawingml/2006/main">
            <a:ext uri="{FF2B5EF4-FFF2-40B4-BE49-F238E27FC236}">
              <a16:creationId xmlns:a16="http://schemas.microsoft.com/office/drawing/2014/main" id="{9EFADBC1-08F2-B9E8-794D-67B016743705}"/>
            </a:ext>
          </a:extLst>
        </cdr:cNvPr>
        <cdr:cNvSpPr/>
      </cdr:nvSpPr>
      <cdr:spPr>
        <a:xfrm xmlns:a="http://schemas.openxmlformats.org/drawingml/2006/main">
          <a:off x="4318564" y="1352082"/>
          <a:ext cx="893321" cy="9239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3321" h="923999">
              <a:moveTo>
                <a:pt x="753939" y="162920"/>
              </a:moveTo>
              <a:lnTo>
                <a:pt x="510597" y="414618"/>
              </a:lnTo>
              <a:lnTo>
                <a:pt x="18129" y="923998"/>
              </a:lnTo>
              <a:lnTo>
                <a:pt x="0" y="905246"/>
              </a:lnTo>
              <a:lnTo>
                <a:pt x="492468" y="395866"/>
              </a:lnTo>
              <a:lnTo>
                <a:pt x="735809" y="144168"/>
              </a:lnTo>
              <a:lnTo>
                <a:pt x="875190" y="0"/>
              </a:lnTo>
              <a:lnTo>
                <a:pt x="8933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0.52989</cdr:y>
    </cdr:from>
    <cdr:to>
      <cdr:x>0.21255</cdr:x>
      <cdr:y>0.65224</cdr:y>
    </cdr:to>
    <cdr:sp macro="" textlink="">
      <cdr:nvSpPr>
        <cdr:cNvPr id="260" name="FracNo 105 StartRow 2951">
          <a:extLst xmlns:a="http://schemas.openxmlformats.org/drawingml/2006/main">
            <a:ext uri="{FF2B5EF4-FFF2-40B4-BE49-F238E27FC236}">
              <a16:creationId xmlns:a16="http://schemas.microsoft.com/office/drawing/2014/main" id="{F29369B1-315A-4A8E-ECA4-2D8D83107E34}"/>
            </a:ext>
          </a:extLst>
        </cdr:cNvPr>
        <cdr:cNvSpPr/>
      </cdr:nvSpPr>
      <cdr:spPr>
        <a:xfrm xmlns:a="http://schemas.openxmlformats.org/drawingml/2006/main">
          <a:off x="662611" y="4037781"/>
          <a:ext cx="892240" cy="9322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2240" h="932258">
              <a:moveTo>
                <a:pt x="213573" y="683222"/>
              </a:moveTo>
              <a:lnTo>
                <a:pt x="9053" y="894765"/>
              </a:lnTo>
              <a:lnTo>
                <a:pt x="0" y="904129"/>
              </a:lnTo>
              <a:lnTo>
                <a:pt x="9065" y="932257"/>
              </a:lnTo>
              <a:lnTo>
                <a:pt x="18502" y="922495"/>
              </a:lnTo>
              <a:lnTo>
                <a:pt x="225074" y="708829"/>
              </a:lnTo>
              <a:lnTo>
                <a:pt x="892239" y="18752"/>
              </a:lnTo>
              <a:lnTo>
                <a:pt x="8741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0.5483</cdr:x>
      <cdr:y>0.34945</cdr:y>
    </cdr:from>
    <cdr:to>
      <cdr:x>0.66957</cdr:x>
      <cdr:y>0.46987</cdr:y>
    </cdr:to>
    <cdr:sp macro="" textlink="">
      <cdr:nvSpPr>
        <cdr:cNvPr id="261" name="FracNo 850 StartRow 2962">
          <a:extLst xmlns:a="http://schemas.openxmlformats.org/drawingml/2006/main">
            <a:ext uri="{FF2B5EF4-FFF2-40B4-BE49-F238E27FC236}">
              <a16:creationId xmlns:a16="http://schemas.microsoft.com/office/drawing/2014/main" id="{72283024-3CB4-21A7-C893-4F34B40E4DAD}"/>
            </a:ext>
          </a:extLst>
        </cdr:cNvPr>
        <cdr:cNvSpPr/>
      </cdr:nvSpPr>
      <cdr:spPr>
        <a:xfrm xmlns:a="http://schemas.openxmlformats.org/drawingml/2006/main">
          <a:off x="4010960" y="2662838"/>
          <a:ext cx="887078" cy="9175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7078" h="917542">
              <a:moveTo>
                <a:pt x="872834" y="33484"/>
              </a:moveTo>
              <a:lnTo>
                <a:pt x="818201" y="89993"/>
              </a:lnTo>
              <a:lnTo>
                <a:pt x="766938" y="143017"/>
              </a:lnTo>
              <a:lnTo>
                <a:pt x="18129" y="917541"/>
              </a:lnTo>
              <a:lnTo>
                <a:pt x="0" y="898789"/>
              </a:lnTo>
              <a:lnTo>
                <a:pt x="748808" y="124265"/>
              </a:lnTo>
              <a:lnTo>
                <a:pt x="800072" y="71241"/>
              </a:lnTo>
              <a:lnTo>
                <a:pt x="854705" y="14732"/>
              </a:lnTo>
              <a:lnTo>
                <a:pt x="868948" y="0"/>
              </a:lnTo>
              <a:lnTo>
                <a:pt x="8870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0.2083</cdr:x>
      <cdr:y>0.30437</cdr:y>
    </cdr:from>
    <cdr:to>
      <cdr:x>0.32952</cdr:x>
      <cdr:y>0.42474</cdr:y>
    </cdr:to>
    <cdr:sp macro="" textlink="">
      <cdr:nvSpPr>
        <cdr:cNvPr id="262" name="FracNo 438 StartRow 2975">
          <a:extLst xmlns:a="http://schemas.openxmlformats.org/drawingml/2006/main">
            <a:ext uri="{FF2B5EF4-FFF2-40B4-BE49-F238E27FC236}">
              <a16:creationId xmlns:a16="http://schemas.microsoft.com/office/drawing/2014/main" id="{A6F59BF1-AB63-804D-BC30-3BA27CEC5714}"/>
            </a:ext>
          </a:extLst>
        </cdr:cNvPr>
        <cdr:cNvSpPr/>
      </cdr:nvSpPr>
      <cdr:spPr>
        <a:xfrm xmlns:a="http://schemas.openxmlformats.org/drawingml/2006/main">
          <a:off x="1523771" y="2319297"/>
          <a:ext cx="886766" cy="9172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6766" h="917220">
              <a:moveTo>
                <a:pt x="683784" y="191200"/>
              </a:moveTo>
              <a:lnTo>
                <a:pt x="416362" y="467806"/>
              </a:lnTo>
              <a:lnTo>
                <a:pt x="0" y="898467"/>
              </a:lnTo>
              <a:lnTo>
                <a:pt x="18129" y="917219"/>
              </a:lnTo>
              <a:lnTo>
                <a:pt x="434491" y="486558"/>
              </a:lnTo>
              <a:lnTo>
                <a:pt x="701913" y="209952"/>
              </a:lnTo>
              <a:lnTo>
                <a:pt x="886765" y="18752"/>
              </a:lnTo>
              <a:lnTo>
                <a:pt x="8686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0.69153</cdr:x>
      <cdr:y>0.81125</cdr:y>
    </cdr:from>
    <cdr:to>
      <cdr:x>0.81371</cdr:x>
      <cdr:y>0.9301</cdr:y>
    </cdr:to>
    <cdr:sp macro="" textlink="">
      <cdr:nvSpPr>
        <cdr:cNvPr id="263" name="FracNo 852 StartRow 2986">
          <a:extLst xmlns:a="http://schemas.openxmlformats.org/drawingml/2006/main">
            <a:ext uri="{FF2B5EF4-FFF2-40B4-BE49-F238E27FC236}">
              <a16:creationId xmlns:a16="http://schemas.microsoft.com/office/drawing/2014/main" id="{F93DC986-913B-3A3B-3E50-244C1DF372F2}"/>
            </a:ext>
          </a:extLst>
        </cdr:cNvPr>
        <cdr:cNvSpPr/>
      </cdr:nvSpPr>
      <cdr:spPr>
        <a:xfrm xmlns:a="http://schemas.openxmlformats.org/drawingml/2006/main">
          <a:off x="5058711" y="6181704"/>
          <a:ext cx="893722" cy="9056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3722" h="905662">
              <a:moveTo>
                <a:pt x="459967" y="429898"/>
              </a:moveTo>
              <a:lnTo>
                <a:pt x="0" y="905661"/>
              </a:lnTo>
              <a:lnTo>
                <a:pt x="36259" y="905661"/>
              </a:lnTo>
              <a:lnTo>
                <a:pt x="486702" y="439748"/>
              </a:lnTo>
              <a:lnTo>
                <a:pt x="893721" y="18752"/>
              </a:lnTo>
              <a:lnTo>
                <a:pt x="8755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0.10638</cdr:x>
      <cdr:y>0.08544</cdr:y>
    </cdr:from>
    <cdr:to>
      <cdr:x>0.22835</cdr:x>
      <cdr:y>0.20409</cdr:y>
    </cdr:to>
    <cdr:sp macro="" textlink="">
      <cdr:nvSpPr>
        <cdr:cNvPr id="264" name="FracNo 424 StartRow 2995">
          <a:extLst xmlns:a="http://schemas.openxmlformats.org/drawingml/2006/main">
            <a:ext uri="{FF2B5EF4-FFF2-40B4-BE49-F238E27FC236}">
              <a16:creationId xmlns:a16="http://schemas.microsoft.com/office/drawing/2014/main" id="{7F6AEF42-E8FB-91E3-9CAF-230F63DF7380}"/>
            </a:ext>
          </a:extLst>
        </cdr:cNvPr>
        <cdr:cNvSpPr/>
      </cdr:nvSpPr>
      <cdr:spPr>
        <a:xfrm xmlns:a="http://schemas.openxmlformats.org/drawingml/2006/main">
          <a:off x="778155" y="651036"/>
          <a:ext cx="892242" cy="904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2242" h="904131">
              <a:moveTo>
                <a:pt x="97570" y="784458"/>
              </a:moveTo>
              <a:lnTo>
                <a:pt x="0" y="885378"/>
              </a:lnTo>
              <a:lnTo>
                <a:pt x="18129" y="904130"/>
              </a:lnTo>
              <a:lnTo>
                <a:pt x="117765" y="801072"/>
              </a:lnTo>
              <a:lnTo>
                <a:pt x="892241" y="0"/>
              </a:lnTo>
              <a:lnTo>
                <a:pt x="855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0.82329</cdr:x>
      <cdr:y>0.10985</cdr:y>
    </cdr:from>
    <cdr:to>
      <cdr:x>0.94246</cdr:x>
      <cdr:y>0.23065</cdr:y>
    </cdr:to>
    <cdr:sp macro="" textlink="">
      <cdr:nvSpPr>
        <cdr:cNvPr id="265" name="FracNo 894 StartRow 3004">
          <a:extLst xmlns:a="http://schemas.openxmlformats.org/drawingml/2006/main">
            <a:ext uri="{FF2B5EF4-FFF2-40B4-BE49-F238E27FC236}">
              <a16:creationId xmlns:a16="http://schemas.microsoft.com/office/drawing/2014/main" id="{A8D2AC7A-CAEA-C994-044C-B1EC9445A8B3}"/>
            </a:ext>
          </a:extLst>
        </cdr:cNvPr>
        <cdr:cNvSpPr/>
      </cdr:nvSpPr>
      <cdr:spPr>
        <a:xfrm xmlns:a="http://schemas.openxmlformats.org/drawingml/2006/main">
          <a:off x="6022559" y="837089"/>
          <a:ext cx="871749" cy="9204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1749" h="920439">
              <a:moveTo>
                <a:pt x="550443" y="332340"/>
              </a:moveTo>
              <a:lnTo>
                <a:pt x="0" y="901686"/>
              </a:lnTo>
              <a:lnTo>
                <a:pt x="18129" y="920438"/>
              </a:lnTo>
              <a:lnTo>
                <a:pt x="557125" y="362932"/>
              </a:lnTo>
              <a:lnTo>
                <a:pt x="871748" y="37504"/>
              </a:lnTo>
              <a:lnTo>
                <a:pt x="8717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0.82369</cdr:x>
      <cdr:y>0.55171</cdr:y>
    </cdr:from>
    <cdr:to>
      <cdr:x>0.94246</cdr:x>
      <cdr:y>0.67211</cdr:y>
    </cdr:to>
    <cdr:sp macro="" textlink="">
      <cdr:nvSpPr>
        <cdr:cNvPr id="266" name="FracNo 1027 StartRow 3013">
          <a:extLst xmlns:a="http://schemas.openxmlformats.org/drawingml/2006/main">
            <a:ext uri="{FF2B5EF4-FFF2-40B4-BE49-F238E27FC236}">
              <a16:creationId xmlns:a16="http://schemas.microsoft.com/office/drawing/2014/main" id="{809E9820-B994-29ED-F049-C4CFBA13D2C0}"/>
            </a:ext>
          </a:extLst>
        </cdr:cNvPr>
        <cdr:cNvSpPr/>
      </cdr:nvSpPr>
      <cdr:spPr>
        <a:xfrm xmlns:a="http://schemas.openxmlformats.org/drawingml/2006/main">
          <a:off x="6025429" y="4204021"/>
          <a:ext cx="868879" cy="9174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879" h="917470">
              <a:moveTo>
                <a:pt x="347267" y="539524"/>
              </a:moveTo>
              <a:lnTo>
                <a:pt x="164541" y="728525"/>
              </a:lnTo>
              <a:lnTo>
                <a:pt x="0" y="898717"/>
              </a:lnTo>
              <a:lnTo>
                <a:pt x="18129" y="917469"/>
              </a:lnTo>
              <a:lnTo>
                <a:pt x="182670" y="747277"/>
              </a:lnTo>
              <a:lnTo>
                <a:pt x="360693" y="563141"/>
              </a:lnTo>
              <a:lnTo>
                <a:pt x="868878" y="37503"/>
              </a:lnTo>
              <a:lnTo>
                <a:pt x="8688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0.40668</cdr:x>
      <cdr:y>0.17701</cdr:y>
    </cdr:from>
    <cdr:to>
      <cdr:x>0.52659</cdr:x>
      <cdr:y>0.29607</cdr:y>
    </cdr:to>
    <cdr:sp macro="" textlink="">
      <cdr:nvSpPr>
        <cdr:cNvPr id="267" name="FracNo 356 StartRow 3024">
          <a:extLst xmlns:a="http://schemas.openxmlformats.org/drawingml/2006/main">
            <a:ext uri="{FF2B5EF4-FFF2-40B4-BE49-F238E27FC236}">
              <a16:creationId xmlns:a16="http://schemas.microsoft.com/office/drawing/2014/main" id="{48E45474-3524-A4CC-20FF-DE556FFF9068}"/>
            </a:ext>
          </a:extLst>
        </cdr:cNvPr>
        <cdr:cNvSpPr/>
      </cdr:nvSpPr>
      <cdr:spPr>
        <a:xfrm xmlns:a="http://schemas.openxmlformats.org/drawingml/2006/main">
          <a:off x="2974957" y="1348810"/>
          <a:ext cx="877139" cy="9072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7139" h="907263">
              <a:moveTo>
                <a:pt x="454187" y="418725"/>
              </a:moveTo>
              <a:lnTo>
                <a:pt x="0" y="888510"/>
              </a:lnTo>
              <a:lnTo>
                <a:pt x="18129" y="907262"/>
              </a:lnTo>
              <a:lnTo>
                <a:pt x="472316" y="437477"/>
              </a:lnTo>
              <a:lnTo>
                <a:pt x="877138" y="18752"/>
              </a:lnTo>
              <a:lnTo>
                <a:pt x="8590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0.653</cdr:x>
      <cdr:y>0.08544</cdr:y>
    </cdr:from>
    <cdr:to>
      <cdr:x>0.77366</cdr:x>
      <cdr:y>0.20278</cdr:y>
    </cdr:to>
    <cdr:sp macro="" textlink="">
      <cdr:nvSpPr>
        <cdr:cNvPr id="268" name="FracNo 265 StartRow 3033">
          <a:extLst xmlns:a="http://schemas.openxmlformats.org/drawingml/2006/main">
            <a:ext uri="{FF2B5EF4-FFF2-40B4-BE49-F238E27FC236}">
              <a16:creationId xmlns:a16="http://schemas.microsoft.com/office/drawing/2014/main" id="{74B88C45-A9CF-6A85-4CC7-33B00488C172}"/>
            </a:ext>
          </a:extLst>
        </cdr:cNvPr>
        <cdr:cNvSpPr/>
      </cdr:nvSpPr>
      <cdr:spPr>
        <a:xfrm xmlns:a="http://schemas.openxmlformats.org/drawingml/2006/main">
          <a:off x="4776852" y="651036"/>
          <a:ext cx="882614" cy="894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2614" h="894172">
              <a:moveTo>
                <a:pt x="764360" y="122313"/>
              </a:moveTo>
              <a:lnTo>
                <a:pt x="52309" y="858818"/>
              </a:lnTo>
              <a:lnTo>
                <a:pt x="18129" y="894171"/>
              </a:lnTo>
              <a:lnTo>
                <a:pt x="0" y="875420"/>
              </a:lnTo>
              <a:lnTo>
                <a:pt x="34180" y="840065"/>
              </a:lnTo>
              <a:lnTo>
                <a:pt x="730684" y="119643"/>
              </a:lnTo>
              <a:lnTo>
                <a:pt x="846354" y="0"/>
              </a:lnTo>
              <a:lnTo>
                <a:pt x="8826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0.82493</cdr:x>
      <cdr:y>0.19455</cdr:y>
    </cdr:from>
    <cdr:to>
      <cdr:x>0.94246</cdr:x>
      <cdr:y>0.31371</cdr:y>
    </cdr:to>
    <cdr:sp macro="" textlink="">
      <cdr:nvSpPr>
        <cdr:cNvPr id="269" name="FracNo 816 StartRow 3044">
          <a:extLst xmlns:a="http://schemas.openxmlformats.org/drawingml/2006/main">
            <a:ext uri="{FF2B5EF4-FFF2-40B4-BE49-F238E27FC236}">
              <a16:creationId xmlns:a16="http://schemas.microsoft.com/office/drawing/2014/main" id="{C7882610-60B9-7317-C61C-2E4C8B12E1C7}"/>
            </a:ext>
          </a:extLst>
        </cdr:cNvPr>
        <cdr:cNvSpPr/>
      </cdr:nvSpPr>
      <cdr:spPr>
        <a:xfrm xmlns:a="http://schemas.openxmlformats.org/drawingml/2006/main">
          <a:off x="6034546" y="1482454"/>
          <a:ext cx="859762" cy="9080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9762" h="908041">
              <a:moveTo>
                <a:pt x="177734" y="705449"/>
              </a:moveTo>
              <a:lnTo>
                <a:pt x="0" y="889288"/>
              </a:lnTo>
              <a:lnTo>
                <a:pt x="18128" y="908040"/>
              </a:lnTo>
              <a:lnTo>
                <a:pt x="192116" y="728077"/>
              </a:lnTo>
              <a:lnTo>
                <a:pt x="859761" y="37503"/>
              </a:lnTo>
              <a:lnTo>
                <a:pt x="8597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0.82455</cdr:x>
      <cdr:y>0.08544</cdr:y>
    </cdr:from>
    <cdr:to>
      <cdr:x>0.94325</cdr:x>
      <cdr:y>0.20207</cdr:y>
    </cdr:to>
    <cdr:sp macro="" textlink="">
      <cdr:nvSpPr>
        <cdr:cNvPr id="270" name="FracNo 796 StartRow 3053">
          <a:extLst xmlns:a="http://schemas.openxmlformats.org/drawingml/2006/main">
            <a:ext uri="{FF2B5EF4-FFF2-40B4-BE49-F238E27FC236}">
              <a16:creationId xmlns:a16="http://schemas.microsoft.com/office/drawing/2014/main" id="{EFC4C321-B296-A69C-1749-D0DEED5A170D}"/>
            </a:ext>
          </a:extLst>
        </cdr:cNvPr>
        <cdr:cNvSpPr/>
      </cdr:nvSpPr>
      <cdr:spPr>
        <a:xfrm xmlns:a="http://schemas.openxmlformats.org/drawingml/2006/main">
          <a:off x="6031779" y="651036"/>
          <a:ext cx="868260" cy="888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260" h="888702">
              <a:moveTo>
                <a:pt x="451045" y="403414"/>
              </a:moveTo>
              <a:lnTo>
                <a:pt x="0" y="869949"/>
              </a:lnTo>
              <a:lnTo>
                <a:pt x="18129" y="888701"/>
              </a:lnTo>
              <a:lnTo>
                <a:pt x="474035" y="417138"/>
              </a:lnTo>
              <a:lnTo>
                <a:pt x="868259" y="9376"/>
              </a:lnTo>
              <a:lnTo>
                <a:pt x="8410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0.21042</cdr:x>
      <cdr:y>0.20321</cdr:y>
    </cdr:to>
    <cdr:sp macro="" textlink="">
      <cdr:nvSpPr>
        <cdr:cNvPr id="271" name="FracNo 425 StartRow 3062">
          <a:extLst xmlns:a="http://schemas.openxmlformats.org/drawingml/2006/main">
            <a:ext uri="{FF2B5EF4-FFF2-40B4-BE49-F238E27FC236}">
              <a16:creationId xmlns:a16="http://schemas.microsoft.com/office/drawing/2014/main" id="{86084E64-DFDA-46B1-BFF2-B9241D62E5EC}"/>
            </a:ext>
          </a:extLst>
        </cdr:cNvPr>
        <cdr:cNvSpPr/>
      </cdr:nvSpPr>
      <cdr:spPr>
        <a:xfrm xmlns:a="http://schemas.openxmlformats.org/drawingml/2006/main">
          <a:off x="671676" y="651036"/>
          <a:ext cx="867610" cy="8974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7610" h="897405">
              <a:moveTo>
                <a:pt x="493925" y="386517"/>
              </a:moveTo>
              <a:lnTo>
                <a:pt x="0" y="897404"/>
              </a:lnTo>
              <a:lnTo>
                <a:pt x="0" y="859901"/>
              </a:lnTo>
              <a:lnTo>
                <a:pt x="473284" y="370364"/>
              </a:lnTo>
              <a:lnTo>
                <a:pt x="831351" y="0"/>
              </a:lnTo>
              <a:lnTo>
                <a:pt x="8676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0.63657</cdr:x>
      <cdr:y>0.38842</cdr:y>
    </cdr:from>
    <cdr:to>
      <cdr:x>0.75505</cdr:x>
      <cdr:y>0.50607</cdr:y>
    </cdr:to>
    <cdr:sp macro="" textlink="">
      <cdr:nvSpPr>
        <cdr:cNvPr id="272" name="FracNo 594 StartRow 3071">
          <a:extLst xmlns:a="http://schemas.openxmlformats.org/drawingml/2006/main">
            <a:ext uri="{FF2B5EF4-FFF2-40B4-BE49-F238E27FC236}">
              <a16:creationId xmlns:a16="http://schemas.microsoft.com/office/drawing/2014/main" id="{5C955659-CC32-2772-CDF4-07E98A8DD30E}"/>
            </a:ext>
          </a:extLst>
        </cdr:cNvPr>
        <cdr:cNvSpPr/>
      </cdr:nvSpPr>
      <cdr:spPr>
        <a:xfrm xmlns:a="http://schemas.openxmlformats.org/drawingml/2006/main">
          <a:off x="4656613" y="2959788"/>
          <a:ext cx="866702" cy="896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6702" h="896466">
              <a:moveTo>
                <a:pt x="736347" y="153582"/>
              </a:moveTo>
              <a:lnTo>
                <a:pt x="172548" y="736743"/>
              </a:lnTo>
              <a:lnTo>
                <a:pt x="18130" y="896465"/>
              </a:lnTo>
              <a:lnTo>
                <a:pt x="0" y="877712"/>
              </a:lnTo>
              <a:lnTo>
                <a:pt x="154419" y="717991"/>
              </a:lnTo>
              <a:lnTo>
                <a:pt x="718217" y="134830"/>
              </a:lnTo>
              <a:lnTo>
                <a:pt x="848572" y="0"/>
              </a:lnTo>
              <a:lnTo>
                <a:pt x="8667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0.45345</cdr:x>
      <cdr:y>0.32454</cdr:y>
    </cdr:from>
    <cdr:to>
      <cdr:x>0.57097</cdr:x>
      <cdr:y>0.44123</cdr:y>
    </cdr:to>
    <cdr:sp macro="" textlink="">
      <cdr:nvSpPr>
        <cdr:cNvPr id="273" name="FracNo 729 StartRow 3082">
          <a:extLst xmlns:a="http://schemas.openxmlformats.org/drawingml/2006/main">
            <a:ext uri="{FF2B5EF4-FFF2-40B4-BE49-F238E27FC236}">
              <a16:creationId xmlns:a16="http://schemas.microsoft.com/office/drawing/2014/main" id="{533F9078-E430-628D-3269-832D4081C079}"/>
            </a:ext>
          </a:extLst>
        </cdr:cNvPr>
        <cdr:cNvSpPr/>
      </cdr:nvSpPr>
      <cdr:spPr>
        <a:xfrm xmlns:a="http://schemas.openxmlformats.org/drawingml/2006/main">
          <a:off x="3317086" y="2472964"/>
          <a:ext cx="859696" cy="8892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9696" h="889220">
              <a:moveTo>
                <a:pt x="771692" y="109777"/>
              </a:moveTo>
              <a:lnTo>
                <a:pt x="555986" y="332891"/>
              </a:lnTo>
              <a:lnTo>
                <a:pt x="18129" y="889219"/>
              </a:lnTo>
              <a:lnTo>
                <a:pt x="0" y="870468"/>
              </a:lnTo>
              <a:lnTo>
                <a:pt x="537857" y="314139"/>
              </a:lnTo>
              <a:lnTo>
                <a:pt x="753563" y="91025"/>
              </a:lnTo>
              <a:lnTo>
                <a:pt x="841566" y="0"/>
              </a:lnTo>
              <a:lnTo>
                <a:pt x="8596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0.7915</cdr:x>
      <cdr:y>0.55743</cdr:y>
    </cdr:from>
    <cdr:to>
      <cdr:x>0.90891</cdr:x>
      <cdr:y>0.674</cdr:y>
    </cdr:to>
    <cdr:sp macro="" textlink="">
      <cdr:nvSpPr>
        <cdr:cNvPr id="274" name="FracNo 933 StartRow 3093">
          <a:extLst xmlns:a="http://schemas.openxmlformats.org/drawingml/2006/main">
            <a:ext uri="{FF2B5EF4-FFF2-40B4-BE49-F238E27FC236}">
              <a16:creationId xmlns:a16="http://schemas.microsoft.com/office/drawing/2014/main" id="{94274000-B27B-3DC3-24EE-6E4BAAAA07E4}"/>
            </a:ext>
          </a:extLst>
        </cdr:cNvPr>
        <cdr:cNvSpPr/>
      </cdr:nvSpPr>
      <cdr:spPr>
        <a:xfrm xmlns:a="http://schemas.openxmlformats.org/drawingml/2006/main">
          <a:off x="5790010" y="4247582"/>
          <a:ext cx="858821" cy="8883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8821" h="888314">
              <a:moveTo>
                <a:pt x="340755" y="517104"/>
              </a:moveTo>
              <a:lnTo>
                <a:pt x="178468" y="684964"/>
              </a:lnTo>
              <a:lnTo>
                <a:pt x="0" y="869561"/>
              </a:lnTo>
              <a:lnTo>
                <a:pt x="18129" y="888313"/>
              </a:lnTo>
              <a:lnTo>
                <a:pt x="196598" y="703716"/>
              </a:lnTo>
              <a:lnTo>
                <a:pt x="358885" y="535855"/>
              </a:lnTo>
              <a:lnTo>
                <a:pt x="858820" y="18752"/>
              </a:lnTo>
              <a:lnTo>
                <a:pt x="8406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0.82632</cdr:x>
      <cdr:y>0.15996</cdr:y>
    </cdr:from>
    <cdr:to>
      <cdr:x>0.94246</cdr:x>
      <cdr:y>0.27775</cdr:y>
    </cdr:to>
    <cdr:sp macro="" textlink="">
      <cdr:nvSpPr>
        <cdr:cNvPr id="275" name="FracNo 856 StartRow 3104">
          <a:extLst xmlns:a="http://schemas.openxmlformats.org/drawingml/2006/main">
            <a:ext uri="{FF2B5EF4-FFF2-40B4-BE49-F238E27FC236}">
              <a16:creationId xmlns:a16="http://schemas.microsoft.com/office/drawing/2014/main" id="{FD572006-6446-5132-7A16-654D709B824E}"/>
            </a:ext>
          </a:extLst>
        </cdr:cNvPr>
        <cdr:cNvSpPr/>
      </cdr:nvSpPr>
      <cdr:spPr>
        <a:xfrm xmlns:a="http://schemas.openxmlformats.org/drawingml/2006/main">
          <a:off x="6044720" y="1218918"/>
          <a:ext cx="849588" cy="8975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9588" h="897517">
              <a:moveTo>
                <a:pt x="799548" y="89262"/>
              </a:moveTo>
              <a:lnTo>
                <a:pt x="18129" y="897516"/>
              </a:lnTo>
              <a:lnTo>
                <a:pt x="0" y="878765"/>
              </a:lnTo>
              <a:lnTo>
                <a:pt x="798456" y="52887"/>
              </a:lnTo>
              <a:lnTo>
                <a:pt x="849587" y="0"/>
              </a:lnTo>
              <a:lnTo>
                <a:pt x="84958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0.18307</cdr:x>
      <cdr:y>0.08544</cdr:y>
    </cdr:from>
    <cdr:to>
      <cdr:x>0.30155</cdr:x>
      <cdr:y>0.20062</cdr:y>
    </cdr:to>
    <cdr:sp macro="" textlink="">
      <cdr:nvSpPr>
        <cdr:cNvPr id="276" name="FracNo 882 StartRow 3113">
          <a:extLst xmlns:a="http://schemas.openxmlformats.org/drawingml/2006/main">
            <a:ext uri="{FF2B5EF4-FFF2-40B4-BE49-F238E27FC236}">
              <a16:creationId xmlns:a16="http://schemas.microsoft.com/office/drawing/2014/main" id="{3360E716-1EE6-FEC8-1FF3-2AD4EF128F2B}"/>
            </a:ext>
          </a:extLst>
        </cdr:cNvPr>
        <cdr:cNvSpPr/>
      </cdr:nvSpPr>
      <cdr:spPr>
        <a:xfrm xmlns:a="http://schemas.openxmlformats.org/drawingml/2006/main">
          <a:off x="1339162" y="651036"/>
          <a:ext cx="866714" cy="8777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6714" h="877726">
              <a:moveTo>
                <a:pt x="104113" y="751285"/>
              </a:moveTo>
              <a:lnTo>
                <a:pt x="0" y="858973"/>
              </a:lnTo>
              <a:lnTo>
                <a:pt x="18130" y="877725"/>
              </a:lnTo>
              <a:lnTo>
                <a:pt x="124516" y="767686"/>
              </a:lnTo>
              <a:lnTo>
                <a:pt x="866713" y="0"/>
              </a:lnTo>
              <a:lnTo>
                <a:pt x="8304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0.82757</cdr:x>
      <cdr:y>0.08851</cdr:y>
    </cdr:from>
    <cdr:to>
      <cdr:x>0.94246</cdr:x>
      <cdr:y>0.20506</cdr:y>
    </cdr:to>
    <cdr:sp macro="" textlink="">
      <cdr:nvSpPr>
        <cdr:cNvPr id="277" name="FracNo 955 StartRow 3122">
          <a:extLst xmlns:a="http://schemas.openxmlformats.org/drawingml/2006/main">
            <a:ext uri="{FF2B5EF4-FFF2-40B4-BE49-F238E27FC236}">
              <a16:creationId xmlns:a16="http://schemas.microsoft.com/office/drawing/2014/main" id="{0264FE9E-E6C2-24CD-EEAF-733C1871589F}"/>
            </a:ext>
          </a:extLst>
        </cdr:cNvPr>
        <cdr:cNvSpPr/>
      </cdr:nvSpPr>
      <cdr:spPr>
        <a:xfrm xmlns:a="http://schemas.openxmlformats.org/drawingml/2006/main">
          <a:off x="6053842" y="674478"/>
          <a:ext cx="840466" cy="888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0466" h="888081">
              <a:moveTo>
                <a:pt x="399536" y="493575"/>
              </a:moveTo>
              <a:lnTo>
                <a:pt x="18130" y="888080"/>
              </a:lnTo>
              <a:lnTo>
                <a:pt x="0" y="869328"/>
              </a:lnTo>
              <a:lnTo>
                <a:pt x="389815" y="466126"/>
              </a:lnTo>
              <a:lnTo>
                <a:pt x="840465" y="0"/>
              </a:lnTo>
              <a:lnTo>
                <a:pt x="84046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0.82773</cdr:x>
      <cdr:y>0.20011</cdr:y>
    </cdr:from>
    <cdr:to>
      <cdr:x>0.94246</cdr:x>
      <cdr:y>0.31649</cdr:y>
    </cdr:to>
    <cdr:sp macro="" textlink="">
      <cdr:nvSpPr>
        <cdr:cNvPr id="278" name="FracNo 966 StartRow 3131">
          <a:extLst xmlns:a="http://schemas.openxmlformats.org/drawingml/2006/main">
            <a:ext uri="{FF2B5EF4-FFF2-40B4-BE49-F238E27FC236}">
              <a16:creationId xmlns:a16="http://schemas.microsoft.com/office/drawing/2014/main" id="{95D81ABF-79C3-A04A-65DF-CFDDFB27B5D7}"/>
            </a:ext>
          </a:extLst>
        </cdr:cNvPr>
        <cdr:cNvSpPr/>
      </cdr:nvSpPr>
      <cdr:spPr>
        <a:xfrm xmlns:a="http://schemas.openxmlformats.org/drawingml/2006/main">
          <a:off x="6055035" y="1524840"/>
          <a:ext cx="839273" cy="8868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9273" h="886848">
              <a:moveTo>
                <a:pt x="187777" y="673870"/>
              </a:moveTo>
              <a:lnTo>
                <a:pt x="0" y="868095"/>
              </a:lnTo>
              <a:lnTo>
                <a:pt x="18129" y="886847"/>
              </a:lnTo>
              <a:lnTo>
                <a:pt x="201850" y="696817"/>
              </a:lnTo>
              <a:lnTo>
                <a:pt x="839272" y="37504"/>
              </a:lnTo>
              <a:lnTo>
                <a:pt x="8392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0.7868</cdr:y>
    </cdr:from>
    <cdr:to>
      <cdr:x>0.20612</cdr:x>
      <cdr:y>0.90276</cdr:y>
    </cdr:to>
    <cdr:sp macro="" textlink="">
      <cdr:nvSpPr>
        <cdr:cNvPr id="279" name="FracNo 773 StartRow 3140">
          <a:extLst xmlns:a="http://schemas.openxmlformats.org/drawingml/2006/main">
            <a:ext uri="{FF2B5EF4-FFF2-40B4-BE49-F238E27FC236}">
              <a16:creationId xmlns:a16="http://schemas.microsoft.com/office/drawing/2014/main" id="{50D523E2-2ECA-EBD4-3E20-4907E90B211D}"/>
            </a:ext>
          </a:extLst>
        </cdr:cNvPr>
        <cdr:cNvSpPr/>
      </cdr:nvSpPr>
      <cdr:spPr>
        <a:xfrm xmlns:a="http://schemas.openxmlformats.org/drawingml/2006/main">
          <a:off x="671676" y="5995446"/>
          <a:ext cx="836100" cy="8835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6100" h="883565">
              <a:moveTo>
                <a:pt x="155888" y="722323"/>
              </a:moveTo>
              <a:lnTo>
                <a:pt x="0" y="883564"/>
              </a:lnTo>
              <a:lnTo>
                <a:pt x="0" y="846061"/>
              </a:lnTo>
              <a:lnTo>
                <a:pt x="152508" y="688316"/>
              </a:lnTo>
              <a:lnTo>
                <a:pt x="817970" y="0"/>
              </a:lnTo>
              <a:lnTo>
                <a:pt x="8360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0.35528</cdr:x>
      <cdr:y>0.694</cdr:y>
    </cdr:from>
    <cdr:to>
      <cdr:x>0.47071</cdr:x>
      <cdr:y>0.80862</cdr:y>
    </cdr:to>
    <cdr:sp macro="" textlink="">
      <cdr:nvSpPr>
        <cdr:cNvPr id="280" name="FracNo 759 StartRow 3149">
          <a:extLst xmlns:a="http://schemas.openxmlformats.org/drawingml/2006/main">
            <a:ext uri="{FF2B5EF4-FFF2-40B4-BE49-F238E27FC236}">
              <a16:creationId xmlns:a16="http://schemas.microsoft.com/office/drawing/2014/main" id="{7A9226B0-39DF-75F6-6983-5D4924BFF7E1}"/>
            </a:ext>
          </a:extLst>
        </cdr:cNvPr>
        <cdr:cNvSpPr/>
      </cdr:nvSpPr>
      <cdr:spPr>
        <a:xfrm xmlns:a="http://schemas.openxmlformats.org/drawingml/2006/main">
          <a:off x="2598925" y="5288271"/>
          <a:ext cx="844411" cy="8734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4411" h="873410">
              <a:moveTo>
                <a:pt x="684361" y="184298"/>
              </a:moveTo>
              <a:lnTo>
                <a:pt x="156026" y="730777"/>
              </a:lnTo>
              <a:lnTo>
                <a:pt x="18129" y="873409"/>
              </a:lnTo>
              <a:lnTo>
                <a:pt x="0" y="854658"/>
              </a:lnTo>
              <a:lnTo>
                <a:pt x="137897" y="712025"/>
              </a:lnTo>
              <a:lnTo>
                <a:pt x="666232" y="165546"/>
              </a:lnTo>
              <a:lnTo>
                <a:pt x="826281" y="0"/>
              </a:lnTo>
              <a:lnTo>
                <a:pt x="8444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0.38214</cdr:x>
      <cdr:y>0.08544</cdr:y>
    </cdr:from>
    <cdr:to>
      <cdr:x>0.4985</cdr:x>
      <cdr:y>0.19852</cdr:y>
    </cdr:to>
    <cdr:sp macro="" textlink="">
      <cdr:nvSpPr>
        <cdr:cNvPr id="281" name="FracNo 1002 StartRow 3160">
          <a:extLst xmlns:a="http://schemas.openxmlformats.org/drawingml/2006/main">
            <a:ext uri="{FF2B5EF4-FFF2-40B4-BE49-F238E27FC236}">
              <a16:creationId xmlns:a16="http://schemas.microsoft.com/office/drawing/2014/main" id="{48BBD959-39A5-332F-AF7F-B390474A7241}"/>
            </a:ext>
          </a:extLst>
        </cdr:cNvPr>
        <cdr:cNvSpPr/>
      </cdr:nvSpPr>
      <cdr:spPr>
        <a:xfrm xmlns:a="http://schemas.openxmlformats.org/drawingml/2006/main">
          <a:off x="2795403" y="651036"/>
          <a:ext cx="851201" cy="861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1201" h="861682">
              <a:moveTo>
                <a:pt x="294010" y="576325"/>
              </a:moveTo>
              <a:lnTo>
                <a:pt x="18129" y="861681"/>
              </a:lnTo>
              <a:lnTo>
                <a:pt x="0" y="842928"/>
              </a:lnTo>
              <a:lnTo>
                <a:pt x="269877" y="563782"/>
              </a:lnTo>
              <a:lnTo>
                <a:pt x="814941" y="0"/>
              </a:lnTo>
              <a:lnTo>
                <a:pt x="8512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0.3912</cdr:x>
      <cdr:y>0.08544</cdr:y>
    </cdr:from>
    <cdr:to>
      <cdr:x>0.50724</cdr:x>
      <cdr:y>0.1982</cdr:y>
    </cdr:to>
    <cdr:sp macro="" textlink="">
      <cdr:nvSpPr>
        <cdr:cNvPr id="282" name="FracNo 869 StartRow 3169">
          <a:extLst xmlns:a="http://schemas.openxmlformats.org/drawingml/2006/main">
            <a:ext uri="{FF2B5EF4-FFF2-40B4-BE49-F238E27FC236}">
              <a16:creationId xmlns:a16="http://schemas.microsoft.com/office/drawing/2014/main" id="{457E6EB8-26E0-3EEF-3F8B-1FDFA115B791}"/>
            </a:ext>
          </a:extLst>
        </cdr:cNvPr>
        <cdr:cNvSpPr/>
      </cdr:nvSpPr>
      <cdr:spPr>
        <a:xfrm xmlns:a="http://schemas.openxmlformats.org/drawingml/2006/main">
          <a:off x="2861720" y="651036"/>
          <a:ext cx="848853" cy="8592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8853" h="859252">
              <a:moveTo>
                <a:pt x="448190" y="376917"/>
              </a:moveTo>
              <a:lnTo>
                <a:pt x="0" y="840499"/>
              </a:lnTo>
              <a:lnTo>
                <a:pt x="18129" y="859251"/>
              </a:lnTo>
              <a:lnTo>
                <a:pt x="476318" y="385327"/>
              </a:lnTo>
              <a:lnTo>
                <a:pt x="848852" y="0"/>
              </a:lnTo>
              <a:lnTo>
                <a:pt x="8125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0.39274</cdr:x>
      <cdr:y>0.52363</cdr:y>
    </cdr:from>
    <cdr:to>
      <cdr:x>0.50621</cdr:x>
      <cdr:y>0.63631</cdr:y>
    </cdr:to>
    <cdr:sp macro="" textlink="">
      <cdr:nvSpPr>
        <cdr:cNvPr id="283" name="FracNo 752 StartRow 3178">
          <a:extLst xmlns:a="http://schemas.openxmlformats.org/drawingml/2006/main">
            <a:ext uri="{FF2B5EF4-FFF2-40B4-BE49-F238E27FC236}">
              <a16:creationId xmlns:a16="http://schemas.microsoft.com/office/drawing/2014/main" id="{1AB17D98-30B1-5ADF-C1F5-9053AB7BD834}"/>
            </a:ext>
          </a:extLst>
        </cdr:cNvPr>
        <cdr:cNvSpPr/>
      </cdr:nvSpPr>
      <cdr:spPr>
        <a:xfrm xmlns:a="http://schemas.openxmlformats.org/drawingml/2006/main">
          <a:off x="2872970" y="3990084"/>
          <a:ext cx="830060" cy="858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0060" h="858566">
              <a:moveTo>
                <a:pt x="41119" y="797282"/>
              </a:moveTo>
              <a:lnTo>
                <a:pt x="0" y="839813"/>
              </a:lnTo>
              <a:lnTo>
                <a:pt x="18129" y="858565"/>
              </a:lnTo>
              <a:lnTo>
                <a:pt x="59248" y="816034"/>
              </a:lnTo>
              <a:lnTo>
                <a:pt x="830059" y="18752"/>
              </a:lnTo>
              <a:lnTo>
                <a:pt x="8119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0.13891</cdr:x>
      <cdr:y>0.69136</cdr:y>
    </cdr:from>
    <cdr:to>
      <cdr:x>0.25192</cdr:x>
      <cdr:y>0.80358</cdr:y>
    </cdr:to>
    <cdr:sp macro="" textlink="">
      <cdr:nvSpPr>
        <cdr:cNvPr id="284" name="FracNo 21 StartRow 3187">
          <a:extLst xmlns:a="http://schemas.openxmlformats.org/drawingml/2006/main">
            <a:ext uri="{FF2B5EF4-FFF2-40B4-BE49-F238E27FC236}">
              <a16:creationId xmlns:a16="http://schemas.microsoft.com/office/drawing/2014/main" id="{2D98F92A-2F40-2A02-F384-21F937C30552}"/>
            </a:ext>
          </a:extLst>
        </cdr:cNvPr>
        <cdr:cNvSpPr/>
      </cdr:nvSpPr>
      <cdr:spPr>
        <a:xfrm xmlns:a="http://schemas.openxmlformats.org/drawingml/2006/main">
          <a:off x="1016147" y="5268197"/>
          <a:ext cx="826694" cy="8550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6694" h="855084">
              <a:moveTo>
                <a:pt x="806996" y="1621"/>
              </a:moveTo>
              <a:lnTo>
                <a:pt x="0" y="836331"/>
              </a:lnTo>
              <a:lnTo>
                <a:pt x="18129" y="855083"/>
              </a:lnTo>
              <a:lnTo>
                <a:pt x="825125" y="20372"/>
              </a:lnTo>
              <a:lnTo>
                <a:pt x="826693" y="18752"/>
              </a:lnTo>
              <a:lnTo>
                <a:pt x="8085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0.20431</cdr:x>
      <cdr:y>0.19714</cdr:y>
    </cdr:to>
    <cdr:sp macro="" textlink="">
      <cdr:nvSpPr>
        <cdr:cNvPr id="285" name="FracNo 1031 StartRow 3196">
          <a:extLst xmlns:a="http://schemas.openxmlformats.org/drawingml/2006/main">
            <a:ext uri="{FF2B5EF4-FFF2-40B4-BE49-F238E27FC236}">
              <a16:creationId xmlns:a16="http://schemas.microsoft.com/office/drawing/2014/main" id="{36BEA464-F167-2077-261E-F7FE74298333}"/>
            </a:ext>
          </a:extLst>
        </cdr:cNvPr>
        <cdr:cNvSpPr/>
      </cdr:nvSpPr>
      <cdr:spPr>
        <a:xfrm xmlns:a="http://schemas.openxmlformats.org/drawingml/2006/main">
          <a:off x="671676" y="651036"/>
          <a:ext cx="822884" cy="8511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884" h="851143">
              <a:moveTo>
                <a:pt x="795397" y="28430"/>
              </a:moveTo>
              <a:lnTo>
                <a:pt x="0" y="851142"/>
              </a:lnTo>
              <a:lnTo>
                <a:pt x="0" y="813639"/>
              </a:lnTo>
              <a:lnTo>
                <a:pt x="760349" y="27177"/>
              </a:lnTo>
              <a:lnTo>
                <a:pt x="786624" y="0"/>
              </a:lnTo>
              <a:lnTo>
                <a:pt x="8228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0.78362</cdr:y>
    </cdr:from>
    <cdr:to>
      <cdr:x>0.20291</cdr:x>
      <cdr:y>0.8964</cdr:y>
    </cdr:to>
    <cdr:sp macro="" textlink="">
      <cdr:nvSpPr>
        <cdr:cNvPr id="286" name="FracNo 33 StartRow 3205">
          <a:extLst xmlns:a="http://schemas.openxmlformats.org/drawingml/2006/main">
            <a:ext uri="{FF2B5EF4-FFF2-40B4-BE49-F238E27FC236}">
              <a16:creationId xmlns:a16="http://schemas.microsoft.com/office/drawing/2014/main" id="{D68C0E19-CCA4-9146-A4EA-26793F442749}"/>
            </a:ext>
          </a:extLst>
        </cdr:cNvPr>
        <cdr:cNvSpPr/>
      </cdr:nvSpPr>
      <cdr:spPr>
        <a:xfrm xmlns:a="http://schemas.openxmlformats.org/drawingml/2006/main">
          <a:off x="671676" y="5971217"/>
          <a:ext cx="812675" cy="8593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2675" h="859336">
              <a:moveTo>
                <a:pt x="431161" y="375863"/>
              </a:moveTo>
              <a:lnTo>
                <a:pt x="0" y="821831"/>
              </a:lnTo>
              <a:lnTo>
                <a:pt x="0" y="859335"/>
              </a:lnTo>
              <a:lnTo>
                <a:pt x="440999" y="403191"/>
              </a:lnTo>
              <a:lnTo>
                <a:pt x="812674" y="18752"/>
              </a:lnTo>
              <a:lnTo>
                <a:pt x="7945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0.7243</cdr:x>
      <cdr:y>0.82043</cdr:y>
    </cdr:from>
    <cdr:to>
      <cdr:x>0.83722</cdr:x>
      <cdr:y>0.9301</cdr:y>
    </cdr:to>
    <cdr:sp macro="" textlink="">
      <cdr:nvSpPr>
        <cdr:cNvPr id="287" name="FracNo 895 StartRow 3214">
          <a:extLst xmlns:a="http://schemas.openxmlformats.org/drawingml/2006/main">
            <a:ext uri="{FF2B5EF4-FFF2-40B4-BE49-F238E27FC236}">
              <a16:creationId xmlns:a16="http://schemas.microsoft.com/office/drawing/2014/main" id="{4939B79F-1029-109C-56B5-F606178F86F1}"/>
            </a:ext>
          </a:extLst>
        </cdr:cNvPr>
        <cdr:cNvSpPr/>
      </cdr:nvSpPr>
      <cdr:spPr>
        <a:xfrm xmlns:a="http://schemas.openxmlformats.org/drawingml/2006/main">
          <a:off x="5298373" y="6251696"/>
          <a:ext cx="826053" cy="8356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6053" h="835670">
              <a:moveTo>
                <a:pt x="503352" y="352534"/>
              </a:moveTo>
              <a:lnTo>
                <a:pt x="36258" y="835669"/>
              </a:lnTo>
              <a:lnTo>
                <a:pt x="0" y="835669"/>
              </a:lnTo>
              <a:lnTo>
                <a:pt x="477816" y="341444"/>
              </a:lnTo>
              <a:lnTo>
                <a:pt x="807924" y="0"/>
              </a:lnTo>
              <a:lnTo>
                <a:pt x="82605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0.33062</cdr:x>
      <cdr:y>0.82112</cdr:y>
    </cdr:from>
    <cdr:to>
      <cdr:x>0.44285</cdr:x>
      <cdr:y>0.9301</cdr:y>
    </cdr:to>
    <cdr:sp macro="" textlink="">
      <cdr:nvSpPr>
        <cdr:cNvPr id="288" name="FracNo 908 StartRow 3223">
          <a:extLst xmlns:a="http://schemas.openxmlformats.org/drawingml/2006/main">
            <a:ext uri="{FF2B5EF4-FFF2-40B4-BE49-F238E27FC236}">
              <a16:creationId xmlns:a16="http://schemas.microsoft.com/office/drawing/2014/main" id="{EB6F1871-3421-134A-0365-7B78A0A7F5C2}"/>
            </a:ext>
          </a:extLst>
        </cdr:cNvPr>
        <cdr:cNvSpPr/>
      </cdr:nvSpPr>
      <cdr:spPr>
        <a:xfrm xmlns:a="http://schemas.openxmlformats.org/drawingml/2006/main">
          <a:off x="2418550" y="6256903"/>
          <a:ext cx="821019" cy="8304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1019" h="830463">
              <a:moveTo>
                <a:pt x="230022" y="592539"/>
              </a:moveTo>
              <a:lnTo>
                <a:pt x="0" y="830462"/>
              </a:lnTo>
              <a:lnTo>
                <a:pt x="36258" y="830462"/>
              </a:lnTo>
              <a:lnTo>
                <a:pt x="253179" y="606092"/>
              </a:lnTo>
              <a:lnTo>
                <a:pt x="336401" y="520011"/>
              </a:lnTo>
              <a:lnTo>
                <a:pt x="821018" y="18752"/>
              </a:lnTo>
              <a:lnTo>
                <a:pt x="802888" y="0"/>
              </a:lnTo>
              <a:lnTo>
                <a:pt x="318272" y="5012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0.83293</cdr:x>
      <cdr:y>0.14939</cdr:y>
    </cdr:from>
    <cdr:to>
      <cdr:x>0.94246</cdr:x>
      <cdr:y>0.26062</cdr:y>
    </cdr:to>
    <cdr:sp macro="" textlink="">
      <cdr:nvSpPr>
        <cdr:cNvPr id="289" name="FracNo 992 StartRow 3234">
          <a:extLst xmlns:a="http://schemas.openxmlformats.org/drawingml/2006/main">
            <a:ext uri="{FF2B5EF4-FFF2-40B4-BE49-F238E27FC236}">
              <a16:creationId xmlns:a16="http://schemas.microsoft.com/office/drawing/2014/main" id="{8B03FB83-79B8-5882-DEE2-CD0E9B0ADD4C}"/>
            </a:ext>
          </a:extLst>
        </cdr:cNvPr>
        <cdr:cNvSpPr/>
      </cdr:nvSpPr>
      <cdr:spPr>
        <a:xfrm xmlns:a="http://schemas.openxmlformats.org/drawingml/2006/main">
          <a:off x="6093029" y="1138344"/>
          <a:ext cx="801279" cy="8475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1279" h="847548">
              <a:moveTo>
                <a:pt x="101243" y="761579"/>
              </a:moveTo>
              <a:lnTo>
                <a:pt x="18129" y="847547"/>
              </a:lnTo>
              <a:lnTo>
                <a:pt x="0" y="828796"/>
              </a:lnTo>
              <a:lnTo>
                <a:pt x="85038" y="740837"/>
              </a:lnTo>
              <a:lnTo>
                <a:pt x="801278" y="0"/>
              </a:lnTo>
              <a:lnTo>
                <a:pt x="80127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0.83324</cdr:x>
      <cdr:y>0.59567</cdr:y>
    </cdr:from>
    <cdr:to>
      <cdr:x>0.94246</cdr:x>
      <cdr:y>0.70658</cdr:y>
    </cdr:to>
    <cdr:sp macro="" textlink="">
      <cdr:nvSpPr>
        <cdr:cNvPr id="290" name="FracNo 586 StartRow 3243">
          <a:extLst xmlns:a="http://schemas.openxmlformats.org/drawingml/2006/main">
            <a:ext uri="{FF2B5EF4-FFF2-40B4-BE49-F238E27FC236}">
              <a16:creationId xmlns:a16="http://schemas.microsoft.com/office/drawing/2014/main" id="{8F8D37C1-5632-047E-7676-EB75253CD8EC}"/>
            </a:ext>
          </a:extLst>
        </cdr:cNvPr>
        <cdr:cNvSpPr/>
      </cdr:nvSpPr>
      <cdr:spPr>
        <a:xfrm xmlns:a="http://schemas.openxmlformats.org/drawingml/2006/main">
          <a:off x="6095350" y="4539018"/>
          <a:ext cx="798958" cy="8451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8958" h="845148">
              <a:moveTo>
                <a:pt x="605188" y="200423"/>
              </a:moveTo>
              <a:lnTo>
                <a:pt x="418495" y="393528"/>
              </a:lnTo>
              <a:lnTo>
                <a:pt x="0" y="826395"/>
              </a:lnTo>
              <a:lnTo>
                <a:pt x="18129" y="845147"/>
              </a:lnTo>
              <a:lnTo>
                <a:pt x="436624" y="412280"/>
              </a:lnTo>
              <a:lnTo>
                <a:pt x="614422" y="228376"/>
              </a:lnTo>
              <a:lnTo>
                <a:pt x="798957" y="37504"/>
              </a:lnTo>
              <a:lnTo>
                <a:pt x="7989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0.53766</cdr:x>
      <cdr:y>0.67891</cdr:y>
    </cdr:from>
    <cdr:to>
      <cdr:x>0.6481</cdr:x>
      <cdr:y>0.78858</cdr:y>
    </cdr:to>
    <cdr:sp macro="" textlink="">
      <cdr:nvSpPr>
        <cdr:cNvPr id="291" name="FracNo 800 StartRow 3254">
          <a:extLst xmlns:a="http://schemas.openxmlformats.org/drawingml/2006/main">
            <a:ext uri="{FF2B5EF4-FFF2-40B4-BE49-F238E27FC236}">
              <a16:creationId xmlns:a16="http://schemas.microsoft.com/office/drawing/2014/main" id="{0BF39434-88F0-CF2F-2C32-53EB281046C8}"/>
            </a:ext>
          </a:extLst>
        </cdr:cNvPr>
        <cdr:cNvSpPr/>
      </cdr:nvSpPr>
      <cdr:spPr>
        <a:xfrm xmlns:a="http://schemas.openxmlformats.org/drawingml/2006/main">
          <a:off x="3933067" y="5173280"/>
          <a:ext cx="807945" cy="8356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7945" h="835691">
              <a:moveTo>
                <a:pt x="183695" y="664440"/>
              </a:moveTo>
              <a:lnTo>
                <a:pt x="18129" y="835690"/>
              </a:lnTo>
              <a:lnTo>
                <a:pt x="0" y="816938"/>
              </a:lnTo>
              <a:lnTo>
                <a:pt x="165565" y="645688"/>
              </a:lnTo>
              <a:lnTo>
                <a:pt x="789815" y="0"/>
              </a:lnTo>
              <a:lnTo>
                <a:pt x="80794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0.60527</cdr:y>
    </cdr:from>
    <cdr:to>
      <cdr:x>0.20049</cdr:x>
      <cdr:y>0.71564</cdr:y>
    </cdr:to>
    <cdr:sp macro="" textlink="">
      <cdr:nvSpPr>
        <cdr:cNvPr id="292" name="FracNo 887 StartRow 3263">
          <a:extLst xmlns:a="http://schemas.openxmlformats.org/drawingml/2006/main">
            <a:ext uri="{FF2B5EF4-FFF2-40B4-BE49-F238E27FC236}">
              <a16:creationId xmlns:a16="http://schemas.microsoft.com/office/drawing/2014/main" id="{B8D9350C-7947-D4AC-07AE-2CB01F513887}"/>
            </a:ext>
          </a:extLst>
        </cdr:cNvPr>
        <cdr:cNvSpPr/>
      </cdr:nvSpPr>
      <cdr:spPr>
        <a:xfrm xmlns:a="http://schemas.openxmlformats.org/drawingml/2006/main">
          <a:off x="671676" y="4612160"/>
          <a:ext cx="794941" cy="840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4941" h="840993">
              <a:moveTo>
                <a:pt x="509096" y="276909"/>
              </a:moveTo>
              <a:lnTo>
                <a:pt x="467787" y="319636"/>
              </a:lnTo>
              <a:lnTo>
                <a:pt x="0" y="803488"/>
              </a:lnTo>
              <a:lnTo>
                <a:pt x="0" y="840992"/>
              </a:lnTo>
              <a:lnTo>
                <a:pt x="484466" y="339888"/>
              </a:lnTo>
              <a:lnTo>
                <a:pt x="525968" y="296961"/>
              </a:lnTo>
              <a:lnTo>
                <a:pt x="794940" y="18752"/>
              </a:lnTo>
              <a:lnTo>
                <a:pt x="7768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0.56829</cdr:x>
      <cdr:y>0.30351</cdr:y>
    </cdr:from>
    <cdr:to>
      <cdr:x>0.67792</cdr:x>
      <cdr:y>0.41237</cdr:y>
    </cdr:to>
    <cdr:sp macro="" textlink="">
      <cdr:nvSpPr>
        <cdr:cNvPr id="293" name="FracNo 910 StartRow 3274">
          <a:extLst xmlns:a="http://schemas.openxmlformats.org/drawingml/2006/main">
            <a:ext uri="{FF2B5EF4-FFF2-40B4-BE49-F238E27FC236}">
              <a16:creationId xmlns:a16="http://schemas.microsoft.com/office/drawing/2014/main" id="{EE6711F8-C7BE-9DFE-BB01-D24D0B921694}"/>
            </a:ext>
          </a:extLst>
        </cdr:cNvPr>
        <cdr:cNvSpPr/>
      </cdr:nvSpPr>
      <cdr:spPr>
        <a:xfrm xmlns:a="http://schemas.openxmlformats.org/drawingml/2006/main">
          <a:off x="4157185" y="2312727"/>
          <a:ext cx="801970" cy="8295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1970" h="829510">
              <a:moveTo>
                <a:pt x="64880" y="781153"/>
              </a:moveTo>
              <a:lnTo>
                <a:pt x="18130" y="829509"/>
              </a:lnTo>
              <a:lnTo>
                <a:pt x="0" y="810758"/>
              </a:lnTo>
              <a:lnTo>
                <a:pt x="46751" y="762401"/>
              </a:lnTo>
              <a:lnTo>
                <a:pt x="325213" y="474376"/>
              </a:lnTo>
              <a:lnTo>
                <a:pt x="653847" y="134456"/>
              </a:lnTo>
              <a:lnTo>
                <a:pt x="783839" y="0"/>
              </a:lnTo>
              <a:lnTo>
                <a:pt x="801969" y="18752"/>
              </a:lnTo>
              <a:lnTo>
                <a:pt x="671976" y="153208"/>
              </a:lnTo>
              <a:lnTo>
                <a:pt x="343343" y="4931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0.68161</cdr:x>
      <cdr:y>0.244</cdr:y>
    </cdr:from>
    <cdr:to>
      <cdr:x>0.7907</cdr:x>
      <cdr:y>0.35232</cdr:y>
    </cdr:to>
    <cdr:sp macro="" textlink="">
      <cdr:nvSpPr>
        <cdr:cNvPr id="294" name="FracNo 923 StartRow 3287">
          <a:extLst xmlns:a="http://schemas.openxmlformats.org/drawingml/2006/main">
            <a:ext uri="{FF2B5EF4-FFF2-40B4-BE49-F238E27FC236}">
              <a16:creationId xmlns:a16="http://schemas.microsoft.com/office/drawing/2014/main" id="{0E6D96ED-3C1E-3207-A9F4-6C31BA9FB088}"/>
            </a:ext>
          </a:extLst>
        </cdr:cNvPr>
        <cdr:cNvSpPr/>
      </cdr:nvSpPr>
      <cdr:spPr>
        <a:xfrm xmlns:a="http://schemas.openxmlformats.org/drawingml/2006/main">
          <a:off x="4986131" y="1859267"/>
          <a:ext cx="797988" cy="8253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7988" h="825392">
              <a:moveTo>
                <a:pt x="27961" y="777718"/>
              </a:moveTo>
              <a:lnTo>
                <a:pt x="0" y="806639"/>
              </a:lnTo>
              <a:lnTo>
                <a:pt x="18130" y="825391"/>
              </a:lnTo>
              <a:lnTo>
                <a:pt x="46090" y="796470"/>
              </a:lnTo>
              <a:lnTo>
                <a:pt x="797987" y="18752"/>
              </a:lnTo>
              <a:lnTo>
                <a:pt x="7798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0.77618</cdr:x>
      <cdr:y>0.82302</cdr:y>
    </cdr:from>
    <cdr:to>
      <cdr:x>0.8865</cdr:x>
      <cdr:y>0.9301</cdr:y>
    </cdr:to>
    <cdr:sp macro="" textlink="">
      <cdr:nvSpPr>
        <cdr:cNvPr id="295" name="FracNo 836 StartRow 3296">
          <a:extLst xmlns:a="http://schemas.openxmlformats.org/drawingml/2006/main">
            <a:ext uri="{FF2B5EF4-FFF2-40B4-BE49-F238E27FC236}">
              <a16:creationId xmlns:a16="http://schemas.microsoft.com/office/drawing/2014/main" id="{86D20F16-B863-EE04-4BBA-75068F8A570C}"/>
            </a:ext>
          </a:extLst>
        </cdr:cNvPr>
        <cdr:cNvSpPr/>
      </cdr:nvSpPr>
      <cdr:spPr>
        <a:xfrm xmlns:a="http://schemas.openxmlformats.org/drawingml/2006/main">
          <a:off x="5677934" y="6271402"/>
          <a:ext cx="807003" cy="8159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7003" h="815964">
              <a:moveTo>
                <a:pt x="601450" y="231362"/>
              </a:moveTo>
              <a:lnTo>
                <a:pt x="36258" y="815963"/>
              </a:lnTo>
              <a:lnTo>
                <a:pt x="0" y="815963"/>
              </a:lnTo>
              <a:lnTo>
                <a:pt x="578486" y="217611"/>
              </a:lnTo>
              <a:lnTo>
                <a:pt x="788872" y="0"/>
              </a:lnTo>
              <a:lnTo>
                <a:pt x="80700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0.64368</cdr:x>
      <cdr:y>0.08544</cdr:y>
    </cdr:from>
    <cdr:to>
      <cdr:x>0.75357</cdr:x>
      <cdr:y>0.19209</cdr:y>
    </cdr:to>
    <cdr:sp macro="" textlink="">
      <cdr:nvSpPr>
        <cdr:cNvPr id="296" name="FracNo 743 StartRow 3305">
          <a:extLst xmlns:a="http://schemas.openxmlformats.org/drawingml/2006/main">
            <a:ext uri="{FF2B5EF4-FFF2-40B4-BE49-F238E27FC236}">
              <a16:creationId xmlns:a16="http://schemas.microsoft.com/office/drawing/2014/main" id="{8EF01E49-0729-9060-BEDB-23380F759735}"/>
            </a:ext>
          </a:extLst>
        </cdr:cNvPr>
        <cdr:cNvSpPr/>
      </cdr:nvSpPr>
      <cdr:spPr>
        <a:xfrm xmlns:a="http://schemas.openxmlformats.org/drawingml/2006/main">
          <a:off x="4708653" y="651036"/>
          <a:ext cx="803853" cy="8127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3853" h="812707">
              <a:moveTo>
                <a:pt x="600444" y="172890"/>
              </a:moveTo>
              <a:lnTo>
                <a:pt x="102379" y="688059"/>
              </a:lnTo>
              <a:lnTo>
                <a:pt x="0" y="793954"/>
              </a:lnTo>
              <a:lnTo>
                <a:pt x="18129" y="812706"/>
              </a:lnTo>
              <a:lnTo>
                <a:pt x="120508" y="706811"/>
              </a:lnTo>
              <a:lnTo>
                <a:pt x="632147" y="177601"/>
              </a:lnTo>
              <a:lnTo>
                <a:pt x="803852" y="0"/>
              </a:lnTo>
              <a:lnTo>
                <a:pt x="7675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0.83529</cdr:x>
      <cdr:y>0.24407</cdr:y>
    </cdr:from>
    <cdr:to>
      <cdr:x>0.94246</cdr:x>
      <cdr:y>0.35295</cdr:y>
    </cdr:to>
    <cdr:sp macro="" textlink="">
      <cdr:nvSpPr>
        <cdr:cNvPr id="297" name="FracNo 1042 StartRow 3316">
          <a:extLst xmlns:a="http://schemas.openxmlformats.org/drawingml/2006/main">
            <a:ext uri="{FF2B5EF4-FFF2-40B4-BE49-F238E27FC236}">
              <a16:creationId xmlns:a16="http://schemas.microsoft.com/office/drawing/2014/main" id="{B21FBABE-C3EF-6DC1-114E-A4C037EC0789}"/>
            </a:ext>
          </a:extLst>
        </cdr:cNvPr>
        <cdr:cNvSpPr/>
      </cdr:nvSpPr>
      <cdr:spPr>
        <a:xfrm xmlns:a="http://schemas.openxmlformats.org/drawingml/2006/main">
          <a:off x="6110340" y="1859804"/>
          <a:ext cx="783968" cy="8296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3968" h="829643">
              <a:moveTo>
                <a:pt x="513742" y="279506"/>
              </a:moveTo>
              <a:lnTo>
                <a:pt x="0" y="810891"/>
              </a:lnTo>
              <a:lnTo>
                <a:pt x="18130" y="829642"/>
              </a:lnTo>
              <a:lnTo>
                <a:pt x="519991" y="310546"/>
              </a:lnTo>
              <a:lnTo>
                <a:pt x="783967" y="37504"/>
              </a:lnTo>
              <a:lnTo>
                <a:pt x="7839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0.54885</cdr:x>
      <cdr:y>0.08544</cdr:y>
    </cdr:from>
    <cdr:to>
      <cdr:x>0.65772</cdr:x>
      <cdr:y>0.19109</cdr:y>
    </cdr:to>
    <cdr:sp macro="" textlink="">
      <cdr:nvSpPr>
        <cdr:cNvPr id="298" name="FracNo 731 StartRow 3325">
          <a:extLst xmlns:a="http://schemas.openxmlformats.org/drawingml/2006/main">
            <a:ext uri="{FF2B5EF4-FFF2-40B4-BE49-F238E27FC236}">
              <a16:creationId xmlns:a16="http://schemas.microsoft.com/office/drawing/2014/main" id="{B6E2093A-8188-8907-1E66-5BF98E238005}"/>
            </a:ext>
          </a:extLst>
        </cdr:cNvPr>
        <cdr:cNvSpPr/>
      </cdr:nvSpPr>
      <cdr:spPr>
        <a:xfrm xmlns:a="http://schemas.openxmlformats.org/drawingml/2006/main">
          <a:off x="4014950" y="651036"/>
          <a:ext cx="796433" cy="8050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6433" h="805032">
              <a:moveTo>
                <a:pt x="296694" y="516900"/>
              </a:moveTo>
              <a:lnTo>
                <a:pt x="18129" y="805031"/>
              </a:lnTo>
              <a:lnTo>
                <a:pt x="0" y="786278"/>
              </a:lnTo>
              <a:lnTo>
                <a:pt x="272076" y="504860"/>
              </a:lnTo>
              <a:lnTo>
                <a:pt x="760173" y="0"/>
              </a:lnTo>
              <a:lnTo>
                <a:pt x="7964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0.5428</cdr:x>
      <cdr:y>0.52237</cdr:y>
    </cdr:from>
    <cdr:to>
      <cdr:x>0.64979</cdr:x>
      <cdr:y>0.62861</cdr:y>
    </cdr:to>
    <cdr:sp macro="" textlink="">
      <cdr:nvSpPr>
        <cdr:cNvPr id="299" name="FracNo 1010 StartRow 3334">
          <a:extLst xmlns:a="http://schemas.openxmlformats.org/drawingml/2006/main">
            <a:ext uri="{FF2B5EF4-FFF2-40B4-BE49-F238E27FC236}">
              <a16:creationId xmlns:a16="http://schemas.microsoft.com/office/drawing/2014/main" id="{6E8F637D-61DA-5D83-375F-0668EFCCDF27}"/>
            </a:ext>
          </a:extLst>
        </cdr:cNvPr>
        <cdr:cNvSpPr/>
      </cdr:nvSpPr>
      <cdr:spPr>
        <a:xfrm xmlns:a="http://schemas.openxmlformats.org/drawingml/2006/main">
          <a:off x="3970677" y="3980452"/>
          <a:ext cx="782693" cy="809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2693" h="809572">
              <a:moveTo>
                <a:pt x="544980" y="227124"/>
              </a:moveTo>
              <a:lnTo>
                <a:pt x="0" y="790819"/>
              </a:lnTo>
              <a:lnTo>
                <a:pt x="18130" y="809571"/>
              </a:lnTo>
              <a:lnTo>
                <a:pt x="563109" y="245876"/>
              </a:lnTo>
              <a:lnTo>
                <a:pt x="782692" y="18752"/>
              </a:lnTo>
              <a:lnTo>
                <a:pt x="7645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0.54551</cdr:x>
      <cdr:y>0.52507</cdr:y>
    </cdr:from>
    <cdr:to>
      <cdr:x>0.65251</cdr:x>
      <cdr:y>0.63131</cdr:y>
    </cdr:to>
    <cdr:sp macro="" textlink="">
      <cdr:nvSpPr>
        <cdr:cNvPr id="300" name="FracNo 671 StartRow 3343">
          <a:extLst xmlns:a="http://schemas.openxmlformats.org/drawingml/2006/main">
            <a:ext uri="{FF2B5EF4-FFF2-40B4-BE49-F238E27FC236}">
              <a16:creationId xmlns:a16="http://schemas.microsoft.com/office/drawing/2014/main" id="{774317B0-8FDD-A3CE-2204-EB0A3E5645FC}"/>
            </a:ext>
          </a:extLst>
        </cdr:cNvPr>
        <cdr:cNvSpPr/>
      </cdr:nvSpPr>
      <cdr:spPr>
        <a:xfrm xmlns:a="http://schemas.openxmlformats.org/drawingml/2006/main">
          <a:off x="3990550" y="4001007"/>
          <a:ext cx="782693" cy="809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2693" h="809572">
              <a:moveTo>
                <a:pt x="64434" y="761676"/>
              </a:moveTo>
              <a:lnTo>
                <a:pt x="18129" y="809571"/>
              </a:lnTo>
              <a:lnTo>
                <a:pt x="0" y="790819"/>
              </a:lnTo>
              <a:lnTo>
                <a:pt x="46305" y="742924"/>
              </a:lnTo>
              <a:lnTo>
                <a:pt x="764563" y="0"/>
              </a:lnTo>
              <a:lnTo>
                <a:pt x="7826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0.83768</cdr:x>
      <cdr:y>0.14374</cdr:y>
    </cdr:from>
    <cdr:to>
      <cdr:x>0.94246</cdr:x>
      <cdr:y>0.25025</cdr:y>
    </cdr:to>
    <cdr:sp macro="" textlink="">
      <cdr:nvSpPr>
        <cdr:cNvPr id="301" name="FracNo 270 StartRow 3352">
          <a:extLst xmlns:a="http://schemas.openxmlformats.org/drawingml/2006/main">
            <a:ext uri="{FF2B5EF4-FFF2-40B4-BE49-F238E27FC236}">
              <a16:creationId xmlns:a16="http://schemas.microsoft.com/office/drawing/2014/main" id="{8523EE46-1516-2AF8-5FFA-6607F9E396E7}"/>
            </a:ext>
          </a:extLst>
        </cdr:cNvPr>
        <cdr:cNvSpPr/>
      </cdr:nvSpPr>
      <cdr:spPr>
        <a:xfrm xmlns:a="http://schemas.openxmlformats.org/drawingml/2006/main">
          <a:off x="6127781" y="1095326"/>
          <a:ext cx="766527" cy="8116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6527" h="811603">
              <a:moveTo>
                <a:pt x="277710" y="505602"/>
              </a:moveTo>
              <a:lnTo>
                <a:pt x="0" y="792850"/>
              </a:lnTo>
              <a:lnTo>
                <a:pt x="18129" y="811602"/>
              </a:lnTo>
              <a:lnTo>
                <a:pt x="289271" y="531148"/>
              </a:lnTo>
              <a:lnTo>
                <a:pt x="766526" y="37503"/>
              </a:lnTo>
              <a:lnTo>
                <a:pt x="7665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0.16743</cdr:x>
      <cdr:y>0.16992</cdr:y>
    </cdr:from>
    <cdr:to>
      <cdr:x>0.27336</cdr:x>
      <cdr:y>0.27511</cdr:y>
    </cdr:to>
    <cdr:sp macro="" textlink="">
      <cdr:nvSpPr>
        <cdr:cNvPr id="302" name="FracNo 926 StartRow 3361">
          <a:extLst xmlns:a="http://schemas.openxmlformats.org/drawingml/2006/main">
            <a:ext uri="{FF2B5EF4-FFF2-40B4-BE49-F238E27FC236}">
              <a16:creationId xmlns:a16="http://schemas.microsoft.com/office/drawing/2014/main" id="{12811F66-CC61-8DC3-F373-4B18F4ACAF64}"/>
            </a:ext>
          </a:extLst>
        </cdr:cNvPr>
        <cdr:cNvSpPr/>
      </cdr:nvSpPr>
      <cdr:spPr>
        <a:xfrm xmlns:a="http://schemas.openxmlformats.org/drawingml/2006/main">
          <a:off x="1224767" y="1294816"/>
          <a:ext cx="774880" cy="8014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4880" h="801492">
              <a:moveTo>
                <a:pt x="166893" y="610114"/>
              </a:moveTo>
              <a:lnTo>
                <a:pt x="0" y="782739"/>
              </a:lnTo>
              <a:lnTo>
                <a:pt x="18129" y="801491"/>
              </a:lnTo>
              <a:lnTo>
                <a:pt x="185022" y="628866"/>
              </a:lnTo>
              <a:lnTo>
                <a:pt x="774879" y="18753"/>
              </a:lnTo>
              <a:lnTo>
                <a:pt x="7567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0.46418</cdr:x>
      <cdr:y>0.82763</cdr:y>
    </cdr:from>
    <cdr:to>
      <cdr:x>0.56986</cdr:x>
      <cdr:y>0.9301</cdr:y>
    </cdr:to>
    <cdr:sp macro="" textlink="">
      <cdr:nvSpPr>
        <cdr:cNvPr id="303" name="FracNo 904 StartRow 3370">
          <a:extLst xmlns:a="http://schemas.openxmlformats.org/drawingml/2006/main">
            <a:ext uri="{FF2B5EF4-FFF2-40B4-BE49-F238E27FC236}">
              <a16:creationId xmlns:a16="http://schemas.microsoft.com/office/drawing/2014/main" id="{61C91CB2-2267-E34A-9529-FC9BEF005CE3}"/>
            </a:ext>
          </a:extLst>
        </cdr:cNvPr>
        <cdr:cNvSpPr/>
      </cdr:nvSpPr>
      <cdr:spPr>
        <a:xfrm xmlns:a="http://schemas.openxmlformats.org/drawingml/2006/main">
          <a:off x="3395585" y="6306532"/>
          <a:ext cx="773038" cy="7808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3038" h="780834">
              <a:moveTo>
                <a:pt x="161631" y="651155"/>
              </a:moveTo>
              <a:lnTo>
                <a:pt x="36259" y="780833"/>
              </a:lnTo>
              <a:lnTo>
                <a:pt x="0" y="780833"/>
              </a:lnTo>
              <a:lnTo>
                <a:pt x="128457" y="647964"/>
              </a:lnTo>
              <a:lnTo>
                <a:pt x="754908" y="0"/>
              </a:lnTo>
              <a:lnTo>
                <a:pt x="7730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0.24273</cdr:x>
      <cdr:y>0.24238</cdr:y>
    </cdr:from>
    <cdr:to>
      <cdr:x>0.34677</cdr:x>
      <cdr:y>0.34568</cdr:y>
    </cdr:to>
    <cdr:sp macro="" textlink="">
      <cdr:nvSpPr>
        <cdr:cNvPr id="304" name="FracNo 435 StartRow 3379">
          <a:extLst xmlns:a="http://schemas.openxmlformats.org/drawingml/2006/main">
            <a:ext uri="{FF2B5EF4-FFF2-40B4-BE49-F238E27FC236}">
              <a16:creationId xmlns:a16="http://schemas.microsoft.com/office/drawing/2014/main" id="{1CB8825C-C3DD-157A-7916-3463E63D5052}"/>
            </a:ext>
          </a:extLst>
        </cdr:cNvPr>
        <cdr:cNvSpPr/>
      </cdr:nvSpPr>
      <cdr:spPr>
        <a:xfrm xmlns:a="http://schemas.openxmlformats.org/drawingml/2006/main">
          <a:off x="1775638" y="1846943"/>
          <a:ext cx="761023" cy="7871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1023" h="787159">
              <a:moveTo>
                <a:pt x="479662" y="309776"/>
              </a:moveTo>
              <a:lnTo>
                <a:pt x="18129" y="787158"/>
              </a:lnTo>
              <a:lnTo>
                <a:pt x="0" y="768406"/>
              </a:lnTo>
              <a:lnTo>
                <a:pt x="461532" y="291024"/>
              </a:lnTo>
              <a:lnTo>
                <a:pt x="742893" y="0"/>
              </a:lnTo>
              <a:lnTo>
                <a:pt x="7610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0.84003</cdr:x>
      <cdr:y>0.25069</cdr:y>
    </cdr:from>
    <cdr:to>
      <cdr:x>0.94246</cdr:x>
      <cdr:y>0.35486</cdr:y>
    </cdr:to>
    <cdr:sp macro="" textlink="">
      <cdr:nvSpPr>
        <cdr:cNvPr id="305" name="FracNo 744 StartRow 3388">
          <a:extLst xmlns:a="http://schemas.openxmlformats.org/drawingml/2006/main">
            <a:ext uri="{FF2B5EF4-FFF2-40B4-BE49-F238E27FC236}">
              <a16:creationId xmlns:a16="http://schemas.microsoft.com/office/drawing/2014/main" id="{E6CDF0A3-F2AE-9CDD-FFDB-1311444CE04C}"/>
            </a:ext>
          </a:extLst>
        </cdr:cNvPr>
        <cdr:cNvSpPr/>
      </cdr:nvSpPr>
      <cdr:spPr>
        <a:xfrm xmlns:a="http://schemas.openxmlformats.org/drawingml/2006/main">
          <a:off x="6144997" y="1910264"/>
          <a:ext cx="749311" cy="7937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9311" h="793796">
              <a:moveTo>
                <a:pt x="489348" y="306394"/>
              </a:moveTo>
              <a:lnTo>
                <a:pt x="18130" y="793795"/>
              </a:lnTo>
              <a:lnTo>
                <a:pt x="0" y="775043"/>
              </a:lnTo>
              <a:lnTo>
                <a:pt x="482902" y="275558"/>
              </a:lnTo>
              <a:lnTo>
                <a:pt x="749310" y="0"/>
              </a:lnTo>
              <a:lnTo>
                <a:pt x="74931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0.41238</cdr:y>
    </cdr:from>
    <cdr:to>
      <cdr:x>0.19361</cdr:x>
      <cdr:y>0.51592</cdr:y>
    </cdr:to>
    <cdr:sp macro="" textlink="">
      <cdr:nvSpPr>
        <cdr:cNvPr id="306" name="FracNo 762 StartRow 3397">
          <a:extLst xmlns:a="http://schemas.openxmlformats.org/drawingml/2006/main">
            <a:ext uri="{FF2B5EF4-FFF2-40B4-BE49-F238E27FC236}">
              <a16:creationId xmlns:a16="http://schemas.microsoft.com/office/drawing/2014/main" id="{FBF0B70A-4540-5FB1-FF3E-92BDD3BBCD6C}"/>
            </a:ext>
          </a:extLst>
        </cdr:cNvPr>
        <cdr:cNvSpPr/>
      </cdr:nvSpPr>
      <cdr:spPr>
        <a:xfrm xmlns:a="http://schemas.openxmlformats.org/drawingml/2006/main">
          <a:off x="671676" y="3142358"/>
          <a:ext cx="744607" cy="7889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4607" h="788930">
              <a:moveTo>
                <a:pt x="666311" y="62232"/>
              </a:moveTo>
              <a:lnTo>
                <a:pt x="0" y="751426"/>
              </a:lnTo>
              <a:lnTo>
                <a:pt x="0" y="788929"/>
              </a:lnTo>
              <a:lnTo>
                <a:pt x="682939" y="82537"/>
              </a:lnTo>
              <a:lnTo>
                <a:pt x="744606" y="18752"/>
              </a:lnTo>
              <a:lnTo>
                <a:pt x="7264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0.17159</cdr:y>
    </cdr:from>
    <cdr:to>
      <cdr:x>0.19318</cdr:x>
      <cdr:y>0.2747</cdr:y>
    </cdr:to>
    <cdr:sp macro="" textlink="">
      <cdr:nvSpPr>
        <cdr:cNvPr id="307" name="FracNo 421 StartRow 3406">
          <a:extLst xmlns:a="http://schemas.openxmlformats.org/drawingml/2006/main">
            <a:ext uri="{FF2B5EF4-FFF2-40B4-BE49-F238E27FC236}">
              <a16:creationId xmlns:a16="http://schemas.microsoft.com/office/drawing/2014/main" id="{DE0BB32C-06B6-9305-FDA4-4BA8F9206D9B}"/>
            </a:ext>
          </a:extLst>
        </cdr:cNvPr>
        <cdr:cNvSpPr/>
      </cdr:nvSpPr>
      <cdr:spPr>
        <a:xfrm xmlns:a="http://schemas.openxmlformats.org/drawingml/2006/main">
          <a:off x="671676" y="1307489"/>
          <a:ext cx="741481" cy="7856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1481" h="785697">
              <a:moveTo>
                <a:pt x="386874" y="348033"/>
              </a:moveTo>
              <a:lnTo>
                <a:pt x="0" y="748193"/>
              </a:lnTo>
              <a:lnTo>
                <a:pt x="0" y="785696"/>
              </a:lnTo>
              <a:lnTo>
                <a:pt x="396570" y="375507"/>
              </a:lnTo>
              <a:lnTo>
                <a:pt x="741480" y="18752"/>
              </a:lnTo>
              <a:lnTo>
                <a:pt x="7233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0.81462</cdr:x>
      <cdr:y>0.3487</cdr:y>
    </cdr:from>
    <cdr:to>
      <cdr:x>0.91714</cdr:x>
      <cdr:y>0.4505</cdr:y>
    </cdr:to>
    <cdr:sp macro="" textlink="">
      <cdr:nvSpPr>
        <cdr:cNvPr id="308" name="FracNo 831 StartRow 3415">
          <a:extLst xmlns:a="http://schemas.openxmlformats.org/drawingml/2006/main">
            <a:ext uri="{FF2B5EF4-FFF2-40B4-BE49-F238E27FC236}">
              <a16:creationId xmlns:a16="http://schemas.microsoft.com/office/drawing/2014/main" id="{5BFC681F-E5AA-DC9F-B528-6ED25C7549E9}"/>
            </a:ext>
          </a:extLst>
        </cdr:cNvPr>
        <cdr:cNvSpPr/>
      </cdr:nvSpPr>
      <cdr:spPr>
        <a:xfrm xmlns:a="http://schemas.openxmlformats.org/drawingml/2006/main">
          <a:off x="5959072" y="2657069"/>
          <a:ext cx="749978" cy="775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9978" h="775734">
              <a:moveTo>
                <a:pt x="624468" y="148571"/>
              </a:moveTo>
              <a:lnTo>
                <a:pt x="624260" y="148786"/>
              </a:lnTo>
              <a:lnTo>
                <a:pt x="18130" y="775733"/>
              </a:lnTo>
              <a:lnTo>
                <a:pt x="0" y="756981"/>
              </a:lnTo>
              <a:lnTo>
                <a:pt x="606131" y="130034"/>
              </a:lnTo>
              <a:lnTo>
                <a:pt x="606339" y="129819"/>
              </a:lnTo>
              <a:lnTo>
                <a:pt x="731848" y="0"/>
              </a:lnTo>
              <a:lnTo>
                <a:pt x="7499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0.54035</cdr:x>
      <cdr:y>0.70603</cdr:y>
    </cdr:from>
    <cdr:to>
      <cdr:x>0.64255</cdr:x>
      <cdr:y>0.80751</cdr:y>
    </cdr:to>
    <cdr:sp macro="" textlink="">
      <cdr:nvSpPr>
        <cdr:cNvPr id="309" name="FracNo 197 StartRow 3426">
          <a:extLst xmlns:a="http://schemas.openxmlformats.org/drawingml/2006/main">
            <a:ext uri="{FF2B5EF4-FFF2-40B4-BE49-F238E27FC236}">
              <a16:creationId xmlns:a16="http://schemas.microsoft.com/office/drawing/2014/main" id="{9CC0D69B-0850-8C1E-A4AA-D54FD98B955A}"/>
            </a:ext>
          </a:extLst>
        </cdr:cNvPr>
        <cdr:cNvSpPr/>
      </cdr:nvSpPr>
      <cdr:spPr>
        <a:xfrm xmlns:a="http://schemas.openxmlformats.org/drawingml/2006/main">
          <a:off x="3952772" y="5379962"/>
          <a:ext cx="747610" cy="773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7610" h="773285">
              <a:moveTo>
                <a:pt x="315041" y="428671"/>
              </a:moveTo>
              <a:lnTo>
                <a:pt x="0" y="754532"/>
              </a:lnTo>
              <a:lnTo>
                <a:pt x="18129" y="773284"/>
              </a:lnTo>
              <a:lnTo>
                <a:pt x="333171" y="447423"/>
              </a:lnTo>
              <a:lnTo>
                <a:pt x="747609" y="18752"/>
              </a:lnTo>
              <a:lnTo>
                <a:pt x="7294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0.45158</cdr:x>
      <cdr:y>0.08544</cdr:y>
    </cdr:from>
    <cdr:to>
      <cdr:x>0.55452</cdr:x>
      <cdr:y>0.18519</cdr:y>
    </cdr:to>
    <cdr:sp macro="" textlink="">
      <cdr:nvSpPr>
        <cdr:cNvPr id="310" name="FracNo 733 StartRow 3435">
          <a:extLst xmlns:a="http://schemas.openxmlformats.org/drawingml/2006/main">
            <a:ext uri="{FF2B5EF4-FFF2-40B4-BE49-F238E27FC236}">
              <a16:creationId xmlns:a16="http://schemas.microsoft.com/office/drawing/2014/main" id="{45A6A88E-9991-ABFB-A2C8-4B5FACD952FB}"/>
            </a:ext>
          </a:extLst>
        </cdr:cNvPr>
        <cdr:cNvSpPr/>
      </cdr:nvSpPr>
      <cdr:spPr>
        <a:xfrm xmlns:a="http://schemas.openxmlformats.org/drawingml/2006/main">
          <a:off x="3303387" y="651036"/>
          <a:ext cx="753008" cy="7601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3008" h="760116">
              <a:moveTo>
                <a:pt x="602708" y="117957"/>
              </a:moveTo>
              <a:lnTo>
                <a:pt x="0" y="741363"/>
              </a:lnTo>
              <a:lnTo>
                <a:pt x="18129" y="760115"/>
              </a:lnTo>
              <a:lnTo>
                <a:pt x="636082" y="120940"/>
              </a:lnTo>
              <a:lnTo>
                <a:pt x="753007" y="0"/>
              </a:lnTo>
              <a:lnTo>
                <a:pt x="7167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0.59109</cdr:x>
      <cdr:y>0.47354</cdr:y>
    </cdr:from>
    <cdr:to>
      <cdr:x>0.69274</cdr:x>
      <cdr:y>0.57448</cdr:y>
    </cdr:to>
    <cdr:sp macro="" textlink="">
      <cdr:nvSpPr>
        <cdr:cNvPr id="311" name="FracNo 877 StartRow 3444">
          <a:extLst xmlns:a="http://schemas.openxmlformats.org/drawingml/2006/main">
            <a:ext uri="{FF2B5EF4-FFF2-40B4-BE49-F238E27FC236}">
              <a16:creationId xmlns:a16="http://schemas.microsoft.com/office/drawing/2014/main" id="{B8DB446D-661C-1E52-681C-54EA9AF92750}"/>
            </a:ext>
          </a:extLst>
        </cdr:cNvPr>
        <cdr:cNvSpPr/>
      </cdr:nvSpPr>
      <cdr:spPr>
        <a:xfrm xmlns:a="http://schemas.openxmlformats.org/drawingml/2006/main">
          <a:off x="4323971" y="3608397"/>
          <a:ext cx="743568" cy="7691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3568" h="769103">
              <a:moveTo>
                <a:pt x="620225" y="108825"/>
              </a:moveTo>
              <a:lnTo>
                <a:pt x="487061" y="246562"/>
              </a:lnTo>
              <a:lnTo>
                <a:pt x="0" y="750350"/>
              </a:lnTo>
              <a:lnTo>
                <a:pt x="18129" y="769102"/>
              </a:lnTo>
              <a:lnTo>
                <a:pt x="505190" y="265314"/>
              </a:lnTo>
              <a:lnTo>
                <a:pt x="638354" y="127577"/>
              </a:lnTo>
              <a:lnTo>
                <a:pt x="743567" y="18751"/>
              </a:lnTo>
              <a:lnTo>
                <a:pt x="7254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0.19307</cdr:x>
      <cdr:y>0.18598</cdr:y>
    </cdr:to>
    <cdr:sp macro="" textlink="">
      <cdr:nvSpPr>
        <cdr:cNvPr id="312" name="FracNo 785 StartRow 3455">
          <a:extLst xmlns:a="http://schemas.openxmlformats.org/drawingml/2006/main">
            <a:ext uri="{FF2B5EF4-FFF2-40B4-BE49-F238E27FC236}">
              <a16:creationId xmlns:a16="http://schemas.microsoft.com/office/drawing/2014/main" id="{66C68CCE-A18A-50B7-8E2B-972C2646E48B}"/>
            </a:ext>
          </a:extLst>
        </cdr:cNvPr>
        <cdr:cNvSpPr/>
      </cdr:nvSpPr>
      <cdr:spPr>
        <a:xfrm xmlns:a="http://schemas.openxmlformats.org/drawingml/2006/main">
          <a:off x="671676" y="651036"/>
          <a:ext cx="740679" cy="7661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0679" h="766116">
              <a:moveTo>
                <a:pt x="248284" y="509304"/>
              </a:moveTo>
              <a:lnTo>
                <a:pt x="0" y="766115"/>
              </a:lnTo>
              <a:lnTo>
                <a:pt x="0" y="728611"/>
              </a:lnTo>
              <a:lnTo>
                <a:pt x="236130" y="484371"/>
              </a:lnTo>
              <a:lnTo>
                <a:pt x="704420" y="0"/>
              </a:lnTo>
              <a:lnTo>
                <a:pt x="7406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0.25147</cdr:x>
      <cdr:y>0.59666</cdr:y>
    </cdr:from>
    <cdr:to>
      <cdr:x>0.35136</cdr:x>
      <cdr:y>0.69584</cdr:y>
    </cdr:to>
    <cdr:sp macro="" textlink="">
      <cdr:nvSpPr>
        <cdr:cNvPr id="313" name="FracNo 772 StartRow 3464">
          <a:extLst xmlns:a="http://schemas.openxmlformats.org/drawingml/2006/main">
            <a:ext uri="{FF2B5EF4-FFF2-40B4-BE49-F238E27FC236}">
              <a16:creationId xmlns:a16="http://schemas.microsoft.com/office/drawing/2014/main" id="{F2892978-DAE5-26F6-C42F-F80381886B2E}"/>
            </a:ext>
          </a:extLst>
        </cdr:cNvPr>
        <cdr:cNvSpPr/>
      </cdr:nvSpPr>
      <cdr:spPr>
        <a:xfrm xmlns:a="http://schemas.openxmlformats.org/drawingml/2006/main">
          <a:off x="1839583" y="4546576"/>
          <a:ext cx="730665" cy="755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0665" h="755757">
              <a:moveTo>
                <a:pt x="18130" y="755756"/>
              </a:moveTo>
              <a:lnTo>
                <a:pt x="0" y="737004"/>
              </a:lnTo>
              <a:lnTo>
                <a:pt x="339380" y="385970"/>
              </a:lnTo>
              <a:lnTo>
                <a:pt x="712535" y="0"/>
              </a:lnTo>
              <a:lnTo>
                <a:pt x="730664" y="18752"/>
              </a:lnTo>
              <a:lnTo>
                <a:pt x="357509" y="4047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0.84395</cdr:x>
      <cdr:y>0.69063</cdr:y>
    </cdr:from>
    <cdr:to>
      <cdr:x>0.94246</cdr:x>
      <cdr:y>0.79091</cdr:y>
    </cdr:to>
    <cdr:sp macro="" textlink="">
      <cdr:nvSpPr>
        <cdr:cNvPr id="314" name="FracNo 520 StartRow 3473">
          <a:extLst xmlns:a="http://schemas.openxmlformats.org/drawingml/2006/main">
            <a:ext uri="{FF2B5EF4-FFF2-40B4-BE49-F238E27FC236}">
              <a16:creationId xmlns:a16="http://schemas.microsoft.com/office/drawing/2014/main" id="{B3F09726-74E3-3CDE-E2FB-4767AEE0DBD8}"/>
            </a:ext>
          </a:extLst>
        </cdr:cNvPr>
        <cdr:cNvSpPr/>
      </cdr:nvSpPr>
      <cdr:spPr>
        <a:xfrm xmlns:a="http://schemas.openxmlformats.org/drawingml/2006/main">
          <a:off x="6173655" y="5262611"/>
          <a:ext cx="720653" cy="764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0653" h="764154">
              <a:moveTo>
                <a:pt x="119071" y="659745"/>
              </a:moveTo>
              <a:lnTo>
                <a:pt x="18129" y="764153"/>
              </a:lnTo>
              <a:lnTo>
                <a:pt x="0" y="745401"/>
              </a:lnTo>
              <a:lnTo>
                <a:pt x="103546" y="638299"/>
              </a:lnTo>
              <a:lnTo>
                <a:pt x="720652" y="0"/>
              </a:lnTo>
              <a:lnTo>
                <a:pt x="720652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0.53028</cdr:y>
    </cdr:from>
    <cdr:to>
      <cdr:x>0.18956</cdr:x>
      <cdr:y>0.6298</cdr:y>
    </cdr:to>
    <cdr:sp macro="" textlink="">
      <cdr:nvSpPr>
        <cdr:cNvPr id="315" name="FracNo 802 StartRow 3482">
          <a:extLst xmlns:a="http://schemas.openxmlformats.org/drawingml/2006/main">
            <a:ext uri="{FF2B5EF4-FFF2-40B4-BE49-F238E27FC236}">
              <a16:creationId xmlns:a16="http://schemas.microsoft.com/office/drawing/2014/main" id="{8DA23E27-1F2F-D868-3A30-1C1436F63C2B}"/>
            </a:ext>
          </a:extLst>
        </cdr:cNvPr>
        <cdr:cNvSpPr/>
      </cdr:nvSpPr>
      <cdr:spPr>
        <a:xfrm xmlns:a="http://schemas.openxmlformats.org/drawingml/2006/main">
          <a:off x="671676" y="4040740"/>
          <a:ext cx="715011" cy="7583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5011" h="758318">
              <a:moveTo>
                <a:pt x="596979" y="103333"/>
              </a:moveTo>
              <a:lnTo>
                <a:pt x="0" y="720814"/>
              </a:lnTo>
              <a:lnTo>
                <a:pt x="0" y="758317"/>
              </a:lnTo>
              <a:lnTo>
                <a:pt x="612509" y="124773"/>
              </a:lnTo>
              <a:lnTo>
                <a:pt x="715010" y="18753"/>
              </a:lnTo>
              <a:lnTo>
                <a:pt x="6968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0.45306</cdr:x>
      <cdr:y>0.46804</cdr:y>
    </cdr:from>
    <cdr:to>
      <cdr:x>0.55142</cdr:x>
      <cdr:y>0.56572</cdr:y>
    </cdr:to>
    <cdr:sp macro="" textlink="">
      <cdr:nvSpPr>
        <cdr:cNvPr id="316" name="FracNo 900 StartRow 3491">
          <a:extLst xmlns:a="http://schemas.openxmlformats.org/drawingml/2006/main">
            <a:ext uri="{FF2B5EF4-FFF2-40B4-BE49-F238E27FC236}">
              <a16:creationId xmlns:a16="http://schemas.microsoft.com/office/drawing/2014/main" id="{885D29A3-D5E6-087F-19C1-5C60DB9907E5}"/>
            </a:ext>
          </a:extLst>
        </cdr:cNvPr>
        <cdr:cNvSpPr/>
      </cdr:nvSpPr>
      <cdr:spPr>
        <a:xfrm xmlns:a="http://schemas.openxmlformats.org/drawingml/2006/main">
          <a:off x="3314210" y="3566482"/>
          <a:ext cx="719574" cy="7442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9574" h="744286">
              <a:moveTo>
                <a:pt x="18688" y="743706"/>
              </a:moveTo>
              <a:lnTo>
                <a:pt x="18129" y="744285"/>
              </a:lnTo>
              <a:lnTo>
                <a:pt x="0" y="725533"/>
              </a:lnTo>
              <a:lnTo>
                <a:pt x="559" y="724955"/>
              </a:lnTo>
              <a:lnTo>
                <a:pt x="701444" y="0"/>
              </a:lnTo>
              <a:lnTo>
                <a:pt x="7195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0.2202</cdr:x>
      <cdr:y>0.83372</cdr:y>
    </cdr:from>
    <cdr:to>
      <cdr:x>0.31974</cdr:x>
      <cdr:y>0.9301</cdr:y>
    </cdr:to>
    <cdr:sp macro="" textlink="">
      <cdr:nvSpPr>
        <cdr:cNvPr id="317" name="FracNo 1014 StartRow 3500">
          <a:extLst xmlns:a="http://schemas.openxmlformats.org/drawingml/2006/main">
            <a:ext uri="{FF2B5EF4-FFF2-40B4-BE49-F238E27FC236}">
              <a16:creationId xmlns:a16="http://schemas.microsoft.com/office/drawing/2014/main" id="{80C26F0C-AD02-BF70-E307-45ED53F274E6}"/>
            </a:ext>
          </a:extLst>
        </cdr:cNvPr>
        <cdr:cNvSpPr/>
      </cdr:nvSpPr>
      <cdr:spPr>
        <a:xfrm xmlns:a="http://schemas.openxmlformats.org/drawingml/2006/main">
          <a:off x="1610801" y="6352925"/>
          <a:ext cx="728185" cy="734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8185" h="734441">
              <a:moveTo>
                <a:pt x="313723" y="447447"/>
              </a:moveTo>
              <a:lnTo>
                <a:pt x="36258" y="734440"/>
              </a:lnTo>
              <a:lnTo>
                <a:pt x="0" y="734440"/>
              </a:lnTo>
              <a:lnTo>
                <a:pt x="284734" y="439927"/>
              </a:lnTo>
              <a:lnTo>
                <a:pt x="710054" y="0"/>
              </a:lnTo>
              <a:lnTo>
                <a:pt x="7281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0.36564</cdr:x>
      <cdr:y>0.27336</cdr:y>
    </cdr:from>
    <cdr:to>
      <cdr:x>0.46379</cdr:x>
      <cdr:y>0.37082</cdr:y>
    </cdr:to>
    <cdr:sp macro="" textlink="">
      <cdr:nvSpPr>
        <cdr:cNvPr id="318" name="FracNo 342 StartRow 3509">
          <a:extLst xmlns:a="http://schemas.openxmlformats.org/drawingml/2006/main">
            <a:ext uri="{FF2B5EF4-FFF2-40B4-BE49-F238E27FC236}">
              <a16:creationId xmlns:a16="http://schemas.microsoft.com/office/drawing/2014/main" id="{AE416B63-1225-6E24-0613-51F5FAA0B3D2}"/>
            </a:ext>
          </a:extLst>
        </cdr:cNvPr>
        <cdr:cNvSpPr/>
      </cdr:nvSpPr>
      <cdr:spPr>
        <a:xfrm xmlns:a="http://schemas.openxmlformats.org/drawingml/2006/main">
          <a:off x="2674720" y="2082996"/>
          <a:ext cx="718028" cy="7426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8028" h="742687">
              <a:moveTo>
                <a:pt x="636697" y="102875"/>
              </a:moveTo>
              <a:lnTo>
                <a:pt x="80231" y="678451"/>
              </a:lnTo>
              <a:lnTo>
                <a:pt x="37298" y="722859"/>
              </a:lnTo>
              <a:lnTo>
                <a:pt x="18129" y="742686"/>
              </a:lnTo>
              <a:lnTo>
                <a:pt x="0" y="723934"/>
              </a:lnTo>
              <a:lnTo>
                <a:pt x="19168" y="704107"/>
              </a:lnTo>
              <a:lnTo>
                <a:pt x="62102" y="659699"/>
              </a:lnTo>
              <a:lnTo>
                <a:pt x="618568" y="84123"/>
              </a:lnTo>
              <a:lnTo>
                <a:pt x="699898" y="0"/>
              </a:lnTo>
              <a:lnTo>
                <a:pt x="7180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0.84576</cdr:x>
      <cdr:y>0.21948</cdr:y>
    </cdr:from>
    <cdr:to>
      <cdr:x>0.94246</cdr:x>
      <cdr:y>0.31796</cdr:y>
    </cdr:to>
    <cdr:sp macro="" textlink="">
      <cdr:nvSpPr>
        <cdr:cNvPr id="319" name="FracNo 737 StartRow 3522">
          <a:extLst xmlns:a="http://schemas.openxmlformats.org/drawingml/2006/main">
            <a:ext uri="{FF2B5EF4-FFF2-40B4-BE49-F238E27FC236}">
              <a16:creationId xmlns:a16="http://schemas.microsoft.com/office/drawing/2014/main" id="{2B2C6438-49A2-A78A-DAA2-807A9B96EFE9}"/>
            </a:ext>
          </a:extLst>
        </cdr:cNvPr>
        <cdr:cNvSpPr/>
      </cdr:nvSpPr>
      <cdr:spPr>
        <a:xfrm xmlns:a="http://schemas.openxmlformats.org/drawingml/2006/main">
          <a:off x="6186922" y="1672405"/>
          <a:ext cx="707386" cy="7504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7386" h="750432">
              <a:moveTo>
                <a:pt x="405410" y="349850"/>
              </a:moveTo>
              <a:lnTo>
                <a:pt x="18129" y="750431"/>
              </a:lnTo>
              <a:lnTo>
                <a:pt x="0" y="731679"/>
              </a:lnTo>
              <a:lnTo>
                <a:pt x="397467" y="320562"/>
              </a:lnTo>
              <a:lnTo>
                <a:pt x="707385" y="0"/>
              </a:lnTo>
              <a:lnTo>
                <a:pt x="70738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0.18509</cdr:y>
    </cdr:from>
    <cdr:to>
      <cdr:x>0.18831</cdr:x>
      <cdr:y>0.28336</cdr:y>
    </cdr:to>
    <cdr:sp macro="" textlink="">
      <cdr:nvSpPr>
        <cdr:cNvPr id="320" name="FracNo 1008 StartRow 3531">
          <a:extLst xmlns:a="http://schemas.openxmlformats.org/drawingml/2006/main">
            <a:ext uri="{FF2B5EF4-FFF2-40B4-BE49-F238E27FC236}">
              <a16:creationId xmlns:a16="http://schemas.microsoft.com/office/drawing/2014/main" id="{637F867A-FF8B-C7F4-10F8-D8E135F5C757}"/>
            </a:ext>
          </a:extLst>
        </cdr:cNvPr>
        <cdr:cNvSpPr/>
      </cdr:nvSpPr>
      <cdr:spPr>
        <a:xfrm xmlns:a="http://schemas.openxmlformats.org/drawingml/2006/main">
          <a:off x="671676" y="1410414"/>
          <a:ext cx="705817" cy="7488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5817" h="748809">
              <a:moveTo>
                <a:pt x="590749" y="100267"/>
              </a:moveTo>
              <a:lnTo>
                <a:pt x="0" y="711304"/>
              </a:lnTo>
              <a:lnTo>
                <a:pt x="0" y="748808"/>
              </a:lnTo>
              <a:lnTo>
                <a:pt x="606323" y="121663"/>
              </a:lnTo>
              <a:lnTo>
                <a:pt x="705816" y="18752"/>
              </a:lnTo>
              <a:lnTo>
                <a:pt x="6876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0.44082</cdr:x>
      <cdr:y>0.24443</cdr:y>
    </cdr:from>
    <cdr:to>
      <cdr:x>0.53854</cdr:x>
      <cdr:y>0.34146</cdr:y>
    </cdr:to>
    <cdr:sp macro="" textlink="">
      <cdr:nvSpPr>
        <cdr:cNvPr id="321" name="FracNo 734 StartRow 3540">
          <a:extLst xmlns:a="http://schemas.openxmlformats.org/drawingml/2006/main">
            <a:ext uri="{FF2B5EF4-FFF2-40B4-BE49-F238E27FC236}">
              <a16:creationId xmlns:a16="http://schemas.microsoft.com/office/drawing/2014/main" id="{7724F262-AA3E-DAA9-A9E0-BAF2E0917BFC}"/>
            </a:ext>
          </a:extLst>
        </cdr:cNvPr>
        <cdr:cNvSpPr/>
      </cdr:nvSpPr>
      <cdr:spPr>
        <a:xfrm xmlns:a="http://schemas.openxmlformats.org/drawingml/2006/main">
          <a:off x="3224688" y="1862530"/>
          <a:ext cx="714821" cy="7393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4821" h="739370">
              <a:moveTo>
                <a:pt x="554546" y="184530"/>
              </a:moveTo>
              <a:lnTo>
                <a:pt x="18129" y="739369"/>
              </a:lnTo>
              <a:lnTo>
                <a:pt x="0" y="720617"/>
              </a:lnTo>
              <a:lnTo>
                <a:pt x="536417" y="165778"/>
              </a:lnTo>
              <a:lnTo>
                <a:pt x="696691" y="0"/>
              </a:lnTo>
              <a:lnTo>
                <a:pt x="7148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0.11085</cdr:x>
      <cdr:y>0.41998</cdr:y>
    </cdr:from>
    <cdr:to>
      <cdr:x>0.20847</cdr:x>
      <cdr:y>0.51691</cdr:y>
    </cdr:to>
    <cdr:sp macro="" textlink="">
      <cdr:nvSpPr>
        <cdr:cNvPr id="322" name="FracNo 118 StartRow 3549">
          <a:extLst xmlns:a="http://schemas.openxmlformats.org/drawingml/2006/main">
            <a:ext uri="{FF2B5EF4-FFF2-40B4-BE49-F238E27FC236}">
              <a16:creationId xmlns:a16="http://schemas.microsoft.com/office/drawing/2014/main" id="{3C6E264C-1094-E2D3-8F39-7782C6C0CEC8}"/>
            </a:ext>
          </a:extLst>
        </cdr:cNvPr>
        <cdr:cNvSpPr/>
      </cdr:nvSpPr>
      <cdr:spPr>
        <a:xfrm xmlns:a="http://schemas.openxmlformats.org/drawingml/2006/main">
          <a:off x="810915" y="3200283"/>
          <a:ext cx="714085" cy="7386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4085" h="738609">
              <a:moveTo>
                <a:pt x="1720" y="718077"/>
              </a:moveTo>
              <a:lnTo>
                <a:pt x="0" y="719856"/>
              </a:lnTo>
              <a:lnTo>
                <a:pt x="18129" y="738608"/>
              </a:lnTo>
              <a:lnTo>
                <a:pt x="19849" y="736829"/>
              </a:lnTo>
              <a:lnTo>
                <a:pt x="714084" y="18752"/>
              </a:lnTo>
              <a:lnTo>
                <a:pt x="6959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0.60583</cdr:x>
      <cdr:y>0.22846</cdr:y>
    </cdr:from>
    <cdr:to>
      <cdr:x>0.70328</cdr:x>
      <cdr:y>0.32523</cdr:y>
    </cdr:to>
    <cdr:sp macro="" textlink="">
      <cdr:nvSpPr>
        <cdr:cNvPr id="323" name="FracNo 355 StartRow 3558">
          <a:extLst xmlns:a="http://schemas.openxmlformats.org/drawingml/2006/main">
            <a:ext uri="{FF2B5EF4-FFF2-40B4-BE49-F238E27FC236}">
              <a16:creationId xmlns:a16="http://schemas.microsoft.com/office/drawing/2014/main" id="{61FF3DC6-3367-C3C6-4AFA-0E8713931D7E}"/>
            </a:ext>
          </a:extLst>
        </cdr:cNvPr>
        <cdr:cNvSpPr/>
      </cdr:nvSpPr>
      <cdr:spPr>
        <a:xfrm xmlns:a="http://schemas.openxmlformats.org/drawingml/2006/main">
          <a:off x="4431804" y="1740900"/>
          <a:ext cx="712863" cy="7373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2863" h="737344">
              <a:moveTo>
                <a:pt x="214719" y="534002"/>
              </a:moveTo>
              <a:lnTo>
                <a:pt x="18129" y="737343"/>
              </a:lnTo>
              <a:lnTo>
                <a:pt x="0" y="718591"/>
              </a:lnTo>
              <a:lnTo>
                <a:pt x="196589" y="515250"/>
              </a:lnTo>
              <a:lnTo>
                <a:pt x="379228" y="326339"/>
              </a:lnTo>
              <a:lnTo>
                <a:pt x="694732" y="0"/>
              </a:lnTo>
              <a:lnTo>
                <a:pt x="712862" y="18752"/>
              </a:lnTo>
              <a:lnTo>
                <a:pt x="397357" y="3450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0.68101</cdr:x>
      <cdr:y>0.63425</cdr:y>
    </cdr:from>
    <cdr:to>
      <cdr:x>0.77761</cdr:x>
      <cdr:y>0.73017</cdr:y>
    </cdr:to>
    <cdr:sp macro="" textlink="">
      <cdr:nvSpPr>
        <cdr:cNvPr id="324" name="FracNo 865 StartRow 3569">
          <a:extLst xmlns:a="http://schemas.openxmlformats.org/drawingml/2006/main">
            <a:ext uri="{FF2B5EF4-FFF2-40B4-BE49-F238E27FC236}">
              <a16:creationId xmlns:a16="http://schemas.microsoft.com/office/drawing/2014/main" id="{412D768F-DAD1-6BA9-163B-ECDC1A1B1111}"/>
            </a:ext>
          </a:extLst>
        </cdr:cNvPr>
        <cdr:cNvSpPr/>
      </cdr:nvSpPr>
      <cdr:spPr>
        <a:xfrm xmlns:a="http://schemas.openxmlformats.org/drawingml/2006/main">
          <a:off x="4981706" y="4832962"/>
          <a:ext cx="706657" cy="730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6657" h="730925">
              <a:moveTo>
                <a:pt x="302711" y="399066"/>
              </a:moveTo>
              <a:lnTo>
                <a:pt x="0" y="712172"/>
              </a:lnTo>
              <a:lnTo>
                <a:pt x="18130" y="730924"/>
              </a:lnTo>
              <a:lnTo>
                <a:pt x="320840" y="417818"/>
              </a:lnTo>
              <a:lnTo>
                <a:pt x="610379" y="118336"/>
              </a:lnTo>
              <a:lnTo>
                <a:pt x="706656" y="18752"/>
              </a:lnTo>
              <a:lnTo>
                <a:pt x="688527" y="0"/>
              </a:lnTo>
              <a:lnTo>
                <a:pt x="592250" y="995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0.14489</cdr:x>
      <cdr:y>0.08544</cdr:y>
    </cdr:from>
    <cdr:to>
      <cdr:x>0.24268</cdr:x>
      <cdr:y>0.18008</cdr:y>
    </cdr:to>
    <cdr:sp macro="" textlink="">
      <cdr:nvSpPr>
        <cdr:cNvPr id="325" name="FracNo 1013 StartRow 3580">
          <a:extLst xmlns:a="http://schemas.openxmlformats.org/drawingml/2006/main">
            <a:ext uri="{FF2B5EF4-FFF2-40B4-BE49-F238E27FC236}">
              <a16:creationId xmlns:a16="http://schemas.microsoft.com/office/drawing/2014/main" id="{5B8C3293-3080-C0B3-D55A-675816243253}"/>
            </a:ext>
          </a:extLst>
        </cdr:cNvPr>
        <cdr:cNvSpPr/>
      </cdr:nvSpPr>
      <cdr:spPr>
        <a:xfrm xmlns:a="http://schemas.openxmlformats.org/drawingml/2006/main">
          <a:off x="1059878" y="651036"/>
          <a:ext cx="715386" cy="7212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5386" h="721201">
              <a:moveTo>
                <a:pt x="508196" y="176800"/>
              </a:moveTo>
              <a:lnTo>
                <a:pt x="0" y="702449"/>
              </a:lnTo>
              <a:lnTo>
                <a:pt x="18129" y="721200"/>
              </a:lnTo>
              <a:lnTo>
                <a:pt x="539892" y="181519"/>
              </a:lnTo>
              <a:lnTo>
                <a:pt x="715385" y="0"/>
              </a:lnTo>
              <a:lnTo>
                <a:pt x="6791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0.84747</cdr:x>
      <cdr:y>0.52701</cdr:y>
    </cdr:from>
    <cdr:to>
      <cdr:x>0.94246</cdr:x>
      <cdr:y>0.6238</cdr:y>
    </cdr:to>
    <cdr:sp macro="" textlink="">
      <cdr:nvSpPr>
        <cdr:cNvPr id="326" name="FracNo 596 StartRow 3589">
          <a:extLst xmlns:a="http://schemas.openxmlformats.org/drawingml/2006/main">
            <a:ext uri="{FF2B5EF4-FFF2-40B4-BE49-F238E27FC236}">
              <a16:creationId xmlns:a16="http://schemas.microsoft.com/office/drawing/2014/main" id="{7525B559-0EC7-C2CD-D69A-02A66B1D2FB7}"/>
            </a:ext>
          </a:extLst>
        </cdr:cNvPr>
        <cdr:cNvSpPr/>
      </cdr:nvSpPr>
      <cdr:spPr>
        <a:xfrm xmlns:a="http://schemas.openxmlformats.org/drawingml/2006/main">
          <a:off x="6199407" y="4015836"/>
          <a:ext cx="694901" cy="7375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4901" h="737517">
              <a:moveTo>
                <a:pt x="310313" y="397794"/>
              </a:moveTo>
              <a:lnTo>
                <a:pt x="0" y="718765"/>
              </a:lnTo>
              <a:lnTo>
                <a:pt x="18129" y="737516"/>
              </a:lnTo>
              <a:lnTo>
                <a:pt x="320347" y="424920"/>
              </a:lnTo>
              <a:lnTo>
                <a:pt x="694900" y="37503"/>
              </a:lnTo>
              <a:lnTo>
                <a:pt x="6949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0.84723</cdr:x>
      <cdr:y>0.83554</cdr:y>
    </cdr:from>
    <cdr:to>
      <cdr:x>0.94246</cdr:x>
      <cdr:y>0.9301</cdr:y>
    </cdr:to>
    <cdr:sp macro="" textlink="">
      <cdr:nvSpPr>
        <cdr:cNvPr id="327" name="FracNo 906 StartRow 3598">
          <a:extLst xmlns:a="http://schemas.openxmlformats.org/drawingml/2006/main">
            <a:ext uri="{FF2B5EF4-FFF2-40B4-BE49-F238E27FC236}">
              <a16:creationId xmlns:a16="http://schemas.microsoft.com/office/drawing/2014/main" id="{424C433F-7801-FD69-87DC-217236F71C68}"/>
            </a:ext>
          </a:extLst>
        </cdr:cNvPr>
        <cdr:cNvSpPr/>
      </cdr:nvSpPr>
      <cdr:spPr>
        <a:xfrm xmlns:a="http://schemas.openxmlformats.org/drawingml/2006/main">
          <a:off x="6197674" y="6366808"/>
          <a:ext cx="696634" cy="7205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6634" h="720558">
              <a:moveTo>
                <a:pt x="405790" y="338335"/>
              </a:moveTo>
              <a:lnTo>
                <a:pt x="36258" y="720557"/>
              </a:lnTo>
              <a:lnTo>
                <a:pt x="0" y="720557"/>
              </a:lnTo>
              <a:lnTo>
                <a:pt x="389821" y="317349"/>
              </a:lnTo>
              <a:lnTo>
                <a:pt x="696633" y="0"/>
              </a:lnTo>
              <a:lnTo>
                <a:pt x="696633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0.29534</cdr:x>
      <cdr:y>0.8368</cdr:y>
    </cdr:from>
    <cdr:to>
      <cdr:x>0.39178</cdr:x>
      <cdr:y>0.9301</cdr:y>
    </cdr:to>
    <cdr:sp macro="" textlink="">
      <cdr:nvSpPr>
        <cdr:cNvPr id="328" name="FracNo 915 StartRow 3607">
          <a:extLst xmlns:a="http://schemas.openxmlformats.org/drawingml/2006/main">
            <a:ext uri="{FF2B5EF4-FFF2-40B4-BE49-F238E27FC236}">
              <a16:creationId xmlns:a16="http://schemas.microsoft.com/office/drawing/2014/main" id="{A8E0AAF6-6B58-EFA6-E66D-40EB00B9E856}"/>
            </a:ext>
          </a:extLst>
        </cdr:cNvPr>
        <cdr:cNvSpPr/>
      </cdr:nvSpPr>
      <cdr:spPr>
        <a:xfrm xmlns:a="http://schemas.openxmlformats.org/drawingml/2006/main">
          <a:off x="2160478" y="6376404"/>
          <a:ext cx="705486" cy="7109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5486" h="710962">
              <a:moveTo>
                <a:pt x="143670" y="562356"/>
              </a:moveTo>
              <a:lnTo>
                <a:pt x="0" y="710961"/>
              </a:lnTo>
              <a:lnTo>
                <a:pt x="36258" y="710961"/>
              </a:lnTo>
              <a:lnTo>
                <a:pt x="175409" y="567031"/>
              </a:lnTo>
              <a:lnTo>
                <a:pt x="594473" y="133576"/>
              </a:lnTo>
              <a:lnTo>
                <a:pt x="705485" y="18752"/>
              </a:lnTo>
              <a:lnTo>
                <a:pt x="687355" y="0"/>
              </a:lnTo>
              <a:lnTo>
                <a:pt x="576344" y="1148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0.63578</cdr:x>
      <cdr:y>0.18388</cdr:y>
    </cdr:from>
    <cdr:to>
      <cdr:x>0.73096</cdr:x>
      <cdr:y>0.2784</cdr:y>
    </cdr:to>
    <cdr:sp macro="" textlink="">
      <cdr:nvSpPr>
        <cdr:cNvPr id="329" name="FracNo 740 StartRow 3618">
          <a:extLst xmlns:a="http://schemas.openxmlformats.org/drawingml/2006/main">
            <a:ext uri="{FF2B5EF4-FFF2-40B4-BE49-F238E27FC236}">
              <a16:creationId xmlns:a16="http://schemas.microsoft.com/office/drawing/2014/main" id="{37964855-6478-3B3C-B7D4-D3FF3946421D}"/>
            </a:ext>
          </a:extLst>
        </cdr:cNvPr>
        <cdr:cNvSpPr/>
      </cdr:nvSpPr>
      <cdr:spPr>
        <a:xfrm xmlns:a="http://schemas.openxmlformats.org/drawingml/2006/main">
          <a:off x="4650831" y="1401203"/>
          <a:ext cx="696258" cy="720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6258" h="720169">
              <a:moveTo>
                <a:pt x="242268" y="488332"/>
              </a:moveTo>
              <a:lnTo>
                <a:pt x="178330" y="554465"/>
              </a:lnTo>
              <a:lnTo>
                <a:pt x="18129" y="720168"/>
              </a:lnTo>
              <a:lnTo>
                <a:pt x="0" y="701416"/>
              </a:lnTo>
              <a:lnTo>
                <a:pt x="160201" y="535713"/>
              </a:lnTo>
              <a:lnTo>
                <a:pt x="224138" y="469580"/>
              </a:lnTo>
              <a:lnTo>
                <a:pt x="678127" y="0"/>
              </a:lnTo>
              <a:lnTo>
                <a:pt x="6962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0.19823</cdr:y>
    </cdr:from>
    <cdr:to>
      <cdr:x>0.18561</cdr:x>
      <cdr:y>0.29382</cdr:y>
    </cdr:to>
    <cdr:sp macro="" textlink="">
      <cdr:nvSpPr>
        <cdr:cNvPr id="330" name="FracNo 439 StartRow 3629">
          <a:extLst xmlns:a="http://schemas.openxmlformats.org/drawingml/2006/main">
            <a:ext uri="{FF2B5EF4-FFF2-40B4-BE49-F238E27FC236}">
              <a16:creationId xmlns:a16="http://schemas.microsoft.com/office/drawing/2014/main" id="{638370D9-F5B8-5E66-4CF3-9A7A1B6419D3}"/>
            </a:ext>
          </a:extLst>
        </cdr:cNvPr>
        <cdr:cNvSpPr/>
      </cdr:nvSpPr>
      <cdr:spPr>
        <a:xfrm xmlns:a="http://schemas.openxmlformats.org/drawingml/2006/main">
          <a:off x="671676" y="1510485"/>
          <a:ext cx="686077" cy="7283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6077" h="728391">
              <a:moveTo>
                <a:pt x="437466" y="238397"/>
              </a:moveTo>
              <a:lnTo>
                <a:pt x="0" y="690886"/>
              </a:lnTo>
              <a:lnTo>
                <a:pt x="0" y="728390"/>
              </a:lnTo>
              <a:lnTo>
                <a:pt x="449339" y="263619"/>
              </a:lnTo>
              <a:lnTo>
                <a:pt x="686076" y="18752"/>
              </a:lnTo>
              <a:lnTo>
                <a:pt x="6679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0.27622</cdr:x>
      <cdr:y>0.5551</cdr:y>
    </cdr:from>
    <cdr:to>
      <cdr:x>0.37119</cdr:x>
      <cdr:y>0.6494</cdr:y>
    </cdr:to>
    <cdr:sp macro="" textlink="">
      <cdr:nvSpPr>
        <cdr:cNvPr id="331" name="FracNo 1004 StartRow 3638">
          <a:extLst xmlns:a="http://schemas.openxmlformats.org/drawingml/2006/main">
            <a:ext uri="{FF2B5EF4-FFF2-40B4-BE49-F238E27FC236}">
              <a16:creationId xmlns:a16="http://schemas.microsoft.com/office/drawing/2014/main" id="{077C3556-E799-43BB-E25F-EBEE2655E709}"/>
            </a:ext>
          </a:extLst>
        </cdr:cNvPr>
        <cdr:cNvSpPr/>
      </cdr:nvSpPr>
      <cdr:spPr>
        <a:xfrm xmlns:a="http://schemas.openxmlformats.org/drawingml/2006/main">
          <a:off x="2020628" y="4229874"/>
          <a:ext cx="694703" cy="7185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4703" h="718561">
              <a:moveTo>
                <a:pt x="27393" y="671475"/>
              </a:moveTo>
              <a:lnTo>
                <a:pt x="0" y="699808"/>
              </a:lnTo>
              <a:lnTo>
                <a:pt x="18129" y="718560"/>
              </a:lnTo>
              <a:lnTo>
                <a:pt x="45522" y="690227"/>
              </a:lnTo>
              <a:lnTo>
                <a:pt x="694702" y="18752"/>
              </a:lnTo>
              <a:lnTo>
                <a:pt x="6765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0.84889</cdr:x>
      <cdr:y>0.22568</cdr:y>
    </cdr:from>
    <cdr:to>
      <cdr:x>0.94246</cdr:x>
      <cdr:y>0.32106</cdr:y>
    </cdr:to>
    <cdr:sp macro="" textlink="">
      <cdr:nvSpPr>
        <cdr:cNvPr id="332" name="FracNo 840 StartRow 3647">
          <a:extLst xmlns:a="http://schemas.openxmlformats.org/drawingml/2006/main">
            <a:ext uri="{FF2B5EF4-FFF2-40B4-BE49-F238E27FC236}">
              <a16:creationId xmlns:a16="http://schemas.microsoft.com/office/drawing/2014/main" id="{D0AB8996-DF5C-37C8-5F07-9C4A7C59766B}"/>
            </a:ext>
          </a:extLst>
        </cdr:cNvPr>
        <cdr:cNvSpPr/>
      </cdr:nvSpPr>
      <cdr:spPr>
        <a:xfrm xmlns:a="http://schemas.openxmlformats.org/drawingml/2006/main">
          <a:off x="6209792" y="1719718"/>
          <a:ext cx="684516" cy="7267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4516" h="726775">
              <a:moveTo>
                <a:pt x="539484" y="187515"/>
              </a:moveTo>
              <a:lnTo>
                <a:pt x="18129" y="726774"/>
              </a:lnTo>
              <a:lnTo>
                <a:pt x="0" y="708022"/>
              </a:lnTo>
              <a:lnTo>
                <a:pt x="535539" y="154092"/>
              </a:lnTo>
              <a:lnTo>
                <a:pt x="684515" y="0"/>
              </a:lnTo>
              <a:lnTo>
                <a:pt x="684515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0.16085</cdr:x>
      <cdr:y>0.27101</cdr:y>
    </cdr:from>
    <cdr:to>
      <cdr:x>0.25509</cdr:x>
      <cdr:y>0.36459</cdr:y>
    </cdr:to>
    <cdr:sp macro="" textlink="">
      <cdr:nvSpPr>
        <cdr:cNvPr id="333" name="FracNo 1030 StartRow 3656">
          <a:extLst xmlns:a="http://schemas.openxmlformats.org/drawingml/2006/main">
            <a:ext uri="{FF2B5EF4-FFF2-40B4-BE49-F238E27FC236}">
              <a16:creationId xmlns:a16="http://schemas.microsoft.com/office/drawing/2014/main" id="{DA6B4189-4B28-CF27-F170-D171A8D4BEFD}"/>
            </a:ext>
          </a:extLst>
        </cdr:cNvPr>
        <cdr:cNvSpPr/>
      </cdr:nvSpPr>
      <cdr:spPr>
        <a:xfrm xmlns:a="http://schemas.openxmlformats.org/drawingml/2006/main">
          <a:off x="1176617" y="2065066"/>
          <a:ext cx="689442" cy="7131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9442" h="713119">
              <a:moveTo>
                <a:pt x="69152" y="660343"/>
              </a:moveTo>
              <a:lnTo>
                <a:pt x="18130" y="713118"/>
              </a:lnTo>
              <a:lnTo>
                <a:pt x="0" y="694366"/>
              </a:lnTo>
              <a:lnTo>
                <a:pt x="51023" y="641591"/>
              </a:lnTo>
              <a:lnTo>
                <a:pt x="671311" y="0"/>
              </a:lnTo>
              <a:lnTo>
                <a:pt x="689441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0.693</cdr:x>
      <cdr:y>0.08544</cdr:y>
    </cdr:from>
    <cdr:to>
      <cdr:x>0.78847</cdr:x>
      <cdr:y>0.17777</cdr:y>
    </cdr:to>
    <cdr:sp macro="" textlink="">
      <cdr:nvSpPr>
        <cdr:cNvPr id="334" name="FracNo 279 StartRow 3665">
          <a:extLst xmlns:a="http://schemas.openxmlformats.org/drawingml/2006/main">
            <a:ext uri="{FF2B5EF4-FFF2-40B4-BE49-F238E27FC236}">
              <a16:creationId xmlns:a16="http://schemas.microsoft.com/office/drawing/2014/main" id="{C09F4408-96AD-F032-4635-388FB936EFAD}"/>
            </a:ext>
          </a:extLst>
        </cdr:cNvPr>
        <cdr:cNvSpPr/>
      </cdr:nvSpPr>
      <cdr:spPr>
        <a:xfrm xmlns:a="http://schemas.openxmlformats.org/drawingml/2006/main">
          <a:off x="5069437" y="651036"/>
          <a:ext cx="698359" cy="7035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8359" h="703589">
              <a:moveTo>
                <a:pt x="231609" y="482778"/>
              </a:moveTo>
              <a:lnTo>
                <a:pt x="18130" y="703588"/>
              </a:lnTo>
              <a:lnTo>
                <a:pt x="0" y="684837"/>
              </a:lnTo>
              <a:lnTo>
                <a:pt x="207790" y="469911"/>
              </a:lnTo>
              <a:lnTo>
                <a:pt x="662100" y="0"/>
              </a:lnTo>
              <a:lnTo>
                <a:pt x="6983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0.16394</cdr:x>
      <cdr:y>0.27385</cdr:y>
    </cdr:from>
    <cdr:to>
      <cdr:x>0.25795</cdr:x>
      <cdr:y>0.3672</cdr:y>
    </cdr:to>
    <cdr:sp macro="" textlink="">
      <cdr:nvSpPr>
        <cdr:cNvPr id="335" name="FracNo 432 StartRow 3674">
          <a:extLst xmlns:a="http://schemas.openxmlformats.org/drawingml/2006/main">
            <a:ext uri="{FF2B5EF4-FFF2-40B4-BE49-F238E27FC236}">
              <a16:creationId xmlns:a16="http://schemas.microsoft.com/office/drawing/2014/main" id="{528C53FC-8F64-70CE-4F6F-375E9E3C7FF6}"/>
            </a:ext>
          </a:extLst>
        </cdr:cNvPr>
        <cdr:cNvSpPr/>
      </cdr:nvSpPr>
      <cdr:spPr>
        <a:xfrm xmlns:a="http://schemas.openxmlformats.org/drawingml/2006/main">
          <a:off x="1199254" y="2086711"/>
          <a:ext cx="687730" cy="711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7730" h="711348">
              <a:moveTo>
                <a:pt x="481422" y="194641"/>
              </a:moveTo>
              <a:lnTo>
                <a:pt x="0" y="692596"/>
              </a:lnTo>
              <a:lnTo>
                <a:pt x="18129" y="711347"/>
              </a:lnTo>
              <a:lnTo>
                <a:pt x="499551" y="213393"/>
              </a:lnTo>
              <a:lnTo>
                <a:pt x="687729" y="18752"/>
              </a:lnTo>
              <a:lnTo>
                <a:pt x="6696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0.85044</cdr:x>
      <cdr:y>0.61441</cdr:y>
    </cdr:from>
    <cdr:to>
      <cdr:x>0.94246</cdr:x>
      <cdr:y>0.70825</cdr:y>
    </cdr:to>
    <cdr:sp macro="" textlink="">
      <cdr:nvSpPr>
        <cdr:cNvPr id="336" name="FracNo 977 StartRow 3683">
          <a:extLst xmlns:a="http://schemas.openxmlformats.org/drawingml/2006/main">
            <a:ext uri="{FF2B5EF4-FFF2-40B4-BE49-F238E27FC236}">
              <a16:creationId xmlns:a16="http://schemas.microsoft.com/office/drawing/2014/main" id="{6DF3A631-8DA7-7B0D-A182-80E50F732371}"/>
            </a:ext>
          </a:extLst>
        </cdr:cNvPr>
        <cdr:cNvSpPr/>
      </cdr:nvSpPr>
      <cdr:spPr>
        <a:xfrm xmlns:a="http://schemas.openxmlformats.org/drawingml/2006/main">
          <a:off x="6221166" y="4681822"/>
          <a:ext cx="673142" cy="7150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3142" h="715012">
              <a:moveTo>
                <a:pt x="18129" y="715011"/>
              </a:moveTo>
              <a:lnTo>
                <a:pt x="0" y="696259"/>
              </a:lnTo>
              <a:lnTo>
                <a:pt x="436621" y="244642"/>
              </a:lnTo>
              <a:lnTo>
                <a:pt x="673141" y="0"/>
              </a:lnTo>
              <a:lnTo>
                <a:pt x="673141" y="37504"/>
              </a:lnTo>
              <a:lnTo>
                <a:pt x="442992" y="2755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0.17621</cdr:x>
      <cdr:y>0.08544</cdr:y>
    </cdr:from>
    <cdr:to>
      <cdr:x>0.27017</cdr:x>
      <cdr:y>0.17627</cdr:y>
    </cdr:to>
    <cdr:sp macro="" textlink="">
      <cdr:nvSpPr>
        <cdr:cNvPr id="337" name="FracNo 429 StartRow 3692">
          <a:extLst xmlns:a="http://schemas.openxmlformats.org/drawingml/2006/main">
            <a:ext uri="{FF2B5EF4-FFF2-40B4-BE49-F238E27FC236}">
              <a16:creationId xmlns:a16="http://schemas.microsoft.com/office/drawing/2014/main" id="{AC76F037-4006-C7CD-0009-F72C2651D838}"/>
            </a:ext>
          </a:extLst>
        </cdr:cNvPr>
        <cdr:cNvSpPr/>
      </cdr:nvSpPr>
      <cdr:spPr>
        <a:xfrm xmlns:a="http://schemas.openxmlformats.org/drawingml/2006/main">
          <a:off x="1289031" y="651036"/>
          <a:ext cx="687320" cy="692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7320" h="692172">
              <a:moveTo>
                <a:pt x="333408" y="366065"/>
              </a:moveTo>
              <a:lnTo>
                <a:pt x="18129" y="692171"/>
              </a:lnTo>
              <a:lnTo>
                <a:pt x="0" y="673419"/>
              </a:lnTo>
              <a:lnTo>
                <a:pt x="306737" y="356148"/>
              </a:lnTo>
              <a:lnTo>
                <a:pt x="651060" y="0"/>
              </a:lnTo>
              <a:lnTo>
                <a:pt x="6873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0.75783</cdr:x>
      <cdr:y>0.31762</cdr:y>
    </cdr:from>
    <cdr:to>
      <cdr:x>0.85038</cdr:x>
      <cdr:y>0.40953</cdr:y>
    </cdr:to>
    <cdr:sp macro="" textlink="">
      <cdr:nvSpPr>
        <cdr:cNvPr id="338" name="FracNo 777 StartRow 3701">
          <a:extLst xmlns:a="http://schemas.openxmlformats.org/drawingml/2006/main">
            <a:ext uri="{FF2B5EF4-FFF2-40B4-BE49-F238E27FC236}">
              <a16:creationId xmlns:a16="http://schemas.microsoft.com/office/drawing/2014/main" id="{F923FE9F-654F-5214-33E7-D274BAFE9FD9}"/>
            </a:ext>
          </a:extLst>
        </cdr:cNvPr>
        <cdr:cNvSpPr/>
      </cdr:nvSpPr>
      <cdr:spPr>
        <a:xfrm xmlns:a="http://schemas.openxmlformats.org/drawingml/2006/main">
          <a:off x="5543663" y="2420288"/>
          <a:ext cx="677055" cy="7003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7055" h="700307">
              <a:moveTo>
                <a:pt x="273268" y="398902"/>
              </a:moveTo>
              <a:lnTo>
                <a:pt x="0" y="681554"/>
              </a:lnTo>
              <a:lnTo>
                <a:pt x="18129" y="700306"/>
              </a:lnTo>
              <a:lnTo>
                <a:pt x="291397" y="417654"/>
              </a:lnTo>
              <a:lnTo>
                <a:pt x="322418" y="385567"/>
              </a:lnTo>
              <a:lnTo>
                <a:pt x="677054" y="18752"/>
              </a:lnTo>
              <a:lnTo>
                <a:pt x="658925" y="0"/>
              </a:lnTo>
              <a:lnTo>
                <a:pt x="304289" y="3668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0.6475</cdr:x>
      <cdr:y>0.59144</cdr:y>
    </cdr:from>
    <cdr:to>
      <cdr:x>0.73994</cdr:x>
      <cdr:y>0.68323</cdr:y>
    </cdr:to>
    <cdr:sp macro="" textlink="">
      <cdr:nvSpPr>
        <cdr:cNvPr id="339" name="FracNo 591 StartRow 3712">
          <a:extLst xmlns:a="http://schemas.openxmlformats.org/drawingml/2006/main">
            <a:ext uri="{FF2B5EF4-FFF2-40B4-BE49-F238E27FC236}">
              <a16:creationId xmlns:a16="http://schemas.microsoft.com/office/drawing/2014/main" id="{D5E91317-E10E-5898-5795-B37561F55175}"/>
            </a:ext>
          </a:extLst>
        </cdr:cNvPr>
        <cdr:cNvSpPr/>
      </cdr:nvSpPr>
      <cdr:spPr>
        <a:xfrm xmlns:a="http://schemas.openxmlformats.org/drawingml/2006/main">
          <a:off x="4736612" y="4506793"/>
          <a:ext cx="676219" cy="699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6219" h="699441">
              <a:moveTo>
                <a:pt x="629898" y="29158"/>
              </a:moveTo>
              <a:lnTo>
                <a:pt x="246471" y="425753"/>
              </a:lnTo>
              <a:lnTo>
                <a:pt x="74420" y="603712"/>
              </a:lnTo>
              <a:lnTo>
                <a:pt x="0" y="680688"/>
              </a:lnTo>
              <a:lnTo>
                <a:pt x="18130" y="699440"/>
              </a:lnTo>
              <a:lnTo>
                <a:pt x="92549" y="622464"/>
              </a:lnTo>
              <a:lnTo>
                <a:pt x="264600" y="444505"/>
              </a:lnTo>
              <a:lnTo>
                <a:pt x="648028" y="47910"/>
              </a:lnTo>
              <a:lnTo>
                <a:pt x="676218" y="18752"/>
              </a:lnTo>
              <a:lnTo>
                <a:pt x="6580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0.54789</cdr:x>
      <cdr:y>0.58921</cdr:y>
    </cdr:from>
    <cdr:to>
      <cdr:x>0.64005</cdr:x>
      <cdr:y>0.68072</cdr:y>
    </cdr:to>
    <cdr:sp macro="" textlink="">
      <cdr:nvSpPr>
        <cdr:cNvPr id="340" name="FracNo 667 StartRow 3725">
          <a:extLst xmlns:a="http://schemas.openxmlformats.org/drawingml/2006/main">
            <a:ext uri="{FF2B5EF4-FFF2-40B4-BE49-F238E27FC236}">
              <a16:creationId xmlns:a16="http://schemas.microsoft.com/office/drawing/2014/main" id="{78439459-522F-8615-FE3F-F84AD94B785F}"/>
            </a:ext>
          </a:extLst>
        </cdr:cNvPr>
        <cdr:cNvSpPr/>
      </cdr:nvSpPr>
      <cdr:spPr>
        <a:xfrm xmlns:a="http://schemas.openxmlformats.org/drawingml/2006/main">
          <a:off x="4007943" y="4489809"/>
          <a:ext cx="674132" cy="697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4132" h="697284">
              <a:moveTo>
                <a:pt x="290514" y="378040"/>
              </a:moveTo>
              <a:lnTo>
                <a:pt x="227965" y="442737"/>
              </a:lnTo>
              <a:lnTo>
                <a:pt x="0" y="678531"/>
              </a:lnTo>
              <a:lnTo>
                <a:pt x="18129" y="697283"/>
              </a:lnTo>
              <a:lnTo>
                <a:pt x="246094" y="461489"/>
              </a:lnTo>
              <a:lnTo>
                <a:pt x="308643" y="396792"/>
              </a:lnTo>
              <a:lnTo>
                <a:pt x="674131" y="18752"/>
              </a:lnTo>
              <a:lnTo>
                <a:pt x="6560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0.23755</cdr:x>
      <cdr:y>0.53296</cdr:y>
    </cdr:from>
    <cdr:to>
      <cdr:x>0.32867</cdr:x>
      <cdr:y>0.62344</cdr:y>
    </cdr:to>
    <cdr:sp macro="" textlink="">
      <cdr:nvSpPr>
        <cdr:cNvPr id="341" name="FracNo 818 StartRow 3736">
          <a:extLst xmlns:a="http://schemas.openxmlformats.org/drawingml/2006/main">
            <a:ext uri="{FF2B5EF4-FFF2-40B4-BE49-F238E27FC236}">
              <a16:creationId xmlns:a16="http://schemas.microsoft.com/office/drawing/2014/main" id="{290450E4-BE92-6C64-8CD3-48633237C6D0}"/>
            </a:ext>
          </a:extLst>
        </cdr:cNvPr>
        <cdr:cNvSpPr/>
      </cdr:nvSpPr>
      <cdr:spPr>
        <a:xfrm xmlns:a="http://schemas.openxmlformats.org/drawingml/2006/main">
          <a:off x="1737698" y="4061124"/>
          <a:ext cx="666608" cy="6895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6608" h="689501">
              <a:moveTo>
                <a:pt x="214040" y="449358"/>
              </a:moveTo>
              <a:lnTo>
                <a:pt x="0" y="670748"/>
              </a:lnTo>
              <a:lnTo>
                <a:pt x="18129" y="689500"/>
              </a:lnTo>
              <a:lnTo>
                <a:pt x="232169" y="468110"/>
              </a:lnTo>
              <a:lnTo>
                <a:pt x="666607" y="18752"/>
              </a:lnTo>
              <a:lnTo>
                <a:pt x="6484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0.85268</cdr:x>
      <cdr:y>0.29953</cdr:y>
    </cdr:from>
    <cdr:to>
      <cdr:x>0.94246</cdr:x>
      <cdr:y>0.39114</cdr:y>
    </cdr:to>
    <cdr:sp macro="" textlink="">
      <cdr:nvSpPr>
        <cdr:cNvPr id="342" name="FracNo 880 StartRow 3745">
          <a:extLst xmlns:a="http://schemas.openxmlformats.org/drawingml/2006/main">
            <a:ext uri="{FF2B5EF4-FFF2-40B4-BE49-F238E27FC236}">
              <a16:creationId xmlns:a16="http://schemas.microsoft.com/office/drawing/2014/main" id="{B8828191-258C-D971-B12B-AFCAF16B4C42}"/>
            </a:ext>
          </a:extLst>
        </cdr:cNvPr>
        <cdr:cNvSpPr/>
      </cdr:nvSpPr>
      <cdr:spPr>
        <a:xfrm xmlns:a="http://schemas.openxmlformats.org/drawingml/2006/main">
          <a:off x="6237505" y="2282407"/>
          <a:ext cx="656803" cy="6981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6803" h="698111">
              <a:moveTo>
                <a:pt x="438510" y="263292"/>
              </a:moveTo>
              <a:lnTo>
                <a:pt x="186992" y="523448"/>
              </a:lnTo>
              <a:lnTo>
                <a:pt x="18129" y="698110"/>
              </a:lnTo>
              <a:lnTo>
                <a:pt x="0" y="679358"/>
              </a:lnTo>
              <a:lnTo>
                <a:pt x="168862" y="504696"/>
              </a:lnTo>
              <a:lnTo>
                <a:pt x="430086" y="234501"/>
              </a:lnTo>
              <a:lnTo>
                <a:pt x="656802" y="0"/>
              </a:lnTo>
              <a:lnTo>
                <a:pt x="65680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0.79664</cdr:y>
    </cdr:from>
    <cdr:to>
      <cdr:x>0.18126</cdr:x>
      <cdr:y>0.88792</cdr:y>
    </cdr:to>
    <cdr:sp macro="" textlink="">
      <cdr:nvSpPr>
        <cdr:cNvPr id="343" name="FracNo 928 StartRow 3756">
          <a:extLst xmlns:a="http://schemas.openxmlformats.org/drawingml/2006/main">
            <a:ext uri="{FF2B5EF4-FFF2-40B4-BE49-F238E27FC236}">
              <a16:creationId xmlns:a16="http://schemas.microsoft.com/office/drawing/2014/main" id="{0FC4A964-2D4E-62B9-3094-E363E603E645}"/>
            </a:ext>
          </a:extLst>
        </cdr:cNvPr>
        <cdr:cNvSpPr/>
      </cdr:nvSpPr>
      <cdr:spPr>
        <a:xfrm xmlns:a="http://schemas.openxmlformats.org/drawingml/2006/main">
          <a:off x="671676" y="6070421"/>
          <a:ext cx="654311" cy="6955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4311" h="695533">
              <a:moveTo>
                <a:pt x="175236" y="476774"/>
              </a:moveTo>
              <a:lnTo>
                <a:pt x="0" y="658028"/>
              </a:lnTo>
              <a:lnTo>
                <a:pt x="0" y="695532"/>
              </a:lnTo>
              <a:lnTo>
                <a:pt x="180230" y="509113"/>
              </a:lnTo>
              <a:lnTo>
                <a:pt x="654310" y="18752"/>
              </a:lnTo>
              <a:lnTo>
                <a:pt x="6361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0.14875</cdr:x>
      <cdr:y>0.49475</cdr:y>
    </cdr:from>
    <cdr:to>
      <cdr:x>0.239</cdr:x>
      <cdr:y>0.58437</cdr:y>
    </cdr:to>
    <cdr:sp macro="" textlink="">
      <cdr:nvSpPr>
        <cdr:cNvPr id="344" name="FracNo 103 StartRow 3765">
          <a:extLst xmlns:a="http://schemas.openxmlformats.org/drawingml/2006/main">
            <a:ext uri="{FF2B5EF4-FFF2-40B4-BE49-F238E27FC236}">
              <a16:creationId xmlns:a16="http://schemas.microsoft.com/office/drawing/2014/main" id="{EF6B65C7-A705-847D-3A9B-D9A58D2188E3}"/>
            </a:ext>
          </a:extLst>
        </cdr:cNvPr>
        <cdr:cNvSpPr/>
      </cdr:nvSpPr>
      <cdr:spPr>
        <a:xfrm xmlns:a="http://schemas.openxmlformats.org/drawingml/2006/main">
          <a:off x="1088151" y="3770028"/>
          <a:ext cx="660214" cy="6828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0214" h="682886">
              <a:moveTo>
                <a:pt x="345476" y="344297"/>
              </a:moveTo>
              <a:lnTo>
                <a:pt x="18129" y="682885"/>
              </a:lnTo>
              <a:lnTo>
                <a:pt x="0" y="664134"/>
              </a:lnTo>
              <a:lnTo>
                <a:pt x="327347" y="325544"/>
              </a:lnTo>
              <a:lnTo>
                <a:pt x="642084" y="0"/>
              </a:lnTo>
              <a:lnTo>
                <a:pt x="66021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0.35962</cdr:x>
      <cdr:y>0.69488</cdr:y>
    </cdr:from>
    <cdr:to>
      <cdr:x>0.44984</cdr:x>
      <cdr:y>0.78446</cdr:y>
    </cdr:to>
    <cdr:sp macro="" textlink="">
      <cdr:nvSpPr>
        <cdr:cNvPr id="345" name="FracNo 851 StartRow 3774">
          <a:extLst xmlns:a="http://schemas.openxmlformats.org/drawingml/2006/main">
            <a:ext uri="{FF2B5EF4-FFF2-40B4-BE49-F238E27FC236}">
              <a16:creationId xmlns:a16="http://schemas.microsoft.com/office/drawing/2014/main" id="{F11E4EE3-5BBE-243B-D15D-86DDC8A7AE89}"/>
            </a:ext>
          </a:extLst>
        </cdr:cNvPr>
        <cdr:cNvSpPr/>
      </cdr:nvSpPr>
      <cdr:spPr>
        <a:xfrm xmlns:a="http://schemas.openxmlformats.org/drawingml/2006/main">
          <a:off x="2630713" y="5294950"/>
          <a:ext cx="659989" cy="6826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9989" h="682654">
              <a:moveTo>
                <a:pt x="354652" y="334574"/>
              </a:moveTo>
              <a:lnTo>
                <a:pt x="124238" y="572900"/>
              </a:lnTo>
              <a:lnTo>
                <a:pt x="18130" y="682653"/>
              </a:lnTo>
              <a:lnTo>
                <a:pt x="0" y="663901"/>
              </a:lnTo>
              <a:lnTo>
                <a:pt x="106109" y="554149"/>
              </a:lnTo>
              <a:lnTo>
                <a:pt x="336523" y="315822"/>
              </a:lnTo>
              <a:lnTo>
                <a:pt x="641859" y="0"/>
              </a:lnTo>
              <a:lnTo>
                <a:pt x="65998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0.44788</cdr:x>
      <cdr:y>0.08544</cdr:y>
    </cdr:from>
    <cdr:to>
      <cdr:x>0.53925</cdr:x>
      <cdr:y>0.17371</cdr:y>
    </cdr:to>
    <cdr:sp macro="" textlink="">
      <cdr:nvSpPr>
        <cdr:cNvPr id="346" name="FracNo 344 StartRow 3785">
          <a:extLst xmlns:a="http://schemas.openxmlformats.org/drawingml/2006/main">
            <a:ext uri="{FF2B5EF4-FFF2-40B4-BE49-F238E27FC236}">
              <a16:creationId xmlns:a16="http://schemas.microsoft.com/office/drawing/2014/main" id="{0C775AFB-37C6-A8EF-5FD8-D8B6FD46FCF3}"/>
            </a:ext>
          </a:extLst>
        </cdr:cNvPr>
        <cdr:cNvSpPr/>
      </cdr:nvSpPr>
      <cdr:spPr>
        <a:xfrm xmlns:a="http://schemas.openxmlformats.org/drawingml/2006/main">
          <a:off x="3276342" y="651036"/>
          <a:ext cx="668416" cy="6726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8416" h="672618">
              <a:moveTo>
                <a:pt x="490563" y="146455"/>
              </a:moveTo>
              <a:lnTo>
                <a:pt x="0" y="653866"/>
              </a:lnTo>
              <a:lnTo>
                <a:pt x="18129" y="672617"/>
              </a:lnTo>
              <a:lnTo>
                <a:pt x="522761" y="150655"/>
              </a:lnTo>
              <a:lnTo>
                <a:pt x="668415" y="0"/>
              </a:lnTo>
              <a:lnTo>
                <a:pt x="6321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0.35519</cdr:x>
      <cdr:y>0.84185</cdr:y>
    </cdr:from>
    <cdr:to>
      <cdr:x>0.44655</cdr:x>
      <cdr:y>0.9301</cdr:y>
    </cdr:to>
    <cdr:sp macro="" textlink="">
      <cdr:nvSpPr>
        <cdr:cNvPr id="347" name="FracNo 194 StartRow 3794">
          <a:extLst xmlns:a="http://schemas.openxmlformats.org/drawingml/2006/main">
            <a:ext uri="{FF2B5EF4-FFF2-40B4-BE49-F238E27FC236}">
              <a16:creationId xmlns:a16="http://schemas.microsoft.com/office/drawing/2014/main" id="{F7253B44-30D2-F0F2-413B-AEA9F697BCC6}"/>
            </a:ext>
          </a:extLst>
        </cdr:cNvPr>
        <cdr:cNvSpPr/>
      </cdr:nvSpPr>
      <cdr:spPr>
        <a:xfrm xmlns:a="http://schemas.openxmlformats.org/drawingml/2006/main">
          <a:off x="2598316" y="6414905"/>
          <a:ext cx="668263" cy="6724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8263" h="672461">
              <a:moveTo>
                <a:pt x="294425" y="367924"/>
              </a:moveTo>
              <a:lnTo>
                <a:pt x="133504" y="534372"/>
              </a:lnTo>
              <a:lnTo>
                <a:pt x="0" y="672460"/>
              </a:lnTo>
              <a:lnTo>
                <a:pt x="36258" y="672460"/>
              </a:lnTo>
              <a:lnTo>
                <a:pt x="161637" y="542776"/>
              </a:lnTo>
              <a:lnTo>
                <a:pt x="319442" y="379551"/>
              </a:lnTo>
              <a:lnTo>
                <a:pt x="668262" y="18752"/>
              </a:lnTo>
              <a:lnTo>
                <a:pt x="6501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0.27822</cdr:x>
      <cdr:y>0.36316</cdr:y>
    </cdr:from>
    <cdr:to>
      <cdr:x>0.36812</cdr:x>
      <cdr:y>0.45242</cdr:y>
    </cdr:to>
    <cdr:sp macro="" textlink="">
      <cdr:nvSpPr>
        <cdr:cNvPr id="348" name="FracNo 106 StartRow 3805">
          <a:extLst xmlns:a="http://schemas.openxmlformats.org/drawingml/2006/main">
            <a:ext uri="{FF2B5EF4-FFF2-40B4-BE49-F238E27FC236}">
              <a16:creationId xmlns:a16="http://schemas.microsoft.com/office/drawing/2014/main" id="{C2EC791E-9269-FDA2-82CF-8F43B657B21E}"/>
            </a:ext>
          </a:extLst>
        </cdr:cNvPr>
        <cdr:cNvSpPr/>
      </cdr:nvSpPr>
      <cdr:spPr>
        <a:xfrm xmlns:a="http://schemas.openxmlformats.org/drawingml/2006/main">
          <a:off x="2035254" y="2767276"/>
          <a:ext cx="657596" cy="6801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7596" h="680179">
              <a:moveTo>
                <a:pt x="9113" y="652001"/>
              </a:moveTo>
              <a:lnTo>
                <a:pt x="0" y="661426"/>
              </a:lnTo>
              <a:lnTo>
                <a:pt x="18130" y="680178"/>
              </a:lnTo>
              <a:lnTo>
                <a:pt x="27242" y="670753"/>
              </a:lnTo>
              <a:lnTo>
                <a:pt x="638427" y="38579"/>
              </a:lnTo>
              <a:lnTo>
                <a:pt x="657595" y="18752"/>
              </a:lnTo>
              <a:lnTo>
                <a:pt x="639466" y="0"/>
              </a:lnTo>
              <a:lnTo>
                <a:pt x="620298" y="198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0.23117</cdr:y>
    </cdr:from>
    <cdr:to>
      <cdr:x>0.18019</cdr:x>
      <cdr:y>0.32138</cdr:y>
    </cdr:to>
    <cdr:sp macro="" textlink="">
      <cdr:nvSpPr>
        <cdr:cNvPr id="349" name="FracNo 790 StartRow 3816">
          <a:extLst xmlns:a="http://schemas.openxmlformats.org/drawingml/2006/main">
            <a:ext uri="{FF2B5EF4-FFF2-40B4-BE49-F238E27FC236}">
              <a16:creationId xmlns:a16="http://schemas.microsoft.com/office/drawing/2014/main" id="{FE20253C-8AEE-2BF2-7F22-3704485259AA}"/>
            </a:ext>
          </a:extLst>
        </cdr:cNvPr>
        <cdr:cNvSpPr/>
      </cdr:nvSpPr>
      <cdr:spPr>
        <a:xfrm xmlns:a="http://schemas.openxmlformats.org/drawingml/2006/main">
          <a:off x="671676" y="1761551"/>
          <a:ext cx="646449" cy="6874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6449" h="687401">
              <a:moveTo>
                <a:pt x="126139" y="556929"/>
              </a:moveTo>
              <a:lnTo>
                <a:pt x="0" y="687400"/>
              </a:lnTo>
              <a:lnTo>
                <a:pt x="0" y="649896"/>
              </a:lnTo>
              <a:lnTo>
                <a:pt x="122601" y="523084"/>
              </a:lnTo>
              <a:lnTo>
                <a:pt x="628318" y="0"/>
              </a:lnTo>
              <a:lnTo>
                <a:pt x="6464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0.70342</cdr:x>
      <cdr:y>0.53268</cdr:y>
    </cdr:from>
    <cdr:to>
      <cdr:x>0.793</cdr:x>
      <cdr:y>0.62162</cdr:y>
    </cdr:to>
    <cdr:sp macro="" textlink="">
      <cdr:nvSpPr>
        <cdr:cNvPr id="350" name="FracNo 954 StartRow 3825">
          <a:extLst xmlns:a="http://schemas.openxmlformats.org/drawingml/2006/main">
            <a:ext uri="{FF2B5EF4-FFF2-40B4-BE49-F238E27FC236}">
              <a16:creationId xmlns:a16="http://schemas.microsoft.com/office/drawing/2014/main" id="{0144FB97-FF3A-E828-D7E1-4240B066DD58}"/>
            </a:ext>
          </a:extLst>
        </cdr:cNvPr>
        <cdr:cNvSpPr/>
      </cdr:nvSpPr>
      <cdr:spPr>
        <a:xfrm xmlns:a="http://schemas.openxmlformats.org/drawingml/2006/main">
          <a:off x="5145682" y="4059016"/>
          <a:ext cx="655247" cy="677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5247" h="677750">
              <a:moveTo>
                <a:pt x="627842" y="47097"/>
              </a:moveTo>
              <a:lnTo>
                <a:pt x="18129" y="677749"/>
              </a:lnTo>
              <a:lnTo>
                <a:pt x="0" y="658997"/>
              </a:lnTo>
              <a:lnTo>
                <a:pt x="609713" y="28345"/>
              </a:lnTo>
              <a:lnTo>
                <a:pt x="637117" y="0"/>
              </a:lnTo>
              <a:lnTo>
                <a:pt x="655246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0.20484</cdr:x>
      <cdr:y>0.33238</cdr:y>
    </cdr:from>
    <cdr:to>
      <cdr:x>0.29439</cdr:x>
      <cdr:y>0.4213</cdr:y>
    </cdr:to>
    <cdr:sp macro="" textlink="">
      <cdr:nvSpPr>
        <cdr:cNvPr id="351" name="FracNo 924 StartRow 3834">
          <a:extLst xmlns:a="http://schemas.openxmlformats.org/drawingml/2006/main">
            <a:ext uri="{FF2B5EF4-FFF2-40B4-BE49-F238E27FC236}">
              <a16:creationId xmlns:a16="http://schemas.microsoft.com/office/drawing/2014/main" id="{3A441762-3963-39B0-9738-B21F459BF772}"/>
            </a:ext>
          </a:extLst>
        </cdr:cNvPr>
        <cdr:cNvSpPr/>
      </cdr:nvSpPr>
      <cdr:spPr>
        <a:xfrm xmlns:a="http://schemas.openxmlformats.org/drawingml/2006/main">
          <a:off x="1498425" y="2532745"/>
          <a:ext cx="655061" cy="6775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5061" h="677556">
              <a:moveTo>
                <a:pt x="366839" y="279366"/>
              </a:moveTo>
              <a:lnTo>
                <a:pt x="0" y="658803"/>
              </a:lnTo>
              <a:lnTo>
                <a:pt x="18130" y="677555"/>
              </a:lnTo>
              <a:lnTo>
                <a:pt x="384969" y="298118"/>
              </a:lnTo>
              <a:lnTo>
                <a:pt x="409147" y="273110"/>
              </a:lnTo>
              <a:lnTo>
                <a:pt x="655060" y="18752"/>
              </a:lnTo>
              <a:lnTo>
                <a:pt x="636931" y="0"/>
              </a:lnTo>
              <a:lnTo>
                <a:pt x="391018" y="2543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0.17472</cdr:y>
    </cdr:from>
    <cdr:to>
      <cdr:x>0.17961</cdr:x>
      <cdr:y>0.26436</cdr:y>
    </cdr:to>
    <cdr:sp macro="" textlink="">
      <cdr:nvSpPr>
        <cdr:cNvPr id="352" name="FracNo 876 StartRow 3845">
          <a:extLst xmlns:a="http://schemas.openxmlformats.org/drawingml/2006/main">
            <a:ext uri="{FF2B5EF4-FFF2-40B4-BE49-F238E27FC236}">
              <a16:creationId xmlns:a16="http://schemas.microsoft.com/office/drawing/2014/main" id="{18D4CCAD-FEE5-FC86-9A73-4156A4CA9F31}"/>
            </a:ext>
          </a:extLst>
        </cdr:cNvPr>
        <cdr:cNvSpPr/>
      </cdr:nvSpPr>
      <cdr:spPr>
        <a:xfrm xmlns:a="http://schemas.openxmlformats.org/drawingml/2006/main">
          <a:off x="671676" y="1331392"/>
          <a:ext cx="642191" cy="682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2191" h="682998">
              <a:moveTo>
                <a:pt x="436196" y="231821"/>
              </a:moveTo>
              <a:lnTo>
                <a:pt x="0" y="682997"/>
              </a:lnTo>
              <a:lnTo>
                <a:pt x="0" y="645493"/>
              </a:lnTo>
              <a:lnTo>
                <a:pt x="423882" y="207055"/>
              </a:lnTo>
              <a:lnTo>
                <a:pt x="624061" y="0"/>
              </a:lnTo>
              <a:lnTo>
                <a:pt x="6421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0.55178</cdr:x>
      <cdr:y>0.77832</cdr:y>
    </cdr:from>
    <cdr:to>
      <cdr:x>0.64047</cdr:x>
      <cdr:y>0.86639</cdr:y>
    </cdr:to>
    <cdr:sp macro="" textlink="">
      <cdr:nvSpPr>
        <cdr:cNvPr id="353" name="FracNo 196 StartRow 3854">
          <a:extLst xmlns:a="http://schemas.openxmlformats.org/drawingml/2006/main">
            <a:ext uri="{FF2B5EF4-FFF2-40B4-BE49-F238E27FC236}">
              <a16:creationId xmlns:a16="http://schemas.microsoft.com/office/drawing/2014/main" id="{03446055-0183-084D-172F-6AE9E6B5A08D}"/>
            </a:ext>
          </a:extLst>
        </cdr:cNvPr>
        <cdr:cNvSpPr/>
      </cdr:nvSpPr>
      <cdr:spPr>
        <a:xfrm xmlns:a="http://schemas.openxmlformats.org/drawingml/2006/main">
          <a:off x="4036354" y="5930810"/>
          <a:ext cx="648777" cy="671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8777" h="671057">
              <a:moveTo>
                <a:pt x="166180" y="480417"/>
              </a:moveTo>
              <a:lnTo>
                <a:pt x="0" y="652304"/>
              </a:lnTo>
              <a:lnTo>
                <a:pt x="18130" y="671056"/>
              </a:lnTo>
              <a:lnTo>
                <a:pt x="184310" y="499169"/>
              </a:lnTo>
              <a:lnTo>
                <a:pt x="648776" y="18752"/>
              </a:lnTo>
              <a:lnTo>
                <a:pt x="6306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0.18882</cdr:x>
      <cdr:y>0.08544</cdr:y>
    </cdr:from>
    <cdr:to>
      <cdr:x>0.27865</cdr:x>
      <cdr:y>0.17218</cdr:y>
    </cdr:to>
    <cdr:sp macro="" textlink="">
      <cdr:nvSpPr>
        <cdr:cNvPr id="354" name="FracNo 839 StartRow 3863">
          <a:extLst xmlns:a="http://schemas.openxmlformats.org/drawingml/2006/main">
            <a:ext uri="{FF2B5EF4-FFF2-40B4-BE49-F238E27FC236}">
              <a16:creationId xmlns:a16="http://schemas.microsoft.com/office/drawing/2014/main" id="{C272003B-D259-633C-659F-C3571C9256CC}"/>
            </a:ext>
          </a:extLst>
        </cdr:cNvPr>
        <cdr:cNvSpPr/>
      </cdr:nvSpPr>
      <cdr:spPr>
        <a:xfrm xmlns:a="http://schemas.openxmlformats.org/drawingml/2006/main">
          <a:off x="1381253" y="651036"/>
          <a:ext cx="657142" cy="6609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7142" h="660958">
              <a:moveTo>
                <a:pt x="293710" y="338409"/>
              </a:moveTo>
              <a:lnTo>
                <a:pt x="0" y="642206"/>
              </a:lnTo>
              <a:lnTo>
                <a:pt x="18129" y="660957"/>
              </a:lnTo>
              <a:lnTo>
                <a:pt x="320415" y="348290"/>
              </a:lnTo>
              <a:lnTo>
                <a:pt x="657141" y="0"/>
              </a:lnTo>
              <a:lnTo>
                <a:pt x="6208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0.85455</cdr:x>
      <cdr:y>0.84281</cdr:y>
    </cdr:from>
    <cdr:to>
      <cdr:x>0.94246</cdr:x>
      <cdr:y>0.9301</cdr:y>
    </cdr:to>
    <cdr:sp macro="" textlink="">
      <cdr:nvSpPr>
        <cdr:cNvPr id="355" name="FracNo 511 StartRow 3872">
          <a:extLst xmlns:a="http://schemas.openxmlformats.org/drawingml/2006/main">
            <a:ext uri="{FF2B5EF4-FFF2-40B4-BE49-F238E27FC236}">
              <a16:creationId xmlns:a16="http://schemas.microsoft.com/office/drawing/2014/main" id="{26A36C98-4085-545D-F3F5-1607B99DA6DC}"/>
            </a:ext>
          </a:extLst>
        </cdr:cNvPr>
        <cdr:cNvSpPr/>
      </cdr:nvSpPr>
      <cdr:spPr>
        <a:xfrm xmlns:a="http://schemas.openxmlformats.org/drawingml/2006/main">
          <a:off x="6251210" y="6422183"/>
          <a:ext cx="643098" cy="6651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3098" h="665183">
              <a:moveTo>
                <a:pt x="336396" y="354738"/>
              </a:moveTo>
              <a:lnTo>
                <a:pt x="36259" y="665182"/>
              </a:lnTo>
              <a:lnTo>
                <a:pt x="0" y="665182"/>
              </a:lnTo>
              <a:lnTo>
                <a:pt x="318070" y="336189"/>
              </a:lnTo>
              <a:lnTo>
                <a:pt x="643097" y="0"/>
              </a:lnTo>
              <a:lnTo>
                <a:pt x="64309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0.26912</cdr:x>
      <cdr:y>0.08544</cdr:y>
    </cdr:from>
    <cdr:to>
      <cdr:x>0.3574</cdr:x>
      <cdr:y>0.17064</cdr:y>
    </cdr:to>
    <cdr:sp macro="" textlink="">
      <cdr:nvSpPr>
        <cdr:cNvPr id="356" name="FracNo 427 StartRow 3881">
          <a:extLst xmlns:a="http://schemas.openxmlformats.org/drawingml/2006/main">
            <a:ext uri="{FF2B5EF4-FFF2-40B4-BE49-F238E27FC236}">
              <a16:creationId xmlns:a16="http://schemas.microsoft.com/office/drawing/2014/main" id="{23B58A64-B0A8-5B71-1160-43DB6681820E}"/>
            </a:ext>
          </a:extLst>
        </cdr:cNvPr>
        <cdr:cNvSpPr/>
      </cdr:nvSpPr>
      <cdr:spPr>
        <a:xfrm xmlns:a="http://schemas.openxmlformats.org/drawingml/2006/main">
          <a:off x="1968637" y="651036"/>
          <a:ext cx="645785" cy="6492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5785" h="649211">
              <a:moveTo>
                <a:pt x="24238" y="605387"/>
              </a:moveTo>
              <a:lnTo>
                <a:pt x="0" y="630458"/>
              </a:lnTo>
              <a:lnTo>
                <a:pt x="18129" y="649210"/>
              </a:lnTo>
              <a:lnTo>
                <a:pt x="43088" y="623394"/>
              </a:lnTo>
              <a:lnTo>
                <a:pt x="645784" y="0"/>
              </a:lnTo>
              <a:lnTo>
                <a:pt x="6095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0.6104</cdr:x>
      <cdr:y>0.17697</cdr:y>
    </cdr:from>
    <cdr:to>
      <cdr:x>0.69715</cdr:x>
      <cdr:y>0.26312</cdr:y>
    </cdr:to>
    <cdr:sp macro="" textlink="">
      <cdr:nvSpPr>
        <cdr:cNvPr id="357" name="FracNo 271 StartRow 3890">
          <a:extLst xmlns:a="http://schemas.openxmlformats.org/drawingml/2006/main">
            <a:ext uri="{FF2B5EF4-FFF2-40B4-BE49-F238E27FC236}">
              <a16:creationId xmlns:a16="http://schemas.microsoft.com/office/drawing/2014/main" id="{2634B501-1ADE-B0ED-15A6-DF554A48C106}"/>
            </a:ext>
          </a:extLst>
        </cdr:cNvPr>
        <cdr:cNvSpPr/>
      </cdr:nvSpPr>
      <cdr:spPr>
        <a:xfrm xmlns:a="http://schemas.openxmlformats.org/drawingml/2006/main">
          <a:off x="4465204" y="1348539"/>
          <a:ext cx="634609" cy="6564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609" h="656403">
              <a:moveTo>
                <a:pt x="422952" y="237677"/>
              </a:moveTo>
              <a:lnTo>
                <a:pt x="363957" y="298697"/>
              </a:lnTo>
              <a:lnTo>
                <a:pt x="18130" y="656402"/>
              </a:lnTo>
              <a:lnTo>
                <a:pt x="0" y="637650"/>
              </a:lnTo>
              <a:lnTo>
                <a:pt x="345828" y="279945"/>
              </a:lnTo>
              <a:lnTo>
                <a:pt x="404822" y="218925"/>
              </a:lnTo>
              <a:lnTo>
                <a:pt x="616479" y="0"/>
              </a:lnTo>
              <a:lnTo>
                <a:pt x="63460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0.17777</cdr:x>
      <cdr:y>0.17078</cdr:y>
    </cdr:to>
    <cdr:sp macro="" textlink="">
      <cdr:nvSpPr>
        <cdr:cNvPr id="358" name="FracNo 805 StartRow 3901">
          <a:extLst xmlns:a="http://schemas.openxmlformats.org/drawingml/2006/main">
            <a:ext uri="{FF2B5EF4-FFF2-40B4-BE49-F238E27FC236}">
              <a16:creationId xmlns:a16="http://schemas.microsoft.com/office/drawing/2014/main" id="{2DDC43F8-87AC-942A-5E37-3980C54B8484}"/>
            </a:ext>
          </a:extLst>
        </cdr:cNvPr>
        <cdr:cNvSpPr/>
      </cdr:nvSpPr>
      <cdr:spPr>
        <a:xfrm xmlns:a="http://schemas.openxmlformats.org/drawingml/2006/main">
          <a:off x="671676" y="651036"/>
          <a:ext cx="628745" cy="6503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8745" h="650337">
              <a:moveTo>
                <a:pt x="364130" y="236197"/>
              </a:moveTo>
              <a:lnTo>
                <a:pt x="0" y="612832"/>
              </a:lnTo>
              <a:lnTo>
                <a:pt x="0" y="650336"/>
              </a:lnTo>
              <a:lnTo>
                <a:pt x="386414" y="250651"/>
              </a:lnTo>
              <a:lnTo>
                <a:pt x="628744" y="0"/>
              </a:lnTo>
              <a:lnTo>
                <a:pt x="5924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0.24786</cdr:x>
      <cdr:y>0.24493</cdr:y>
    </cdr:from>
    <cdr:to>
      <cdr:x>0.332</cdr:x>
      <cdr:y>0.32849</cdr:y>
    </cdr:to>
    <cdr:sp macro="" textlink="">
      <cdr:nvSpPr>
        <cdr:cNvPr id="359" name="FracNo 806 StartRow 3910">
          <a:extLst xmlns:a="http://schemas.openxmlformats.org/drawingml/2006/main">
            <a:ext uri="{FF2B5EF4-FFF2-40B4-BE49-F238E27FC236}">
              <a16:creationId xmlns:a16="http://schemas.microsoft.com/office/drawing/2014/main" id="{F6EB5B7D-EA44-6A62-3DB4-4970D2CBE508}"/>
            </a:ext>
          </a:extLst>
        </cdr:cNvPr>
        <cdr:cNvSpPr/>
      </cdr:nvSpPr>
      <cdr:spPr>
        <a:xfrm xmlns:a="http://schemas.openxmlformats.org/drawingml/2006/main">
          <a:off x="1813116" y="1866385"/>
          <a:ext cx="615543" cy="636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5543" h="636682">
              <a:moveTo>
                <a:pt x="591418" y="43704"/>
              </a:moveTo>
              <a:lnTo>
                <a:pt x="18129" y="636681"/>
              </a:lnTo>
              <a:lnTo>
                <a:pt x="0" y="617929"/>
              </a:lnTo>
              <a:lnTo>
                <a:pt x="573289" y="24952"/>
              </a:lnTo>
              <a:lnTo>
                <a:pt x="597412" y="0"/>
              </a:lnTo>
              <a:lnTo>
                <a:pt x="6155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0.39802</cdr:x>
      <cdr:y>0.34854</cdr:y>
    </cdr:from>
    <cdr:to>
      <cdr:x>0.48155</cdr:x>
      <cdr:y>0.43149</cdr:y>
    </cdr:to>
    <cdr:sp macro="" textlink="">
      <cdr:nvSpPr>
        <cdr:cNvPr id="360" name="FracNo 918 StartRow 3919">
          <a:extLst xmlns:a="http://schemas.openxmlformats.org/drawingml/2006/main">
            <a:ext uri="{FF2B5EF4-FFF2-40B4-BE49-F238E27FC236}">
              <a16:creationId xmlns:a16="http://schemas.microsoft.com/office/drawing/2014/main" id="{F7F76347-2D7B-EF1E-8B54-769C01DBAB3F}"/>
            </a:ext>
          </a:extLst>
        </cdr:cNvPr>
        <cdr:cNvSpPr/>
      </cdr:nvSpPr>
      <cdr:spPr>
        <a:xfrm xmlns:a="http://schemas.openxmlformats.org/drawingml/2006/main">
          <a:off x="2911562" y="2655906"/>
          <a:ext cx="611084" cy="6320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1084" h="632070">
              <a:moveTo>
                <a:pt x="452954" y="182311"/>
              </a:moveTo>
              <a:lnTo>
                <a:pt x="18129" y="632069"/>
              </a:lnTo>
              <a:lnTo>
                <a:pt x="0" y="613317"/>
              </a:lnTo>
              <a:lnTo>
                <a:pt x="434825" y="163559"/>
              </a:lnTo>
              <a:lnTo>
                <a:pt x="466112" y="131197"/>
              </a:lnTo>
              <a:lnTo>
                <a:pt x="592954" y="0"/>
              </a:lnTo>
              <a:lnTo>
                <a:pt x="611083" y="18752"/>
              </a:lnTo>
              <a:lnTo>
                <a:pt x="484242" y="1499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0.13613</cdr:x>
      <cdr:y>0.84861</cdr:y>
    </cdr:from>
    <cdr:to>
      <cdr:x>0.22067</cdr:x>
      <cdr:y>0.9301</cdr:y>
    </cdr:to>
    <cdr:sp macro="" textlink="">
      <cdr:nvSpPr>
        <cdr:cNvPr id="361" name="FracNo 37 StartRow 3930">
          <a:extLst xmlns:a="http://schemas.openxmlformats.org/drawingml/2006/main">
            <a:ext uri="{FF2B5EF4-FFF2-40B4-BE49-F238E27FC236}">
              <a16:creationId xmlns:a16="http://schemas.microsoft.com/office/drawing/2014/main" id="{A9FF27C8-9DD7-3988-B076-AA49040F2603}"/>
            </a:ext>
          </a:extLst>
        </cdr:cNvPr>
        <cdr:cNvSpPr/>
      </cdr:nvSpPr>
      <cdr:spPr>
        <a:xfrm xmlns:a="http://schemas.openxmlformats.org/drawingml/2006/main">
          <a:off x="995793" y="6466414"/>
          <a:ext cx="618464" cy="6209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8464" h="620952">
              <a:moveTo>
                <a:pt x="161117" y="491804"/>
              </a:moveTo>
              <a:lnTo>
                <a:pt x="36258" y="620951"/>
              </a:lnTo>
              <a:lnTo>
                <a:pt x="0" y="620951"/>
              </a:lnTo>
              <a:lnTo>
                <a:pt x="128747" y="487782"/>
              </a:lnTo>
              <a:lnTo>
                <a:pt x="600334" y="0"/>
              </a:lnTo>
              <a:lnTo>
                <a:pt x="6184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0.28415</cdr:x>
      <cdr:y>0.55125</cdr:y>
    </cdr:from>
    <cdr:to>
      <cdr:x>0.36732</cdr:x>
      <cdr:y>0.63384</cdr:y>
    </cdr:to>
    <cdr:sp macro="" textlink="">
      <cdr:nvSpPr>
        <cdr:cNvPr id="362" name="FracNo 765 StartRow 3939">
          <a:extLst xmlns:a="http://schemas.openxmlformats.org/drawingml/2006/main">
            <a:ext uri="{FF2B5EF4-FFF2-40B4-BE49-F238E27FC236}">
              <a16:creationId xmlns:a16="http://schemas.microsoft.com/office/drawing/2014/main" id="{54EB4350-D582-C169-A3EB-9AE267475C42}"/>
            </a:ext>
          </a:extLst>
        </cdr:cNvPr>
        <cdr:cNvSpPr/>
      </cdr:nvSpPr>
      <cdr:spPr>
        <a:xfrm xmlns:a="http://schemas.openxmlformats.org/drawingml/2006/main">
          <a:off x="2078601" y="4200561"/>
          <a:ext cx="608390" cy="6292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8390" h="629283">
              <a:moveTo>
                <a:pt x="141543" y="464127"/>
              </a:moveTo>
              <a:lnTo>
                <a:pt x="0" y="610530"/>
              </a:lnTo>
              <a:lnTo>
                <a:pt x="18129" y="629282"/>
              </a:lnTo>
              <a:lnTo>
                <a:pt x="159672" y="482879"/>
              </a:lnTo>
              <a:lnTo>
                <a:pt x="608389" y="18752"/>
              </a:lnTo>
              <a:lnTo>
                <a:pt x="5902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0.34882</cdr:x>
      <cdr:y>0.54845</cdr:y>
    </cdr:from>
    <cdr:to>
      <cdr:x>0.43191</cdr:x>
      <cdr:y>0.63096</cdr:y>
    </cdr:to>
    <cdr:sp macro="" textlink="">
      <cdr:nvSpPr>
        <cdr:cNvPr id="363" name="FracNo 897 StartRow 3948">
          <a:extLst xmlns:a="http://schemas.openxmlformats.org/drawingml/2006/main">
            <a:ext uri="{FF2B5EF4-FFF2-40B4-BE49-F238E27FC236}">
              <a16:creationId xmlns:a16="http://schemas.microsoft.com/office/drawing/2014/main" id="{91D58BEE-A10A-0533-A8B0-BFC316BF8195}"/>
            </a:ext>
          </a:extLst>
        </cdr:cNvPr>
        <cdr:cNvSpPr/>
      </cdr:nvSpPr>
      <cdr:spPr>
        <a:xfrm xmlns:a="http://schemas.openxmlformats.org/drawingml/2006/main">
          <a:off x="2551724" y="4179220"/>
          <a:ext cx="607797" cy="628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7797" h="628669">
              <a:moveTo>
                <a:pt x="117706" y="525672"/>
              </a:moveTo>
              <a:lnTo>
                <a:pt x="18130" y="628668"/>
              </a:lnTo>
              <a:lnTo>
                <a:pt x="0" y="609916"/>
              </a:lnTo>
              <a:lnTo>
                <a:pt x="99577" y="506920"/>
              </a:lnTo>
              <a:lnTo>
                <a:pt x="185098" y="418462"/>
              </a:lnTo>
              <a:lnTo>
                <a:pt x="589667" y="0"/>
              </a:lnTo>
              <a:lnTo>
                <a:pt x="607796" y="18752"/>
              </a:lnTo>
              <a:lnTo>
                <a:pt x="203227" y="4372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0.18015</cdr:x>
      <cdr:y>0.71825</cdr:y>
    </cdr:from>
    <cdr:to>
      <cdr:x>0.26294</cdr:x>
      <cdr:y>0.80045</cdr:y>
    </cdr:to>
    <cdr:sp macro="" textlink="">
      <cdr:nvSpPr>
        <cdr:cNvPr id="364" name="FracNo 1044 StartRow 3959">
          <a:extLst xmlns:a="http://schemas.openxmlformats.org/drawingml/2006/main">
            <a:ext uri="{FF2B5EF4-FFF2-40B4-BE49-F238E27FC236}">
              <a16:creationId xmlns:a16="http://schemas.microsoft.com/office/drawing/2014/main" id="{751096E9-C36E-B387-8245-95BA6229AB35}"/>
            </a:ext>
          </a:extLst>
        </cdr:cNvPr>
        <cdr:cNvSpPr/>
      </cdr:nvSpPr>
      <cdr:spPr>
        <a:xfrm xmlns:a="http://schemas.openxmlformats.org/drawingml/2006/main">
          <a:off x="1317807" y="5473032"/>
          <a:ext cx="605635" cy="6264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635" h="626434">
              <a:moveTo>
                <a:pt x="26253" y="618030"/>
              </a:moveTo>
              <a:lnTo>
                <a:pt x="18129" y="626433"/>
              </a:lnTo>
              <a:lnTo>
                <a:pt x="0" y="607681"/>
              </a:lnTo>
              <a:lnTo>
                <a:pt x="8124" y="599278"/>
              </a:lnTo>
              <a:lnTo>
                <a:pt x="587504" y="0"/>
              </a:lnTo>
              <a:lnTo>
                <a:pt x="6056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0.72964</cdr:x>
      <cdr:y>0.10569</cdr:y>
    </cdr:from>
    <cdr:to>
      <cdr:x>0.81202</cdr:x>
      <cdr:y>0.1875</cdr:y>
    </cdr:to>
    <cdr:sp macro="" textlink="">
      <cdr:nvSpPr>
        <cdr:cNvPr id="365" name="FracNo 274 StartRow 3968">
          <a:extLst xmlns:a="http://schemas.openxmlformats.org/drawingml/2006/main">
            <a:ext uri="{FF2B5EF4-FFF2-40B4-BE49-F238E27FC236}">
              <a16:creationId xmlns:a16="http://schemas.microsoft.com/office/drawing/2014/main" id="{87F7C5DA-203B-FEDC-AB37-10F2767ED581}"/>
            </a:ext>
          </a:extLst>
        </cdr:cNvPr>
        <cdr:cNvSpPr/>
      </cdr:nvSpPr>
      <cdr:spPr>
        <a:xfrm xmlns:a="http://schemas.openxmlformats.org/drawingml/2006/main">
          <a:off x="5337445" y="805380"/>
          <a:ext cx="602658" cy="6233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2658" h="623354">
              <a:moveTo>
                <a:pt x="464467" y="124184"/>
              </a:moveTo>
              <a:lnTo>
                <a:pt x="0" y="604601"/>
              </a:lnTo>
              <a:lnTo>
                <a:pt x="18129" y="623353"/>
              </a:lnTo>
              <a:lnTo>
                <a:pt x="482596" y="142936"/>
              </a:lnTo>
              <a:lnTo>
                <a:pt x="602657" y="18752"/>
              </a:lnTo>
              <a:lnTo>
                <a:pt x="5845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0.77376</cdr:x>
      <cdr:y>0.38915</cdr:y>
    </cdr:from>
    <cdr:to>
      <cdr:x>0.85563</cdr:x>
      <cdr:y>0.47045</cdr:y>
    </cdr:to>
    <cdr:sp macro="" textlink="">
      <cdr:nvSpPr>
        <cdr:cNvPr id="366" name="FracNo 886 StartRow 3977">
          <a:extLst xmlns:a="http://schemas.openxmlformats.org/drawingml/2006/main">
            <a:ext uri="{FF2B5EF4-FFF2-40B4-BE49-F238E27FC236}">
              <a16:creationId xmlns:a16="http://schemas.microsoft.com/office/drawing/2014/main" id="{556789BE-BE79-8BF2-B9FD-0EEA7C87E90A}"/>
            </a:ext>
          </a:extLst>
        </cdr:cNvPr>
        <cdr:cNvSpPr/>
      </cdr:nvSpPr>
      <cdr:spPr>
        <a:xfrm xmlns:a="http://schemas.openxmlformats.org/drawingml/2006/main">
          <a:off x="5660181" y="2965359"/>
          <a:ext cx="598929" cy="6194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8929" h="619498">
              <a:moveTo>
                <a:pt x="170363" y="462036"/>
              </a:moveTo>
              <a:lnTo>
                <a:pt x="18129" y="619497"/>
              </a:lnTo>
              <a:lnTo>
                <a:pt x="0" y="600745"/>
              </a:lnTo>
              <a:lnTo>
                <a:pt x="152233" y="443284"/>
              </a:lnTo>
              <a:lnTo>
                <a:pt x="580799" y="0"/>
              </a:lnTo>
              <a:lnTo>
                <a:pt x="5989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0.16214</cdr:x>
      <cdr:y>0.62265</cdr:y>
    </cdr:from>
    <cdr:to>
      <cdr:x>0.2417</cdr:x>
      <cdr:y>0.70165</cdr:y>
    </cdr:to>
    <cdr:sp macro="" textlink="">
      <cdr:nvSpPr>
        <cdr:cNvPr id="367" name="FracNo 1000 StartRow 3986">
          <a:extLst xmlns:a="http://schemas.openxmlformats.org/drawingml/2006/main">
            <a:ext uri="{FF2B5EF4-FFF2-40B4-BE49-F238E27FC236}">
              <a16:creationId xmlns:a16="http://schemas.microsoft.com/office/drawing/2014/main" id="{E9B77891-344A-F3A0-AF8E-F522FFBFFAF9}"/>
            </a:ext>
          </a:extLst>
        </cdr:cNvPr>
        <cdr:cNvSpPr/>
      </cdr:nvSpPr>
      <cdr:spPr>
        <a:xfrm xmlns:a="http://schemas.openxmlformats.org/drawingml/2006/main">
          <a:off x="1186102" y="4744560"/>
          <a:ext cx="581992" cy="6019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1992" h="601979">
              <a:moveTo>
                <a:pt x="302537" y="270299"/>
              </a:moveTo>
              <a:lnTo>
                <a:pt x="0" y="583226"/>
              </a:lnTo>
              <a:lnTo>
                <a:pt x="18129" y="601978"/>
              </a:lnTo>
              <a:lnTo>
                <a:pt x="320667" y="289051"/>
              </a:lnTo>
              <a:lnTo>
                <a:pt x="400247" y="206738"/>
              </a:lnTo>
              <a:lnTo>
                <a:pt x="581991" y="18752"/>
              </a:lnTo>
              <a:lnTo>
                <a:pt x="563862" y="0"/>
              </a:lnTo>
              <a:lnTo>
                <a:pt x="382117" y="1879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0.75895</cdr:x>
      <cdr:y>0.35091</cdr:y>
    </cdr:from>
    <cdr:to>
      <cdr:x>0.8382</cdr:x>
      <cdr:y>0.4296</cdr:y>
    </cdr:to>
    <cdr:sp macro="" textlink="">
      <cdr:nvSpPr>
        <cdr:cNvPr id="368" name="FracNo 902 StartRow 3997">
          <a:extLst xmlns:a="http://schemas.openxmlformats.org/drawingml/2006/main">
            <a:ext uri="{FF2B5EF4-FFF2-40B4-BE49-F238E27FC236}">
              <a16:creationId xmlns:a16="http://schemas.microsoft.com/office/drawing/2014/main" id="{E147F68D-608B-ECFA-8529-7F068BBE05D3}"/>
            </a:ext>
          </a:extLst>
        </cdr:cNvPr>
        <cdr:cNvSpPr/>
      </cdr:nvSpPr>
      <cdr:spPr>
        <a:xfrm xmlns:a="http://schemas.openxmlformats.org/drawingml/2006/main">
          <a:off x="5551882" y="2673927"/>
          <a:ext cx="579714" cy="5996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9714" h="599622">
              <a:moveTo>
                <a:pt x="316667" y="290831"/>
              </a:moveTo>
              <a:lnTo>
                <a:pt x="18129" y="599621"/>
              </a:lnTo>
              <a:lnTo>
                <a:pt x="0" y="580869"/>
              </a:lnTo>
              <a:lnTo>
                <a:pt x="298538" y="272079"/>
              </a:lnTo>
              <a:lnTo>
                <a:pt x="452165" y="113176"/>
              </a:lnTo>
              <a:lnTo>
                <a:pt x="561583" y="0"/>
              </a:lnTo>
              <a:lnTo>
                <a:pt x="579713" y="18752"/>
              </a:lnTo>
              <a:lnTo>
                <a:pt x="470294" y="1319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0.16621</cdr:x>
      <cdr:y>0.19094</cdr:y>
    </cdr:from>
    <cdr:to>
      <cdr:x>0.24435</cdr:x>
      <cdr:y>0.26853</cdr:y>
    </cdr:to>
    <cdr:sp macro="" textlink="">
      <cdr:nvSpPr>
        <cdr:cNvPr id="369" name="FracNo 422 StartRow 4008">
          <a:extLst xmlns:a="http://schemas.openxmlformats.org/drawingml/2006/main">
            <a:ext uri="{FF2B5EF4-FFF2-40B4-BE49-F238E27FC236}">
              <a16:creationId xmlns:a16="http://schemas.microsoft.com/office/drawing/2014/main" id="{D66882DF-3E8F-2822-CCCB-7263D86CD159}"/>
            </a:ext>
          </a:extLst>
        </cdr:cNvPr>
        <cdr:cNvSpPr/>
      </cdr:nvSpPr>
      <cdr:spPr>
        <a:xfrm xmlns:a="http://schemas.openxmlformats.org/drawingml/2006/main">
          <a:off x="1215875" y="1454977"/>
          <a:ext cx="571614" cy="5912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1614" h="591243">
              <a:moveTo>
                <a:pt x="408417" y="150048"/>
              </a:moveTo>
              <a:lnTo>
                <a:pt x="0" y="572491"/>
              </a:lnTo>
              <a:lnTo>
                <a:pt x="18129" y="591242"/>
              </a:lnTo>
              <a:lnTo>
                <a:pt x="426546" y="168800"/>
              </a:lnTo>
              <a:lnTo>
                <a:pt x="571613" y="18751"/>
              </a:lnTo>
              <a:lnTo>
                <a:pt x="5534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0.27116</cdr:y>
    </cdr:from>
    <cdr:to>
      <cdr:x>0.16841</cdr:x>
      <cdr:y>0.34968</cdr:y>
    </cdr:to>
    <cdr:sp macro="" textlink="">
      <cdr:nvSpPr>
        <cdr:cNvPr id="370" name="FracNo 909 StartRow 4017">
          <a:extLst xmlns:a="http://schemas.openxmlformats.org/drawingml/2006/main">
            <a:ext uri="{FF2B5EF4-FFF2-40B4-BE49-F238E27FC236}">
              <a16:creationId xmlns:a16="http://schemas.microsoft.com/office/drawing/2014/main" id="{66768239-518D-0F4A-9791-B398E975E7AF}"/>
            </a:ext>
          </a:extLst>
        </cdr:cNvPr>
        <cdr:cNvSpPr/>
      </cdr:nvSpPr>
      <cdr:spPr>
        <a:xfrm xmlns:a="http://schemas.openxmlformats.org/drawingml/2006/main">
          <a:off x="671676" y="2066251"/>
          <a:ext cx="560293" cy="5982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0293" h="598286">
              <a:moveTo>
                <a:pt x="264812" y="324379"/>
              </a:moveTo>
              <a:lnTo>
                <a:pt x="0" y="598285"/>
              </a:lnTo>
              <a:lnTo>
                <a:pt x="0" y="560782"/>
              </a:lnTo>
              <a:lnTo>
                <a:pt x="256244" y="295738"/>
              </a:lnTo>
              <a:lnTo>
                <a:pt x="542162" y="0"/>
              </a:lnTo>
              <a:lnTo>
                <a:pt x="5602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0.56182</cdr:x>
      <cdr:y>0.85457</cdr:y>
    </cdr:from>
    <cdr:to>
      <cdr:x>0.64036</cdr:x>
      <cdr:y>0.9301</cdr:y>
    </cdr:to>
    <cdr:sp macro="" textlink="">
      <cdr:nvSpPr>
        <cdr:cNvPr id="371" name="FracNo 758 StartRow 4026">
          <a:extLst xmlns:a="http://schemas.openxmlformats.org/drawingml/2006/main">
            <a:ext uri="{FF2B5EF4-FFF2-40B4-BE49-F238E27FC236}">
              <a16:creationId xmlns:a16="http://schemas.microsoft.com/office/drawing/2014/main" id="{6A79E857-755B-EC2B-7D98-E35429BDDA3A}"/>
            </a:ext>
          </a:extLst>
        </cdr:cNvPr>
        <cdr:cNvSpPr/>
      </cdr:nvSpPr>
      <cdr:spPr>
        <a:xfrm xmlns:a="http://schemas.openxmlformats.org/drawingml/2006/main">
          <a:off x="4109813" y="6511826"/>
          <a:ext cx="574561" cy="5755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4561" h="575540">
              <a:moveTo>
                <a:pt x="57814" y="553244"/>
              </a:moveTo>
              <a:lnTo>
                <a:pt x="36259" y="575539"/>
              </a:lnTo>
              <a:lnTo>
                <a:pt x="0" y="575539"/>
              </a:lnTo>
              <a:lnTo>
                <a:pt x="22281" y="552492"/>
              </a:lnTo>
              <a:lnTo>
                <a:pt x="556430" y="0"/>
              </a:lnTo>
              <a:lnTo>
                <a:pt x="5745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0.83037</cdr:x>
      <cdr:y>0.85489</cdr:y>
    </cdr:from>
    <cdr:to>
      <cdr:x>0.90735</cdr:x>
      <cdr:y>0.93133</cdr:y>
    </cdr:to>
    <cdr:sp macro="" textlink="">
      <cdr:nvSpPr>
        <cdr:cNvPr id="372" name="FracNo 506 StartRow 4035">
          <a:extLst xmlns:a="http://schemas.openxmlformats.org/drawingml/2006/main">
            <a:ext uri="{FF2B5EF4-FFF2-40B4-BE49-F238E27FC236}">
              <a16:creationId xmlns:a16="http://schemas.microsoft.com/office/drawing/2014/main" id="{9746BF61-B872-F23D-82DB-BDE797A4DACA}"/>
            </a:ext>
          </a:extLst>
        </cdr:cNvPr>
        <cdr:cNvSpPr/>
      </cdr:nvSpPr>
      <cdr:spPr>
        <a:xfrm xmlns:a="http://schemas.openxmlformats.org/drawingml/2006/main">
          <a:off x="6074323" y="6514270"/>
          <a:ext cx="563133" cy="5824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133" h="582472">
              <a:moveTo>
                <a:pt x="311394" y="241632"/>
              </a:moveTo>
              <a:lnTo>
                <a:pt x="0" y="563719"/>
              </a:lnTo>
              <a:lnTo>
                <a:pt x="18130" y="582471"/>
              </a:lnTo>
              <a:lnTo>
                <a:pt x="329523" y="260383"/>
              </a:lnTo>
              <a:lnTo>
                <a:pt x="563132" y="18752"/>
              </a:lnTo>
              <a:lnTo>
                <a:pt x="5450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0.16588</cdr:x>
      <cdr:y>0.8552</cdr:y>
    </cdr:from>
    <cdr:to>
      <cdr:x>0.24378</cdr:x>
      <cdr:y>0.9301</cdr:y>
    </cdr:to>
    <cdr:sp macro="" textlink="">
      <cdr:nvSpPr>
        <cdr:cNvPr id="373" name="FracNo 827 StartRow 4044">
          <a:extLst xmlns:a="http://schemas.openxmlformats.org/drawingml/2006/main">
            <a:ext uri="{FF2B5EF4-FFF2-40B4-BE49-F238E27FC236}">
              <a16:creationId xmlns:a16="http://schemas.microsoft.com/office/drawing/2014/main" id="{7566DA11-4DCC-B6F3-DF4E-B687C38E9E70}"/>
            </a:ext>
          </a:extLst>
        </cdr:cNvPr>
        <cdr:cNvSpPr/>
      </cdr:nvSpPr>
      <cdr:spPr>
        <a:xfrm xmlns:a="http://schemas.openxmlformats.org/drawingml/2006/main">
          <a:off x="1213420" y="6516632"/>
          <a:ext cx="569915" cy="570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9915" h="570734">
              <a:moveTo>
                <a:pt x="266683" y="332396"/>
              </a:moveTo>
              <a:lnTo>
                <a:pt x="36259" y="570733"/>
              </a:lnTo>
              <a:lnTo>
                <a:pt x="0" y="570733"/>
              </a:lnTo>
              <a:lnTo>
                <a:pt x="238253" y="324298"/>
              </a:lnTo>
              <a:lnTo>
                <a:pt x="551784" y="0"/>
              </a:lnTo>
              <a:lnTo>
                <a:pt x="5699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0.26377</cdr:y>
    </cdr:from>
    <cdr:to>
      <cdr:x>0.16637</cdr:x>
      <cdr:y>0.34026</cdr:y>
    </cdr:to>
    <cdr:sp macro="" textlink="">
      <cdr:nvSpPr>
        <cdr:cNvPr id="374" name="FracNo 786 StartRow 4053">
          <a:extLst xmlns:a="http://schemas.openxmlformats.org/drawingml/2006/main">
            <a:ext uri="{FF2B5EF4-FFF2-40B4-BE49-F238E27FC236}">
              <a16:creationId xmlns:a16="http://schemas.microsoft.com/office/drawing/2014/main" id="{9DE862BA-7AA7-5004-F5D3-704634911718}"/>
            </a:ext>
          </a:extLst>
        </cdr:cNvPr>
        <cdr:cNvSpPr/>
      </cdr:nvSpPr>
      <cdr:spPr>
        <a:xfrm xmlns:a="http://schemas.openxmlformats.org/drawingml/2006/main">
          <a:off x="671676" y="2009909"/>
          <a:ext cx="545354" cy="5828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5354" h="582835">
              <a:moveTo>
                <a:pt x="134399" y="443819"/>
              </a:moveTo>
              <a:lnTo>
                <a:pt x="0" y="582834"/>
              </a:lnTo>
              <a:lnTo>
                <a:pt x="0" y="545330"/>
              </a:lnTo>
              <a:lnTo>
                <a:pt x="129931" y="410937"/>
              </a:lnTo>
              <a:lnTo>
                <a:pt x="527224" y="0"/>
              </a:lnTo>
              <a:lnTo>
                <a:pt x="5453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0.74334</cdr:x>
      <cdr:y>0.43553</cdr:y>
    </cdr:from>
    <cdr:to>
      <cdr:x>0.81889</cdr:x>
      <cdr:y>0.51055</cdr:y>
    </cdr:to>
    <cdr:sp macro="" textlink="">
      <cdr:nvSpPr>
        <cdr:cNvPr id="375" name="FracNo 780 StartRow 4062">
          <a:extLst xmlns:a="http://schemas.openxmlformats.org/drawingml/2006/main">
            <a:ext uri="{FF2B5EF4-FFF2-40B4-BE49-F238E27FC236}">
              <a16:creationId xmlns:a16="http://schemas.microsoft.com/office/drawing/2014/main" id="{5E56ED1F-371A-766E-9833-50184F730667}"/>
            </a:ext>
          </a:extLst>
        </cdr:cNvPr>
        <cdr:cNvSpPr/>
      </cdr:nvSpPr>
      <cdr:spPr>
        <a:xfrm xmlns:a="http://schemas.openxmlformats.org/drawingml/2006/main">
          <a:off x="5437683" y="3318758"/>
          <a:ext cx="552680" cy="5716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680" h="571660">
              <a:moveTo>
                <a:pt x="55288" y="533225"/>
              </a:moveTo>
              <a:lnTo>
                <a:pt x="18129" y="571659"/>
              </a:lnTo>
              <a:lnTo>
                <a:pt x="0" y="552907"/>
              </a:lnTo>
              <a:lnTo>
                <a:pt x="37158" y="514473"/>
              </a:lnTo>
              <a:lnTo>
                <a:pt x="534550" y="0"/>
              </a:lnTo>
              <a:lnTo>
                <a:pt x="55267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0.86825</cdr:x>
      <cdr:y>0.67012</cdr:y>
    </cdr:from>
    <cdr:to>
      <cdr:x>0.94246</cdr:x>
      <cdr:y>0.74627</cdr:y>
    </cdr:to>
    <cdr:sp macro="" textlink="">
      <cdr:nvSpPr>
        <cdr:cNvPr id="376" name="FracNo 519 StartRow 4071">
          <a:extLst xmlns:a="http://schemas.openxmlformats.org/drawingml/2006/main">
            <a:ext uri="{FF2B5EF4-FFF2-40B4-BE49-F238E27FC236}">
              <a16:creationId xmlns:a16="http://schemas.microsoft.com/office/drawing/2014/main" id="{15C36F4E-22D1-FED0-B7D0-7E508DD51246}"/>
            </a:ext>
          </a:extLst>
        </cdr:cNvPr>
        <cdr:cNvSpPr/>
      </cdr:nvSpPr>
      <cdr:spPr>
        <a:xfrm xmlns:a="http://schemas.openxmlformats.org/drawingml/2006/main">
          <a:off x="6351399" y="5106298"/>
          <a:ext cx="542909" cy="580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2909" h="580305">
              <a:moveTo>
                <a:pt x="17328" y="543630"/>
              </a:moveTo>
              <a:lnTo>
                <a:pt x="0" y="561552"/>
              </a:lnTo>
              <a:lnTo>
                <a:pt x="18129" y="580304"/>
              </a:lnTo>
              <a:lnTo>
                <a:pt x="34879" y="562980"/>
              </a:lnTo>
              <a:lnTo>
                <a:pt x="542908" y="37504"/>
              </a:lnTo>
              <a:lnTo>
                <a:pt x="5429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0.36649</cdr:x>
      <cdr:y>0.48075</cdr:y>
    </cdr:from>
    <cdr:to>
      <cdr:x>0.44163</cdr:x>
      <cdr:y>0.55536</cdr:y>
    </cdr:to>
    <cdr:sp macro="" textlink="">
      <cdr:nvSpPr>
        <cdr:cNvPr id="377" name="FracNo 672 StartRow 4080">
          <a:extLst xmlns:a="http://schemas.openxmlformats.org/drawingml/2006/main">
            <a:ext uri="{FF2B5EF4-FFF2-40B4-BE49-F238E27FC236}">
              <a16:creationId xmlns:a16="http://schemas.microsoft.com/office/drawing/2014/main" id="{739792B2-D86C-0F4E-1190-0D68A3F577C8}"/>
            </a:ext>
          </a:extLst>
        </cdr:cNvPr>
        <cdr:cNvSpPr/>
      </cdr:nvSpPr>
      <cdr:spPr>
        <a:xfrm xmlns:a="http://schemas.openxmlformats.org/drawingml/2006/main">
          <a:off x="2680969" y="3663318"/>
          <a:ext cx="549645" cy="568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9645" h="568520">
              <a:moveTo>
                <a:pt x="462178" y="109221"/>
              </a:moveTo>
              <a:lnTo>
                <a:pt x="73982" y="510749"/>
              </a:lnTo>
              <a:lnTo>
                <a:pt x="18130" y="568519"/>
              </a:lnTo>
              <a:lnTo>
                <a:pt x="0" y="549767"/>
              </a:lnTo>
              <a:lnTo>
                <a:pt x="55853" y="491997"/>
              </a:lnTo>
              <a:lnTo>
                <a:pt x="444049" y="90469"/>
              </a:lnTo>
              <a:lnTo>
                <a:pt x="531515" y="0"/>
              </a:lnTo>
              <a:lnTo>
                <a:pt x="5496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0.36311</cdr:x>
      <cdr:y>0.12047</cdr:y>
    </cdr:from>
    <cdr:to>
      <cdr:x>0.43746</cdr:x>
      <cdr:y>0.1943</cdr:y>
    </cdr:to>
    <cdr:sp macro="" textlink="">
      <cdr:nvSpPr>
        <cdr:cNvPr id="378" name="FracNo 352 StartRow 4091">
          <a:extLst xmlns:a="http://schemas.openxmlformats.org/drawingml/2006/main">
            <a:ext uri="{FF2B5EF4-FFF2-40B4-BE49-F238E27FC236}">
              <a16:creationId xmlns:a16="http://schemas.microsoft.com/office/drawing/2014/main" id="{5CA8DBD3-1796-EEA6-BCD2-35AAF4233BB9}"/>
            </a:ext>
          </a:extLst>
        </cdr:cNvPr>
        <cdr:cNvSpPr/>
      </cdr:nvSpPr>
      <cdr:spPr>
        <a:xfrm xmlns:a="http://schemas.openxmlformats.org/drawingml/2006/main">
          <a:off x="2656229" y="917996"/>
          <a:ext cx="543887" cy="562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3887" h="562564">
              <a:moveTo>
                <a:pt x="423513" y="105755"/>
              </a:moveTo>
              <a:lnTo>
                <a:pt x="80593" y="460452"/>
              </a:lnTo>
              <a:lnTo>
                <a:pt x="0" y="543812"/>
              </a:lnTo>
              <a:lnTo>
                <a:pt x="18130" y="562563"/>
              </a:lnTo>
              <a:lnTo>
                <a:pt x="98722" y="479203"/>
              </a:lnTo>
              <a:lnTo>
                <a:pt x="441642" y="124507"/>
              </a:lnTo>
              <a:lnTo>
                <a:pt x="543886" y="18752"/>
              </a:lnTo>
              <a:lnTo>
                <a:pt x="5257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0.37919</cdr:x>
      <cdr:y>0.12274</cdr:y>
    </cdr:from>
    <cdr:to>
      <cdr:x>0.45257</cdr:x>
      <cdr:y>0.1956</cdr:y>
    </cdr:to>
    <cdr:sp macro="" textlink="">
      <cdr:nvSpPr>
        <cdr:cNvPr id="379" name="FracNo 345 StartRow 4102">
          <a:extLst xmlns:a="http://schemas.openxmlformats.org/drawingml/2006/main">
            <a:ext uri="{FF2B5EF4-FFF2-40B4-BE49-F238E27FC236}">
              <a16:creationId xmlns:a16="http://schemas.microsoft.com/office/drawing/2014/main" id="{C6B1366D-FA4E-8719-E205-A0E5C95BF588}"/>
            </a:ext>
          </a:extLst>
        </cdr:cNvPr>
        <cdr:cNvSpPr/>
      </cdr:nvSpPr>
      <cdr:spPr>
        <a:xfrm xmlns:a="http://schemas.openxmlformats.org/drawingml/2006/main">
          <a:off x="2773863" y="935248"/>
          <a:ext cx="536756" cy="555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6756" h="555190">
              <a:moveTo>
                <a:pt x="350077" y="211841"/>
              </a:moveTo>
              <a:lnTo>
                <a:pt x="18129" y="555189"/>
              </a:lnTo>
              <a:lnTo>
                <a:pt x="0" y="536437"/>
              </a:lnTo>
              <a:lnTo>
                <a:pt x="331948" y="193090"/>
              </a:lnTo>
              <a:lnTo>
                <a:pt x="518626" y="0"/>
              </a:lnTo>
              <a:lnTo>
                <a:pt x="53675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0.83554</cdr:x>
      <cdr:y>0.75106</cdr:y>
    </cdr:from>
    <cdr:to>
      <cdr:x>0.90868</cdr:x>
      <cdr:y>0.82369</cdr:y>
    </cdr:to>
    <cdr:sp macro="" textlink="">
      <cdr:nvSpPr>
        <cdr:cNvPr id="380" name="FracNo 723 StartRow 4111">
          <a:extLst xmlns:a="http://schemas.openxmlformats.org/drawingml/2006/main">
            <a:ext uri="{FF2B5EF4-FFF2-40B4-BE49-F238E27FC236}">
              <a16:creationId xmlns:a16="http://schemas.microsoft.com/office/drawing/2014/main" id="{A82C5E1B-AF78-19CB-351C-AB4CF6C763C0}"/>
            </a:ext>
          </a:extLst>
        </cdr:cNvPr>
        <cdr:cNvSpPr/>
      </cdr:nvSpPr>
      <cdr:spPr>
        <a:xfrm xmlns:a="http://schemas.openxmlformats.org/drawingml/2006/main">
          <a:off x="6112128" y="5723083"/>
          <a:ext cx="535022" cy="553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5022" h="553397">
              <a:moveTo>
                <a:pt x="516892" y="0"/>
              </a:moveTo>
              <a:lnTo>
                <a:pt x="0" y="534644"/>
              </a:lnTo>
              <a:lnTo>
                <a:pt x="18129" y="553396"/>
              </a:lnTo>
              <a:lnTo>
                <a:pt x="535021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0.52134</cdr:x>
      <cdr:y>0.35435</cdr:y>
    </cdr:from>
    <cdr:to>
      <cdr:x>0.59426</cdr:x>
      <cdr:y>0.42676</cdr:y>
    </cdr:to>
    <cdr:sp macro="" textlink="">
      <cdr:nvSpPr>
        <cdr:cNvPr id="381" name="FracNo 669 StartRow 4119">
          <a:extLst xmlns:a="http://schemas.openxmlformats.org/drawingml/2006/main">
            <a:ext uri="{FF2B5EF4-FFF2-40B4-BE49-F238E27FC236}">
              <a16:creationId xmlns:a16="http://schemas.microsoft.com/office/drawing/2014/main" id="{B3036D91-59D6-AB5A-C93D-A58DE41D7832}"/>
            </a:ext>
          </a:extLst>
        </cdr:cNvPr>
        <cdr:cNvSpPr/>
      </cdr:nvSpPr>
      <cdr:spPr>
        <a:xfrm xmlns:a="http://schemas.openxmlformats.org/drawingml/2006/main">
          <a:off x="3813697" y="2700120"/>
          <a:ext cx="533439" cy="5517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3439" h="551759">
              <a:moveTo>
                <a:pt x="407225" y="149300"/>
              </a:moveTo>
              <a:lnTo>
                <a:pt x="18129" y="551758"/>
              </a:lnTo>
              <a:lnTo>
                <a:pt x="0" y="533006"/>
              </a:lnTo>
              <a:lnTo>
                <a:pt x="389096" y="130548"/>
              </a:lnTo>
              <a:lnTo>
                <a:pt x="431214" y="86983"/>
              </a:lnTo>
              <a:lnTo>
                <a:pt x="515309" y="0"/>
              </a:lnTo>
              <a:lnTo>
                <a:pt x="533438" y="18752"/>
              </a:lnTo>
              <a:lnTo>
                <a:pt x="449343" y="1057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0.1641</cdr:x>
      <cdr:y>0.15721</cdr:y>
    </cdr:to>
    <cdr:sp macro="" textlink="">
      <cdr:nvSpPr>
        <cdr:cNvPr id="382" name="FracNo 986 StartRow 4130">
          <a:extLst xmlns:a="http://schemas.openxmlformats.org/drawingml/2006/main">
            <a:ext uri="{FF2B5EF4-FFF2-40B4-BE49-F238E27FC236}">
              <a16:creationId xmlns:a16="http://schemas.microsoft.com/office/drawing/2014/main" id="{B1378F9C-5365-9C72-21AA-9BDF1DEBA3CE}"/>
            </a:ext>
          </a:extLst>
        </cdr:cNvPr>
        <cdr:cNvSpPr/>
      </cdr:nvSpPr>
      <cdr:spPr>
        <a:xfrm xmlns:a="http://schemas.openxmlformats.org/drawingml/2006/main">
          <a:off x="671676" y="651036"/>
          <a:ext cx="528764" cy="546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8764" h="546923">
              <a:moveTo>
                <a:pt x="286557" y="250523"/>
              </a:moveTo>
              <a:lnTo>
                <a:pt x="0" y="546922"/>
              </a:lnTo>
              <a:lnTo>
                <a:pt x="0" y="509418"/>
              </a:lnTo>
              <a:lnTo>
                <a:pt x="266907" y="233344"/>
              </a:lnTo>
              <a:lnTo>
                <a:pt x="492504" y="0"/>
              </a:lnTo>
              <a:lnTo>
                <a:pt x="5287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0.2093</cdr:x>
      <cdr:y>0.45991</cdr:y>
    </cdr:from>
    <cdr:to>
      <cdr:x>0.28148</cdr:x>
      <cdr:y>0.53159</cdr:y>
    </cdr:to>
    <cdr:sp macro="" textlink="">
      <cdr:nvSpPr>
        <cdr:cNvPr id="383" name="FracNo 1037 StartRow 4139">
          <a:extLst xmlns:a="http://schemas.openxmlformats.org/drawingml/2006/main">
            <a:ext uri="{FF2B5EF4-FFF2-40B4-BE49-F238E27FC236}">
              <a16:creationId xmlns:a16="http://schemas.microsoft.com/office/drawing/2014/main" id="{CC250441-F80B-987A-D00E-5A1F00F0CCDE}"/>
            </a:ext>
          </a:extLst>
        </cdr:cNvPr>
        <cdr:cNvSpPr/>
      </cdr:nvSpPr>
      <cdr:spPr>
        <a:xfrm xmlns:a="http://schemas.openxmlformats.org/drawingml/2006/main">
          <a:off x="1531074" y="3504526"/>
          <a:ext cx="528034" cy="5461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8034" h="546167">
              <a:moveTo>
                <a:pt x="222496" y="334781"/>
              </a:moveTo>
              <a:lnTo>
                <a:pt x="18129" y="546166"/>
              </a:lnTo>
              <a:lnTo>
                <a:pt x="0" y="527414"/>
              </a:lnTo>
              <a:lnTo>
                <a:pt x="204367" y="316029"/>
              </a:lnTo>
              <a:lnTo>
                <a:pt x="509903" y="0"/>
              </a:lnTo>
              <a:lnTo>
                <a:pt x="5280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0.73628</cdr:y>
    </cdr:from>
    <cdr:to>
      <cdr:x>0.16192</cdr:x>
      <cdr:y>0.80835</cdr:y>
    </cdr:to>
    <cdr:sp macro="" textlink="">
      <cdr:nvSpPr>
        <cdr:cNvPr id="384" name="FracNo 863 StartRow 4148">
          <a:extLst xmlns:a="http://schemas.openxmlformats.org/drawingml/2006/main">
            <a:ext uri="{FF2B5EF4-FFF2-40B4-BE49-F238E27FC236}">
              <a16:creationId xmlns:a16="http://schemas.microsoft.com/office/drawing/2014/main" id="{D77F7882-E5F9-E0FE-B1AA-743E4D8CA6C0}"/>
            </a:ext>
          </a:extLst>
        </cdr:cNvPr>
        <cdr:cNvSpPr/>
      </cdr:nvSpPr>
      <cdr:spPr>
        <a:xfrm xmlns:a="http://schemas.openxmlformats.org/drawingml/2006/main">
          <a:off x="671676" y="5610426"/>
          <a:ext cx="512819" cy="5491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2819" h="549182">
              <a:moveTo>
                <a:pt x="292059" y="209588"/>
              </a:moveTo>
              <a:lnTo>
                <a:pt x="0" y="511677"/>
              </a:lnTo>
              <a:lnTo>
                <a:pt x="0" y="549181"/>
              </a:lnTo>
              <a:lnTo>
                <a:pt x="302762" y="236021"/>
              </a:lnTo>
              <a:lnTo>
                <a:pt x="512818" y="18752"/>
              </a:lnTo>
              <a:lnTo>
                <a:pt x="4946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0.66225</cdr:y>
    </cdr:from>
    <cdr:to>
      <cdr:x>0.16141</cdr:x>
      <cdr:y>0.73381</cdr:y>
    </cdr:to>
    <cdr:sp macro="" textlink="">
      <cdr:nvSpPr>
        <cdr:cNvPr id="385" name="FracNo 28 StartRow 4157">
          <a:extLst xmlns:a="http://schemas.openxmlformats.org/drawingml/2006/main">
            <a:ext uri="{FF2B5EF4-FFF2-40B4-BE49-F238E27FC236}">
              <a16:creationId xmlns:a16="http://schemas.microsoft.com/office/drawing/2014/main" id="{4871C936-FE18-4220-358C-1FBDE198DAE6}"/>
            </a:ext>
          </a:extLst>
        </cdr:cNvPr>
        <cdr:cNvSpPr/>
      </cdr:nvSpPr>
      <cdr:spPr>
        <a:xfrm xmlns:a="http://schemas.openxmlformats.org/drawingml/2006/main">
          <a:off x="671676" y="5046314"/>
          <a:ext cx="509052" cy="5452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9052" h="545286">
              <a:moveTo>
                <a:pt x="61488" y="481685"/>
              </a:moveTo>
              <a:lnTo>
                <a:pt x="0" y="545285"/>
              </a:lnTo>
              <a:lnTo>
                <a:pt x="0" y="507781"/>
              </a:lnTo>
              <a:lnTo>
                <a:pt x="59298" y="446447"/>
              </a:lnTo>
              <a:lnTo>
                <a:pt x="490922" y="0"/>
              </a:lnTo>
              <a:lnTo>
                <a:pt x="5090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0.43274</cdr:x>
      <cdr:y>0.82473</cdr:y>
    </cdr:from>
    <cdr:to>
      <cdr:x>0.50339</cdr:x>
      <cdr:y>0.89488</cdr:y>
    </cdr:to>
    <cdr:sp macro="" textlink="">
      <cdr:nvSpPr>
        <cdr:cNvPr id="386" name="FracNo 199 StartRow 4166">
          <a:extLst xmlns:a="http://schemas.openxmlformats.org/drawingml/2006/main">
            <a:ext uri="{FF2B5EF4-FFF2-40B4-BE49-F238E27FC236}">
              <a16:creationId xmlns:a16="http://schemas.microsoft.com/office/drawing/2014/main" id="{BD15F9C2-F15B-5FD9-46A2-C5EE7CC8F10E}"/>
            </a:ext>
          </a:extLst>
        </cdr:cNvPr>
        <cdr:cNvSpPr/>
      </cdr:nvSpPr>
      <cdr:spPr>
        <a:xfrm xmlns:a="http://schemas.openxmlformats.org/drawingml/2006/main">
          <a:off x="3165597" y="6284413"/>
          <a:ext cx="516790" cy="534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6790" h="534537">
              <a:moveTo>
                <a:pt x="158307" y="389544"/>
              </a:moveTo>
              <a:lnTo>
                <a:pt x="18130" y="534536"/>
              </a:lnTo>
              <a:lnTo>
                <a:pt x="0" y="515784"/>
              </a:lnTo>
              <a:lnTo>
                <a:pt x="140178" y="370792"/>
              </a:lnTo>
              <a:lnTo>
                <a:pt x="498660" y="0"/>
              </a:lnTo>
              <a:lnTo>
                <a:pt x="51678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0.15744</cdr:x>
      <cdr:y>0.59365</cdr:y>
    </cdr:from>
    <cdr:to>
      <cdr:x>0.22751</cdr:x>
      <cdr:y>0.66322</cdr:y>
    </cdr:to>
    <cdr:sp macro="" textlink="">
      <cdr:nvSpPr>
        <cdr:cNvPr id="387" name="FracNo 120 StartRow 4175">
          <a:extLst xmlns:a="http://schemas.openxmlformats.org/drawingml/2006/main">
            <a:ext uri="{FF2B5EF4-FFF2-40B4-BE49-F238E27FC236}">
              <a16:creationId xmlns:a16="http://schemas.microsoft.com/office/drawing/2014/main" id="{4E92FFAE-436B-73CC-0A77-A8CA67348491}"/>
            </a:ext>
          </a:extLst>
        </cdr:cNvPr>
        <cdr:cNvSpPr/>
      </cdr:nvSpPr>
      <cdr:spPr>
        <a:xfrm xmlns:a="http://schemas.openxmlformats.org/drawingml/2006/main">
          <a:off x="1151678" y="4523597"/>
          <a:ext cx="512572" cy="5301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2572" h="530175">
              <a:moveTo>
                <a:pt x="452176" y="81220"/>
              </a:moveTo>
              <a:lnTo>
                <a:pt x="117200" y="427701"/>
              </a:lnTo>
              <a:lnTo>
                <a:pt x="18129" y="530174"/>
              </a:lnTo>
              <a:lnTo>
                <a:pt x="0" y="511422"/>
              </a:lnTo>
              <a:lnTo>
                <a:pt x="99070" y="408949"/>
              </a:lnTo>
              <a:lnTo>
                <a:pt x="434047" y="62469"/>
              </a:lnTo>
              <a:lnTo>
                <a:pt x="494442" y="0"/>
              </a:lnTo>
              <a:lnTo>
                <a:pt x="5125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0.42993</cdr:x>
      <cdr:y>0.48204</cdr:y>
    </cdr:from>
    <cdr:to>
      <cdr:x>0.49978</cdr:x>
      <cdr:y>0.5514</cdr:y>
    </cdr:to>
    <cdr:sp macro="" textlink="">
      <cdr:nvSpPr>
        <cdr:cNvPr id="388" name="FracNo 1025 StartRow 4186">
          <a:extLst xmlns:a="http://schemas.openxmlformats.org/drawingml/2006/main">
            <a:ext uri="{FF2B5EF4-FFF2-40B4-BE49-F238E27FC236}">
              <a16:creationId xmlns:a16="http://schemas.microsoft.com/office/drawing/2014/main" id="{81999927-8BD2-80BC-F0B5-987288FB5BC3}"/>
            </a:ext>
          </a:extLst>
        </cdr:cNvPr>
        <cdr:cNvSpPr/>
      </cdr:nvSpPr>
      <cdr:spPr>
        <a:xfrm xmlns:a="http://schemas.openxmlformats.org/drawingml/2006/main">
          <a:off x="3144998" y="3673177"/>
          <a:ext cx="510978" cy="5285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0978" h="528526">
              <a:moveTo>
                <a:pt x="375413" y="158972"/>
              </a:moveTo>
              <a:lnTo>
                <a:pt x="18129" y="528525"/>
              </a:lnTo>
              <a:lnTo>
                <a:pt x="0" y="509773"/>
              </a:lnTo>
              <a:lnTo>
                <a:pt x="357284" y="140220"/>
              </a:lnTo>
              <a:lnTo>
                <a:pt x="492848" y="0"/>
              </a:lnTo>
              <a:lnTo>
                <a:pt x="5109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0.69003</cdr:x>
      <cdr:y>0.40653</cdr:y>
    </cdr:from>
    <cdr:to>
      <cdr:x>0.75976</cdr:x>
      <cdr:y>0.47577</cdr:y>
    </cdr:to>
    <cdr:sp macro="" textlink="">
      <cdr:nvSpPr>
        <cdr:cNvPr id="389" name="FracNo 581 StartRow 4195">
          <a:extLst xmlns:a="http://schemas.openxmlformats.org/drawingml/2006/main">
            <a:ext uri="{FF2B5EF4-FFF2-40B4-BE49-F238E27FC236}">
              <a16:creationId xmlns:a16="http://schemas.microsoft.com/office/drawing/2014/main" id="{8F94B592-5B8F-A6D4-41F5-D7DF2C86EF9F}"/>
            </a:ext>
          </a:extLst>
        </cdr:cNvPr>
        <cdr:cNvSpPr/>
      </cdr:nvSpPr>
      <cdr:spPr>
        <a:xfrm xmlns:a="http://schemas.openxmlformats.org/drawingml/2006/main">
          <a:off x="5047691" y="3097729"/>
          <a:ext cx="510125" cy="5276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0125" h="527644">
              <a:moveTo>
                <a:pt x="228763" y="309775"/>
              </a:moveTo>
              <a:lnTo>
                <a:pt x="18129" y="527643"/>
              </a:lnTo>
              <a:lnTo>
                <a:pt x="0" y="508891"/>
              </a:lnTo>
              <a:lnTo>
                <a:pt x="210634" y="291023"/>
              </a:lnTo>
              <a:lnTo>
                <a:pt x="491995" y="0"/>
              </a:lnTo>
              <a:lnTo>
                <a:pt x="5101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0.81265</cdr:x>
      <cdr:y>0.7461</cdr:y>
    </cdr:from>
    <cdr:to>
      <cdr:x>0.88215</cdr:x>
      <cdr:y>0.81512</cdr:y>
    </cdr:to>
    <cdr:sp macro="" textlink="">
      <cdr:nvSpPr>
        <cdr:cNvPr id="390" name="FracNo 517 StartRow 4204">
          <a:extLst xmlns:a="http://schemas.openxmlformats.org/drawingml/2006/main">
            <a:ext uri="{FF2B5EF4-FFF2-40B4-BE49-F238E27FC236}">
              <a16:creationId xmlns:a16="http://schemas.microsoft.com/office/drawing/2014/main" id="{18E8D724-16E0-284A-C2A8-25A7400DA9CC}"/>
            </a:ext>
          </a:extLst>
        </cdr:cNvPr>
        <cdr:cNvSpPr/>
      </cdr:nvSpPr>
      <cdr:spPr>
        <a:xfrm xmlns:a="http://schemas.openxmlformats.org/drawingml/2006/main">
          <a:off x="5944667" y="5685255"/>
          <a:ext cx="508461" cy="525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8461" h="525923">
              <a:moveTo>
                <a:pt x="469900" y="21133"/>
              </a:moveTo>
              <a:lnTo>
                <a:pt x="0" y="507170"/>
              </a:lnTo>
              <a:lnTo>
                <a:pt x="18129" y="525922"/>
              </a:lnTo>
              <a:lnTo>
                <a:pt x="488029" y="39885"/>
              </a:lnTo>
              <a:lnTo>
                <a:pt x="508460" y="18752"/>
              </a:lnTo>
              <a:lnTo>
                <a:pt x="4903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0.67685</cdr:x>
      <cdr:y>0.5086</cdr:y>
    </cdr:from>
    <cdr:to>
      <cdr:x>0.74633</cdr:x>
      <cdr:y>0.57759</cdr:y>
    </cdr:to>
    <cdr:sp macro="" textlink="">
      <cdr:nvSpPr>
        <cdr:cNvPr id="391" name="FracNo 584 StartRow 4213">
          <a:extLst xmlns:a="http://schemas.openxmlformats.org/drawingml/2006/main">
            <a:ext uri="{FF2B5EF4-FFF2-40B4-BE49-F238E27FC236}">
              <a16:creationId xmlns:a16="http://schemas.microsoft.com/office/drawing/2014/main" id="{6AE1BCEE-D8FC-A459-C7CE-BC9F8DCD64C4}"/>
            </a:ext>
          </a:extLst>
        </cdr:cNvPr>
        <cdr:cNvSpPr/>
      </cdr:nvSpPr>
      <cdr:spPr>
        <a:xfrm xmlns:a="http://schemas.openxmlformats.org/drawingml/2006/main">
          <a:off x="4951262" y="3875523"/>
          <a:ext cx="508281" cy="5257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8281" h="525736">
              <a:moveTo>
                <a:pt x="448496" y="43085"/>
              </a:moveTo>
              <a:lnTo>
                <a:pt x="0" y="506983"/>
              </a:lnTo>
              <a:lnTo>
                <a:pt x="18130" y="525735"/>
              </a:lnTo>
              <a:lnTo>
                <a:pt x="466625" y="61836"/>
              </a:lnTo>
              <a:lnTo>
                <a:pt x="508280" y="18751"/>
              </a:lnTo>
              <a:lnTo>
                <a:pt x="4901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0.22289</cdr:x>
      <cdr:y>0.40522</cdr:y>
    </cdr:from>
    <cdr:to>
      <cdr:x>0.29225</cdr:x>
      <cdr:y>0.4741</cdr:y>
    </cdr:to>
    <cdr:sp macro="" textlink="">
      <cdr:nvSpPr>
        <cdr:cNvPr id="392" name="FracNo 116 StartRow 4222">
          <a:extLst xmlns:a="http://schemas.openxmlformats.org/drawingml/2006/main">
            <a:ext uri="{FF2B5EF4-FFF2-40B4-BE49-F238E27FC236}">
              <a16:creationId xmlns:a16="http://schemas.microsoft.com/office/drawing/2014/main" id="{D71E755B-8783-76D3-D033-701B961E07A0}"/>
            </a:ext>
          </a:extLst>
        </cdr:cNvPr>
        <cdr:cNvSpPr/>
      </cdr:nvSpPr>
      <cdr:spPr>
        <a:xfrm xmlns:a="http://schemas.openxmlformats.org/drawingml/2006/main">
          <a:off x="1630461" y="3087808"/>
          <a:ext cx="507427" cy="5248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7427" h="524852">
              <a:moveTo>
                <a:pt x="409338" y="120208"/>
              </a:moveTo>
              <a:lnTo>
                <a:pt x="18130" y="524851"/>
              </a:lnTo>
              <a:lnTo>
                <a:pt x="0" y="506100"/>
              </a:lnTo>
              <a:lnTo>
                <a:pt x="391209" y="101456"/>
              </a:lnTo>
              <a:lnTo>
                <a:pt x="489296" y="0"/>
              </a:lnTo>
              <a:lnTo>
                <a:pt x="5074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0.65509</cdr:x>
      <cdr:y>0.82096</cdr:y>
    </cdr:from>
    <cdr:to>
      <cdr:x>0.72438</cdr:x>
      <cdr:y>0.88976</cdr:y>
    </cdr:to>
    <cdr:sp macro="" textlink="">
      <cdr:nvSpPr>
        <cdr:cNvPr id="393" name="FracNo 727 StartRow 4231">
          <a:extLst xmlns:a="http://schemas.openxmlformats.org/drawingml/2006/main">
            <a:ext uri="{FF2B5EF4-FFF2-40B4-BE49-F238E27FC236}">
              <a16:creationId xmlns:a16="http://schemas.microsoft.com/office/drawing/2014/main" id="{6764D31E-63E0-2F59-9DFC-61EA1DB7E05B}"/>
            </a:ext>
          </a:extLst>
        </cdr:cNvPr>
        <cdr:cNvSpPr/>
      </cdr:nvSpPr>
      <cdr:spPr>
        <a:xfrm xmlns:a="http://schemas.openxmlformats.org/drawingml/2006/main">
          <a:off x="4792140" y="6255698"/>
          <a:ext cx="506880" cy="5242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6880" h="524288">
              <a:moveTo>
                <a:pt x="325540" y="168815"/>
              </a:moveTo>
              <a:lnTo>
                <a:pt x="18892" y="485994"/>
              </a:lnTo>
              <a:lnTo>
                <a:pt x="0" y="505535"/>
              </a:lnTo>
              <a:lnTo>
                <a:pt x="18129" y="524287"/>
              </a:lnTo>
              <a:lnTo>
                <a:pt x="37021" y="504746"/>
              </a:lnTo>
              <a:lnTo>
                <a:pt x="343669" y="187567"/>
              </a:lnTo>
              <a:lnTo>
                <a:pt x="506879" y="18752"/>
              </a:lnTo>
              <a:lnTo>
                <a:pt x="4887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0.87319</cdr:x>
      <cdr:y>0.86132</cdr:y>
    </cdr:from>
    <cdr:to>
      <cdr:x>0.94246</cdr:x>
      <cdr:y>0.9301</cdr:y>
    </cdr:to>
    <cdr:sp macro="" textlink="">
      <cdr:nvSpPr>
        <cdr:cNvPr id="394" name="FracNo 913 StartRow 4242">
          <a:extLst xmlns:a="http://schemas.openxmlformats.org/drawingml/2006/main">
            <a:ext uri="{FF2B5EF4-FFF2-40B4-BE49-F238E27FC236}">
              <a16:creationId xmlns:a16="http://schemas.microsoft.com/office/drawing/2014/main" id="{BB7FAA54-72F1-D348-3C36-B77123ABDA86}"/>
            </a:ext>
          </a:extLst>
        </cdr:cNvPr>
        <cdr:cNvSpPr/>
      </cdr:nvSpPr>
      <cdr:spPr>
        <a:xfrm xmlns:a="http://schemas.openxmlformats.org/drawingml/2006/main">
          <a:off x="6387576" y="6563231"/>
          <a:ext cx="506732" cy="5241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6732" h="524135">
              <a:moveTo>
                <a:pt x="370025" y="178906"/>
              </a:moveTo>
              <a:lnTo>
                <a:pt x="36258" y="524134"/>
              </a:lnTo>
              <a:lnTo>
                <a:pt x="0" y="524134"/>
              </a:lnTo>
              <a:lnTo>
                <a:pt x="359489" y="152299"/>
              </a:lnTo>
              <a:lnTo>
                <a:pt x="506731" y="0"/>
              </a:lnTo>
              <a:lnTo>
                <a:pt x="50673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0.3223</cdr:x>
      <cdr:y>0.08544</cdr:y>
    </cdr:from>
    <cdr:to>
      <cdr:x>0.39251</cdr:x>
      <cdr:y>0.15268</cdr:y>
    </cdr:to>
    <cdr:sp macro="" textlink="">
      <cdr:nvSpPr>
        <cdr:cNvPr id="395" name="FracNo 1024 StartRow 4251">
          <a:extLst xmlns:a="http://schemas.openxmlformats.org/drawingml/2006/main">
            <a:ext uri="{FF2B5EF4-FFF2-40B4-BE49-F238E27FC236}">
              <a16:creationId xmlns:a16="http://schemas.microsoft.com/office/drawing/2014/main" id="{77DE30C9-A268-017D-399F-DFC8BB71FF7D}"/>
            </a:ext>
          </a:extLst>
        </cdr:cNvPr>
        <cdr:cNvSpPr/>
      </cdr:nvSpPr>
      <cdr:spPr>
        <a:xfrm xmlns:a="http://schemas.openxmlformats.org/drawingml/2006/main">
          <a:off x="2357721" y="651036"/>
          <a:ext cx="513533" cy="5124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3533" h="512417">
              <a:moveTo>
                <a:pt x="284833" y="199049"/>
              </a:moveTo>
              <a:lnTo>
                <a:pt x="0" y="493663"/>
              </a:lnTo>
              <a:lnTo>
                <a:pt x="18129" y="512416"/>
              </a:lnTo>
              <a:lnTo>
                <a:pt x="309288" y="211257"/>
              </a:lnTo>
              <a:lnTo>
                <a:pt x="401394" y="115989"/>
              </a:lnTo>
              <a:lnTo>
                <a:pt x="513532" y="0"/>
              </a:lnTo>
              <a:lnTo>
                <a:pt x="477273" y="0"/>
              </a:lnTo>
              <a:lnTo>
                <a:pt x="374937" y="1058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0.21661</cdr:x>
      <cdr:y>0.78157</cdr:y>
    </cdr:from>
    <cdr:to>
      <cdr:x>0.28502</cdr:x>
      <cdr:y>0.8495</cdr:y>
    </cdr:to>
    <cdr:sp macro="" textlink="">
      <cdr:nvSpPr>
        <cdr:cNvPr id="396" name="FracNo 31 StartRow 4262">
          <a:extLst xmlns:a="http://schemas.openxmlformats.org/drawingml/2006/main">
            <a:ext uri="{FF2B5EF4-FFF2-40B4-BE49-F238E27FC236}">
              <a16:creationId xmlns:a16="http://schemas.microsoft.com/office/drawing/2014/main" id="{D554D35D-199D-FC0E-DF14-B4FB00A6578C}"/>
            </a:ext>
          </a:extLst>
        </cdr:cNvPr>
        <cdr:cNvSpPr/>
      </cdr:nvSpPr>
      <cdr:spPr>
        <a:xfrm xmlns:a="http://schemas.openxmlformats.org/drawingml/2006/main">
          <a:off x="1584556" y="5955578"/>
          <a:ext cx="500434" cy="517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0434" h="517620">
              <a:moveTo>
                <a:pt x="466008" y="16855"/>
              </a:moveTo>
              <a:lnTo>
                <a:pt x="0" y="498867"/>
              </a:lnTo>
              <a:lnTo>
                <a:pt x="18129" y="517619"/>
              </a:lnTo>
              <a:lnTo>
                <a:pt x="484138" y="35607"/>
              </a:lnTo>
              <a:lnTo>
                <a:pt x="500433" y="18752"/>
              </a:lnTo>
              <a:lnTo>
                <a:pt x="4823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0.31555</cdr:y>
    </cdr:from>
    <cdr:to>
      <cdr:x>0.15849</cdr:x>
      <cdr:y>0.38421</cdr:y>
    </cdr:to>
    <cdr:sp macro="" textlink="">
      <cdr:nvSpPr>
        <cdr:cNvPr id="397" name="FracNo 944 StartRow 4271">
          <a:extLst xmlns:a="http://schemas.openxmlformats.org/drawingml/2006/main">
            <a:ext uri="{FF2B5EF4-FFF2-40B4-BE49-F238E27FC236}">
              <a16:creationId xmlns:a16="http://schemas.microsoft.com/office/drawing/2014/main" id="{1F36E78F-BD85-DBE5-722D-CE67ACDB85BF}"/>
            </a:ext>
          </a:extLst>
        </cdr:cNvPr>
        <cdr:cNvSpPr/>
      </cdr:nvSpPr>
      <cdr:spPr>
        <a:xfrm xmlns:a="http://schemas.openxmlformats.org/drawingml/2006/main">
          <a:off x="671676" y="2404469"/>
          <a:ext cx="487724" cy="5232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7724" h="523225">
              <a:moveTo>
                <a:pt x="25768" y="459068"/>
              </a:moveTo>
              <a:lnTo>
                <a:pt x="0" y="485721"/>
              </a:lnTo>
              <a:lnTo>
                <a:pt x="0" y="523224"/>
              </a:lnTo>
              <a:lnTo>
                <a:pt x="30455" y="491724"/>
              </a:lnTo>
              <a:lnTo>
                <a:pt x="117793" y="401386"/>
              </a:lnTo>
              <a:lnTo>
                <a:pt x="487723" y="18752"/>
              </a:lnTo>
              <a:lnTo>
                <a:pt x="469594" y="0"/>
              </a:lnTo>
              <a:lnTo>
                <a:pt x="99664" y="3826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0.48634</cdr:x>
      <cdr:y>0.86452</cdr:y>
    </cdr:from>
    <cdr:to>
      <cdr:x>0.55486</cdr:x>
      <cdr:y>0.9301</cdr:y>
    </cdr:to>
    <cdr:sp macro="" textlink="">
      <cdr:nvSpPr>
        <cdr:cNvPr id="398" name="FracNo 817 StartRow 4282">
          <a:extLst xmlns:a="http://schemas.openxmlformats.org/drawingml/2006/main">
            <a:ext uri="{FF2B5EF4-FFF2-40B4-BE49-F238E27FC236}">
              <a16:creationId xmlns:a16="http://schemas.microsoft.com/office/drawing/2014/main" id="{1AEDF375-4CFB-A08B-EED7-D1660197F16E}"/>
            </a:ext>
          </a:extLst>
        </cdr:cNvPr>
        <cdr:cNvSpPr/>
      </cdr:nvSpPr>
      <cdr:spPr>
        <a:xfrm xmlns:a="http://schemas.openxmlformats.org/drawingml/2006/main">
          <a:off x="3557670" y="6587678"/>
          <a:ext cx="501227" cy="4996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1227" h="499688">
              <a:moveTo>
                <a:pt x="362584" y="162156"/>
              </a:moveTo>
              <a:lnTo>
                <a:pt x="36259" y="499687"/>
              </a:lnTo>
              <a:lnTo>
                <a:pt x="0" y="499687"/>
              </a:lnTo>
              <a:lnTo>
                <a:pt x="339049" y="148995"/>
              </a:lnTo>
              <a:lnTo>
                <a:pt x="483097" y="0"/>
              </a:lnTo>
              <a:lnTo>
                <a:pt x="5012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0.77947</cdr:y>
    </cdr:from>
    <cdr:to>
      <cdr:x>0.1575</cdr:x>
      <cdr:y>0.84715</cdr:y>
    </cdr:to>
    <cdr:sp macro="" textlink="">
      <cdr:nvSpPr>
        <cdr:cNvPr id="399" name="FracNo 858 StartRow 4291">
          <a:extLst xmlns:a="http://schemas.openxmlformats.org/drawingml/2006/main">
            <a:ext uri="{FF2B5EF4-FFF2-40B4-BE49-F238E27FC236}">
              <a16:creationId xmlns:a16="http://schemas.microsoft.com/office/drawing/2014/main" id="{C15C986F-DDD5-10FE-F855-5E2AB6BDE46C}"/>
            </a:ext>
          </a:extLst>
        </cdr:cNvPr>
        <cdr:cNvSpPr/>
      </cdr:nvSpPr>
      <cdr:spPr>
        <a:xfrm xmlns:a="http://schemas.openxmlformats.org/drawingml/2006/main">
          <a:off x="671676" y="5939529"/>
          <a:ext cx="480491" cy="5157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0491" h="515744">
              <a:moveTo>
                <a:pt x="460372" y="2058"/>
              </a:moveTo>
              <a:lnTo>
                <a:pt x="0" y="478240"/>
              </a:lnTo>
              <a:lnTo>
                <a:pt x="0" y="515743"/>
              </a:lnTo>
              <a:lnTo>
                <a:pt x="478423" y="20890"/>
              </a:lnTo>
              <a:lnTo>
                <a:pt x="480490" y="18752"/>
              </a:lnTo>
              <a:lnTo>
                <a:pt x="4623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0.26412</cdr:x>
      <cdr:y>0.09961</cdr:y>
    </cdr:from>
    <cdr:to>
      <cdr:x>0.33065</cdr:x>
      <cdr:y>0.16567</cdr:y>
    </cdr:to>
    <cdr:sp macro="" textlink="">
      <cdr:nvSpPr>
        <cdr:cNvPr id="400" name="FracNo 788 StartRow 4300">
          <a:extLst xmlns:a="http://schemas.openxmlformats.org/drawingml/2006/main">
            <a:ext uri="{FF2B5EF4-FFF2-40B4-BE49-F238E27FC236}">
              <a16:creationId xmlns:a16="http://schemas.microsoft.com/office/drawing/2014/main" id="{83157D4C-7B02-B7FA-E2BC-6B6751E86C0B}"/>
            </a:ext>
          </a:extLst>
        </cdr:cNvPr>
        <cdr:cNvSpPr/>
      </cdr:nvSpPr>
      <cdr:spPr>
        <a:xfrm xmlns:a="http://schemas.openxmlformats.org/drawingml/2006/main">
          <a:off x="1932082" y="759008"/>
          <a:ext cx="486715" cy="5034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6715" h="503430">
              <a:moveTo>
                <a:pt x="403213" y="67617"/>
              </a:moveTo>
              <a:lnTo>
                <a:pt x="0" y="484677"/>
              </a:lnTo>
              <a:lnTo>
                <a:pt x="18130" y="503429"/>
              </a:lnTo>
              <a:lnTo>
                <a:pt x="421343" y="86368"/>
              </a:lnTo>
              <a:lnTo>
                <a:pt x="486714" y="18752"/>
              </a:lnTo>
              <a:lnTo>
                <a:pt x="4685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0.63959</cdr:x>
      <cdr:y>0.64214</cdr:y>
    </cdr:from>
    <cdr:to>
      <cdr:x>0.70592</cdr:x>
      <cdr:y>0.70801</cdr:y>
    </cdr:to>
    <cdr:sp macro="" textlink="">
      <cdr:nvSpPr>
        <cdr:cNvPr id="401" name="FracNo 826 StartRow 4309">
          <a:extLst xmlns:a="http://schemas.openxmlformats.org/drawingml/2006/main">
            <a:ext uri="{FF2B5EF4-FFF2-40B4-BE49-F238E27FC236}">
              <a16:creationId xmlns:a16="http://schemas.microsoft.com/office/drawing/2014/main" id="{319C5C7D-9218-3E41-6B8D-FF62134BC639}"/>
            </a:ext>
          </a:extLst>
        </cdr:cNvPr>
        <cdr:cNvSpPr/>
      </cdr:nvSpPr>
      <cdr:spPr>
        <a:xfrm xmlns:a="http://schemas.openxmlformats.org/drawingml/2006/main">
          <a:off x="4678711" y="4893138"/>
          <a:ext cx="485250" cy="5019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5250" h="501914">
              <a:moveTo>
                <a:pt x="383517" y="86474"/>
              </a:moveTo>
              <a:lnTo>
                <a:pt x="132321" y="346296"/>
              </a:lnTo>
              <a:lnTo>
                <a:pt x="0" y="483161"/>
              </a:lnTo>
              <a:lnTo>
                <a:pt x="18129" y="501913"/>
              </a:lnTo>
              <a:lnTo>
                <a:pt x="150450" y="365048"/>
              </a:lnTo>
              <a:lnTo>
                <a:pt x="401646" y="105226"/>
              </a:lnTo>
              <a:lnTo>
                <a:pt x="447149" y="58160"/>
              </a:lnTo>
              <a:lnTo>
                <a:pt x="485249" y="18752"/>
              </a:lnTo>
              <a:lnTo>
                <a:pt x="467119" y="0"/>
              </a:lnTo>
              <a:lnTo>
                <a:pt x="429019" y="394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0.87748</cdr:x>
      <cdr:y>0.6794</cdr:y>
    </cdr:from>
    <cdr:to>
      <cdr:x>0.94246</cdr:x>
      <cdr:y>0.74638</cdr:y>
    </cdr:to>
    <cdr:sp macro="" textlink="">
      <cdr:nvSpPr>
        <cdr:cNvPr id="402" name="FracNo 503 StartRow 4322">
          <a:extLst xmlns:a="http://schemas.openxmlformats.org/drawingml/2006/main">
            <a:ext uri="{FF2B5EF4-FFF2-40B4-BE49-F238E27FC236}">
              <a16:creationId xmlns:a16="http://schemas.microsoft.com/office/drawing/2014/main" id="{B87F43B2-CAD0-5CEC-3A4B-BB138ACD49A1}"/>
            </a:ext>
          </a:extLst>
        </cdr:cNvPr>
        <cdr:cNvSpPr/>
      </cdr:nvSpPr>
      <cdr:spPr>
        <a:xfrm xmlns:a="http://schemas.openxmlformats.org/drawingml/2006/main">
          <a:off x="6418962" y="5176998"/>
          <a:ext cx="475346" cy="510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5346" h="510423">
              <a:moveTo>
                <a:pt x="25077" y="465732"/>
              </a:moveTo>
              <a:lnTo>
                <a:pt x="0" y="491670"/>
              </a:lnTo>
              <a:lnTo>
                <a:pt x="18129" y="510422"/>
              </a:lnTo>
              <a:lnTo>
                <a:pt x="42250" y="485473"/>
              </a:lnTo>
              <a:lnTo>
                <a:pt x="475345" y="37504"/>
              </a:lnTo>
              <a:lnTo>
                <a:pt x="4753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0.87788</cdr:x>
      <cdr:y>0.84984</cdr:y>
    </cdr:from>
    <cdr:to>
      <cdr:x>0.94246</cdr:x>
      <cdr:y>0.91643</cdr:y>
    </cdr:to>
    <cdr:sp macro="" textlink="">
      <cdr:nvSpPr>
        <cdr:cNvPr id="403" name="FracNo 512 StartRow 4331">
          <a:extLst xmlns:a="http://schemas.openxmlformats.org/drawingml/2006/main">
            <a:ext uri="{FF2B5EF4-FFF2-40B4-BE49-F238E27FC236}">
              <a16:creationId xmlns:a16="http://schemas.microsoft.com/office/drawing/2014/main" id="{E5558B67-244F-AAF9-E114-97C63055FF0E}"/>
            </a:ext>
          </a:extLst>
        </cdr:cNvPr>
        <cdr:cNvSpPr/>
      </cdr:nvSpPr>
      <cdr:spPr>
        <a:xfrm xmlns:a="http://schemas.openxmlformats.org/drawingml/2006/main">
          <a:off x="6421867" y="6475812"/>
          <a:ext cx="472441" cy="5074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441" h="507418">
              <a:moveTo>
                <a:pt x="105131" y="379923"/>
              </a:moveTo>
              <a:lnTo>
                <a:pt x="0" y="488664"/>
              </a:lnTo>
              <a:lnTo>
                <a:pt x="18129" y="507417"/>
              </a:lnTo>
              <a:lnTo>
                <a:pt x="119226" y="402848"/>
              </a:lnTo>
              <a:lnTo>
                <a:pt x="472440" y="37504"/>
              </a:lnTo>
              <a:lnTo>
                <a:pt x="4724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0.2017</cdr:x>
      <cdr:y>0.72239</cdr:y>
    </cdr:from>
    <cdr:to>
      <cdr:x>0.26711</cdr:x>
      <cdr:y>0.78734</cdr:y>
    </cdr:to>
    <cdr:sp macro="" textlink="">
      <cdr:nvSpPr>
        <cdr:cNvPr id="404" name="FracNo 843 StartRow 4340">
          <a:extLst xmlns:a="http://schemas.openxmlformats.org/drawingml/2006/main">
            <a:ext uri="{FF2B5EF4-FFF2-40B4-BE49-F238E27FC236}">
              <a16:creationId xmlns:a16="http://schemas.microsoft.com/office/drawing/2014/main" id="{9F8C1639-D6CC-C3AD-1663-0597E105DE15}"/>
            </a:ext>
          </a:extLst>
        </cdr:cNvPr>
        <cdr:cNvSpPr/>
      </cdr:nvSpPr>
      <cdr:spPr>
        <a:xfrm xmlns:a="http://schemas.openxmlformats.org/drawingml/2006/main">
          <a:off x="1475484" y="5504621"/>
          <a:ext cx="478497" cy="4949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8497" h="494929">
              <a:moveTo>
                <a:pt x="321588" y="143544"/>
              </a:moveTo>
              <a:lnTo>
                <a:pt x="0" y="476177"/>
              </a:lnTo>
              <a:lnTo>
                <a:pt x="18129" y="494928"/>
              </a:lnTo>
              <a:lnTo>
                <a:pt x="339717" y="162296"/>
              </a:lnTo>
              <a:lnTo>
                <a:pt x="478496" y="18752"/>
              </a:lnTo>
              <a:lnTo>
                <a:pt x="4603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0.80549</cdr:y>
    </cdr:from>
    <cdr:to>
      <cdr:x>0.15595</cdr:x>
      <cdr:y>0.87163</cdr:y>
    </cdr:to>
    <cdr:sp macro="" textlink="">
      <cdr:nvSpPr>
        <cdr:cNvPr id="405" name="FracNo 948 StartRow 4349">
          <a:extLst xmlns:a="http://schemas.openxmlformats.org/drawingml/2006/main">
            <a:ext uri="{FF2B5EF4-FFF2-40B4-BE49-F238E27FC236}">
              <a16:creationId xmlns:a16="http://schemas.microsoft.com/office/drawing/2014/main" id="{6403FB86-E0E2-E710-1FCB-4DCD63E33355}"/>
            </a:ext>
          </a:extLst>
        </cdr:cNvPr>
        <cdr:cNvSpPr/>
      </cdr:nvSpPr>
      <cdr:spPr>
        <a:xfrm xmlns:a="http://schemas.openxmlformats.org/drawingml/2006/main">
          <a:off x="671676" y="6137825"/>
          <a:ext cx="469148" cy="5040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9148" h="504011">
              <a:moveTo>
                <a:pt x="134209" y="365192"/>
              </a:moveTo>
              <a:lnTo>
                <a:pt x="0" y="504010"/>
              </a:lnTo>
              <a:lnTo>
                <a:pt x="0" y="466506"/>
              </a:lnTo>
              <a:lnTo>
                <a:pt x="129023" y="333053"/>
              </a:lnTo>
              <a:lnTo>
                <a:pt x="451018" y="0"/>
              </a:lnTo>
              <a:lnTo>
                <a:pt x="4691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0.87882</cdr:x>
      <cdr:y>0.56398</cdr:y>
    </cdr:from>
    <cdr:to>
      <cdr:x>0.94246</cdr:x>
      <cdr:y>0.62963</cdr:y>
    </cdr:to>
    <cdr:sp macro="" textlink="">
      <cdr:nvSpPr>
        <cdr:cNvPr id="406" name="FracNo 1019 StartRow 4358">
          <a:extLst xmlns:a="http://schemas.openxmlformats.org/drawingml/2006/main">
            <a:ext uri="{FF2B5EF4-FFF2-40B4-BE49-F238E27FC236}">
              <a16:creationId xmlns:a16="http://schemas.microsoft.com/office/drawing/2014/main" id="{EBF00A70-D7DF-B2FA-A67E-4926DC86FAF5}"/>
            </a:ext>
          </a:extLst>
        </cdr:cNvPr>
        <cdr:cNvSpPr/>
      </cdr:nvSpPr>
      <cdr:spPr>
        <a:xfrm xmlns:a="http://schemas.openxmlformats.org/drawingml/2006/main">
          <a:off x="6428773" y="4297530"/>
          <a:ext cx="465535" cy="500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5535" h="500275">
              <a:moveTo>
                <a:pt x="102742" y="375251"/>
              </a:moveTo>
              <a:lnTo>
                <a:pt x="0" y="481522"/>
              </a:lnTo>
              <a:lnTo>
                <a:pt x="18129" y="500274"/>
              </a:lnTo>
              <a:lnTo>
                <a:pt x="116870" y="398142"/>
              </a:lnTo>
              <a:lnTo>
                <a:pt x="465534" y="37504"/>
              </a:lnTo>
              <a:lnTo>
                <a:pt x="4655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0.31016</cdr:x>
      <cdr:y>0.86782</cdr:y>
    </cdr:from>
    <cdr:to>
      <cdr:x>0.37536</cdr:x>
      <cdr:y>0.9301</cdr:y>
    </cdr:to>
    <cdr:sp macro="" textlink="">
      <cdr:nvSpPr>
        <cdr:cNvPr id="407" name="FracNo 1040 StartRow 4367">
          <a:extLst xmlns:a="http://schemas.openxmlformats.org/drawingml/2006/main">
            <a:ext uri="{FF2B5EF4-FFF2-40B4-BE49-F238E27FC236}">
              <a16:creationId xmlns:a16="http://schemas.microsoft.com/office/drawing/2014/main" id="{4F89127E-F551-985B-8958-E7BE94F7489A}"/>
            </a:ext>
          </a:extLst>
        </cdr:cNvPr>
        <cdr:cNvSpPr/>
      </cdr:nvSpPr>
      <cdr:spPr>
        <a:xfrm xmlns:a="http://schemas.openxmlformats.org/drawingml/2006/main">
          <a:off x="2268901" y="6612775"/>
          <a:ext cx="476963" cy="474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6963" h="474591">
              <a:moveTo>
                <a:pt x="406535" y="54094"/>
              </a:moveTo>
              <a:lnTo>
                <a:pt x="0" y="474590"/>
              </a:lnTo>
              <a:lnTo>
                <a:pt x="36258" y="474590"/>
              </a:lnTo>
              <a:lnTo>
                <a:pt x="426730" y="70709"/>
              </a:lnTo>
              <a:lnTo>
                <a:pt x="476962" y="18751"/>
              </a:lnTo>
              <a:lnTo>
                <a:pt x="4588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0.54454</cdr:x>
      <cdr:y>0.32276</cdr:y>
    </cdr:from>
    <cdr:to>
      <cdr:x>0.60831</cdr:x>
      <cdr:y>0.38608</cdr:y>
    </cdr:to>
    <cdr:sp macro="" textlink="">
      <cdr:nvSpPr>
        <cdr:cNvPr id="408" name="FracNo 849 StartRow 4376">
          <a:extLst xmlns:a="http://schemas.openxmlformats.org/drawingml/2006/main">
            <a:ext uri="{FF2B5EF4-FFF2-40B4-BE49-F238E27FC236}">
              <a16:creationId xmlns:a16="http://schemas.microsoft.com/office/drawing/2014/main" id="{C064F1C2-10FA-E6F1-E697-ADFBEF493C45}"/>
            </a:ext>
          </a:extLst>
        </cdr:cNvPr>
        <cdr:cNvSpPr/>
      </cdr:nvSpPr>
      <cdr:spPr>
        <a:xfrm xmlns:a="http://schemas.openxmlformats.org/drawingml/2006/main">
          <a:off x="3983445" y="2459452"/>
          <a:ext cx="466452" cy="4824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6452" h="482471">
              <a:moveTo>
                <a:pt x="74332" y="386834"/>
              </a:moveTo>
              <a:lnTo>
                <a:pt x="0" y="463718"/>
              </a:lnTo>
              <a:lnTo>
                <a:pt x="18130" y="482470"/>
              </a:lnTo>
              <a:lnTo>
                <a:pt x="92461" y="405586"/>
              </a:lnTo>
              <a:lnTo>
                <a:pt x="149679" y="346403"/>
              </a:lnTo>
              <a:lnTo>
                <a:pt x="466451" y="18752"/>
              </a:lnTo>
              <a:lnTo>
                <a:pt x="448322" y="0"/>
              </a:lnTo>
              <a:lnTo>
                <a:pt x="131550" y="3276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0.87928</cdr:x>
      <cdr:y>0.86736</cdr:y>
    </cdr:from>
    <cdr:to>
      <cdr:x>0.94246</cdr:x>
      <cdr:y>0.9301</cdr:y>
    </cdr:to>
    <cdr:sp macro="" textlink="">
      <cdr:nvSpPr>
        <cdr:cNvPr id="409" name="FracNo 956 StartRow 4387">
          <a:extLst xmlns:a="http://schemas.openxmlformats.org/drawingml/2006/main">
            <a:ext uri="{FF2B5EF4-FFF2-40B4-BE49-F238E27FC236}">
              <a16:creationId xmlns:a16="http://schemas.microsoft.com/office/drawing/2014/main" id="{ED99A857-EBCD-5726-7F01-EBC252DF077B}"/>
            </a:ext>
          </a:extLst>
        </cdr:cNvPr>
        <cdr:cNvSpPr/>
      </cdr:nvSpPr>
      <cdr:spPr>
        <a:xfrm xmlns:a="http://schemas.openxmlformats.org/drawingml/2006/main">
          <a:off x="6432109" y="6609294"/>
          <a:ext cx="462199" cy="4780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2199" h="478072">
              <a:moveTo>
                <a:pt x="70383" y="442775"/>
              </a:moveTo>
              <a:lnTo>
                <a:pt x="36259" y="478071"/>
              </a:lnTo>
              <a:lnTo>
                <a:pt x="0" y="478071"/>
              </a:lnTo>
              <a:lnTo>
                <a:pt x="37030" y="439770"/>
              </a:lnTo>
              <a:lnTo>
                <a:pt x="462198" y="0"/>
              </a:lnTo>
              <a:lnTo>
                <a:pt x="46219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0.37085</cdr:x>
      <cdr:y>0.80601</cdr:y>
    </cdr:from>
    <cdr:to>
      <cdr:x>0.43354</cdr:x>
      <cdr:y>0.86826</cdr:y>
    </cdr:to>
    <cdr:sp macro="" textlink="">
      <cdr:nvSpPr>
        <cdr:cNvPr id="410" name="FracNo 756 StartRow 4396">
          <a:extLst xmlns:a="http://schemas.openxmlformats.org/drawingml/2006/main">
            <a:ext uri="{FF2B5EF4-FFF2-40B4-BE49-F238E27FC236}">
              <a16:creationId xmlns:a16="http://schemas.microsoft.com/office/drawing/2014/main" id="{DD6CF982-A16B-9CA6-1549-4A9966B6F4EB}"/>
            </a:ext>
          </a:extLst>
        </cdr:cNvPr>
        <cdr:cNvSpPr/>
      </cdr:nvSpPr>
      <cdr:spPr>
        <a:xfrm xmlns:a="http://schemas.openxmlformats.org/drawingml/2006/main">
          <a:off x="2712861" y="6141828"/>
          <a:ext cx="458568" cy="4743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8568" h="474316">
              <a:moveTo>
                <a:pt x="425674" y="15271"/>
              </a:moveTo>
              <a:lnTo>
                <a:pt x="23961" y="430779"/>
              </a:lnTo>
              <a:lnTo>
                <a:pt x="0" y="455563"/>
              </a:lnTo>
              <a:lnTo>
                <a:pt x="18129" y="474315"/>
              </a:lnTo>
              <a:lnTo>
                <a:pt x="42090" y="449532"/>
              </a:lnTo>
              <a:lnTo>
                <a:pt x="443803" y="34023"/>
              </a:lnTo>
              <a:lnTo>
                <a:pt x="458567" y="18752"/>
              </a:lnTo>
              <a:lnTo>
                <a:pt x="4404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0.80222</cdr:y>
    </cdr:from>
    <cdr:to>
      <cdr:x>0.15266</cdr:x>
      <cdr:y>0.86508</cdr:y>
    </cdr:to>
    <cdr:sp macro="" textlink="">
      <cdr:nvSpPr>
        <cdr:cNvPr id="411" name="FracNo 26 StartRow 4407">
          <a:extLst xmlns:a="http://schemas.openxmlformats.org/drawingml/2006/main">
            <a:ext uri="{FF2B5EF4-FFF2-40B4-BE49-F238E27FC236}">
              <a16:creationId xmlns:a16="http://schemas.microsoft.com/office/drawing/2014/main" id="{3D3EE990-144C-F543-23B5-DD09985E6047}"/>
            </a:ext>
          </a:extLst>
        </cdr:cNvPr>
        <cdr:cNvSpPr/>
      </cdr:nvSpPr>
      <cdr:spPr>
        <a:xfrm xmlns:a="http://schemas.openxmlformats.org/drawingml/2006/main">
          <a:off x="671676" y="6112880"/>
          <a:ext cx="445032" cy="479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5032" h="479067">
              <a:moveTo>
                <a:pt x="221461" y="212496"/>
              </a:moveTo>
              <a:lnTo>
                <a:pt x="0" y="441563"/>
              </a:lnTo>
              <a:lnTo>
                <a:pt x="0" y="479066"/>
              </a:lnTo>
              <a:lnTo>
                <a:pt x="230866" y="240272"/>
              </a:lnTo>
              <a:lnTo>
                <a:pt x="445031" y="18752"/>
              </a:lnTo>
              <a:lnTo>
                <a:pt x="4269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0.52449</cdr:x>
      <cdr:y>0.11855</cdr:y>
    </cdr:from>
    <cdr:to>
      <cdr:x>0.58622</cdr:x>
      <cdr:y>0.17985</cdr:y>
    </cdr:to>
    <cdr:sp macro="" textlink="">
      <cdr:nvSpPr>
        <cdr:cNvPr id="412" name="FracNo 343 StartRow 4416">
          <a:extLst xmlns:a="http://schemas.openxmlformats.org/drawingml/2006/main">
            <a:ext uri="{FF2B5EF4-FFF2-40B4-BE49-F238E27FC236}">
              <a16:creationId xmlns:a16="http://schemas.microsoft.com/office/drawing/2014/main" id="{6F826EC4-0887-BE6A-922B-20814DE4B943}"/>
            </a:ext>
          </a:extLst>
        </cdr:cNvPr>
        <cdr:cNvSpPr/>
      </cdr:nvSpPr>
      <cdr:spPr>
        <a:xfrm xmlns:a="http://schemas.openxmlformats.org/drawingml/2006/main">
          <a:off x="3836727" y="903357"/>
          <a:ext cx="451556" cy="4670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1556" h="467062">
              <a:moveTo>
                <a:pt x="411127" y="23063"/>
              </a:moveTo>
              <a:lnTo>
                <a:pt x="0" y="448309"/>
              </a:lnTo>
              <a:lnTo>
                <a:pt x="18130" y="467061"/>
              </a:lnTo>
              <a:lnTo>
                <a:pt x="429256" y="41816"/>
              </a:lnTo>
              <a:lnTo>
                <a:pt x="451555" y="18751"/>
              </a:lnTo>
              <a:lnTo>
                <a:pt x="4334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0.44549</cdr:x>
      <cdr:y>0.6346</cdr:y>
    </cdr:from>
    <cdr:to>
      <cdr:x>0.50679</cdr:x>
      <cdr:y>0.69548</cdr:y>
    </cdr:to>
    <cdr:sp macro="" textlink="">
      <cdr:nvSpPr>
        <cdr:cNvPr id="413" name="FracNo 868 StartRow 4425">
          <a:extLst xmlns:a="http://schemas.openxmlformats.org/drawingml/2006/main">
            <a:ext uri="{FF2B5EF4-FFF2-40B4-BE49-F238E27FC236}">
              <a16:creationId xmlns:a16="http://schemas.microsoft.com/office/drawing/2014/main" id="{243865FA-CE51-F1B3-AD1D-4E5993CE2AEE}"/>
            </a:ext>
          </a:extLst>
        </cdr:cNvPr>
        <cdr:cNvSpPr/>
      </cdr:nvSpPr>
      <cdr:spPr>
        <a:xfrm xmlns:a="http://schemas.openxmlformats.org/drawingml/2006/main">
          <a:off x="3258861" y="4835684"/>
          <a:ext cx="448435" cy="4638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8435" h="463836">
              <a:moveTo>
                <a:pt x="290280" y="182338"/>
              </a:moveTo>
              <a:lnTo>
                <a:pt x="18129" y="463835"/>
              </a:lnTo>
              <a:lnTo>
                <a:pt x="0" y="445083"/>
              </a:lnTo>
              <a:lnTo>
                <a:pt x="272151" y="163586"/>
              </a:lnTo>
              <a:lnTo>
                <a:pt x="336659" y="96862"/>
              </a:lnTo>
              <a:lnTo>
                <a:pt x="430305" y="0"/>
              </a:lnTo>
              <a:lnTo>
                <a:pt x="448434" y="18752"/>
              </a:lnTo>
              <a:lnTo>
                <a:pt x="354789" y="1156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0.15283</cdr:x>
      <cdr:y>0.14602</cdr:y>
    </cdr:to>
    <cdr:sp macro="" textlink="">
      <cdr:nvSpPr>
        <cdr:cNvPr id="414" name="FracNo 1012 StartRow 4436">
          <a:extLst xmlns:a="http://schemas.openxmlformats.org/drawingml/2006/main">
            <a:ext uri="{FF2B5EF4-FFF2-40B4-BE49-F238E27FC236}">
              <a16:creationId xmlns:a16="http://schemas.microsoft.com/office/drawing/2014/main" id="{8DF398A7-D248-C2E1-9AD3-FDFAC4DBF13D}"/>
            </a:ext>
          </a:extLst>
        </cdr:cNvPr>
        <cdr:cNvSpPr/>
      </cdr:nvSpPr>
      <cdr:spPr>
        <a:xfrm xmlns:a="http://schemas.openxmlformats.org/drawingml/2006/main">
          <a:off x="671676" y="651036"/>
          <a:ext cx="446336" cy="4616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6336" h="461664">
              <a:moveTo>
                <a:pt x="363833" y="47832"/>
              </a:moveTo>
              <a:lnTo>
                <a:pt x="0" y="424160"/>
              </a:lnTo>
              <a:lnTo>
                <a:pt x="0" y="461663"/>
              </a:lnTo>
              <a:lnTo>
                <a:pt x="396002" y="52061"/>
              </a:lnTo>
              <a:lnTo>
                <a:pt x="446335" y="0"/>
              </a:lnTo>
              <a:lnTo>
                <a:pt x="4100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0.70762</cdr:x>
      <cdr:y>0.35743</cdr:y>
    </cdr:from>
    <cdr:to>
      <cdr:x>0.76861</cdr:x>
      <cdr:y>0.41798</cdr:y>
    </cdr:to>
    <cdr:sp macro="" textlink="">
      <cdr:nvSpPr>
        <cdr:cNvPr id="415" name="FracNo 782 StartRow 4445">
          <a:extLst xmlns:a="http://schemas.openxmlformats.org/drawingml/2006/main">
            <a:ext uri="{FF2B5EF4-FFF2-40B4-BE49-F238E27FC236}">
              <a16:creationId xmlns:a16="http://schemas.microsoft.com/office/drawing/2014/main" id="{F60262BE-07D4-C092-073B-752178FF8EFE}"/>
            </a:ext>
          </a:extLst>
        </cdr:cNvPr>
        <cdr:cNvSpPr/>
      </cdr:nvSpPr>
      <cdr:spPr>
        <a:xfrm xmlns:a="http://schemas.openxmlformats.org/drawingml/2006/main">
          <a:off x="5176367" y="2723583"/>
          <a:ext cx="446138" cy="461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6138" h="461459">
              <a:moveTo>
                <a:pt x="183138" y="253279"/>
              </a:moveTo>
              <a:lnTo>
                <a:pt x="0" y="442706"/>
              </a:lnTo>
              <a:lnTo>
                <a:pt x="18129" y="461458"/>
              </a:lnTo>
              <a:lnTo>
                <a:pt x="201267" y="272031"/>
              </a:lnTo>
              <a:lnTo>
                <a:pt x="384725" y="82272"/>
              </a:lnTo>
              <a:lnTo>
                <a:pt x="446137" y="18752"/>
              </a:lnTo>
              <a:lnTo>
                <a:pt x="428007" y="0"/>
              </a:lnTo>
              <a:lnTo>
                <a:pt x="366596" y="635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0.44109</cdr:x>
      <cdr:y>0.42538</cdr:y>
    </cdr:from>
    <cdr:to>
      <cdr:x>0.50128</cdr:x>
      <cdr:y>0.48514</cdr:y>
    </cdr:to>
    <cdr:sp macro="" textlink="">
      <cdr:nvSpPr>
        <cdr:cNvPr id="416" name="FracNo 750 StartRow 4456">
          <a:extLst xmlns:a="http://schemas.openxmlformats.org/drawingml/2006/main">
            <a:ext uri="{FF2B5EF4-FFF2-40B4-BE49-F238E27FC236}">
              <a16:creationId xmlns:a16="http://schemas.microsoft.com/office/drawing/2014/main" id="{2B5E078D-FC36-463C-A12F-21C291CEFAA7}"/>
            </a:ext>
          </a:extLst>
        </cdr:cNvPr>
        <cdr:cNvSpPr/>
      </cdr:nvSpPr>
      <cdr:spPr>
        <a:xfrm xmlns:a="http://schemas.openxmlformats.org/drawingml/2006/main">
          <a:off x="3226683" y="3241389"/>
          <a:ext cx="440250" cy="4553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0250" h="455369">
              <a:moveTo>
                <a:pt x="76956" y="357017"/>
              </a:moveTo>
              <a:lnTo>
                <a:pt x="0" y="436616"/>
              </a:lnTo>
              <a:lnTo>
                <a:pt x="18130" y="455368"/>
              </a:lnTo>
              <a:lnTo>
                <a:pt x="95086" y="375769"/>
              </a:lnTo>
              <a:lnTo>
                <a:pt x="440249" y="18752"/>
              </a:lnTo>
              <a:lnTo>
                <a:pt x="4221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0.46508</cdr:x>
      <cdr:y>0.83324</cdr:y>
    </cdr:from>
    <cdr:to>
      <cdr:x>0.52504</cdr:x>
      <cdr:y>0.89277</cdr:y>
    </cdr:to>
    <cdr:sp macro="" textlink="">
      <cdr:nvSpPr>
        <cdr:cNvPr id="417" name="FracNo 889 StartRow 4465">
          <a:extLst xmlns:a="http://schemas.openxmlformats.org/drawingml/2006/main">
            <a:ext uri="{FF2B5EF4-FFF2-40B4-BE49-F238E27FC236}">
              <a16:creationId xmlns:a16="http://schemas.microsoft.com/office/drawing/2014/main" id="{E8E234AC-3870-DB62-112F-93934BF6F831}"/>
            </a:ext>
          </a:extLst>
        </cdr:cNvPr>
        <cdr:cNvSpPr/>
      </cdr:nvSpPr>
      <cdr:spPr>
        <a:xfrm xmlns:a="http://schemas.openxmlformats.org/drawingml/2006/main">
          <a:off x="3402164" y="6349264"/>
          <a:ext cx="438610" cy="4536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8610" h="453672">
              <a:moveTo>
                <a:pt x="69223" y="363319"/>
              </a:moveTo>
              <a:lnTo>
                <a:pt x="0" y="434920"/>
              </a:lnTo>
              <a:lnTo>
                <a:pt x="18130" y="453671"/>
              </a:lnTo>
              <a:lnTo>
                <a:pt x="87352" y="382071"/>
              </a:lnTo>
              <a:lnTo>
                <a:pt x="438609" y="18752"/>
              </a:lnTo>
              <a:lnTo>
                <a:pt x="4204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0.41114</cdr:x>
      <cdr:y>0.13708</cdr:y>
    </cdr:from>
    <cdr:to>
      <cdr:x>0.47071</cdr:x>
      <cdr:y>0.19623</cdr:y>
    </cdr:to>
    <cdr:sp macro="" textlink="">
      <cdr:nvSpPr>
        <cdr:cNvPr id="418" name="FracNo 350 StartRow 4474">
          <a:extLst xmlns:a="http://schemas.openxmlformats.org/drawingml/2006/main">
            <a:ext uri="{FF2B5EF4-FFF2-40B4-BE49-F238E27FC236}">
              <a16:creationId xmlns:a16="http://schemas.microsoft.com/office/drawing/2014/main" id="{4CAB9785-85E9-7072-603E-C0D171ABF2FC}"/>
            </a:ext>
          </a:extLst>
        </cdr:cNvPr>
        <cdr:cNvSpPr/>
      </cdr:nvSpPr>
      <cdr:spPr>
        <a:xfrm xmlns:a="http://schemas.openxmlformats.org/drawingml/2006/main">
          <a:off x="3007567" y="1044568"/>
          <a:ext cx="435775" cy="450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775" h="450741">
              <a:moveTo>
                <a:pt x="435774" y="18752"/>
              </a:moveTo>
              <a:lnTo>
                <a:pt x="18129" y="450740"/>
              </a:lnTo>
              <a:lnTo>
                <a:pt x="0" y="431988"/>
              </a:lnTo>
              <a:lnTo>
                <a:pt x="41764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0.14218</cdr:x>
      <cdr:y>0.74777</cdr:y>
    </cdr:from>
    <cdr:to>
      <cdr:x>0.20166</cdr:x>
      <cdr:y>0.80683</cdr:y>
    </cdr:to>
    <cdr:sp macro="" textlink="">
      <cdr:nvSpPr>
        <cdr:cNvPr id="419" name="FracNo 38 StartRow 4482">
          <a:extLst xmlns:a="http://schemas.openxmlformats.org/drawingml/2006/main">
            <a:ext uri="{FF2B5EF4-FFF2-40B4-BE49-F238E27FC236}">
              <a16:creationId xmlns:a16="http://schemas.microsoft.com/office/drawing/2014/main" id="{DB67CA7C-099E-CDEF-63F3-E089E4985BA5}"/>
            </a:ext>
          </a:extLst>
        </cdr:cNvPr>
        <cdr:cNvSpPr/>
      </cdr:nvSpPr>
      <cdr:spPr>
        <a:xfrm xmlns:a="http://schemas.openxmlformats.org/drawingml/2006/main">
          <a:off x="1040074" y="5697977"/>
          <a:ext cx="435111" cy="4500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111" h="450053">
              <a:moveTo>
                <a:pt x="332866" y="124507"/>
              </a:moveTo>
              <a:lnTo>
                <a:pt x="18129" y="450052"/>
              </a:lnTo>
              <a:lnTo>
                <a:pt x="0" y="431300"/>
              </a:lnTo>
              <a:lnTo>
                <a:pt x="314736" y="105755"/>
              </a:lnTo>
              <a:lnTo>
                <a:pt x="416980" y="0"/>
              </a:lnTo>
              <a:lnTo>
                <a:pt x="4351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0.46313</cdr:x>
      <cdr:y>0.21872</cdr:y>
    </cdr:from>
    <cdr:to>
      <cdr:x>0.52245</cdr:x>
      <cdr:y>0.27762</cdr:y>
    </cdr:to>
    <cdr:sp macro="" textlink="">
      <cdr:nvSpPr>
        <cdr:cNvPr id="420" name="FracNo 360 StartRow 4491">
          <a:extLst xmlns:a="http://schemas.openxmlformats.org/drawingml/2006/main">
            <a:ext uri="{FF2B5EF4-FFF2-40B4-BE49-F238E27FC236}">
              <a16:creationId xmlns:a16="http://schemas.microsoft.com/office/drawing/2014/main" id="{A46C747B-AEDC-55AE-8A06-1D399E928AF6}"/>
            </a:ext>
          </a:extLst>
        </cdr:cNvPr>
        <cdr:cNvSpPr/>
      </cdr:nvSpPr>
      <cdr:spPr>
        <a:xfrm xmlns:a="http://schemas.openxmlformats.org/drawingml/2006/main">
          <a:off x="3387904" y="1666679"/>
          <a:ext cx="433910" cy="4488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3910" h="448812">
              <a:moveTo>
                <a:pt x="103207" y="360811"/>
              </a:moveTo>
              <a:lnTo>
                <a:pt x="18129" y="448811"/>
              </a:lnTo>
              <a:lnTo>
                <a:pt x="0" y="430059"/>
              </a:lnTo>
              <a:lnTo>
                <a:pt x="85078" y="342059"/>
              </a:lnTo>
              <a:lnTo>
                <a:pt x="415780" y="0"/>
              </a:lnTo>
              <a:lnTo>
                <a:pt x="4339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0.73836</cdr:x>
      <cdr:y>0.53661</cdr:y>
    </cdr:from>
    <cdr:to>
      <cdr:x>0.79696</cdr:x>
      <cdr:y>0.59479</cdr:y>
    </cdr:to>
    <cdr:sp macro="" textlink="">
      <cdr:nvSpPr>
        <cdr:cNvPr id="421" name="FracNo 585 StartRow 4500">
          <a:extLst xmlns:a="http://schemas.openxmlformats.org/drawingml/2006/main">
            <a:ext uri="{FF2B5EF4-FFF2-40B4-BE49-F238E27FC236}">
              <a16:creationId xmlns:a16="http://schemas.microsoft.com/office/drawing/2014/main" id="{014BA793-FF08-0E28-2AE9-B13CB363DF49}"/>
            </a:ext>
          </a:extLst>
        </cdr:cNvPr>
        <cdr:cNvSpPr/>
      </cdr:nvSpPr>
      <cdr:spPr>
        <a:xfrm xmlns:a="http://schemas.openxmlformats.org/drawingml/2006/main">
          <a:off x="5401260" y="4088976"/>
          <a:ext cx="428634" cy="4433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634" h="443355">
              <a:moveTo>
                <a:pt x="112623" y="308111"/>
              </a:moveTo>
              <a:lnTo>
                <a:pt x="0" y="424602"/>
              </a:lnTo>
              <a:lnTo>
                <a:pt x="18129" y="443354"/>
              </a:lnTo>
              <a:lnTo>
                <a:pt x="130752" y="326863"/>
              </a:lnTo>
              <a:lnTo>
                <a:pt x="428633" y="18752"/>
              </a:lnTo>
              <a:lnTo>
                <a:pt x="4105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0.57941</cdr:y>
    </cdr:from>
    <cdr:to>
      <cdr:x>0.14872</cdr:x>
      <cdr:y>0.63837</cdr:y>
    </cdr:to>
    <cdr:sp macro="" textlink="">
      <cdr:nvSpPr>
        <cdr:cNvPr id="422" name="FracNo 117 StartRow 4509">
          <a:extLst xmlns:a="http://schemas.openxmlformats.org/drawingml/2006/main">
            <a:ext uri="{FF2B5EF4-FFF2-40B4-BE49-F238E27FC236}">
              <a16:creationId xmlns:a16="http://schemas.microsoft.com/office/drawing/2014/main" id="{2C179568-7331-0E89-2582-88BA770F4977}"/>
            </a:ext>
          </a:extLst>
        </cdr:cNvPr>
        <cdr:cNvSpPr/>
      </cdr:nvSpPr>
      <cdr:spPr>
        <a:xfrm xmlns:a="http://schemas.openxmlformats.org/drawingml/2006/main">
          <a:off x="671676" y="4415131"/>
          <a:ext cx="416207" cy="4492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207" h="449253">
              <a:moveTo>
                <a:pt x="76867" y="369744"/>
              </a:moveTo>
              <a:lnTo>
                <a:pt x="0" y="449252"/>
              </a:lnTo>
              <a:lnTo>
                <a:pt x="0" y="411748"/>
              </a:lnTo>
              <a:lnTo>
                <a:pt x="73519" y="335704"/>
              </a:lnTo>
              <a:lnTo>
                <a:pt x="398077" y="0"/>
              </a:lnTo>
              <a:lnTo>
                <a:pt x="4162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0.8858</cdr:x>
      <cdr:y>0.13149</cdr:y>
    </cdr:from>
    <cdr:to>
      <cdr:x>0.94246</cdr:x>
      <cdr:y>0.19021</cdr:y>
    </cdr:to>
    <cdr:sp macro="" textlink="">
      <cdr:nvSpPr>
        <cdr:cNvPr id="423" name="FracNo 738 StartRow 4518">
          <a:extLst xmlns:a="http://schemas.openxmlformats.org/drawingml/2006/main">
            <a:ext uri="{FF2B5EF4-FFF2-40B4-BE49-F238E27FC236}">
              <a16:creationId xmlns:a16="http://schemas.microsoft.com/office/drawing/2014/main" id="{0C337E2C-90CD-2212-6EB1-46A00AA5B869}"/>
            </a:ext>
          </a:extLst>
        </cdr:cNvPr>
        <cdr:cNvSpPr/>
      </cdr:nvSpPr>
      <cdr:spPr>
        <a:xfrm xmlns:a="http://schemas.openxmlformats.org/drawingml/2006/main">
          <a:off x="6479821" y="1001932"/>
          <a:ext cx="414487" cy="4474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487" h="447473">
              <a:moveTo>
                <a:pt x="325145" y="129913"/>
              </a:moveTo>
              <a:lnTo>
                <a:pt x="18129" y="447472"/>
              </a:lnTo>
              <a:lnTo>
                <a:pt x="0" y="428721"/>
              </a:lnTo>
              <a:lnTo>
                <a:pt x="321058" y="96636"/>
              </a:lnTo>
              <a:lnTo>
                <a:pt x="414486" y="0"/>
              </a:lnTo>
              <a:lnTo>
                <a:pt x="414486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0.44604</cdr:x>
      <cdr:y>0.7893</cdr:y>
    </cdr:from>
    <cdr:to>
      <cdr:x>0.50341</cdr:x>
      <cdr:y>0.84627</cdr:y>
    </cdr:to>
    <cdr:sp macro="" textlink="">
      <cdr:nvSpPr>
        <cdr:cNvPr id="424" name="FracNo 760 StartRow 4527">
          <a:extLst xmlns:a="http://schemas.openxmlformats.org/drawingml/2006/main">
            <a:ext uri="{FF2B5EF4-FFF2-40B4-BE49-F238E27FC236}">
              <a16:creationId xmlns:a16="http://schemas.microsoft.com/office/drawing/2014/main" id="{C10A884B-0871-D6CC-A0E5-EED24E0F61D5}"/>
            </a:ext>
          </a:extLst>
        </cdr:cNvPr>
        <cdr:cNvSpPr/>
      </cdr:nvSpPr>
      <cdr:spPr>
        <a:xfrm xmlns:a="http://schemas.openxmlformats.org/drawingml/2006/main">
          <a:off x="3262879" y="6014502"/>
          <a:ext cx="419670" cy="4340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670" h="434082">
              <a:moveTo>
                <a:pt x="359260" y="81236"/>
              </a:moveTo>
              <a:lnTo>
                <a:pt x="18129" y="434081"/>
              </a:lnTo>
              <a:lnTo>
                <a:pt x="0" y="415329"/>
              </a:lnTo>
              <a:lnTo>
                <a:pt x="341130" y="62484"/>
              </a:lnTo>
              <a:lnTo>
                <a:pt x="401540" y="0"/>
              </a:lnTo>
              <a:lnTo>
                <a:pt x="4196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0.13657</cdr:x>
      <cdr:y>0.5589</cdr:y>
    </cdr:from>
    <cdr:to>
      <cdr:x>0.19364</cdr:x>
      <cdr:y>0.61557</cdr:y>
    </cdr:to>
    <cdr:sp macro="" textlink="">
      <cdr:nvSpPr>
        <cdr:cNvPr id="425" name="FracNo 768 StartRow 4536">
          <a:extLst xmlns:a="http://schemas.openxmlformats.org/drawingml/2006/main">
            <a:ext uri="{FF2B5EF4-FFF2-40B4-BE49-F238E27FC236}">
              <a16:creationId xmlns:a16="http://schemas.microsoft.com/office/drawing/2014/main" id="{2D092FB6-EAC3-CA83-659C-0E74B43C9EF5}"/>
            </a:ext>
          </a:extLst>
        </cdr:cNvPr>
        <cdr:cNvSpPr/>
      </cdr:nvSpPr>
      <cdr:spPr>
        <a:xfrm xmlns:a="http://schemas.openxmlformats.org/drawingml/2006/main">
          <a:off x="999057" y="4258790"/>
          <a:ext cx="417491" cy="4318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7491" h="431829">
              <a:moveTo>
                <a:pt x="270190" y="133607"/>
              </a:moveTo>
              <a:lnTo>
                <a:pt x="0" y="413076"/>
              </a:lnTo>
              <a:lnTo>
                <a:pt x="18129" y="431828"/>
              </a:lnTo>
              <a:lnTo>
                <a:pt x="288320" y="152359"/>
              </a:lnTo>
              <a:lnTo>
                <a:pt x="417490" y="18752"/>
              </a:lnTo>
              <a:lnTo>
                <a:pt x="3993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0.57392</cdr:x>
      <cdr:y>0.57105</cdr:y>
    </cdr:from>
    <cdr:to>
      <cdr:x>0.63047</cdr:x>
      <cdr:y>0.62721</cdr:y>
    </cdr:to>
    <cdr:sp macro="" textlink="">
      <cdr:nvSpPr>
        <cdr:cNvPr id="426" name="FracNo 867 StartRow 4545">
          <a:extLst xmlns:a="http://schemas.openxmlformats.org/drawingml/2006/main">
            <a:ext uri="{FF2B5EF4-FFF2-40B4-BE49-F238E27FC236}">
              <a16:creationId xmlns:a16="http://schemas.microsoft.com/office/drawing/2014/main" id="{5852761C-A22C-5AB9-FE37-A83A22B4C023}"/>
            </a:ext>
          </a:extLst>
        </cdr:cNvPr>
        <cdr:cNvSpPr/>
      </cdr:nvSpPr>
      <cdr:spPr>
        <a:xfrm xmlns:a="http://schemas.openxmlformats.org/drawingml/2006/main">
          <a:off x="4198356" y="4351424"/>
          <a:ext cx="413691" cy="4278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3691" h="427898">
              <a:moveTo>
                <a:pt x="380772" y="15296"/>
              </a:moveTo>
              <a:lnTo>
                <a:pt x="0" y="409145"/>
              </a:lnTo>
              <a:lnTo>
                <a:pt x="18128" y="427897"/>
              </a:lnTo>
              <a:lnTo>
                <a:pt x="398902" y="34048"/>
              </a:lnTo>
              <a:lnTo>
                <a:pt x="413690" y="18751"/>
              </a:lnTo>
              <a:lnTo>
                <a:pt x="3955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0.17921</cdr:x>
      <cdr:y>0.08544</cdr:y>
    </cdr:from>
    <cdr:to>
      <cdr:x>0.23694</cdr:x>
      <cdr:y>0.1403</cdr:y>
    </cdr:to>
    <cdr:sp macro="" textlink="">
      <cdr:nvSpPr>
        <cdr:cNvPr id="427" name="FracNo 431 StartRow 4554">
          <a:extLst xmlns:a="http://schemas.openxmlformats.org/drawingml/2006/main">
            <a:ext uri="{FF2B5EF4-FFF2-40B4-BE49-F238E27FC236}">
              <a16:creationId xmlns:a16="http://schemas.microsoft.com/office/drawing/2014/main" id="{F2054376-015A-A203-922E-1FAC1AB7FEEE}"/>
            </a:ext>
          </a:extLst>
        </cdr:cNvPr>
        <cdr:cNvSpPr/>
      </cdr:nvSpPr>
      <cdr:spPr>
        <a:xfrm xmlns:a="http://schemas.openxmlformats.org/drawingml/2006/main">
          <a:off x="1310953" y="651036"/>
          <a:ext cx="422296" cy="4180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2296" h="418047">
              <a:moveTo>
                <a:pt x="55776" y="379106"/>
              </a:moveTo>
              <a:lnTo>
                <a:pt x="18129" y="418046"/>
              </a:lnTo>
              <a:lnTo>
                <a:pt x="0" y="399294"/>
              </a:lnTo>
              <a:lnTo>
                <a:pt x="35958" y="362101"/>
              </a:lnTo>
              <a:lnTo>
                <a:pt x="386037" y="0"/>
              </a:lnTo>
              <a:lnTo>
                <a:pt x="4222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0.18529</cdr:x>
      <cdr:y>0.13095</cdr:y>
    </cdr:from>
    <cdr:to>
      <cdr:x>0.24175</cdr:x>
      <cdr:y>0.18702</cdr:y>
    </cdr:to>
    <cdr:sp macro="" textlink="">
      <cdr:nvSpPr>
        <cdr:cNvPr id="428" name="FracNo 791 StartRow 4563">
          <a:extLst xmlns:a="http://schemas.openxmlformats.org/drawingml/2006/main">
            <a:ext uri="{FF2B5EF4-FFF2-40B4-BE49-F238E27FC236}">
              <a16:creationId xmlns:a16="http://schemas.microsoft.com/office/drawing/2014/main" id="{5ABA1FAF-87C6-5EDA-7A4C-87656FFC7ED1}"/>
            </a:ext>
          </a:extLst>
        </cdr:cNvPr>
        <cdr:cNvSpPr/>
      </cdr:nvSpPr>
      <cdr:spPr>
        <a:xfrm xmlns:a="http://schemas.openxmlformats.org/drawingml/2006/main">
          <a:off x="1355425" y="997861"/>
          <a:ext cx="413048" cy="4272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3048" h="427233">
              <a:moveTo>
                <a:pt x="124570" y="317136"/>
              </a:moveTo>
              <a:lnTo>
                <a:pt x="18130" y="427232"/>
              </a:lnTo>
              <a:lnTo>
                <a:pt x="0" y="408480"/>
              </a:lnTo>
              <a:lnTo>
                <a:pt x="106441" y="298384"/>
              </a:lnTo>
              <a:lnTo>
                <a:pt x="394918" y="0"/>
              </a:lnTo>
              <a:lnTo>
                <a:pt x="4130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0.3173</cdr:x>
      <cdr:y>0.78018</cdr:y>
    </cdr:from>
    <cdr:to>
      <cdr:x>0.37373</cdr:x>
      <cdr:y>0.83622</cdr:y>
    </cdr:to>
    <cdr:sp macro="" textlink="">
      <cdr:nvSpPr>
        <cdr:cNvPr id="429" name="FracNo 769 StartRow 4572">
          <a:extLst xmlns:a="http://schemas.openxmlformats.org/drawingml/2006/main">
            <a:ext uri="{FF2B5EF4-FFF2-40B4-BE49-F238E27FC236}">
              <a16:creationId xmlns:a16="http://schemas.microsoft.com/office/drawing/2014/main" id="{BE6B84F7-E5AA-DA93-54C0-EF5425A0D001}"/>
            </a:ext>
          </a:extLst>
        </cdr:cNvPr>
        <cdr:cNvSpPr/>
      </cdr:nvSpPr>
      <cdr:spPr>
        <a:xfrm xmlns:a="http://schemas.openxmlformats.org/drawingml/2006/main">
          <a:off x="2321130" y="5944972"/>
          <a:ext cx="412814" cy="426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814" h="426990">
              <a:moveTo>
                <a:pt x="263364" y="173333"/>
              </a:moveTo>
              <a:lnTo>
                <a:pt x="18129" y="426989"/>
              </a:lnTo>
              <a:lnTo>
                <a:pt x="0" y="408237"/>
              </a:lnTo>
              <a:lnTo>
                <a:pt x="245234" y="154582"/>
              </a:lnTo>
              <a:lnTo>
                <a:pt x="394684" y="0"/>
              </a:lnTo>
              <a:lnTo>
                <a:pt x="4128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0.71656</cdr:x>
      <cdr:y>0.62966</cdr:y>
    </cdr:from>
    <cdr:to>
      <cdr:x>0.77298</cdr:x>
      <cdr:y>0.68568</cdr:y>
    </cdr:to>
    <cdr:sp macro="" textlink="">
      <cdr:nvSpPr>
        <cdr:cNvPr id="430" name="FracNo 516 StartRow 4581">
          <a:extLst xmlns:a="http://schemas.openxmlformats.org/drawingml/2006/main">
            <a:ext uri="{FF2B5EF4-FFF2-40B4-BE49-F238E27FC236}">
              <a16:creationId xmlns:a16="http://schemas.microsoft.com/office/drawing/2014/main" id="{1AEEF2DD-33E3-32B0-7658-41E60DEF5D22}"/>
            </a:ext>
          </a:extLst>
        </cdr:cNvPr>
        <cdr:cNvSpPr/>
      </cdr:nvSpPr>
      <cdr:spPr>
        <a:xfrm xmlns:a="http://schemas.openxmlformats.org/drawingml/2006/main">
          <a:off x="5241796" y="4797974"/>
          <a:ext cx="412742" cy="4269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742" h="426915">
              <a:moveTo>
                <a:pt x="257164" y="142167"/>
              </a:moveTo>
              <a:lnTo>
                <a:pt x="0" y="408162"/>
              </a:lnTo>
              <a:lnTo>
                <a:pt x="18130" y="426914"/>
              </a:lnTo>
              <a:lnTo>
                <a:pt x="275293" y="160919"/>
              </a:lnTo>
              <a:lnTo>
                <a:pt x="282637" y="153324"/>
              </a:lnTo>
              <a:lnTo>
                <a:pt x="412741" y="18752"/>
              </a:lnTo>
              <a:lnTo>
                <a:pt x="394611" y="0"/>
              </a:lnTo>
              <a:lnTo>
                <a:pt x="264507" y="1345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0.30552</cdr:x>
      <cdr:y>0.71062</cdr:y>
    </cdr:from>
    <cdr:to>
      <cdr:x>0.36166</cdr:x>
      <cdr:y>0.76637</cdr:y>
    </cdr:to>
    <cdr:sp macro="" textlink="">
      <cdr:nvSpPr>
        <cdr:cNvPr id="431" name="FracNo 35 StartRow 4592">
          <a:extLst xmlns:a="http://schemas.openxmlformats.org/drawingml/2006/main">
            <a:ext uri="{FF2B5EF4-FFF2-40B4-BE49-F238E27FC236}">
              <a16:creationId xmlns:a16="http://schemas.microsoft.com/office/drawing/2014/main" id="{5F7D3EA5-9924-B543-9308-A60F2E1E3795}"/>
            </a:ext>
          </a:extLst>
        </cdr:cNvPr>
        <cdr:cNvSpPr/>
      </cdr:nvSpPr>
      <cdr:spPr>
        <a:xfrm xmlns:a="http://schemas.openxmlformats.org/drawingml/2006/main">
          <a:off x="2234914" y="5414936"/>
          <a:ext cx="410676" cy="4247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0676" h="424781">
              <a:moveTo>
                <a:pt x="177067" y="260384"/>
              </a:moveTo>
              <a:lnTo>
                <a:pt x="18129" y="424780"/>
              </a:lnTo>
              <a:lnTo>
                <a:pt x="0" y="406028"/>
              </a:lnTo>
              <a:lnTo>
                <a:pt x="158937" y="241632"/>
              </a:lnTo>
              <a:lnTo>
                <a:pt x="392546" y="0"/>
              </a:lnTo>
              <a:lnTo>
                <a:pt x="4106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0.20007</cdr:x>
      <cdr:y>0.69549</cdr:y>
    </cdr:from>
    <cdr:to>
      <cdr:x>0.25608</cdr:x>
      <cdr:y>0.75111</cdr:y>
    </cdr:to>
    <cdr:sp macro="" textlink="">
      <cdr:nvSpPr>
        <cdr:cNvPr id="432" name="FracNo 774 StartRow 4601">
          <a:extLst xmlns:a="http://schemas.openxmlformats.org/drawingml/2006/main">
            <a:ext uri="{FF2B5EF4-FFF2-40B4-BE49-F238E27FC236}">
              <a16:creationId xmlns:a16="http://schemas.microsoft.com/office/drawing/2014/main" id="{8D9022AC-C853-09C7-60DC-30DFA9F4C16B}"/>
            </a:ext>
          </a:extLst>
        </cdr:cNvPr>
        <cdr:cNvSpPr/>
      </cdr:nvSpPr>
      <cdr:spPr>
        <a:xfrm xmlns:a="http://schemas.openxmlformats.org/drawingml/2006/main">
          <a:off x="1463541" y="5299655"/>
          <a:ext cx="409714" cy="423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9714" h="423784">
              <a:moveTo>
                <a:pt x="91443" y="310448"/>
              </a:moveTo>
              <a:lnTo>
                <a:pt x="0" y="405031"/>
              </a:lnTo>
              <a:lnTo>
                <a:pt x="18129" y="423783"/>
              </a:lnTo>
              <a:lnTo>
                <a:pt x="109572" y="329199"/>
              </a:lnTo>
              <a:lnTo>
                <a:pt x="409713" y="18752"/>
              </a:lnTo>
              <a:lnTo>
                <a:pt x="3915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0.72266</cdr:x>
      <cdr:y>0.46899</cdr:y>
    </cdr:from>
    <cdr:to>
      <cdr:x>0.77724</cdr:x>
      <cdr:y>0.52318</cdr:y>
    </cdr:to>
    <cdr:sp macro="" textlink="">
      <cdr:nvSpPr>
        <cdr:cNvPr id="433" name="FracNo 783 StartRow 4610">
          <a:extLst xmlns:a="http://schemas.openxmlformats.org/drawingml/2006/main">
            <a:ext uri="{FF2B5EF4-FFF2-40B4-BE49-F238E27FC236}">
              <a16:creationId xmlns:a16="http://schemas.microsoft.com/office/drawing/2014/main" id="{52EA7379-DE71-4F38-346E-1ED6DE890193}"/>
            </a:ext>
          </a:extLst>
        </cdr:cNvPr>
        <cdr:cNvSpPr/>
      </cdr:nvSpPr>
      <cdr:spPr>
        <a:xfrm xmlns:a="http://schemas.openxmlformats.org/drawingml/2006/main">
          <a:off x="5286432" y="3573705"/>
          <a:ext cx="399227" cy="4129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9227" h="412938">
              <a:moveTo>
                <a:pt x="123996" y="303433"/>
              </a:moveTo>
              <a:lnTo>
                <a:pt x="18129" y="412937"/>
              </a:lnTo>
              <a:lnTo>
                <a:pt x="0" y="394185"/>
              </a:lnTo>
              <a:lnTo>
                <a:pt x="105867" y="284682"/>
              </a:lnTo>
              <a:lnTo>
                <a:pt x="381096" y="0"/>
              </a:lnTo>
              <a:lnTo>
                <a:pt x="3992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0.17622</cdr:y>
    </cdr:from>
    <cdr:to>
      <cdr:x>0.14489</cdr:x>
      <cdr:y>0.23137</cdr:y>
    </cdr:to>
    <cdr:sp macro="" textlink="">
      <cdr:nvSpPr>
        <cdr:cNvPr id="434" name="FracNo 899 StartRow 4619">
          <a:extLst xmlns:a="http://schemas.openxmlformats.org/drawingml/2006/main">
            <a:ext uri="{FF2B5EF4-FFF2-40B4-BE49-F238E27FC236}">
              <a16:creationId xmlns:a16="http://schemas.microsoft.com/office/drawing/2014/main" id="{588A5E6C-6F47-7671-4D25-0352197A9024}"/>
            </a:ext>
          </a:extLst>
        </cdr:cNvPr>
        <cdr:cNvSpPr/>
      </cdr:nvSpPr>
      <cdr:spPr>
        <a:xfrm xmlns:a="http://schemas.openxmlformats.org/drawingml/2006/main">
          <a:off x="671676" y="1342759"/>
          <a:ext cx="388226" cy="4203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8226" h="420310">
              <a:moveTo>
                <a:pt x="319936" y="51883"/>
              </a:moveTo>
              <a:lnTo>
                <a:pt x="0" y="382806"/>
              </a:lnTo>
              <a:lnTo>
                <a:pt x="0" y="420309"/>
              </a:lnTo>
              <a:lnTo>
                <a:pt x="335608" y="73176"/>
              </a:lnTo>
              <a:lnTo>
                <a:pt x="388225" y="18752"/>
              </a:lnTo>
              <a:lnTo>
                <a:pt x="3700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0.32941</cdr:x>
      <cdr:y>0.19426</cdr:y>
    </cdr:from>
    <cdr:to>
      <cdr:x>0.3828</cdr:x>
      <cdr:y>0.24728</cdr:y>
    </cdr:to>
    <cdr:sp macro="" textlink="">
      <cdr:nvSpPr>
        <cdr:cNvPr id="435" name="FracNo 428 StartRow 4628">
          <a:extLst xmlns:a="http://schemas.openxmlformats.org/drawingml/2006/main">
            <a:ext uri="{FF2B5EF4-FFF2-40B4-BE49-F238E27FC236}">
              <a16:creationId xmlns:a16="http://schemas.microsoft.com/office/drawing/2014/main" id="{3B5BBD95-4E68-A522-D5A6-14B731A1C1D5}"/>
            </a:ext>
          </a:extLst>
        </cdr:cNvPr>
        <cdr:cNvSpPr/>
      </cdr:nvSpPr>
      <cdr:spPr>
        <a:xfrm xmlns:a="http://schemas.openxmlformats.org/drawingml/2006/main">
          <a:off x="2409678" y="1480250"/>
          <a:ext cx="390595" cy="4040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595" h="404009">
              <a:moveTo>
                <a:pt x="40712" y="343147"/>
              </a:moveTo>
              <a:lnTo>
                <a:pt x="0" y="385256"/>
              </a:lnTo>
              <a:lnTo>
                <a:pt x="18129" y="404008"/>
              </a:lnTo>
              <a:lnTo>
                <a:pt x="58841" y="361898"/>
              </a:lnTo>
              <a:lnTo>
                <a:pt x="345273" y="65630"/>
              </a:lnTo>
              <a:lnTo>
                <a:pt x="390594" y="18752"/>
              </a:lnTo>
              <a:lnTo>
                <a:pt x="372465" y="0"/>
              </a:lnTo>
              <a:lnTo>
                <a:pt x="327144" y="468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0.88913</cdr:x>
      <cdr:y>0.87714</cdr:y>
    </cdr:from>
    <cdr:to>
      <cdr:x>0.94246</cdr:x>
      <cdr:y>0.9301</cdr:y>
    </cdr:to>
    <cdr:sp macro="" textlink="">
      <cdr:nvSpPr>
        <cdr:cNvPr id="436" name="FracNo 1020 StartRow 4639">
          <a:extLst xmlns:a="http://schemas.openxmlformats.org/drawingml/2006/main">
            <a:ext uri="{FF2B5EF4-FFF2-40B4-BE49-F238E27FC236}">
              <a16:creationId xmlns:a16="http://schemas.microsoft.com/office/drawing/2014/main" id="{68FD59DE-D4F6-724C-D6C4-950E929D9A0D}"/>
            </a:ext>
          </a:extLst>
        </cdr:cNvPr>
        <cdr:cNvSpPr/>
      </cdr:nvSpPr>
      <cdr:spPr>
        <a:xfrm xmlns:a="http://schemas.openxmlformats.org/drawingml/2006/main">
          <a:off x="6504155" y="6683815"/>
          <a:ext cx="390153" cy="4035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153" h="403551">
              <a:moveTo>
                <a:pt x="266314" y="165594"/>
              </a:moveTo>
              <a:lnTo>
                <a:pt x="36259" y="403550"/>
              </a:lnTo>
              <a:lnTo>
                <a:pt x="0" y="403550"/>
              </a:lnTo>
              <a:lnTo>
                <a:pt x="253626" y="141214"/>
              </a:lnTo>
              <a:lnTo>
                <a:pt x="390152" y="0"/>
              </a:lnTo>
              <a:lnTo>
                <a:pt x="390152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0.77544</cdr:x>
      <cdr:y>0.31196</cdr:y>
    </cdr:from>
    <cdr:to>
      <cdr:x>0.82813</cdr:x>
      <cdr:y>0.36427</cdr:y>
    </cdr:to>
    <cdr:sp macro="" textlink="">
      <cdr:nvSpPr>
        <cdr:cNvPr id="437" name="FracNo 266 StartRow 4648">
          <a:extLst xmlns:a="http://schemas.openxmlformats.org/drawingml/2006/main">
            <a:ext uri="{FF2B5EF4-FFF2-40B4-BE49-F238E27FC236}">
              <a16:creationId xmlns:a16="http://schemas.microsoft.com/office/drawing/2014/main" id="{00B57EDE-7A2F-06FF-BE1E-32CE6403A13B}"/>
            </a:ext>
          </a:extLst>
        </cdr:cNvPr>
        <cdr:cNvSpPr/>
      </cdr:nvSpPr>
      <cdr:spPr>
        <a:xfrm xmlns:a="http://schemas.openxmlformats.org/drawingml/2006/main">
          <a:off x="5672525" y="2377155"/>
          <a:ext cx="385383" cy="3986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383" h="398618">
              <a:moveTo>
                <a:pt x="166180" y="207978"/>
              </a:moveTo>
              <a:lnTo>
                <a:pt x="0" y="379865"/>
              </a:lnTo>
              <a:lnTo>
                <a:pt x="18129" y="398617"/>
              </a:lnTo>
              <a:lnTo>
                <a:pt x="184309" y="226730"/>
              </a:lnTo>
              <a:lnTo>
                <a:pt x="385382" y="18751"/>
              </a:lnTo>
              <a:lnTo>
                <a:pt x="3672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0.14447</cdr:x>
      <cdr:y>0.13772</cdr:y>
    </cdr:to>
    <cdr:sp macro="" textlink="">
      <cdr:nvSpPr>
        <cdr:cNvPr id="438" name="FracNo 974 StartRow 4657">
          <a:extLst xmlns:a="http://schemas.openxmlformats.org/drawingml/2006/main">
            <a:ext uri="{FF2B5EF4-FFF2-40B4-BE49-F238E27FC236}">
              <a16:creationId xmlns:a16="http://schemas.microsoft.com/office/drawing/2014/main" id="{7117C18B-2B12-D128-8C45-9A0219EA3632}"/>
            </a:ext>
          </a:extLst>
        </cdr:cNvPr>
        <cdr:cNvSpPr/>
      </cdr:nvSpPr>
      <cdr:spPr>
        <a:xfrm xmlns:a="http://schemas.openxmlformats.org/drawingml/2006/main">
          <a:off x="671676" y="651036"/>
          <a:ext cx="385176" cy="3984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176" h="398404">
              <a:moveTo>
                <a:pt x="201597" y="189882"/>
              </a:moveTo>
              <a:lnTo>
                <a:pt x="0" y="398403"/>
              </a:lnTo>
              <a:lnTo>
                <a:pt x="0" y="360899"/>
              </a:lnTo>
              <a:lnTo>
                <a:pt x="182620" y="172007"/>
              </a:lnTo>
              <a:lnTo>
                <a:pt x="348917" y="0"/>
              </a:lnTo>
              <a:lnTo>
                <a:pt x="3851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0.80252</cdr:y>
    </cdr:from>
    <cdr:to>
      <cdr:x>0.1428</cdr:x>
      <cdr:y>0.8556</cdr:y>
    </cdr:to>
    <cdr:sp macro="" textlink="">
      <cdr:nvSpPr>
        <cdr:cNvPr id="439" name="FracNo 29 StartRow 4666">
          <a:extLst xmlns:a="http://schemas.openxmlformats.org/drawingml/2006/main">
            <a:ext uri="{FF2B5EF4-FFF2-40B4-BE49-F238E27FC236}">
              <a16:creationId xmlns:a16="http://schemas.microsoft.com/office/drawing/2014/main" id="{D5771181-C3EC-68B6-BD11-2EFCC4902EF7}"/>
            </a:ext>
          </a:extLst>
        </cdr:cNvPr>
        <cdr:cNvSpPr/>
      </cdr:nvSpPr>
      <cdr:spPr>
        <a:xfrm xmlns:a="http://schemas.openxmlformats.org/drawingml/2006/main">
          <a:off x="671676" y="6115181"/>
          <a:ext cx="372900" cy="404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900" h="404459">
              <a:moveTo>
                <a:pt x="53196" y="311931"/>
              </a:moveTo>
              <a:lnTo>
                <a:pt x="0" y="366954"/>
              </a:lnTo>
              <a:lnTo>
                <a:pt x="0" y="404458"/>
              </a:lnTo>
              <a:lnTo>
                <a:pt x="55914" y="346623"/>
              </a:lnTo>
              <a:lnTo>
                <a:pt x="372899" y="18752"/>
              </a:lnTo>
              <a:lnTo>
                <a:pt x="3547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0.67336</cdr:x>
      <cdr:y>0.87992</cdr:y>
    </cdr:from>
    <cdr:to>
      <cdr:x>0.72638</cdr:x>
      <cdr:y>0.9301</cdr:y>
    </cdr:to>
    <cdr:sp macro="" textlink="">
      <cdr:nvSpPr>
        <cdr:cNvPr id="440" name="FracNo 971 StartRow 4675">
          <a:extLst xmlns:a="http://schemas.openxmlformats.org/drawingml/2006/main">
            <a:ext uri="{FF2B5EF4-FFF2-40B4-BE49-F238E27FC236}">
              <a16:creationId xmlns:a16="http://schemas.microsoft.com/office/drawing/2014/main" id="{4C6C964E-58E4-FC88-A2FB-239B1EC9A9DE}"/>
            </a:ext>
          </a:extLst>
        </cdr:cNvPr>
        <cdr:cNvSpPr/>
      </cdr:nvSpPr>
      <cdr:spPr>
        <a:xfrm xmlns:a="http://schemas.openxmlformats.org/drawingml/2006/main">
          <a:off x="4925740" y="6704957"/>
          <a:ext cx="387841" cy="3824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841" h="382409">
              <a:moveTo>
                <a:pt x="74495" y="342859"/>
              </a:moveTo>
              <a:lnTo>
                <a:pt x="36259" y="382408"/>
              </a:lnTo>
              <a:lnTo>
                <a:pt x="0" y="382408"/>
              </a:lnTo>
              <a:lnTo>
                <a:pt x="40208" y="340820"/>
              </a:lnTo>
              <a:lnTo>
                <a:pt x="369711" y="0"/>
              </a:lnTo>
              <a:lnTo>
                <a:pt x="3878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0.2412</cdr:x>
      <cdr:y>0.08544</cdr:y>
    </cdr:from>
    <cdr:to>
      <cdr:x>0.29392</cdr:x>
      <cdr:y>0.13533</cdr:y>
    </cdr:to>
    <cdr:sp macro="" textlink="">
      <cdr:nvSpPr>
        <cdr:cNvPr id="441" name="FracNo 436 StartRow 4684">
          <a:extLst xmlns:a="http://schemas.openxmlformats.org/drawingml/2006/main">
            <a:ext uri="{FF2B5EF4-FFF2-40B4-BE49-F238E27FC236}">
              <a16:creationId xmlns:a16="http://schemas.microsoft.com/office/drawing/2014/main" id="{F95B4A77-C5A9-F544-BD2C-B7148FCB2131}"/>
            </a:ext>
          </a:extLst>
        </cdr:cNvPr>
        <cdr:cNvSpPr/>
      </cdr:nvSpPr>
      <cdr:spPr>
        <a:xfrm xmlns:a="http://schemas.openxmlformats.org/drawingml/2006/main">
          <a:off x="1764442" y="651036"/>
          <a:ext cx="385669" cy="3801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669" h="380162">
              <a:moveTo>
                <a:pt x="323543" y="64259"/>
              </a:moveTo>
              <a:lnTo>
                <a:pt x="18129" y="380161"/>
              </a:lnTo>
              <a:lnTo>
                <a:pt x="0" y="361409"/>
              </a:lnTo>
              <a:lnTo>
                <a:pt x="290349" y="61089"/>
              </a:lnTo>
              <a:lnTo>
                <a:pt x="349410" y="0"/>
              </a:lnTo>
              <a:lnTo>
                <a:pt x="3856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0.50071</cdr:x>
      <cdr:y>0.74129</cdr:y>
    </cdr:from>
    <cdr:to>
      <cdr:x>0.55133</cdr:x>
      <cdr:y>0.79155</cdr:y>
    </cdr:to>
    <cdr:sp macro="" textlink="">
      <cdr:nvSpPr>
        <cdr:cNvPr id="442" name="FracNo 753 StartRow 4693">
          <a:extLst xmlns:a="http://schemas.openxmlformats.org/drawingml/2006/main">
            <a:ext uri="{FF2B5EF4-FFF2-40B4-BE49-F238E27FC236}">
              <a16:creationId xmlns:a16="http://schemas.microsoft.com/office/drawing/2014/main" id="{7473F247-04BB-A712-3211-17046B2BD631}"/>
            </a:ext>
          </a:extLst>
        </cdr:cNvPr>
        <cdr:cNvSpPr/>
      </cdr:nvSpPr>
      <cdr:spPr>
        <a:xfrm xmlns:a="http://schemas.openxmlformats.org/drawingml/2006/main">
          <a:off x="3662830" y="5648601"/>
          <a:ext cx="370294" cy="3830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0294" h="383010">
              <a:moveTo>
                <a:pt x="92201" y="306394"/>
              </a:moveTo>
              <a:lnTo>
                <a:pt x="18129" y="383009"/>
              </a:lnTo>
              <a:lnTo>
                <a:pt x="0" y="364258"/>
              </a:lnTo>
              <a:lnTo>
                <a:pt x="74072" y="287642"/>
              </a:lnTo>
              <a:lnTo>
                <a:pt x="352164" y="0"/>
              </a:lnTo>
              <a:lnTo>
                <a:pt x="3702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0.37245</cdr:y>
    </cdr:from>
    <cdr:to>
      <cdr:x>0.14085</cdr:x>
      <cdr:y>0.4236</cdr:y>
    </cdr:to>
    <cdr:sp macro="" textlink="">
      <cdr:nvSpPr>
        <cdr:cNvPr id="443" name="FracNo 763 StartRow 4702">
          <a:extLst xmlns:a="http://schemas.openxmlformats.org/drawingml/2006/main">
            <a:ext uri="{FF2B5EF4-FFF2-40B4-BE49-F238E27FC236}">
              <a16:creationId xmlns:a16="http://schemas.microsoft.com/office/drawing/2014/main" id="{22FDD82C-669C-F4A7-6D69-1B8E9432B36C}"/>
            </a:ext>
          </a:extLst>
        </cdr:cNvPr>
        <cdr:cNvSpPr/>
      </cdr:nvSpPr>
      <cdr:spPr>
        <a:xfrm xmlns:a="http://schemas.openxmlformats.org/drawingml/2006/main">
          <a:off x="671676" y="2838067"/>
          <a:ext cx="358703" cy="389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703" h="389774">
              <a:moveTo>
                <a:pt x="200087" y="182814"/>
              </a:moveTo>
              <a:lnTo>
                <a:pt x="0" y="389773"/>
              </a:lnTo>
              <a:lnTo>
                <a:pt x="0" y="352269"/>
              </a:lnTo>
              <a:lnTo>
                <a:pt x="189975" y="155770"/>
              </a:lnTo>
              <a:lnTo>
                <a:pt x="340573" y="0"/>
              </a:lnTo>
              <a:lnTo>
                <a:pt x="3587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0.34292</cdr:x>
      <cdr:y>0.19441</cdr:y>
    </cdr:from>
    <cdr:to>
      <cdr:x>0.39235</cdr:x>
      <cdr:y>0.24349</cdr:y>
    </cdr:to>
    <cdr:sp macro="" textlink="">
      <cdr:nvSpPr>
        <cdr:cNvPr id="444" name="FracNo 905 StartRow 4711">
          <a:extLst xmlns:a="http://schemas.openxmlformats.org/drawingml/2006/main">
            <a:ext uri="{FF2B5EF4-FFF2-40B4-BE49-F238E27FC236}">
              <a16:creationId xmlns:a16="http://schemas.microsoft.com/office/drawing/2014/main" id="{5037B12B-86BB-93FB-B8F4-04653A5E9EA9}"/>
            </a:ext>
          </a:extLst>
        </cdr:cNvPr>
        <cdr:cNvSpPr/>
      </cdr:nvSpPr>
      <cdr:spPr>
        <a:xfrm xmlns:a="http://schemas.openxmlformats.org/drawingml/2006/main">
          <a:off x="2508558" y="1481436"/>
          <a:ext cx="361528" cy="373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528" h="373944">
              <a:moveTo>
                <a:pt x="62677" y="327866"/>
              </a:moveTo>
              <a:lnTo>
                <a:pt x="18129" y="373943"/>
              </a:lnTo>
              <a:lnTo>
                <a:pt x="0" y="355191"/>
              </a:lnTo>
              <a:lnTo>
                <a:pt x="44548" y="309114"/>
              </a:lnTo>
              <a:lnTo>
                <a:pt x="228264" y="119088"/>
              </a:lnTo>
              <a:lnTo>
                <a:pt x="343398" y="0"/>
              </a:lnTo>
              <a:lnTo>
                <a:pt x="361527" y="18752"/>
              </a:lnTo>
              <a:lnTo>
                <a:pt x="246393" y="1378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0.61318</cdr:y>
    </cdr:from>
    <cdr:to>
      <cdr:x>0.13912</cdr:x>
      <cdr:y>0.66261</cdr:y>
    </cdr:to>
    <cdr:sp macro="" textlink="">
      <cdr:nvSpPr>
        <cdr:cNvPr id="445" name="FracNo 27 StartRow 4722">
          <a:extLst xmlns:a="http://schemas.openxmlformats.org/drawingml/2006/main">
            <a:ext uri="{FF2B5EF4-FFF2-40B4-BE49-F238E27FC236}">
              <a16:creationId xmlns:a16="http://schemas.microsoft.com/office/drawing/2014/main" id="{EA3C4F95-B76A-BEF0-DB7A-248764C21CD1}"/>
            </a:ext>
          </a:extLst>
        </cdr:cNvPr>
        <cdr:cNvSpPr/>
      </cdr:nvSpPr>
      <cdr:spPr>
        <a:xfrm xmlns:a="http://schemas.openxmlformats.org/drawingml/2006/main">
          <a:off x="671676" y="4672415"/>
          <a:ext cx="346042" cy="376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6042" h="376677">
              <a:moveTo>
                <a:pt x="56996" y="280220"/>
              </a:moveTo>
              <a:lnTo>
                <a:pt x="0" y="339173"/>
              </a:lnTo>
              <a:lnTo>
                <a:pt x="0" y="376676"/>
              </a:lnTo>
              <a:lnTo>
                <a:pt x="70517" y="303737"/>
              </a:lnTo>
              <a:lnTo>
                <a:pt x="94546" y="278883"/>
              </a:lnTo>
              <a:lnTo>
                <a:pt x="346041" y="18752"/>
              </a:lnTo>
              <a:lnTo>
                <a:pt x="327911" y="0"/>
              </a:lnTo>
              <a:lnTo>
                <a:pt x="76417" y="2601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0.83859</cdr:x>
      <cdr:y>0.08544</cdr:y>
    </cdr:from>
    <cdr:to>
      <cdr:x>0.88765</cdr:x>
      <cdr:y>0.13168</cdr:y>
    </cdr:to>
    <cdr:sp macro="" textlink="">
      <cdr:nvSpPr>
        <cdr:cNvPr id="446" name="FracNo 268 StartRow 4733">
          <a:extLst xmlns:a="http://schemas.openxmlformats.org/drawingml/2006/main">
            <a:ext uri="{FF2B5EF4-FFF2-40B4-BE49-F238E27FC236}">
              <a16:creationId xmlns:a16="http://schemas.microsoft.com/office/drawing/2014/main" id="{FE251E66-D89A-7AAE-D274-444205F5F6EC}"/>
            </a:ext>
          </a:extLst>
        </cdr:cNvPr>
        <cdr:cNvSpPr/>
      </cdr:nvSpPr>
      <cdr:spPr>
        <a:xfrm xmlns:a="http://schemas.openxmlformats.org/drawingml/2006/main">
          <a:off x="6134488" y="651036"/>
          <a:ext cx="358816" cy="3523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816" h="352386">
              <a:moveTo>
                <a:pt x="65547" y="265836"/>
              </a:moveTo>
              <a:lnTo>
                <a:pt x="0" y="333633"/>
              </a:lnTo>
              <a:lnTo>
                <a:pt x="18129" y="352385"/>
              </a:lnTo>
              <a:lnTo>
                <a:pt x="87360" y="280777"/>
              </a:lnTo>
              <a:lnTo>
                <a:pt x="358815" y="0"/>
              </a:lnTo>
              <a:lnTo>
                <a:pt x="3225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0.89466</cdr:x>
      <cdr:y>0.88263</cdr:y>
    </cdr:from>
    <cdr:to>
      <cdr:x>0.94246</cdr:x>
      <cdr:y>0.9301</cdr:y>
    </cdr:to>
    <cdr:sp macro="" textlink="">
      <cdr:nvSpPr>
        <cdr:cNvPr id="447" name="FracNo 989 StartRow 4742">
          <a:extLst xmlns:a="http://schemas.openxmlformats.org/drawingml/2006/main">
            <a:ext uri="{FF2B5EF4-FFF2-40B4-BE49-F238E27FC236}">
              <a16:creationId xmlns:a16="http://schemas.microsoft.com/office/drawing/2014/main" id="{A44DB251-16F4-8B64-4099-6B0EFB19B7A8}"/>
            </a:ext>
          </a:extLst>
        </cdr:cNvPr>
        <cdr:cNvSpPr/>
      </cdr:nvSpPr>
      <cdr:spPr>
        <a:xfrm xmlns:a="http://schemas.openxmlformats.org/drawingml/2006/main">
          <a:off x="6544620" y="6725669"/>
          <a:ext cx="349688" cy="3616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9688" h="361697">
              <a:moveTo>
                <a:pt x="298293" y="90663"/>
              </a:moveTo>
              <a:lnTo>
                <a:pt x="36259" y="361696"/>
              </a:lnTo>
              <a:lnTo>
                <a:pt x="0" y="361696"/>
              </a:lnTo>
              <a:lnTo>
                <a:pt x="292348" y="59309"/>
              </a:lnTo>
              <a:lnTo>
                <a:pt x="349687" y="0"/>
              </a:lnTo>
              <a:lnTo>
                <a:pt x="34968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0.50082</cdr:x>
      <cdr:y>0.3838</cdr:y>
    </cdr:from>
    <cdr:to>
      <cdr:x>0.5472</cdr:x>
      <cdr:y>0.42985</cdr:y>
    </cdr:to>
    <cdr:sp macro="" textlink="">
      <cdr:nvSpPr>
        <cdr:cNvPr id="448" name="FracNo 833 StartRow 4751">
          <a:extLst xmlns:a="http://schemas.openxmlformats.org/drawingml/2006/main">
            <a:ext uri="{FF2B5EF4-FFF2-40B4-BE49-F238E27FC236}">
              <a16:creationId xmlns:a16="http://schemas.microsoft.com/office/drawing/2014/main" id="{53010795-A87C-D4DD-CBE6-1CD5BCAD43DE}"/>
            </a:ext>
          </a:extLst>
        </cdr:cNvPr>
        <cdr:cNvSpPr/>
      </cdr:nvSpPr>
      <cdr:spPr>
        <a:xfrm xmlns:a="http://schemas.openxmlformats.org/drawingml/2006/main">
          <a:off x="3663631" y="2924549"/>
          <a:ext cx="339277" cy="3509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277" h="350929">
              <a:moveTo>
                <a:pt x="313960" y="7434"/>
              </a:moveTo>
              <a:lnTo>
                <a:pt x="0" y="332177"/>
              </a:lnTo>
              <a:lnTo>
                <a:pt x="18129" y="350928"/>
              </a:lnTo>
              <a:lnTo>
                <a:pt x="332089" y="26186"/>
              </a:lnTo>
              <a:lnTo>
                <a:pt x="339276" y="18752"/>
              </a:lnTo>
              <a:lnTo>
                <a:pt x="3211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0.41058</cdr:x>
      <cdr:y>0.56467</cdr:y>
    </cdr:from>
    <cdr:to>
      <cdr:x>0.45696</cdr:x>
      <cdr:y>0.61072</cdr:y>
    </cdr:to>
    <cdr:sp macro="" textlink="">
      <cdr:nvSpPr>
        <cdr:cNvPr id="449" name="FracNo 751 StartRow 4760">
          <a:extLst xmlns:a="http://schemas.openxmlformats.org/drawingml/2006/main">
            <a:ext uri="{FF2B5EF4-FFF2-40B4-BE49-F238E27FC236}">
              <a16:creationId xmlns:a16="http://schemas.microsoft.com/office/drawing/2014/main" id="{04AB3F35-1BBE-CE43-6A2F-C9D1471722C5}"/>
            </a:ext>
          </a:extLst>
        </cdr:cNvPr>
        <cdr:cNvSpPr/>
      </cdr:nvSpPr>
      <cdr:spPr>
        <a:xfrm xmlns:a="http://schemas.openxmlformats.org/drawingml/2006/main">
          <a:off x="3003472" y="4302761"/>
          <a:ext cx="339257" cy="350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257" h="350908">
              <a:moveTo>
                <a:pt x="149777" y="214738"/>
              </a:moveTo>
              <a:lnTo>
                <a:pt x="18130" y="350907"/>
              </a:lnTo>
              <a:lnTo>
                <a:pt x="0" y="332155"/>
              </a:lnTo>
              <a:lnTo>
                <a:pt x="131648" y="195986"/>
              </a:lnTo>
              <a:lnTo>
                <a:pt x="321127" y="0"/>
              </a:lnTo>
              <a:lnTo>
                <a:pt x="3392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0.23474</cdr:x>
      <cdr:y>0.44988</cdr:y>
    </cdr:from>
    <cdr:to>
      <cdr:x>0.28062</cdr:x>
      <cdr:y>0.49544</cdr:y>
    </cdr:to>
    <cdr:sp macro="" textlink="">
      <cdr:nvSpPr>
        <cdr:cNvPr id="450" name="FracNo 108 StartRow 4769">
          <a:extLst xmlns:a="http://schemas.openxmlformats.org/drawingml/2006/main">
            <a:ext uri="{FF2B5EF4-FFF2-40B4-BE49-F238E27FC236}">
              <a16:creationId xmlns:a16="http://schemas.microsoft.com/office/drawing/2014/main" id="{F3F95944-BA27-115D-BEDF-0E528B868516}"/>
            </a:ext>
          </a:extLst>
        </cdr:cNvPr>
        <cdr:cNvSpPr/>
      </cdr:nvSpPr>
      <cdr:spPr>
        <a:xfrm xmlns:a="http://schemas.openxmlformats.org/drawingml/2006/main">
          <a:off x="1717135" y="3428068"/>
          <a:ext cx="335636" cy="347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5636" h="347163">
              <a:moveTo>
                <a:pt x="331412" y="23120"/>
              </a:moveTo>
              <a:lnTo>
                <a:pt x="18129" y="347162"/>
              </a:lnTo>
              <a:lnTo>
                <a:pt x="0" y="328410"/>
              </a:lnTo>
              <a:lnTo>
                <a:pt x="313283" y="4368"/>
              </a:lnTo>
              <a:lnTo>
                <a:pt x="317506" y="0"/>
              </a:lnTo>
              <a:lnTo>
                <a:pt x="3356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0.242</cdr:x>
      <cdr:y>0.81339</cdr:y>
    </cdr:from>
    <cdr:to>
      <cdr:x>0.28727</cdr:x>
      <cdr:y>0.85835</cdr:y>
    </cdr:to>
    <cdr:sp macro="" textlink="">
      <cdr:nvSpPr>
        <cdr:cNvPr id="451" name="FracNo 1001 StartRow 4778">
          <a:extLst xmlns:a="http://schemas.openxmlformats.org/drawingml/2006/main">
            <a:ext uri="{FF2B5EF4-FFF2-40B4-BE49-F238E27FC236}">
              <a16:creationId xmlns:a16="http://schemas.microsoft.com/office/drawing/2014/main" id="{DDDAE192-8CCE-B285-FF70-B0D4213A0F03}"/>
            </a:ext>
          </a:extLst>
        </cdr:cNvPr>
        <cdr:cNvSpPr/>
      </cdr:nvSpPr>
      <cdr:spPr>
        <a:xfrm xmlns:a="http://schemas.openxmlformats.org/drawingml/2006/main">
          <a:off x="1770270" y="6198061"/>
          <a:ext cx="331189" cy="342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1189" h="342563">
              <a:moveTo>
                <a:pt x="195294" y="159313"/>
              </a:moveTo>
              <a:lnTo>
                <a:pt x="18129" y="342562"/>
              </a:lnTo>
              <a:lnTo>
                <a:pt x="0" y="323810"/>
              </a:lnTo>
              <a:lnTo>
                <a:pt x="177165" y="140561"/>
              </a:lnTo>
              <a:lnTo>
                <a:pt x="313059" y="0"/>
              </a:lnTo>
              <a:lnTo>
                <a:pt x="3311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0.53291</cdr:x>
      <cdr:y>0.38781</cdr:y>
    </cdr:from>
    <cdr:to>
      <cdr:x>0.57818</cdr:x>
      <cdr:y>0.43276</cdr:y>
    </cdr:to>
    <cdr:sp macro="" textlink="">
      <cdr:nvSpPr>
        <cdr:cNvPr id="452" name="FracNo 811 StartRow 4787">
          <a:extLst xmlns:a="http://schemas.openxmlformats.org/drawingml/2006/main">
            <a:ext uri="{FF2B5EF4-FFF2-40B4-BE49-F238E27FC236}">
              <a16:creationId xmlns:a16="http://schemas.microsoft.com/office/drawing/2014/main" id="{0953A594-35F7-741C-5EA5-014FE06AFAB4}"/>
            </a:ext>
          </a:extLst>
        </cdr:cNvPr>
        <cdr:cNvSpPr/>
      </cdr:nvSpPr>
      <cdr:spPr>
        <a:xfrm xmlns:a="http://schemas.openxmlformats.org/drawingml/2006/main">
          <a:off x="3898328" y="2955119"/>
          <a:ext cx="331142" cy="3425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1142" h="342514">
              <a:moveTo>
                <a:pt x="276205" y="38071"/>
              </a:moveTo>
              <a:lnTo>
                <a:pt x="0" y="323761"/>
              </a:lnTo>
              <a:lnTo>
                <a:pt x="18129" y="342513"/>
              </a:lnTo>
              <a:lnTo>
                <a:pt x="294334" y="56823"/>
              </a:lnTo>
              <a:lnTo>
                <a:pt x="331141" y="18751"/>
              </a:lnTo>
              <a:lnTo>
                <a:pt x="3130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0.63383</cdr:x>
      <cdr:y>0.88644</cdr:y>
    </cdr:from>
    <cdr:to>
      <cdr:x>0.68028</cdr:x>
      <cdr:y>0.9301</cdr:y>
    </cdr:to>
    <cdr:sp macro="" textlink="">
      <cdr:nvSpPr>
        <cdr:cNvPr id="453" name="FracNo 932 StartRow 4796">
          <a:extLst xmlns:a="http://schemas.openxmlformats.org/drawingml/2006/main">
            <a:ext uri="{FF2B5EF4-FFF2-40B4-BE49-F238E27FC236}">
              <a16:creationId xmlns:a16="http://schemas.microsoft.com/office/drawing/2014/main" id="{360AC7AE-1CFD-33C3-1D84-504594BC14F4}"/>
            </a:ext>
          </a:extLst>
        </cdr:cNvPr>
        <cdr:cNvSpPr/>
      </cdr:nvSpPr>
      <cdr:spPr>
        <a:xfrm xmlns:a="http://schemas.openxmlformats.org/drawingml/2006/main">
          <a:off x="4636599" y="6754691"/>
          <a:ext cx="339759" cy="3326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759" h="332675">
              <a:moveTo>
                <a:pt x="235370" y="89221"/>
              </a:moveTo>
              <a:lnTo>
                <a:pt x="171951" y="154818"/>
              </a:lnTo>
              <a:lnTo>
                <a:pt x="0" y="332674"/>
              </a:lnTo>
              <a:lnTo>
                <a:pt x="36259" y="332674"/>
              </a:lnTo>
              <a:lnTo>
                <a:pt x="195045" y="168435"/>
              </a:lnTo>
              <a:lnTo>
                <a:pt x="256360" y="105014"/>
              </a:lnTo>
              <a:lnTo>
                <a:pt x="339758" y="18752"/>
              </a:lnTo>
              <a:lnTo>
                <a:pt x="3216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0.61272</cdr:x>
      <cdr:y>0.88766</cdr:y>
    </cdr:from>
    <cdr:to>
      <cdr:x>0.65794</cdr:x>
      <cdr:y>0.9301</cdr:y>
    </cdr:to>
    <cdr:sp macro="" textlink="">
      <cdr:nvSpPr>
        <cdr:cNvPr id="454" name="FracNo 842 StartRow 4807">
          <a:extLst xmlns:a="http://schemas.openxmlformats.org/drawingml/2006/main">
            <a:ext uri="{FF2B5EF4-FFF2-40B4-BE49-F238E27FC236}">
              <a16:creationId xmlns:a16="http://schemas.microsoft.com/office/drawing/2014/main" id="{D8A2CD0B-87FE-9D7A-5832-B6196436DD25}"/>
            </a:ext>
          </a:extLst>
        </cdr:cNvPr>
        <cdr:cNvSpPr/>
      </cdr:nvSpPr>
      <cdr:spPr>
        <a:xfrm xmlns:a="http://schemas.openxmlformats.org/drawingml/2006/main">
          <a:off x="4482200" y="6764007"/>
          <a:ext cx="330752" cy="3233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752" h="323359">
              <a:moveTo>
                <a:pt x="49480" y="309682"/>
              </a:moveTo>
              <a:lnTo>
                <a:pt x="36258" y="323358"/>
              </a:lnTo>
              <a:lnTo>
                <a:pt x="0" y="323358"/>
              </a:lnTo>
              <a:lnTo>
                <a:pt x="14035" y="308840"/>
              </a:lnTo>
              <a:lnTo>
                <a:pt x="312622" y="0"/>
              </a:lnTo>
              <a:lnTo>
                <a:pt x="3307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0.2545</cdr:x>
      <cdr:y>0.23439</cdr:y>
    </cdr:from>
    <cdr:to>
      <cdr:x>0.29574</cdr:x>
      <cdr:y>0.27534</cdr:y>
    </cdr:to>
    <cdr:sp macro="" textlink="">
      <cdr:nvSpPr>
        <cdr:cNvPr id="455" name="FracNo 792 StartRow 4816">
          <a:extLst xmlns:a="http://schemas.openxmlformats.org/drawingml/2006/main">
            <a:ext uri="{FF2B5EF4-FFF2-40B4-BE49-F238E27FC236}">
              <a16:creationId xmlns:a16="http://schemas.microsoft.com/office/drawing/2014/main" id="{7DC110E6-E676-EF6C-57A8-80CD4DA98AB7}"/>
            </a:ext>
          </a:extLst>
        </cdr:cNvPr>
        <cdr:cNvSpPr/>
      </cdr:nvSpPr>
      <cdr:spPr>
        <a:xfrm xmlns:a="http://schemas.openxmlformats.org/drawingml/2006/main">
          <a:off x="1861742" y="1786085"/>
          <a:ext cx="301662" cy="3120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1662" h="312022">
              <a:moveTo>
                <a:pt x="193816" y="130301"/>
              </a:moveTo>
              <a:lnTo>
                <a:pt x="18129" y="312021"/>
              </a:lnTo>
              <a:lnTo>
                <a:pt x="0" y="293269"/>
              </a:lnTo>
              <a:lnTo>
                <a:pt x="175687" y="111548"/>
              </a:lnTo>
              <a:lnTo>
                <a:pt x="283532" y="0"/>
              </a:lnTo>
              <a:lnTo>
                <a:pt x="3016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0.42522</cdr:x>
      <cdr:y>0.89042</cdr:y>
    </cdr:from>
    <cdr:to>
      <cdr:x>0.46767</cdr:x>
      <cdr:y>0.9301</cdr:y>
    </cdr:to>
    <cdr:sp macro="" textlink="">
      <cdr:nvSpPr>
        <cdr:cNvPr id="456" name="FracNo 190 StartRow 4825">
          <a:extLst xmlns:a="http://schemas.openxmlformats.org/drawingml/2006/main">
            <a:ext uri="{FF2B5EF4-FFF2-40B4-BE49-F238E27FC236}">
              <a16:creationId xmlns:a16="http://schemas.microsoft.com/office/drawing/2014/main" id="{73C080AA-56D7-6A11-8EF4-E6156ADDCFCB}"/>
            </a:ext>
          </a:extLst>
        </cdr:cNvPr>
        <cdr:cNvSpPr/>
      </cdr:nvSpPr>
      <cdr:spPr>
        <a:xfrm xmlns:a="http://schemas.openxmlformats.org/drawingml/2006/main">
          <a:off x="3110605" y="6784988"/>
          <a:ext cx="310467" cy="302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467" h="302378">
              <a:moveTo>
                <a:pt x="91806" y="244922"/>
              </a:moveTo>
              <a:lnTo>
                <a:pt x="36258" y="302377"/>
              </a:lnTo>
              <a:lnTo>
                <a:pt x="0" y="302377"/>
              </a:lnTo>
              <a:lnTo>
                <a:pt x="59220" y="241123"/>
              </a:lnTo>
              <a:lnTo>
                <a:pt x="292337" y="0"/>
              </a:lnTo>
              <a:lnTo>
                <a:pt x="3104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0.71701</cdr:y>
    </cdr:from>
    <cdr:to>
      <cdr:x>0.13122</cdr:x>
      <cdr:y>0.7586</cdr:y>
    </cdr:to>
    <cdr:sp macro="" textlink="">
      <cdr:nvSpPr>
        <cdr:cNvPr id="457" name="FracNo 970 StartRow 4834">
          <a:extLst xmlns:a="http://schemas.openxmlformats.org/drawingml/2006/main">
            <a:ext uri="{FF2B5EF4-FFF2-40B4-BE49-F238E27FC236}">
              <a16:creationId xmlns:a16="http://schemas.microsoft.com/office/drawing/2014/main" id="{34FEF761-1469-0488-7FE9-54494E3A76AB}"/>
            </a:ext>
          </a:extLst>
        </cdr:cNvPr>
        <cdr:cNvSpPr/>
      </cdr:nvSpPr>
      <cdr:spPr>
        <a:xfrm xmlns:a="http://schemas.openxmlformats.org/drawingml/2006/main">
          <a:off x="671676" y="5463618"/>
          <a:ext cx="288246" cy="3168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246" h="316897">
              <a:moveTo>
                <a:pt x="288245" y="18752"/>
              </a:moveTo>
              <a:lnTo>
                <a:pt x="0" y="316896"/>
              </a:lnTo>
              <a:lnTo>
                <a:pt x="0" y="279392"/>
              </a:lnTo>
              <a:lnTo>
                <a:pt x="270116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0.4363</cdr:x>
      <cdr:y>0.08544</cdr:y>
    </cdr:from>
    <cdr:to>
      <cdr:x>0.47786</cdr:x>
      <cdr:y>0.12424</cdr:y>
    </cdr:to>
    <cdr:sp macro="" textlink="">
      <cdr:nvSpPr>
        <cdr:cNvPr id="458" name="FracNo 346 StartRow 4842">
          <a:extLst xmlns:a="http://schemas.openxmlformats.org/drawingml/2006/main">
            <a:ext uri="{FF2B5EF4-FFF2-40B4-BE49-F238E27FC236}">
              <a16:creationId xmlns:a16="http://schemas.microsoft.com/office/drawing/2014/main" id="{48697388-AC3B-8D96-39E9-6325614F1302}"/>
            </a:ext>
          </a:extLst>
        </cdr:cNvPr>
        <cdr:cNvSpPr/>
      </cdr:nvSpPr>
      <cdr:spPr>
        <a:xfrm xmlns:a="http://schemas.openxmlformats.org/drawingml/2006/main">
          <a:off x="3191633" y="651036"/>
          <a:ext cx="304004" cy="2956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004" h="295691">
              <a:moveTo>
                <a:pt x="95710" y="177943"/>
              </a:moveTo>
              <a:lnTo>
                <a:pt x="0" y="276939"/>
              </a:lnTo>
              <a:lnTo>
                <a:pt x="18130" y="295690"/>
              </a:lnTo>
              <a:lnTo>
                <a:pt x="120319" y="189992"/>
              </a:lnTo>
              <a:lnTo>
                <a:pt x="304003" y="0"/>
              </a:lnTo>
              <a:lnTo>
                <a:pt x="2677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0.502</cdr:x>
      <cdr:y>0.78826</cdr:y>
    </cdr:from>
    <cdr:to>
      <cdr:x>0.54229</cdr:x>
      <cdr:y>0.82827</cdr:y>
    </cdr:to>
    <cdr:sp macro="" textlink="">
      <cdr:nvSpPr>
        <cdr:cNvPr id="459" name="FracNo 885 StartRow 4851">
          <a:extLst xmlns:a="http://schemas.openxmlformats.org/drawingml/2006/main">
            <a:ext uri="{FF2B5EF4-FFF2-40B4-BE49-F238E27FC236}">
              <a16:creationId xmlns:a16="http://schemas.microsoft.com/office/drawing/2014/main" id="{991C971C-8BFE-B493-B951-1F618A166804}"/>
            </a:ext>
          </a:extLst>
        </cdr:cNvPr>
        <cdr:cNvSpPr/>
      </cdr:nvSpPr>
      <cdr:spPr>
        <a:xfrm xmlns:a="http://schemas.openxmlformats.org/drawingml/2006/main">
          <a:off x="3672231" y="6006543"/>
          <a:ext cx="294748" cy="304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4748" h="304870">
              <a:moveTo>
                <a:pt x="230303" y="47904"/>
              </a:moveTo>
              <a:lnTo>
                <a:pt x="0" y="286117"/>
              </a:lnTo>
              <a:lnTo>
                <a:pt x="18129" y="304869"/>
              </a:lnTo>
              <a:lnTo>
                <a:pt x="248432" y="66656"/>
              </a:lnTo>
              <a:lnTo>
                <a:pt x="294747" y="18751"/>
              </a:lnTo>
              <a:lnTo>
                <a:pt x="2766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0.14081</cdr:x>
      <cdr:y>0.13717</cdr:y>
    </cdr:from>
    <cdr:to>
      <cdr:x>0.18101</cdr:x>
      <cdr:y>0.17708</cdr:y>
    </cdr:to>
    <cdr:sp macro="" textlink="">
      <cdr:nvSpPr>
        <cdr:cNvPr id="460" name="FracNo 437 StartRow 4860">
          <a:extLst xmlns:a="http://schemas.openxmlformats.org/drawingml/2006/main">
            <a:ext uri="{FF2B5EF4-FFF2-40B4-BE49-F238E27FC236}">
              <a16:creationId xmlns:a16="http://schemas.microsoft.com/office/drawing/2014/main" id="{5AE62136-D653-FCEC-7129-91361DF8FF59}"/>
            </a:ext>
          </a:extLst>
        </cdr:cNvPr>
        <cdr:cNvSpPr/>
      </cdr:nvSpPr>
      <cdr:spPr>
        <a:xfrm xmlns:a="http://schemas.openxmlformats.org/drawingml/2006/main">
          <a:off x="1030043" y="1045200"/>
          <a:ext cx="294080" cy="304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4080" h="304180">
              <a:moveTo>
                <a:pt x="243996" y="33051"/>
              </a:moveTo>
              <a:lnTo>
                <a:pt x="0" y="285426"/>
              </a:lnTo>
              <a:lnTo>
                <a:pt x="18129" y="304179"/>
              </a:lnTo>
              <a:lnTo>
                <a:pt x="262125" y="51802"/>
              </a:lnTo>
              <a:lnTo>
                <a:pt x="294079" y="18752"/>
              </a:lnTo>
              <a:lnTo>
                <a:pt x="2759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0.77273</cdr:x>
      <cdr:y>0.59464</cdr:y>
    </cdr:from>
    <cdr:to>
      <cdr:x>0.81269</cdr:x>
      <cdr:y>0.63432</cdr:y>
    </cdr:to>
    <cdr:sp macro="" textlink="">
      <cdr:nvSpPr>
        <cdr:cNvPr id="461" name="FracNo 823 StartRow 4869">
          <a:extLst xmlns:a="http://schemas.openxmlformats.org/drawingml/2006/main">
            <a:ext uri="{FF2B5EF4-FFF2-40B4-BE49-F238E27FC236}">
              <a16:creationId xmlns:a16="http://schemas.microsoft.com/office/drawing/2014/main" id="{5038EDF0-B7B9-3466-7BE3-6A6A12FF1378}"/>
            </a:ext>
          </a:extLst>
        </cdr:cNvPr>
        <cdr:cNvSpPr/>
      </cdr:nvSpPr>
      <cdr:spPr>
        <a:xfrm xmlns:a="http://schemas.openxmlformats.org/drawingml/2006/main">
          <a:off x="5652670" y="4531190"/>
          <a:ext cx="292318" cy="302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318" h="302358">
              <a:moveTo>
                <a:pt x="127084" y="189660"/>
              </a:moveTo>
              <a:lnTo>
                <a:pt x="18129" y="302357"/>
              </a:lnTo>
              <a:lnTo>
                <a:pt x="0" y="283605"/>
              </a:lnTo>
              <a:lnTo>
                <a:pt x="108955" y="170908"/>
              </a:lnTo>
              <a:lnTo>
                <a:pt x="274188" y="0"/>
              </a:lnTo>
              <a:lnTo>
                <a:pt x="2923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0.40734</cdr:x>
      <cdr:y>0.69187</cdr:y>
    </cdr:from>
    <cdr:to>
      <cdr:x>0.44682</cdr:x>
      <cdr:y>0.73107</cdr:y>
    </cdr:to>
    <cdr:sp macro="" textlink="">
      <cdr:nvSpPr>
        <cdr:cNvPr id="462" name="FracNo 1021 StartRow 4878">
          <a:extLst xmlns:a="http://schemas.openxmlformats.org/drawingml/2006/main">
            <a:ext uri="{FF2B5EF4-FFF2-40B4-BE49-F238E27FC236}">
              <a16:creationId xmlns:a16="http://schemas.microsoft.com/office/drawing/2014/main" id="{6D5239F4-6528-184B-F495-22933340581C}"/>
            </a:ext>
          </a:extLst>
        </cdr:cNvPr>
        <cdr:cNvSpPr/>
      </cdr:nvSpPr>
      <cdr:spPr>
        <a:xfrm xmlns:a="http://schemas.openxmlformats.org/drawingml/2006/main">
          <a:off x="2979760" y="5272048"/>
          <a:ext cx="288801" cy="2987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801" h="298718">
              <a:moveTo>
                <a:pt x="152486" y="159746"/>
              </a:moveTo>
              <a:lnTo>
                <a:pt x="18129" y="298717"/>
              </a:lnTo>
              <a:lnTo>
                <a:pt x="0" y="279965"/>
              </a:lnTo>
              <a:lnTo>
                <a:pt x="134357" y="140994"/>
              </a:lnTo>
              <a:lnTo>
                <a:pt x="270671" y="0"/>
              </a:lnTo>
              <a:lnTo>
                <a:pt x="2888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0.44822</cdr:x>
      <cdr:y>0.08544</cdr:y>
    </cdr:from>
    <cdr:to>
      <cdr:x>0.48888</cdr:x>
      <cdr:y>0.12334</cdr:y>
    </cdr:to>
    <cdr:sp macro="" textlink="">
      <cdr:nvSpPr>
        <cdr:cNvPr id="463" name="FracNo 359 StartRow 4887">
          <a:extLst xmlns:a="http://schemas.openxmlformats.org/drawingml/2006/main">
            <a:ext uri="{FF2B5EF4-FFF2-40B4-BE49-F238E27FC236}">
              <a16:creationId xmlns:a16="http://schemas.microsoft.com/office/drawing/2014/main" id="{98E52AAC-9293-808D-1996-5B16F2812DB9}"/>
            </a:ext>
          </a:extLst>
        </cdr:cNvPr>
        <cdr:cNvSpPr/>
      </cdr:nvSpPr>
      <cdr:spPr>
        <a:xfrm xmlns:a="http://schemas.openxmlformats.org/drawingml/2006/main">
          <a:off x="3278837" y="651036"/>
          <a:ext cx="297383" cy="288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7383" h="288844">
              <a:moveTo>
                <a:pt x="204993" y="95562"/>
              </a:moveTo>
              <a:lnTo>
                <a:pt x="18130" y="288843"/>
              </a:lnTo>
              <a:lnTo>
                <a:pt x="0" y="270091"/>
              </a:lnTo>
              <a:lnTo>
                <a:pt x="174733" y="89358"/>
              </a:lnTo>
              <a:lnTo>
                <a:pt x="261124" y="0"/>
              </a:lnTo>
              <a:lnTo>
                <a:pt x="2973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0.90434</cdr:x>
      <cdr:y>0.8165</cdr:y>
    </cdr:from>
    <cdr:to>
      <cdr:x>0.94246</cdr:x>
      <cdr:y>0.85682</cdr:y>
    </cdr:to>
    <cdr:sp macro="" textlink="">
      <cdr:nvSpPr>
        <cdr:cNvPr id="464" name="FracNo 721 StartRow 4896">
          <a:extLst xmlns:a="http://schemas.openxmlformats.org/drawingml/2006/main">
            <a:ext uri="{FF2B5EF4-FFF2-40B4-BE49-F238E27FC236}">
              <a16:creationId xmlns:a16="http://schemas.microsoft.com/office/drawing/2014/main" id="{51D5B517-9F7F-423F-FFEE-8AF0EDEAE34C}"/>
            </a:ext>
          </a:extLst>
        </cdr:cNvPr>
        <cdr:cNvSpPr/>
      </cdr:nvSpPr>
      <cdr:spPr>
        <a:xfrm xmlns:a="http://schemas.openxmlformats.org/drawingml/2006/main">
          <a:off x="6615395" y="6221713"/>
          <a:ext cx="278913" cy="3072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913" h="307244">
              <a:moveTo>
                <a:pt x="235350" y="45058"/>
              </a:moveTo>
              <a:lnTo>
                <a:pt x="0" y="288491"/>
              </a:lnTo>
              <a:lnTo>
                <a:pt x="18129" y="307243"/>
              </a:lnTo>
              <a:lnTo>
                <a:pt x="238182" y="79633"/>
              </a:lnTo>
              <a:lnTo>
                <a:pt x="278912" y="37504"/>
              </a:lnTo>
              <a:lnTo>
                <a:pt x="2789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0.15423</cdr:x>
      <cdr:y>0.74314</cdr:y>
    </cdr:from>
    <cdr:to>
      <cdr:x>0.19248</cdr:x>
      <cdr:y>0.78113</cdr:y>
    </cdr:to>
    <cdr:sp macro="" textlink="">
      <cdr:nvSpPr>
        <cdr:cNvPr id="465" name="FracNo 776 StartRow 4905">
          <a:extLst xmlns:a="http://schemas.openxmlformats.org/drawingml/2006/main">
            <a:ext uri="{FF2B5EF4-FFF2-40B4-BE49-F238E27FC236}">
              <a16:creationId xmlns:a16="http://schemas.microsoft.com/office/drawing/2014/main" id="{C5FA8B4B-3793-E787-5C45-171B11484C31}"/>
            </a:ext>
          </a:extLst>
        </cdr:cNvPr>
        <cdr:cNvSpPr/>
      </cdr:nvSpPr>
      <cdr:spPr>
        <a:xfrm xmlns:a="http://schemas.openxmlformats.org/drawingml/2006/main">
          <a:off x="1128190" y="5662761"/>
          <a:ext cx="279862" cy="2894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862" h="289473">
              <a:moveTo>
                <a:pt x="71778" y="233981"/>
              </a:moveTo>
              <a:lnTo>
                <a:pt x="18129" y="289472"/>
              </a:lnTo>
              <a:lnTo>
                <a:pt x="0" y="270720"/>
              </a:lnTo>
              <a:lnTo>
                <a:pt x="53649" y="215229"/>
              </a:lnTo>
              <a:lnTo>
                <a:pt x="261731" y="0"/>
              </a:lnTo>
              <a:lnTo>
                <a:pt x="2798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0.58489</cdr:x>
      <cdr:y>0.08544</cdr:y>
    </cdr:from>
    <cdr:to>
      <cdr:x>0.62434</cdr:x>
      <cdr:y>0.12215</cdr:y>
    </cdr:to>
    <cdr:sp macro="" textlink="">
      <cdr:nvSpPr>
        <cdr:cNvPr id="466" name="FracNo 351 StartRow 4914">
          <a:extLst xmlns:a="http://schemas.openxmlformats.org/drawingml/2006/main">
            <a:ext uri="{FF2B5EF4-FFF2-40B4-BE49-F238E27FC236}">
              <a16:creationId xmlns:a16="http://schemas.microsoft.com/office/drawing/2014/main" id="{243C9EEA-5A91-39C7-9DBB-78FB8F3AB6EF}"/>
            </a:ext>
          </a:extLst>
        </cdr:cNvPr>
        <cdr:cNvSpPr/>
      </cdr:nvSpPr>
      <cdr:spPr>
        <a:xfrm xmlns:a="http://schemas.openxmlformats.org/drawingml/2006/main">
          <a:off x="4278557" y="651036"/>
          <a:ext cx="288606" cy="279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606" h="279766">
              <a:moveTo>
                <a:pt x="35758" y="261531"/>
              </a:moveTo>
              <a:lnTo>
                <a:pt x="18129" y="279765"/>
              </a:lnTo>
              <a:lnTo>
                <a:pt x="0" y="261014"/>
              </a:lnTo>
              <a:lnTo>
                <a:pt x="16447" y="244001"/>
              </a:lnTo>
              <a:lnTo>
                <a:pt x="252347" y="0"/>
              </a:lnTo>
              <a:lnTo>
                <a:pt x="2886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0.90736</cdr:x>
      <cdr:y>0.71735</cdr:y>
    </cdr:from>
    <cdr:to>
      <cdr:x>0.94246</cdr:x>
      <cdr:y>0.75467</cdr:y>
    </cdr:to>
    <cdr:sp macro="" textlink="">
      <cdr:nvSpPr>
        <cdr:cNvPr id="467" name="FracNo 515 StartRow 4923">
          <a:extLst xmlns:a="http://schemas.openxmlformats.org/drawingml/2006/main">
            <a:ext uri="{FF2B5EF4-FFF2-40B4-BE49-F238E27FC236}">
              <a16:creationId xmlns:a16="http://schemas.microsoft.com/office/drawing/2014/main" id="{82C99814-4DBC-046A-80F9-447D989D8A81}"/>
            </a:ext>
          </a:extLst>
        </cdr:cNvPr>
        <cdr:cNvSpPr/>
      </cdr:nvSpPr>
      <cdr:spPr>
        <a:xfrm xmlns:a="http://schemas.openxmlformats.org/drawingml/2006/main">
          <a:off x="6637489" y="5466204"/>
          <a:ext cx="256819" cy="2843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819" h="284391">
              <a:moveTo>
                <a:pt x="24771" y="277520"/>
              </a:moveTo>
              <a:lnTo>
                <a:pt x="18129" y="284390"/>
              </a:lnTo>
              <a:lnTo>
                <a:pt x="0" y="265638"/>
              </a:lnTo>
              <a:lnTo>
                <a:pt x="7146" y="258246"/>
              </a:lnTo>
              <a:lnTo>
                <a:pt x="256818" y="0"/>
              </a:lnTo>
              <a:lnTo>
                <a:pt x="25681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0.24879</cdr:x>
      <cdr:y>0.62914</cdr:y>
    </cdr:from>
    <cdr:to>
      <cdr:x>0.28438</cdr:x>
      <cdr:y>0.66447</cdr:y>
    </cdr:to>
    <cdr:sp macro="" textlink="">
      <cdr:nvSpPr>
        <cdr:cNvPr id="468" name="FracNo 30 StartRow 4932">
          <a:extLst xmlns:a="http://schemas.openxmlformats.org/drawingml/2006/main">
            <a:ext uri="{FF2B5EF4-FFF2-40B4-BE49-F238E27FC236}">
              <a16:creationId xmlns:a16="http://schemas.microsoft.com/office/drawing/2014/main" id="{5CE6DEC1-D8D6-3996-1255-7A78369870AC}"/>
            </a:ext>
          </a:extLst>
        </cdr:cNvPr>
        <cdr:cNvSpPr/>
      </cdr:nvSpPr>
      <cdr:spPr>
        <a:xfrm xmlns:a="http://schemas.openxmlformats.org/drawingml/2006/main">
          <a:off x="1819981" y="4794061"/>
          <a:ext cx="260286" cy="2692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286" h="269225">
              <a:moveTo>
                <a:pt x="27242" y="259798"/>
              </a:moveTo>
              <a:lnTo>
                <a:pt x="18129" y="269224"/>
              </a:lnTo>
              <a:lnTo>
                <a:pt x="0" y="250472"/>
              </a:lnTo>
              <a:lnTo>
                <a:pt x="9113" y="241046"/>
              </a:lnTo>
              <a:lnTo>
                <a:pt x="108269" y="138485"/>
              </a:lnTo>
              <a:lnTo>
                <a:pt x="242156" y="0"/>
              </a:lnTo>
              <a:lnTo>
                <a:pt x="260285" y="18752"/>
              </a:lnTo>
              <a:lnTo>
                <a:pt x="126398" y="1572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0.62921</cdr:x>
      <cdr:y>0.30361</cdr:y>
    </cdr:from>
    <cdr:to>
      <cdr:x>0.6645</cdr:x>
      <cdr:y>0.33865</cdr:y>
    </cdr:to>
    <cdr:sp macro="" textlink="">
      <cdr:nvSpPr>
        <cdr:cNvPr id="469" name="FracNo 349 StartRow 4943">
          <a:extLst xmlns:a="http://schemas.openxmlformats.org/drawingml/2006/main">
            <a:ext uri="{FF2B5EF4-FFF2-40B4-BE49-F238E27FC236}">
              <a16:creationId xmlns:a16="http://schemas.microsoft.com/office/drawing/2014/main" id="{00B28860-20B0-98A1-0EF6-B0FBE11EDEAE}"/>
            </a:ext>
          </a:extLst>
        </cdr:cNvPr>
        <cdr:cNvSpPr/>
      </cdr:nvSpPr>
      <cdr:spPr>
        <a:xfrm xmlns:a="http://schemas.openxmlformats.org/drawingml/2006/main">
          <a:off x="4602821" y="2313539"/>
          <a:ext cx="258126" cy="2669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126" h="266991">
              <a:moveTo>
                <a:pt x="95264" y="149702"/>
              </a:moveTo>
              <a:lnTo>
                <a:pt x="0" y="248238"/>
              </a:lnTo>
              <a:lnTo>
                <a:pt x="18129" y="266990"/>
              </a:lnTo>
              <a:lnTo>
                <a:pt x="113393" y="168454"/>
              </a:lnTo>
              <a:lnTo>
                <a:pt x="226340" y="51628"/>
              </a:lnTo>
              <a:lnTo>
                <a:pt x="258125" y="18752"/>
              </a:lnTo>
              <a:lnTo>
                <a:pt x="239996" y="0"/>
              </a:lnTo>
              <a:lnTo>
                <a:pt x="208211" y="328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0.5189</cdr:x>
      <cdr:y>0.18827</cdr:y>
    </cdr:from>
    <cdr:to>
      <cdr:x>0.55098</cdr:x>
      <cdr:y>0.22012</cdr:y>
    </cdr:to>
    <cdr:sp macro="" textlink="">
      <cdr:nvSpPr>
        <cdr:cNvPr id="470" name="FracNo 898 StartRow 4954">
          <a:extLst xmlns:a="http://schemas.openxmlformats.org/drawingml/2006/main">
            <a:ext uri="{FF2B5EF4-FFF2-40B4-BE49-F238E27FC236}">
              <a16:creationId xmlns:a16="http://schemas.microsoft.com/office/drawing/2014/main" id="{56753A5C-D037-8F05-DD1D-6C887DDFB47F}"/>
            </a:ext>
          </a:extLst>
        </cdr:cNvPr>
        <cdr:cNvSpPr/>
      </cdr:nvSpPr>
      <cdr:spPr>
        <a:xfrm xmlns:a="http://schemas.openxmlformats.org/drawingml/2006/main">
          <a:off x="3795855" y="1434639"/>
          <a:ext cx="234638" cy="2426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638" h="242695">
              <a:moveTo>
                <a:pt x="151422" y="104824"/>
              </a:moveTo>
              <a:lnTo>
                <a:pt x="18129" y="242694"/>
              </a:lnTo>
              <a:lnTo>
                <a:pt x="0" y="223943"/>
              </a:lnTo>
              <a:lnTo>
                <a:pt x="133292" y="86073"/>
              </a:lnTo>
              <a:lnTo>
                <a:pt x="216508" y="0"/>
              </a:lnTo>
              <a:lnTo>
                <a:pt x="23463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0.46564</cdr:x>
      <cdr:y>0.1054</cdr:y>
    </cdr:from>
    <cdr:to>
      <cdr:x>0.49743</cdr:x>
      <cdr:y>0.13697</cdr:y>
    </cdr:to>
    <cdr:sp macro="" textlink="">
      <cdr:nvSpPr>
        <cdr:cNvPr id="471" name="FracNo 354 StartRow 4963">
          <a:extLst xmlns:a="http://schemas.openxmlformats.org/drawingml/2006/main">
            <a:ext uri="{FF2B5EF4-FFF2-40B4-BE49-F238E27FC236}">
              <a16:creationId xmlns:a16="http://schemas.microsoft.com/office/drawing/2014/main" id="{12B511A6-5168-7143-F35A-482E1C3AF808}"/>
            </a:ext>
          </a:extLst>
        </cdr:cNvPr>
        <cdr:cNvSpPr/>
      </cdr:nvSpPr>
      <cdr:spPr>
        <a:xfrm xmlns:a="http://schemas.openxmlformats.org/drawingml/2006/main">
          <a:off x="3406251" y="803171"/>
          <a:ext cx="232552" cy="240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552" h="240538">
              <a:moveTo>
                <a:pt x="8353" y="213146"/>
              </a:moveTo>
              <a:lnTo>
                <a:pt x="0" y="221785"/>
              </a:lnTo>
              <a:lnTo>
                <a:pt x="18130" y="240537"/>
              </a:lnTo>
              <a:lnTo>
                <a:pt x="26482" y="231898"/>
              </a:lnTo>
              <a:lnTo>
                <a:pt x="232551" y="18752"/>
              </a:lnTo>
              <a:lnTo>
                <a:pt x="2144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0.51415</cdr:x>
      <cdr:y>0.62631</cdr:y>
    </cdr:from>
    <cdr:to>
      <cdr:x>0.54544</cdr:x>
      <cdr:y>0.65738</cdr:y>
    </cdr:to>
    <cdr:sp macro="" textlink="">
      <cdr:nvSpPr>
        <cdr:cNvPr id="472" name="FracNo 666 StartRow 4972">
          <a:extLst xmlns:a="http://schemas.openxmlformats.org/drawingml/2006/main">
            <a:ext uri="{FF2B5EF4-FFF2-40B4-BE49-F238E27FC236}">
              <a16:creationId xmlns:a16="http://schemas.microsoft.com/office/drawing/2014/main" id="{4F4C5AA5-A14A-FE65-E361-58D8A6602EA2}"/>
            </a:ext>
          </a:extLst>
        </cdr:cNvPr>
        <cdr:cNvSpPr/>
      </cdr:nvSpPr>
      <cdr:spPr>
        <a:xfrm xmlns:a="http://schemas.openxmlformats.org/drawingml/2006/main">
          <a:off x="3761099" y="4772495"/>
          <a:ext cx="228892" cy="2367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892" h="236753">
              <a:moveTo>
                <a:pt x="177066" y="72356"/>
              </a:moveTo>
              <a:lnTo>
                <a:pt x="74154" y="178803"/>
              </a:lnTo>
              <a:lnTo>
                <a:pt x="18129" y="236752"/>
              </a:lnTo>
              <a:lnTo>
                <a:pt x="0" y="218000"/>
              </a:lnTo>
              <a:lnTo>
                <a:pt x="56025" y="160051"/>
              </a:lnTo>
              <a:lnTo>
                <a:pt x="158937" y="53604"/>
              </a:lnTo>
              <a:lnTo>
                <a:pt x="210762" y="0"/>
              </a:lnTo>
              <a:lnTo>
                <a:pt x="2288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0.66972</cdr:x>
      <cdr:y>0.32366</cdr:y>
    </cdr:from>
    <cdr:to>
      <cdr:x>0.7008</cdr:x>
      <cdr:y>0.35452</cdr:y>
    </cdr:to>
    <cdr:sp macro="" textlink="">
      <cdr:nvSpPr>
        <cdr:cNvPr id="473" name="FracNo 891 StartRow 4983">
          <a:extLst xmlns:a="http://schemas.openxmlformats.org/drawingml/2006/main">
            <a:ext uri="{FF2B5EF4-FFF2-40B4-BE49-F238E27FC236}">
              <a16:creationId xmlns:a16="http://schemas.microsoft.com/office/drawing/2014/main" id="{59659011-B24D-6938-C653-04A9167F735F}"/>
            </a:ext>
          </a:extLst>
        </cdr:cNvPr>
        <cdr:cNvSpPr/>
      </cdr:nvSpPr>
      <cdr:spPr>
        <a:xfrm xmlns:a="http://schemas.openxmlformats.org/drawingml/2006/main">
          <a:off x="4899102" y="2466255"/>
          <a:ext cx="227380" cy="235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380" h="235189">
              <a:moveTo>
                <a:pt x="85333" y="165676"/>
              </a:moveTo>
              <a:lnTo>
                <a:pt x="18129" y="235188"/>
              </a:lnTo>
              <a:lnTo>
                <a:pt x="0" y="216436"/>
              </a:lnTo>
              <a:lnTo>
                <a:pt x="67204" y="146924"/>
              </a:lnTo>
              <a:lnTo>
                <a:pt x="209249" y="0"/>
              </a:lnTo>
              <a:lnTo>
                <a:pt x="2273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0.6011</cdr:x>
      <cdr:y>0.33668</cdr:y>
    </cdr:from>
    <cdr:to>
      <cdr:x>0.63219</cdr:x>
      <cdr:y>0.36754</cdr:y>
    </cdr:to>
    <cdr:sp macro="" textlink="">
      <cdr:nvSpPr>
        <cdr:cNvPr id="474" name="FracNo 353 StartRow 4992">
          <a:extLst xmlns:a="http://schemas.openxmlformats.org/drawingml/2006/main">
            <a:ext uri="{FF2B5EF4-FFF2-40B4-BE49-F238E27FC236}">
              <a16:creationId xmlns:a16="http://schemas.microsoft.com/office/drawing/2014/main" id="{643A55EB-2730-5C0D-B026-589B56F9A45D}"/>
            </a:ext>
          </a:extLst>
        </cdr:cNvPr>
        <cdr:cNvSpPr/>
      </cdr:nvSpPr>
      <cdr:spPr>
        <a:xfrm xmlns:a="http://schemas.openxmlformats.org/drawingml/2006/main">
          <a:off x="4397197" y="2565511"/>
          <a:ext cx="227364" cy="235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364" h="235172">
              <a:moveTo>
                <a:pt x="138079" y="111102"/>
              </a:moveTo>
              <a:lnTo>
                <a:pt x="18130" y="235171"/>
              </a:lnTo>
              <a:lnTo>
                <a:pt x="0" y="216420"/>
              </a:lnTo>
              <a:lnTo>
                <a:pt x="119950" y="92350"/>
              </a:lnTo>
              <a:lnTo>
                <a:pt x="209234" y="0"/>
              </a:lnTo>
              <a:lnTo>
                <a:pt x="2273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0.21774</cdr:y>
    </cdr:from>
    <cdr:to>
      <cdr:x>0.12151</cdr:x>
      <cdr:y>0.24968</cdr:y>
    </cdr:to>
    <cdr:sp macro="" textlink="">
      <cdr:nvSpPr>
        <cdr:cNvPr id="475" name="FracNo 922 StartRow 5001">
          <a:extLst xmlns:a="http://schemas.openxmlformats.org/drawingml/2006/main">
            <a:ext uri="{FF2B5EF4-FFF2-40B4-BE49-F238E27FC236}">
              <a16:creationId xmlns:a16="http://schemas.microsoft.com/office/drawing/2014/main" id="{477D8ECE-5F18-075B-ADEB-E0B8352D1D6B}"/>
            </a:ext>
          </a:extLst>
        </cdr:cNvPr>
        <cdr:cNvSpPr/>
      </cdr:nvSpPr>
      <cdr:spPr>
        <a:xfrm xmlns:a="http://schemas.openxmlformats.org/drawingml/2006/main">
          <a:off x="671676" y="1659163"/>
          <a:ext cx="217205" cy="243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205" h="243416">
              <a:moveTo>
                <a:pt x="91817" y="110941"/>
              </a:moveTo>
              <a:lnTo>
                <a:pt x="0" y="205912"/>
              </a:lnTo>
              <a:lnTo>
                <a:pt x="0" y="243415"/>
              </a:lnTo>
              <a:lnTo>
                <a:pt x="100179" y="139796"/>
              </a:lnTo>
              <a:lnTo>
                <a:pt x="217204" y="18752"/>
              </a:lnTo>
              <a:lnTo>
                <a:pt x="1990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0.91432</cdr:x>
      <cdr:y>0.32042</cdr:y>
    </cdr:from>
    <cdr:to>
      <cdr:x>0.94246</cdr:x>
      <cdr:y>0.35083</cdr:y>
    </cdr:to>
    <cdr:sp macro="" textlink="">
      <cdr:nvSpPr>
        <cdr:cNvPr id="476" name="FracNo 273 StartRow 5010">
          <a:extLst xmlns:a="http://schemas.openxmlformats.org/drawingml/2006/main">
            <a:ext uri="{FF2B5EF4-FFF2-40B4-BE49-F238E27FC236}">
              <a16:creationId xmlns:a16="http://schemas.microsoft.com/office/drawing/2014/main" id="{6F30A6F0-DF69-D54C-FB51-35826576026E}"/>
            </a:ext>
          </a:extLst>
        </cdr:cNvPr>
        <cdr:cNvSpPr/>
      </cdr:nvSpPr>
      <cdr:spPr>
        <a:xfrm xmlns:a="http://schemas.openxmlformats.org/drawingml/2006/main">
          <a:off x="6688470" y="2441628"/>
          <a:ext cx="205838" cy="231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838" h="231659">
              <a:moveTo>
                <a:pt x="166260" y="40938"/>
              </a:moveTo>
              <a:lnTo>
                <a:pt x="0" y="212907"/>
              </a:lnTo>
              <a:lnTo>
                <a:pt x="18129" y="231658"/>
              </a:lnTo>
              <a:lnTo>
                <a:pt x="169745" y="74836"/>
              </a:lnTo>
              <a:lnTo>
                <a:pt x="205837" y="37504"/>
              </a:lnTo>
              <a:lnTo>
                <a:pt x="2058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0.78925</cdr:x>
      <cdr:y>0.21979</cdr:y>
    </cdr:from>
    <cdr:to>
      <cdr:x>0.81714</cdr:x>
      <cdr:y>0.24748</cdr:y>
    </cdr:to>
    <cdr:sp macro="" textlink="">
      <cdr:nvSpPr>
        <cdr:cNvPr id="477" name="FracNo 949 StartRow 5019">
          <a:extLst xmlns:a="http://schemas.openxmlformats.org/drawingml/2006/main">
            <a:ext uri="{FF2B5EF4-FFF2-40B4-BE49-F238E27FC236}">
              <a16:creationId xmlns:a16="http://schemas.microsoft.com/office/drawing/2014/main" id="{AAC44145-1422-9CCA-34A6-AA180034B0FF}"/>
            </a:ext>
          </a:extLst>
        </cdr:cNvPr>
        <cdr:cNvSpPr/>
      </cdr:nvSpPr>
      <cdr:spPr>
        <a:xfrm xmlns:a="http://schemas.openxmlformats.org/drawingml/2006/main">
          <a:off x="5773540" y="1674797"/>
          <a:ext cx="204028" cy="211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028" h="211034">
              <a:moveTo>
                <a:pt x="46053" y="182151"/>
              </a:moveTo>
              <a:lnTo>
                <a:pt x="18129" y="211033"/>
              </a:lnTo>
              <a:lnTo>
                <a:pt x="0" y="192281"/>
              </a:lnTo>
              <a:lnTo>
                <a:pt x="27924" y="163399"/>
              </a:lnTo>
              <a:lnTo>
                <a:pt x="185898" y="0"/>
              </a:lnTo>
              <a:lnTo>
                <a:pt x="20402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0.56672</cdr:x>
      <cdr:y>0.29777</cdr:y>
    </cdr:from>
    <cdr:to>
      <cdr:x>0.59438</cdr:x>
      <cdr:y>0.32524</cdr:y>
    </cdr:to>
    <cdr:sp macro="" textlink="">
      <cdr:nvSpPr>
        <cdr:cNvPr id="478" name="FracNo 809 StartRow 5028">
          <a:extLst xmlns:a="http://schemas.openxmlformats.org/drawingml/2006/main">
            <a:ext uri="{FF2B5EF4-FFF2-40B4-BE49-F238E27FC236}">
              <a16:creationId xmlns:a16="http://schemas.microsoft.com/office/drawing/2014/main" id="{2643C303-A8B1-526D-758A-2B1B4DBC89EE}"/>
            </a:ext>
          </a:extLst>
        </cdr:cNvPr>
        <cdr:cNvSpPr/>
      </cdr:nvSpPr>
      <cdr:spPr>
        <a:xfrm xmlns:a="http://schemas.openxmlformats.org/drawingml/2006/main">
          <a:off x="4145681" y="2269028"/>
          <a:ext cx="202324" cy="2092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324" h="209273">
              <a:moveTo>
                <a:pt x="86801" y="138242"/>
              </a:moveTo>
              <a:lnTo>
                <a:pt x="18129" y="209272"/>
              </a:lnTo>
              <a:lnTo>
                <a:pt x="0" y="190520"/>
              </a:lnTo>
              <a:lnTo>
                <a:pt x="68671" y="119490"/>
              </a:lnTo>
              <a:lnTo>
                <a:pt x="184194" y="0"/>
              </a:lnTo>
              <a:lnTo>
                <a:pt x="2023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0.38225</cdr:x>
      <cdr:y>0.08544</cdr:y>
    </cdr:from>
    <cdr:to>
      <cdr:x>0.41108</cdr:x>
      <cdr:y>0.11161</cdr:y>
    </cdr:to>
    <cdr:sp macro="" textlink="">
      <cdr:nvSpPr>
        <cdr:cNvPr id="479" name="FracNo 883 StartRow 5037">
          <a:extLst xmlns:a="http://schemas.openxmlformats.org/drawingml/2006/main">
            <a:ext uri="{FF2B5EF4-FFF2-40B4-BE49-F238E27FC236}">
              <a16:creationId xmlns:a16="http://schemas.microsoft.com/office/drawing/2014/main" id="{866C6282-49B5-056E-C68A-6125B65A234D}"/>
            </a:ext>
          </a:extLst>
        </cdr:cNvPr>
        <cdr:cNvSpPr/>
      </cdr:nvSpPr>
      <cdr:spPr>
        <a:xfrm xmlns:a="http://schemas.openxmlformats.org/drawingml/2006/main">
          <a:off x="2796213" y="651036"/>
          <a:ext cx="210950" cy="1994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950" h="199442">
              <a:moveTo>
                <a:pt x="3045" y="177540"/>
              </a:moveTo>
              <a:lnTo>
                <a:pt x="0" y="180689"/>
              </a:lnTo>
              <a:lnTo>
                <a:pt x="18130" y="199441"/>
              </a:lnTo>
              <a:lnTo>
                <a:pt x="21490" y="195965"/>
              </a:lnTo>
              <a:lnTo>
                <a:pt x="210949" y="0"/>
              </a:lnTo>
              <a:lnTo>
                <a:pt x="1746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0.24155</cdr:x>
      <cdr:y>0.16571</cdr:y>
    </cdr:from>
    <cdr:to>
      <cdr:x>0.26911</cdr:x>
      <cdr:y>0.19308</cdr:y>
    </cdr:to>
    <cdr:sp macro="" textlink="">
      <cdr:nvSpPr>
        <cdr:cNvPr id="480" name="FracNo 433 StartRow 5046">
          <a:extLst xmlns:a="http://schemas.openxmlformats.org/drawingml/2006/main">
            <a:ext uri="{FF2B5EF4-FFF2-40B4-BE49-F238E27FC236}">
              <a16:creationId xmlns:a16="http://schemas.microsoft.com/office/drawing/2014/main" id="{1FAB25B8-8DFE-4BB0-94E0-62DF37F50E8F}"/>
            </a:ext>
          </a:extLst>
        </cdr:cNvPr>
        <cdr:cNvSpPr/>
      </cdr:nvSpPr>
      <cdr:spPr>
        <a:xfrm xmlns:a="http://schemas.openxmlformats.org/drawingml/2006/main">
          <a:off x="1766986" y="1262720"/>
          <a:ext cx="201630" cy="2085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630" h="208555">
              <a:moveTo>
                <a:pt x="151736" y="32855"/>
              </a:moveTo>
              <a:lnTo>
                <a:pt x="0" y="189803"/>
              </a:lnTo>
              <a:lnTo>
                <a:pt x="18129" y="208554"/>
              </a:lnTo>
              <a:lnTo>
                <a:pt x="169866" y="51607"/>
              </a:lnTo>
              <a:lnTo>
                <a:pt x="201629" y="18752"/>
              </a:lnTo>
              <a:lnTo>
                <a:pt x="1835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0.751</cdr:x>
      <cdr:y>0.36221</cdr:y>
    </cdr:from>
    <cdr:to>
      <cdr:x>0.77832</cdr:x>
      <cdr:y>0.38933</cdr:y>
    </cdr:to>
    <cdr:sp macro="" textlink="">
      <cdr:nvSpPr>
        <cdr:cNvPr id="481" name="FracNo 845 StartRow 5055">
          <a:extLst xmlns:a="http://schemas.openxmlformats.org/drawingml/2006/main">
            <a:ext uri="{FF2B5EF4-FFF2-40B4-BE49-F238E27FC236}">
              <a16:creationId xmlns:a16="http://schemas.microsoft.com/office/drawing/2014/main" id="{13DB8754-C745-0874-B1C8-7B749D9F67F4}"/>
            </a:ext>
          </a:extLst>
        </cdr:cNvPr>
        <cdr:cNvSpPr/>
      </cdr:nvSpPr>
      <cdr:spPr>
        <a:xfrm xmlns:a="http://schemas.openxmlformats.org/drawingml/2006/main">
          <a:off x="5493750" y="2760033"/>
          <a:ext cx="199818" cy="2066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818" h="206681">
              <a:moveTo>
                <a:pt x="93583" y="128635"/>
              </a:moveTo>
              <a:lnTo>
                <a:pt x="18129" y="206680"/>
              </a:lnTo>
              <a:lnTo>
                <a:pt x="0" y="187928"/>
              </a:lnTo>
              <a:lnTo>
                <a:pt x="75454" y="109883"/>
              </a:lnTo>
              <a:lnTo>
                <a:pt x="155517" y="27070"/>
              </a:lnTo>
              <a:lnTo>
                <a:pt x="181688" y="0"/>
              </a:lnTo>
              <a:lnTo>
                <a:pt x="199817" y="18752"/>
              </a:lnTo>
              <a:lnTo>
                <a:pt x="173646" y="458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0.57628</cdr:x>
      <cdr:y>0.36441</cdr:y>
    </cdr:from>
    <cdr:to>
      <cdr:x>0.6029</cdr:x>
      <cdr:y>0.39085</cdr:y>
    </cdr:to>
    <cdr:sp macro="" textlink="">
      <cdr:nvSpPr>
        <cdr:cNvPr id="482" name="FracNo 670 StartRow 5066">
          <a:extLst xmlns:a="http://schemas.openxmlformats.org/drawingml/2006/main">
            <a:ext uri="{FF2B5EF4-FFF2-40B4-BE49-F238E27FC236}">
              <a16:creationId xmlns:a16="http://schemas.microsoft.com/office/drawing/2014/main" id="{7B58E7A3-B9F8-349F-3921-E85954B691AC}"/>
            </a:ext>
          </a:extLst>
        </cdr:cNvPr>
        <cdr:cNvSpPr/>
      </cdr:nvSpPr>
      <cdr:spPr>
        <a:xfrm xmlns:a="http://schemas.openxmlformats.org/drawingml/2006/main">
          <a:off x="4215572" y="2776782"/>
          <a:ext cx="194778" cy="201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778" h="201466">
              <a:moveTo>
                <a:pt x="60395" y="120245"/>
              </a:moveTo>
              <a:lnTo>
                <a:pt x="0" y="182714"/>
              </a:lnTo>
              <a:lnTo>
                <a:pt x="18129" y="201465"/>
              </a:lnTo>
              <a:lnTo>
                <a:pt x="78524" y="138997"/>
              </a:lnTo>
              <a:lnTo>
                <a:pt x="184798" y="29073"/>
              </a:lnTo>
              <a:lnTo>
                <a:pt x="194777" y="18752"/>
              </a:lnTo>
              <a:lnTo>
                <a:pt x="176648" y="0"/>
              </a:lnTo>
              <a:lnTo>
                <a:pt x="166669" y="103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0.19084</cdr:x>
      <cdr:y>0.53469</cdr:y>
    </cdr:from>
    <cdr:to>
      <cdr:x>0.21738</cdr:x>
      <cdr:y>0.56104</cdr:y>
    </cdr:to>
    <cdr:sp macro="" textlink="">
      <cdr:nvSpPr>
        <cdr:cNvPr id="483" name="FracNo 875 StartRow 5077">
          <a:extLst xmlns:a="http://schemas.openxmlformats.org/drawingml/2006/main">
            <a:ext uri="{FF2B5EF4-FFF2-40B4-BE49-F238E27FC236}">
              <a16:creationId xmlns:a16="http://schemas.microsoft.com/office/drawing/2014/main" id="{025599EF-17F4-5604-60FA-66A0C60FFB25}"/>
            </a:ext>
          </a:extLst>
        </cdr:cNvPr>
        <cdr:cNvSpPr/>
      </cdr:nvSpPr>
      <cdr:spPr>
        <a:xfrm xmlns:a="http://schemas.openxmlformats.org/drawingml/2006/main">
          <a:off x="1396061" y="4074321"/>
          <a:ext cx="194117" cy="200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117" h="200784">
              <a:moveTo>
                <a:pt x="52397" y="165338"/>
              </a:moveTo>
              <a:lnTo>
                <a:pt x="18129" y="200783"/>
              </a:lnTo>
              <a:lnTo>
                <a:pt x="0" y="182031"/>
              </a:lnTo>
              <a:lnTo>
                <a:pt x="34268" y="146586"/>
              </a:lnTo>
              <a:lnTo>
                <a:pt x="175987" y="0"/>
              </a:lnTo>
              <a:lnTo>
                <a:pt x="1941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0.25148</cdr:x>
      <cdr:y>0.6454</cdr:y>
    </cdr:from>
    <cdr:to>
      <cdr:x>0.27715</cdr:x>
      <cdr:y>0.67089</cdr:y>
    </cdr:to>
    <cdr:sp macro="" textlink="">
      <cdr:nvSpPr>
        <cdr:cNvPr id="484" name="FracNo 39 StartRow 5086">
          <a:extLst xmlns:a="http://schemas.openxmlformats.org/drawingml/2006/main">
            <a:ext uri="{FF2B5EF4-FFF2-40B4-BE49-F238E27FC236}">
              <a16:creationId xmlns:a16="http://schemas.microsoft.com/office/drawing/2014/main" id="{1CFAF1D0-0645-4804-DA68-4173BBD9003C}"/>
            </a:ext>
          </a:extLst>
        </cdr:cNvPr>
        <cdr:cNvSpPr/>
      </cdr:nvSpPr>
      <cdr:spPr>
        <a:xfrm xmlns:a="http://schemas.openxmlformats.org/drawingml/2006/main">
          <a:off x="1839653" y="4917953"/>
          <a:ext cx="187764" cy="1942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764" h="194211">
              <a:moveTo>
                <a:pt x="60395" y="112990"/>
              </a:moveTo>
              <a:lnTo>
                <a:pt x="0" y="175458"/>
              </a:lnTo>
              <a:lnTo>
                <a:pt x="18130" y="194210"/>
              </a:lnTo>
              <a:lnTo>
                <a:pt x="78524" y="131741"/>
              </a:lnTo>
              <a:lnTo>
                <a:pt x="173654" y="33345"/>
              </a:lnTo>
              <a:lnTo>
                <a:pt x="187763" y="18751"/>
              </a:lnTo>
              <a:lnTo>
                <a:pt x="169634" y="0"/>
              </a:lnTo>
              <a:lnTo>
                <a:pt x="155525" y="145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0.54988</cdr:x>
      <cdr:y>0.61154</cdr:y>
    </cdr:from>
    <cdr:to>
      <cdr:x>0.57415</cdr:x>
      <cdr:y>0.63564</cdr:y>
    </cdr:to>
    <cdr:sp macro="" textlink="">
      <cdr:nvSpPr>
        <cdr:cNvPr id="485" name="FracNo 934 StartRow 5097">
          <a:extLst xmlns:a="http://schemas.openxmlformats.org/drawingml/2006/main">
            <a:ext uri="{FF2B5EF4-FFF2-40B4-BE49-F238E27FC236}">
              <a16:creationId xmlns:a16="http://schemas.microsoft.com/office/drawing/2014/main" id="{EC0C7F1B-4DA8-D28A-B202-C1F688E8ACAE}"/>
            </a:ext>
          </a:extLst>
        </cdr:cNvPr>
        <cdr:cNvSpPr/>
      </cdr:nvSpPr>
      <cdr:spPr>
        <a:xfrm xmlns:a="http://schemas.openxmlformats.org/drawingml/2006/main">
          <a:off x="4022447" y="4659907"/>
          <a:ext cx="177567" cy="1836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567" h="183665">
              <a:moveTo>
                <a:pt x="115962" y="82472"/>
              </a:moveTo>
              <a:lnTo>
                <a:pt x="18130" y="183664"/>
              </a:lnTo>
              <a:lnTo>
                <a:pt x="0" y="164912"/>
              </a:lnTo>
              <a:lnTo>
                <a:pt x="97832" y="63720"/>
              </a:lnTo>
              <a:lnTo>
                <a:pt x="159437" y="0"/>
              </a:lnTo>
              <a:lnTo>
                <a:pt x="1775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0.63804</cdr:x>
      <cdr:y>0.56806</cdr:y>
    </cdr:from>
    <cdr:to>
      <cdr:x>0.66228</cdr:x>
      <cdr:y>0.59214</cdr:y>
    </cdr:to>
    <cdr:sp macro="" textlink="">
      <cdr:nvSpPr>
        <cdr:cNvPr id="486" name="FracNo 1018 StartRow 5106">
          <a:extLst xmlns:a="http://schemas.openxmlformats.org/drawingml/2006/main">
            <a:ext uri="{FF2B5EF4-FFF2-40B4-BE49-F238E27FC236}">
              <a16:creationId xmlns:a16="http://schemas.microsoft.com/office/drawing/2014/main" id="{6EB6C57B-CE28-B936-0C22-73C7B61760B9}"/>
            </a:ext>
          </a:extLst>
        </cdr:cNvPr>
        <cdr:cNvSpPr/>
      </cdr:nvSpPr>
      <cdr:spPr>
        <a:xfrm xmlns:a="http://schemas.openxmlformats.org/drawingml/2006/main">
          <a:off x="4667358" y="4328650"/>
          <a:ext cx="177352" cy="1834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352" h="183443">
              <a:moveTo>
                <a:pt x="161902" y="34732"/>
              </a:moveTo>
              <a:lnTo>
                <a:pt x="161803" y="34834"/>
              </a:lnTo>
              <a:lnTo>
                <a:pt x="18129" y="183442"/>
              </a:lnTo>
              <a:lnTo>
                <a:pt x="0" y="164690"/>
              </a:lnTo>
              <a:lnTo>
                <a:pt x="143674" y="16082"/>
              </a:lnTo>
              <a:lnTo>
                <a:pt x="143773" y="15980"/>
              </a:lnTo>
              <a:lnTo>
                <a:pt x="159222" y="0"/>
              </a:lnTo>
              <a:lnTo>
                <a:pt x="1773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0.28405</cdr:x>
      <cdr:y>0.76283</cdr:y>
    </cdr:from>
    <cdr:to>
      <cdr:x>0.30691</cdr:x>
      <cdr:y>0.78553</cdr:y>
    </cdr:to>
    <cdr:sp macro="" textlink="">
      <cdr:nvSpPr>
        <cdr:cNvPr id="487" name="FracNo 775 StartRow 5117">
          <a:extLst xmlns:a="http://schemas.openxmlformats.org/drawingml/2006/main">
            <a:ext uri="{FF2B5EF4-FFF2-40B4-BE49-F238E27FC236}">
              <a16:creationId xmlns:a16="http://schemas.microsoft.com/office/drawing/2014/main" id="{694C815C-D6EF-6630-777D-BC1AFDEEB708}"/>
            </a:ext>
          </a:extLst>
        </cdr:cNvPr>
        <cdr:cNvSpPr/>
      </cdr:nvSpPr>
      <cdr:spPr>
        <a:xfrm xmlns:a="http://schemas.openxmlformats.org/drawingml/2006/main">
          <a:off x="2077871" y="5812748"/>
          <a:ext cx="167230" cy="1729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230" h="172973">
              <a:moveTo>
                <a:pt x="2981" y="151136"/>
              </a:moveTo>
              <a:lnTo>
                <a:pt x="0" y="154220"/>
              </a:lnTo>
              <a:lnTo>
                <a:pt x="18129" y="172972"/>
              </a:lnTo>
              <a:lnTo>
                <a:pt x="21111" y="169888"/>
              </a:lnTo>
              <a:lnTo>
                <a:pt x="167229" y="18751"/>
              </a:lnTo>
              <a:lnTo>
                <a:pt x="1490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0.8235</cdr:x>
      <cdr:y>0.78789</cdr:y>
    </cdr:from>
    <cdr:to>
      <cdr:x>0.84586</cdr:x>
      <cdr:y>0.81009</cdr:y>
    </cdr:to>
    <cdr:sp macro="" textlink="">
      <cdr:nvSpPr>
        <cdr:cNvPr id="488" name="FracNo 505 StartRow 5126">
          <a:extLst xmlns:a="http://schemas.openxmlformats.org/drawingml/2006/main">
            <a:ext uri="{FF2B5EF4-FFF2-40B4-BE49-F238E27FC236}">
              <a16:creationId xmlns:a16="http://schemas.microsoft.com/office/drawing/2014/main" id="{821E156D-09EA-71D0-8C33-B116EE93DF66}"/>
            </a:ext>
          </a:extLst>
        </cdr:cNvPr>
        <cdr:cNvSpPr/>
      </cdr:nvSpPr>
      <cdr:spPr>
        <a:xfrm xmlns:a="http://schemas.openxmlformats.org/drawingml/2006/main">
          <a:off x="6024080" y="6003712"/>
          <a:ext cx="163547" cy="169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547" h="169163">
              <a:moveTo>
                <a:pt x="39175" y="109890"/>
              </a:moveTo>
              <a:lnTo>
                <a:pt x="0" y="150410"/>
              </a:lnTo>
              <a:lnTo>
                <a:pt x="18129" y="169162"/>
              </a:lnTo>
              <a:lnTo>
                <a:pt x="57304" y="128642"/>
              </a:lnTo>
              <a:lnTo>
                <a:pt x="163546" y="18751"/>
              </a:lnTo>
              <a:lnTo>
                <a:pt x="1454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0.80757</cdr:x>
      <cdr:y>0.08544</cdr:y>
    </cdr:from>
    <cdr:to>
      <cdr:x>0.83096</cdr:x>
      <cdr:y>0.1062</cdr:y>
    </cdr:to>
    <cdr:sp macro="" textlink="">
      <cdr:nvSpPr>
        <cdr:cNvPr id="489" name="FracNo 276 StartRow 5135">
          <a:extLst xmlns:a="http://schemas.openxmlformats.org/drawingml/2006/main">
            <a:ext uri="{FF2B5EF4-FFF2-40B4-BE49-F238E27FC236}">
              <a16:creationId xmlns:a16="http://schemas.microsoft.com/office/drawing/2014/main" id="{AB254A2E-7387-D5A4-0298-AE4EC60F7B0B}"/>
            </a:ext>
          </a:extLst>
        </cdr:cNvPr>
        <cdr:cNvSpPr/>
      </cdr:nvSpPr>
      <cdr:spPr>
        <a:xfrm xmlns:a="http://schemas.openxmlformats.org/drawingml/2006/main">
          <a:off x="5907559" y="651036"/>
          <a:ext cx="171066" cy="158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066" h="158189">
              <a:moveTo>
                <a:pt x="149187" y="22630"/>
              </a:moveTo>
              <a:lnTo>
                <a:pt x="18129" y="158188"/>
              </a:lnTo>
              <a:lnTo>
                <a:pt x="0" y="139436"/>
              </a:lnTo>
              <a:lnTo>
                <a:pt x="115522" y="19947"/>
              </a:lnTo>
              <a:lnTo>
                <a:pt x="134807" y="0"/>
              </a:lnTo>
              <a:lnTo>
                <a:pt x="1710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0.47611</cdr:y>
    </cdr:from>
    <cdr:to>
      <cdr:x>0.1125</cdr:x>
      <cdr:y>0.49911</cdr:y>
    </cdr:to>
    <cdr:sp macro="" textlink="">
      <cdr:nvSpPr>
        <cdr:cNvPr id="490" name="FracNo 993 StartRow 5144">
          <a:extLst xmlns:a="http://schemas.openxmlformats.org/drawingml/2006/main">
            <a:ext uri="{FF2B5EF4-FFF2-40B4-BE49-F238E27FC236}">
              <a16:creationId xmlns:a16="http://schemas.microsoft.com/office/drawing/2014/main" id="{6B7F0835-E054-B68B-52D3-D895DCCC376B}"/>
            </a:ext>
          </a:extLst>
        </cdr:cNvPr>
        <cdr:cNvSpPr/>
      </cdr:nvSpPr>
      <cdr:spPr>
        <a:xfrm xmlns:a="http://schemas.openxmlformats.org/drawingml/2006/main">
          <a:off x="671676" y="3627933"/>
          <a:ext cx="151307" cy="1752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307" h="175256">
              <a:moveTo>
                <a:pt x="106929" y="64653"/>
              </a:moveTo>
              <a:lnTo>
                <a:pt x="0" y="175255"/>
              </a:lnTo>
              <a:lnTo>
                <a:pt x="0" y="137751"/>
              </a:lnTo>
              <a:lnTo>
                <a:pt x="94117" y="40401"/>
              </a:lnTo>
              <a:lnTo>
                <a:pt x="133177" y="0"/>
              </a:lnTo>
              <a:lnTo>
                <a:pt x="1513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0.24701</cdr:x>
      <cdr:y>0.56071</cdr:y>
    </cdr:from>
    <cdr:to>
      <cdr:x>0.26793</cdr:x>
      <cdr:y>0.58148</cdr:y>
    </cdr:to>
    <cdr:sp macro="" textlink="">
      <cdr:nvSpPr>
        <cdr:cNvPr id="491" name="FracNo 857 StartRow 5153">
          <a:extLst xmlns:a="http://schemas.openxmlformats.org/drawingml/2006/main">
            <a:ext uri="{FF2B5EF4-FFF2-40B4-BE49-F238E27FC236}">
              <a16:creationId xmlns:a16="http://schemas.microsoft.com/office/drawing/2014/main" id="{B2293B97-E23C-F573-ABCB-9F73271E1BD6}"/>
            </a:ext>
          </a:extLst>
        </cdr:cNvPr>
        <cdr:cNvSpPr/>
      </cdr:nvSpPr>
      <cdr:spPr>
        <a:xfrm xmlns:a="http://schemas.openxmlformats.org/drawingml/2006/main">
          <a:off x="1806899" y="4272627"/>
          <a:ext cx="153028" cy="1582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028" h="158283">
              <a:moveTo>
                <a:pt x="18784" y="157605"/>
              </a:moveTo>
              <a:lnTo>
                <a:pt x="18130" y="158282"/>
              </a:lnTo>
              <a:lnTo>
                <a:pt x="0" y="139530"/>
              </a:lnTo>
              <a:lnTo>
                <a:pt x="655" y="138853"/>
              </a:lnTo>
              <a:lnTo>
                <a:pt x="134898" y="0"/>
              </a:lnTo>
              <a:lnTo>
                <a:pt x="1530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0.22609</cdr:x>
      <cdr:y>0.57647</cdr:y>
    </cdr:from>
    <cdr:to>
      <cdr:x>0.24692</cdr:x>
      <cdr:y>0.59716</cdr:y>
    </cdr:to>
    <cdr:sp macro="" textlink="">
      <cdr:nvSpPr>
        <cdr:cNvPr id="492" name="FracNo 115 StartRow 5162">
          <a:extLst xmlns:a="http://schemas.openxmlformats.org/drawingml/2006/main">
            <a:ext uri="{FF2B5EF4-FFF2-40B4-BE49-F238E27FC236}">
              <a16:creationId xmlns:a16="http://schemas.microsoft.com/office/drawing/2014/main" id="{B0F1B5DE-F5C2-3352-6C46-7FCFFE3435B2}"/>
            </a:ext>
          </a:extLst>
        </cdr:cNvPr>
        <cdr:cNvSpPr/>
      </cdr:nvSpPr>
      <cdr:spPr>
        <a:xfrm xmlns:a="http://schemas.openxmlformats.org/drawingml/2006/main">
          <a:off x="1653862" y="4392734"/>
          <a:ext cx="152389" cy="1576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389" h="157623">
              <a:moveTo>
                <a:pt x="78255" y="95431"/>
              </a:moveTo>
              <a:lnTo>
                <a:pt x="18129" y="157622"/>
              </a:lnTo>
              <a:lnTo>
                <a:pt x="0" y="138870"/>
              </a:lnTo>
              <a:lnTo>
                <a:pt x="60126" y="76679"/>
              </a:lnTo>
              <a:lnTo>
                <a:pt x="134259" y="0"/>
              </a:lnTo>
              <a:lnTo>
                <a:pt x="1523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0.32808</cdr:x>
      <cdr:y>0.08544</cdr:y>
    </cdr:from>
    <cdr:to>
      <cdr:x>0.34721</cdr:x>
      <cdr:y>0.10197</cdr:y>
    </cdr:to>
    <cdr:sp macro="" textlink="">
      <cdr:nvSpPr>
        <cdr:cNvPr id="493" name="FracNo 819 StartRow 5171">
          <a:extLst xmlns:a="http://schemas.openxmlformats.org/drawingml/2006/main">
            <a:ext uri="{FF2B5EF4-FFF2-40B4-BE49-F238E27FC236}">
              <a16:creationId xmlns:a16="http://schemas.microsoft.com/office/drawing/2014/main" id="{6DA1B4B5-44D7-CE66-0DF0-DA1E5F757033}"/>
            </a:ext>
          </a:extLst>
        </cdr:cNvPr>
        <cdr:cNvSpPr/>
      </cdr:nvSpPr>
      <cdr:spPr>
        <a:xfrm xmlns:a="http://schemas.openxmlformats.org/drawingml/2006/main">
          <a:off x="2399958" y="651036"/>
          <a:ext cx="139939" cy="125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939" h="125992">
              <a:moveTo>
                <a:pt x="62294" y="80310"/>
              </a:moveTo>
              <a:lnTo>
                <a:pt x="18130" y="125991"/>
              </a:lnTo>
              <a:lnTo>
                <a:pt x="0" y="107239"/>
              </a:lnTo>
              <a:lnTo>
                <a:pt x="37591" y="68357"/>
              </a:lnTo>
              <a:lnTo>
                <a:pt x="103679" y="0"/>
              </a:lnTo>
              <a:lnTo>
                <a:pt x="1399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0.35993</cdr:y>
    </cdr:from>
    <cdr:to>
      <cdr:x>0.10782</cdr:x>
      <cdr:y>0.37827</cdr:y>
    </cdr:to>
    <cdr:sp macro="" textlink="">
      <cdr:nvSpPr>
        <cdr:cNvPr id="494" name="FracNo 825 StartRow 5180">
          <a:extLst xmlns:a="http://schemas.openxmlformats.org/drawingml/2006/main">
            <a:ext uri="{FF2B5EF4-FFF2-40B4-BE49-F238E27FC236}">
              <a16:creationId xmlns:a16="http://schemas.microsoft.com/office/drawing/2014/main" id="{2A3B1404-C568-4779-3290-DE907193460A}"/>
            </a:ext>
          </a:extLst>
        </cdr:cNvPr>
        <cdr:cNvSpPr/>
      </cdr:nvSpPr>
      <cdr:spPr>
        <a:xfrm xmlns:a="http://schemas.openxmlformats.org/drawingml/2006/main">
          <a:off x="671676" y="2742650"/>
          <a:ext cx="117017" cy="1397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017" h="139787">
              <a:moveTo>
                <a:pt x="19933" y="81664"/>
              </a:moveTo>
              <a:lnTo>
                <a:pt x="0" y="102283"/>
              </a:lnTo>
              <a:lnTo>
                <a:pt x="0" y="139786"/>
              </a:lnTo>
              <a:lnTo>
                <a:pt x="26397" y="112483"/>
              </a:lnTo>
              <a:lnTo>
                <a:pt x="74039" y="63205"/>
              </a:lnTo>
              <a:lnTo>
                <a:pt x="117016" y="18752"/>
              </a:lnTo>
              <a:lnTo>
                <a:pt x="98887" y="0"/>
              </a:lnTo>
              <a:lnTo>
                <a:pt x="55909" y="444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0.28852</cdr:x>
      <cdr:y>0.38992</cdr:y>
    </cdr:from>
    <cdr:to>
      <cdr:x>0.30515</cdr:x>
      <cdr:y>0.40644</cdr:y>
    </cdr:to>
    <cdr:sp macro="" textlink="">
      <cdr:nvSpPr>
        <cdr:cNvPr id="495" name="FracNo 766 StartRow 5191">
          <a:extLst xmlns:a="http://schemas.openxmlformats.org/drawingml/2006/main">
            <a:ext uri="{FF2B5EF4-FFF2-40B4-BE49-F238E27FC236}">
              <a16:creationId xmlns:a16="http://schemas.microsoft.com/office/drawing/2014/main" id="{12FE553D-64F8-0372-0081-E30FC89A96E8}"/>
            </a:ext>
          </a:extLst>
        </cdr:cNvPr>
        <cdr:cNvSpPr/>
      </cdr:nvSpPr>
      <cdr:spPr>
        <a:xfrm xmlns:a="http://schemas.openxmlformats.org/drawingml/2006/main">
          <a:off x="2110553" y="2971178"/>
          <a:ext cx="121685" cy="1258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685" h="125863">
              <a:moveTo>
                <a:pt x="90891" y="13099"/>
              </a:moveTo>
              <a:lnTo>
                <a:pt x="0" y="107110"/>
              </a:lnTo>
              <a:lnTo>
                <a:pt x="18130" y="125862"/>
              </a:lnTo>
              <a:lnTo>
                <a:pt x="109020" y="31851"/>
              </a:lnTo>
              <a:lnTo>
                <a:pt x="121684" y="18752"/>
              </a:lnTo>
              <a:lnTo>
                <a:pt x="1035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0.35102</cdr:x>
      <cdr:y>0.58539</cdr:y>
    </cdr:from>
    <cdr:to>
      <cdr:x>0.36699</cdr:x>
      <cdr:y>0.60125</cdr:y>
    </cdr:to>
    <cdr:sp macro="" textlink="">
      <cdr:nvSpPr>
        <cdr:cNvPr id="496" name="FracNo 938 StartRow 5200">
          <a:extLst xmlns:a="http://schemas.openxmlformats.org/drawingml/2006/main">
            <a:ext uri="{FF2B5EF4-FFF2-40B4-BE49-F238E27FC236}">
              <a16:creationId xmlns:a16="http://schemas.microsoft.com/office/drawing/2014/main" id="{49FD7FF9-4110-101E-DF00-31F55957813A}"/>
            </a:ext>
          </a:extLst>
        </cdr:cNvPr>
        <cdr:cNvSpPr/>
      </cdr:nvSpPr>
      <cdr:spPr>
        <a:xfrm xmlns:a="http://schemas.openxmlformats.org/drawingml/2006/main">
          <a:off x="2567797" y="4460703"/>
          <a:ext cx="116831" cy="1208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831" h="120843">
              <a:moveTo>
                <a:pt x="88362" y="48197"/>
              </a:moveTo>
              <a:lnTo>
                <a:pt x="18129" y="120842"/>
              </a:lnTo>
              <a:lnTo>
                <a:pt x="0" y="102090"/>
              </a:lnTo>
              <a:lnTo>
                <a:pt x="70233" y="29445"/>
              </a:lnTo>
              <a:lnTo>
                <a:pt x="98701" y="0"/>
              </a:lnTo>
              <a:lnTo>
                <a:pt x="11683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0.47965</cdr:x>
      <cdr:y>0.91598</cdr:y>
    </cdr:from>
    <cdr:to>
      <cdr:x>0.49635</cdr:x>
      <cdr:y>0.9301</cdr:y>
    </cdr:to>
    <cdr:sp macro="" textlink="">
      <cdr:nvSpPr>
        <cdr:cNvPr id="497" name="FracNo 1045 StartRow 5209">
          <a:extLst xmlns:a="http://schemas.openxmlformats.org/drawingml/2006/main">
            <a:ext uri="{FF2B5EF4-FFF2-40B4-BE49-F238E27FC236}">
              <a16:creationId xmlns:a16="http://schemas.microsoft.com/office/drawing/2014/main" id="{3D903D47-20B2-7B5F-E4B4-EED47B4A9969}"/>
            </a:ext>
          </a:extLst>
        </cdr:cNvPr>
        <cdr:cNvSpPr/>
      </cdr:nvSpPr>
      <cdr:spPr>
        <a:xfrm xmlns:a="http://schemas.openxmlformats.org/drawingml/2006/main">
          <a:off x="3508745" y="6979767"/>
          <a:ext cx="122156" cy="1075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156" h="107599">
              <a:moveTo>
                <a:pt x="47271" y="58704"/>
              </a:moveTo>
              <a:lnTo>
                <a:pt x="0" y="107598"/>
              </a:lnTo>
              <a:lnTo>
                <a:pt x="36258" y="107598"/>
              </a:lnTo>
              <a:lnTo>
                <a:pt x="75290" y="67225"/>
              </a:lnTo>
              <a:lnTo>
                <a:pt x="122155" y="18752"/>
              </a:lnTo>
              <a:lnTo>
                <a:pt x="1040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0.27324</cdr:x>
      <cdr:y>0.63226</cdr:y>
    </cdr:from>
    <cdr:to>
      <cdr:x>0.28752</cdr:x>
      <cdr:y>0.64644</cdr:y>
    </cdr:to>
    <cdr:sp macro="" textlink="">
      <cdr:nvSpPr>
        <cdr:cNvPr id="498" name="FracNo 864 StartRow 5218">
          <a:extLst xmlns:a="http://schemas.openxmlformats.org/drawingml/2006/main">
            <a:ext uri="{FF2B5EF4-FFF2-40B4-BE49-F238E27FC236}">
              <a16:creationId xmlns:a16="http://schemas.microsoft.com/office/drawing/2014/main" id="{FD0FBAB3-104F-B91F-6364-33065A49B343}"/>
            </a:ext>
          </a:extLst>
        </cdr:cNvPr>
        <cdr:cNvSpPr/>
      </cdr:nvSpPr>
      <cdr:spPr>
        <a:xfrm xmlns:a="http://schemas.openxmlformats.org/drawingml/2006/main">
          <a:off x="1998816" y="4817844"/>
          <a:ext cx="104444" cy="108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444" h="108031">
              <a:moveTo>
                <a:pt x="26764" y="61594"/>
              </a:moveTo>
              <a:lnTo>
                <a:pt x="0" y="89278"/>
              </a:lnTo>
              <a:lnTo>
                <a:pt x="18129" y="108030"/>
              </a:lnTo>
              <a:lnTo>
                <a:pt x="44893" y="80346"/>
              </a:lnTo>
              <a:lnTo>
                <a:pt x="104443" y="18751"/>
              </a:lnTo>
              <a:lnTo>
                <a:pt x="863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0.93028</cdr:x>
      <cdr:y>0.37631</cdr:y>
    </cdr:from>
    <cdr:to>
      <cdr:x>0.94246</cdr:x>
      <cdr:y>0.39087</cdr:y>
    </cdr:to>
    <cdr:sp macro="" textlink="">
      <cdr:nvSpPr>
        <cdr:cNvPr id="499" name="FracNo 784 StartRow 5227">
          <a:extLst xmlns:a="http://schemas.openxmlformats.org/drawingml/2006/main">
            <a:ext uri="{FF2B5EF4-FFF2-40B4-BE49-F238E27FC236}">
              <a16:creationId xmlns:a16="http://schemas.microsoft.com/office/drawing/2014/main" id="{4515E406-1698-0959-3BA5-00FC787C3A0A}"/>
            </a:ext>
          </a:extLst>
        </cdr:cNvPr>
        <cdr:cNvSpPr/>
      </cdr:nvSpPr>
      <cdr:spPr>
        <a:xfrm xmlns:a="http://schemas.openxmlformats.org/drawingml/2006/main">
          <a:off x="6805183" y="2867511"/>
          <a:ext cx="89125" cy="1109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125" h="110938">
              <a:moveTo>
                <a:pt x="27389" y="101359"/>
              </a:moveTo>
              <a:lnTo>
                <a:pt x="18129" y="110937"/>
              </a:lnTo>
              <a:lnTo>
                <a:pt x="0" y="92185"/>
              </a:lnTo>
              <a:lnTo>
                <a:pt x="11625" y="80161"/>
              </a:lnTo>
              <a:lnTo>
                <a:pt x="89124" y="0"/>
              </a:lnTo>
              <a:lnTo>
                <a:pt x="8912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0.43202</cdr:x>
      <cdr:y>0.79991</cdr:y>
    </cdr:from>
    <cdr:to>
      <cdr:x>0.44162</cdr:x>
      <cdr:y>0.80943</cdr:y>
    </cdr:to>
    <cdr:sp macro="" textlink="">
      <cdr:nvSpPr>
        <cdr:cNvPr id="500" name="FracNo 188 StartRow 5236">
          <a:extLst xmlns:a="http://schemas.openxmlformats.org/drawingml/2006/main">
            <a:ext uri="{FF2B5EF4-FFF2-40B4-BE49-F238E27FC236}">
              <a16:creationId xmlns:a16="http://schemas.microsoft.com/office/drawing/2014/main" id="{FA1CA8EF-77A4-6B69-2F9C-49484EA28C27}"/>
            </a:ext>
          </a:extLst>
        </cdr:cNvPr>
        <cdr:cNvSpPr/>
      </cdr:nvSpPr>
      <cdr:spPr>
        <a:xfrm xmlns:a="http://schemas.openxmlformats.org/drawingml/2006/main">
          <a:off x="3160342" y="6095288"/>
          <a:ext cx="70168" cy="725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168" h="72578">
              <a:moveTo>
                <a:pt x="17038" y="36202"/>
              </a:moveTo>
              <a:lnTo>
                <a:pt x="0" y="53825"/>
              </a:lnTo>
              <a:lnTo>
                <a:pt x="18129" y="72577"/>
              </a:lnTo>
              <a:lnTo>
                <a:pt x="35167" y="54954"/>
              </a:lnTo>
              <a:lnTo>
                <a:pt x="70167" y="18752"/>
              </a:lnTo>
              <a:lnTo>
                <a:pt x="520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0.7018</cdr:x>
      <cdr:y>0.5558</cdr:y>
    </cdr:from>
    <cdr:to>
      <cdr:x>0.7069</cdr:x>
      <cdr:y>0.56086</cdr:y>
    </cdr:to>
    <cdr:sp macro="" textlink="">
      <cdr:nvSpPr>
        <cdr:cNvPr id="501" name="FracNo 561 StartRow 5245">
          <a:extLst xmlns:a="http://schemas.openxmlformats.org/drawingml/2006/main">
            <a:ext uri="{FF2B5EF4-FFF2-40B4-BE49-F238E27FC236}">
              <a16:creationId xmlns:a16="http://schemas.microsoft.com/office/drawing/2014/main" id="{7C9B1C08-8350-AB4B-3869-FC3F44E3E2E0}"/>
            </a:ext>
          </a:extLst>
        </cdr:cNvPr>
        <cdr:cNvSpPr/>
      </cdr:nvSpPr>
      <cdr:spPr>
        <a:xfrm xmlns:a="http://schemas.openxmlformats.org/drawingml/2006/main">
          <a:off x="5133820" y="4235162"/>
          <a:ext cx="37286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8">
              <a:moveTo>
                <a:pt x="18643" y="19283"/>
              </a:moveTo>
              <a:lnTo>
                <a:pt x="0" y="38567"/>
              </a:lnTo>
              <a:lnTo>
                <a:pt x="0" y="38567"/>
              </a:lnTo>
              <a:lnTo>
                <a:pt x="18643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0.71631</cdr:x>
      <cdr:y>0.55302</cdr:y>
    </cdr:from>
    <cdr:to>
      <cdr:x>0.72141</cdr:x>
      <cdr:y>0.55808</cdr:y>
    </cdr:to>
    <cdr:sp macro="" textlink="">
      <cdr:nvSpPr>
        <cdr:cNvPr id="502" name="FracNo 572 StartRow 5254">
          <a:extLst xmlns:a="http://schemas.openxmlformats.org/drawingml/2006/main">
            <a:ext uri="{FF2B5EF4-FFF2-40B4-BE49-F238E27FC236}">
              <a16:creationId xmlns:a16="http://schemas.microsoft.com/office/drawing/2014/main" id="{9C65010F-1BB5-BFF0-5473-EAFFEB2E1ECF}"/>
            </a:ext>
          </a:extLst>
        </cdr:cNvPr>
        <cdr:cNvSpPr/>
      </cdr:nvSpPr>
      <cdr:spPr>
        <a:xfrm xmlns:a="http://schemas.openxmlformats.org/drawingml/2006/main">
          <a:off x="5239954" y="4213983"/>
          <a:ext cx="37287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8">
              <a:moveTo>
                <a:pt x="18643" y="19284"/>
              </a:moveTo>
              <a:lnTo>
                <a:pt x="0" y="38567"/>
              </a:lnTo>
              <a:lnTo>
                <a:pt x="0" y="38567"/>
              </a:lnTo>
              <a:lnTo>
                <a:pt x="18643" y="19284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0.50448</cdr:x>
      <cdr:y>0.37714</cdr:y>
    </cdr:from>
    <cdr:to>
      <cdr:x>0.50958</cdr:x>
      <cdr:y>0.3822</cdr:y>
    </cdr:to>
    <cdr:sp macro="" textlink="">
      <cdr:nvSpPr>
        <cdr:cNvPr id="503" name="FracNo 659 StartRow 5263">
          <a:extLst xmlns:a="http://schemas.openxmlformats.org/drawingml/2006/main">
            <a:ext uri="{FF2B5EF4-FFF2-40B4-BE49-F238E27FC236}">
              <a16:creationId xmlns:a16="http://schemas.microsoft.com/office/drawing/2014/main" id="{0282053A-7183-2D20-C0D0-EDCEA38B1433}"/>
            </a:ext>
          </a:extLst>
        </cdr:cNvPr>
        <cdr:cNvSpPr/>
      </cdr:nvSpPr>
      <cdr:spPr>
        <a:xfrm xmlns:a="http://schemas.openxmlformats.org/drawingml/2006/main">
          <a:off x="3690370" y="2873783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0.43366</cdr:x>
      <cdr:y>0.6057</cdr:y>
    </cdr:from>
    <cdr:to>
      <cdr:x>0.43876</cdr:x>
      <cdr:y>0.61076</cdr:y>
    </cdr:to>
    <cdr:sp macro="" textlink="">
      <cdr:nvSpPr>
        <cdr:cNvPr id="504" name="FracNo 658 StartRow 5272">
          <a:extLst xmlns:a="http://schemas.openxmlformats.org/drawingml/2006/main">
            <a:ext uri="{FF2B5EF4-FFF2-40B4-BE49-F238E27FC236}">
              <a16:creationId xmlns:a16="http://schemas.microsoft.com/office/drawing/2014/main" id="{79A882DD-4C4A-88FE-47A1-936053E13908}"/>
            </a:ext>
          </a:extLst>
        </cdr:cNvPr>
        <cdr:cNvSpPr/>
      </cdr:nvSpPr>
      <cdr:spPr>
        <a:xfrm xmlns:a="http://schemas.openxmlformats.org/drawingml/2006/main">
          <a:off x="3172328" y="4615401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0.45707</cdr:x>
      <cdr:y>0.52972</cdr:y>
    </cdr:from>
    <cdr:to>
      <cdr:x>0.46216</cdr:x>
      <cdr:y>0.53478</cdr:y>
    </cdr:to>
    <cdr:sp macro="" textlink="">
      <cdr:nvSpPr>
        <cdr:cNvPr id="505" name="FracNo 651 StartRow 5281">
          <a:extLst xmlns:a="http://schemas.openxmlformats.org/drawingml/2006/main">
            <a:ext uri="{FF2B5EF4-FFF2-40B4-BE49-F238E27FC236}">
              <a16:creationId xmlns:a16="http://schemas.microsoft.com/office/drawing/2014/main" id="{CD504202-2D1D-D298-76CA-CD71F4AA996D}"/>
            </a:ext>
          </a:extLst>
        </cdr:cNvPr>
        <cdr:cNvSpPr/>
      </cdr:nvSpPr>
      <cdr:spPr>
        <a:xfrm xmlns:a="http://schemas.openxmlformats.org/drawingml/2006/main">
          <a:off x="3343539" y="4036451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0.44504</cdr:x>
      <cdr:y>0.54932</cdr:y>
    </cdr:from>
    <cdr:to>
      <cdr:x>0.45013</cdr:x>
      <cdr:y>0.55439</cdr:y>
    </cdr:to>
    <cdr:sp macro="" textlink="">
      <cdr:nvSpPr>
        <cdr:cNvPr id="506" name="FracNo 648 StartRow 5290">
          <a:extLst xmlns:a="http://schemas.openxmlformats.org/drawingml/2006/main">
            <a:ext uri="{FF2B5EF4-FFF2-40B4-BE49-F238E27FC236}">
              <a16:creationId xmlns:a16="http://schemas.microsoft.com/office/drawing/2014/main" id="{766B47A2-EB99-C4A8-E1B8-2D4314416CA8}"/>
            </a:ext>
          </a:extLst>
        </cdr:cNvPr>
        <cdr:cNvSpPr/>
      </cdr:nvSpPr>
      <cdr:spPr>
        <a:xfrm xmlns:a="http://schemas.openxmlformats.org/drawingml/2006/main">
          <a:off x="3255540" y="4185855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0.45309</cdr:x>
      <cdr:y>0.6344</cdr:y>
    </cdr:from>
    <cdr:to>
      <cdr:x>0.45819</cdr:x>
      <cdr:y>0.63946</cdr:y>
    </cdr:to>
    <cdr:sp macro="" textlink="">
      <cdr:nvSpPr>
        <cdr:cNvPr id="507" name="FracNo 646 StartRow 5299">
          <a:extLst xmlns:a="http://schemas.openxmlformats.org/drawingml/2006/main">
            <a:ext uri="{FF2B5EF4-FFF2-40B4-BE49-F238E27FC236}">
              <a16:creationId xmlns:a16="http://schemas.microsoft.com/office/drawing/2014/main" id="{28C23FE1-DF80-A04F-A67D-F3FBFD43EFBF}"/>
            </a:ext>
          </a:extLst>
        </cdr:cNvPr>
        <cdr:cNvSpPr/>
      </cdr:nvSpPr>
      <cdr:spPr>
        <a:xfrm xmlns:a="http://schemas.openxmlformats.org/drawingml/2006/main">
          <a:off x="3314479" y="4834117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0.34169</cdr:x>
      <cdr:y>0.90268</cdr:y>
    </cdr:from>
    <cdr:to>
      <cdr:x>0.34678</cdr:x>
      <cdr:y>0.90775</cdr:y>
    </cdr:to>
    <cdr:sp macro="" textlink="">
      <cdr:nvSpPr>
        <cdr:cNvPr id="508" name="FracNo 1 StartRow 5308">
          <a:extLst xmlns:a="http://schemas.openxmlformats.org/drawingml/2006/main">
            <a:ext uri="{FF2B5EF4-FFF2-40B4-BE49-F238E27FC236}">
              <a16:creationId xmlns:a16="http://schemas.microsoft.com/office/drawing/2014/main" id="{45F290D6-869A-9807-C1BB-E5C98FE3893A}"/>
            </a:ext>
          </a:extLst>
        </cdr:cNvPr>
        <cdr:cNvSpPr/>
      </cdr:nvSpPr>
      <cdr:spPr>
        <a:xfrm xmlns:a="http://schemas.openxmlformats.org/drawingml/2006/main">
          <a:off x="2499509" y="6878451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0.90124</cdr:x>
      <cdr:y>0.89606</cdr:y>
    </cdr:from>
    <cdr:to>
      <cdr:x>0.90634</cdr:x>
      <cdr:y>0.90113</cdr:y>
    </cdr:to>
    <cdr:sp macro="" textlink="">
      <cdr:nvSpPr>
        <cdr:cNvPr id="509" name="FracNo 498 StartRow 5317">
          <a:extLst xmlns:a="http://schemas.openxmlformats.org/drawingml/2006/main">
            <a:ext uri="{FF2B5EF4-FFF2-40B4-BE49-F238E27FC236}">
              <a16:creationId xmlns:a16="http://schemas.microsoft.com/office/drawing/2014/main" id="{46F7F17F-79EC-2BB9-855D-FDA9A427090B}"/>
            </a:ext>
          </a:extLst>
        </cdr:cNvPr>
        <cdr:cNvSpPr/>
      </cdr:nvSpPr>
      <cdr:spPr>
        <a:xfrm xmlns:a="http://schemas.openxmlformats.org/drawingml/2006/main">
          <a:off x="6592739" y="6828013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0.46961</cdr:x>
      <cdr:y>0.37638</cdr:y>
    </cdr:from>
    <cdr:to>
      <cdr:x>0.47471</cdr:x>
      <cdr:y>0.38144</cdr:y>
    </cdr:to>
    <cdr:sp macro="" textlink="">
      <cdr:nvSpPr>
        <cdr:cNvPr id="510" name="FracNo 642 StartRow 5326">
          <a:extLst xmlns:a="http://schemas.openxmlformats.org/drawingml/2006/main">
            <a:ext uri="{FF2B5EF4-FFF2-40B4-BE49-F238E27FC236}">
              <a16:creationId xmlns:a16="http://schemas.microsoft.com/office/drawing/2014/main" id="{0681617B-A1E1-D05D-9511-3EAA1DB11226}"/>
            </a:ext>
          </a:extLst>
        </cdr:cNvPr>
        <cdr:cNvSpPr/>
      </cdr:nvSpPr>
      <cdr:spPr>
        <a:xfrm xmlns:a="http://schemas.openxmlformats.org/drawingml/2006/main">
          <a:off x="3435297" y="2867991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0.40305</cdr:x>
      <cdr:y>0.84528</cdr:y>
    </cdr:from>
    <cdr:to>
      <cdr:x>0.40815</cdr:x>
      <cdr:y>0.85035</cdr:y>
    </cdr:to>
    <cdr:sp macro="" textlink="">
      <cdr:nvSpPr>
        <cdr:cNvPr id="511" name="FracNo 177 StartRow 5335">
          <a:extLst xmlns:a="http://schemas.openxmlformats.org/drawingml/2006/main">
            <a:ext uri="{FF2B5EF4-FFF2-40B4-BE49-F238E27FC236}">
              <a16:creationId xmlns:a16="http://schemas.microsoft.com/office/drawing/2014/main" id="{BAFA1806-342E-AC03-C7DD-B48190302B0F}"/>
            </a:ext>
          </a:extLst>
        </cdr:cNvPr>
        <cdr:cNvSpPr/>
      </cdr:nvSpPr>
      <cdr:spPr>
        <a:xfrm xmlns:a="http://schemas.openxmlformats.org/drawingml/2006/main">
          <a:off x="2948424" y="6441065"/>
          <a:ext cx="37286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8">
              <a:moveTo>
                <a:pt x="18642" y="19284"/>
              </a:moveTo>
              <a:lnTo>
                <a:pt x="0" y="38567"/>
              </a:lnTo>
              <a:lnTo>
                <a:pt x="0" y="38567"/>
              </a:lnTo>
              <a:lnTo>
                <a:pt x="18642" y="19284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0.58848</cdr:x>
      <cdr:y>0.91203</cdr:y>
    </cdr:from>
    <cdr:to>
      <cdr:x>0.59357</cdr:x>
      <cdr:y>0.91709</cdr:y>
    </cdr:to>
    <cdr:sp macro="" textlink="">
      <cdr:nvSpPr>
        <cdr:cNvPr id="512" name="FracNo 171 StartRow 5344">
          <a:extLst xmlns:a="http://schemas.openxmlformats.org/drawingml/2006/main">
            <a:ext uri="{FF2B5EF4-FFF2-40B4-BE49-F238E27FC236}">
              <a16:creationId xmlns:a16="http://schemas.microsoft.com/office/drawing/2014/main" id="{CF6B0114-9BC1-31D9-F50F-3E6DFF522F5C}"/>
            </a:ext>
          </a:extLst>
        </cdr:cNvPr>
        <cdr:cNvSpPr/>
      </cdr:nvSpPr>
      <cdr:spPr>
        <a:xfrm xmlns:a="http://schemas.openxmlformats.org/drawingml/2006/main">
          <a:off x="4304827" y="6949690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2" y="19283"/>
              </a:moveTo>
              <a:lnTo>
                <a:pt x="0" y="38566"/>
              </a:lnTo>
              <a:lnTo>
                <a:pt x="0" y="38566"/>
              </a:lnTo>
              <a:lnTo>
                <a:pt x="18642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0.58218</cdr:x>
      <cdr:y>0.66165</cdr:y>
    </cdr:from>
    <cdr:to>
      <cdr:x>0.58727</cdr:x>
      <cdr:y>0.66672</cdr:y>
    </cdr:to>
    <cdr:sp macro="" textlink="">
      <cdr:nvSpPr>
        <cdr:cNvPr id="513" name="FracNo 167 StartRow 5353">
          <a:extLst xmlns:a="http://schemas.openxmlformats.org/drawingml/2006/main">
            <a:ext uri="{FF2B5EF4-FFF2-40B4-BE49-F238E27FC236}">
              <a16:creationId xmlns:a16="http://schemas.microsoft.com/office/drawing/2014/main" id="{AE09DBAB-5934-9B17-C0C9-7FD9C6A06B61}"/>
            </a:ext>
          </a:extLst>
        </cdr:cNvPr>
        <cdr:cNvSpPr/>
      </cdr:nvSpPr>
      <cdr:spPr>
        <a:xfrm xmlns:a="http://schemas.openxmlformats.org/drawingml/2006/main">
          <a:off x="4258729" y="5041810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0.53175</cdr:x>
      <cdr:y>0.91505</cdr:y>
    </cdr:from>
    <cdr:to>
      <cdr:x>0.53685</cdr:x>
      <cdr:y>0.92011</cdr:y>
    </cdr:to>
    <cdr:sp macro="" textlink="">
      <cdr:nvSpPr>
        <cdr:cNvPr id="514" name="FracNo 163 StartRow 5362">
          <a:extLst xmlns:a="http://schemas.openxmlformats.org/drawingml/2006/main">
            <a:ext uri="{FF2B5EF4-FFF2-40B4-BE49-F238E27FC236}">
              <a16:creationId xmlns:a16="http://schemas.microsoft.com/office/drawing/2014/main" id="{37B7F834-E1C1-E29B-3ABA-E7748F95A11A}"/>
            </a:ext>
          </a:extLst>
        </cdr:cNvPr>
        <cdr:cNvSpPr/>
      </cdr:nvSpPr>
      <cdr:spPr>
        <a:xfrm xmlns:a="http://schemas.openxmlformats.org/drawingml/2006/main">
          <a:off x="3889890" y="6972671"/>
          <a:ext cx="37287" cy="38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6">
              <a:moveTo>
                <a:pt x="18643" y="19283"/>
              </a:moveTo>
              <a:lnTo>
                <a:pt x="0" y="38565"/>
              </a:lnTo>
              <a:lnTo>
                <a:pt x="0" y="38565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0.39475</cdr:x>
      <cdr:y>0.8477</cdr:y>
    </cdr:from>
    <cdr:to>
      <cdr:x>0.39985</cdr:x>
      <cdr:y>0.85276</cdr:y>
    </cdr:to>
    <cdr:sp macro="" textlink="">
      <cdr:nvSpPr>
        <cdr:cNvPr id="515" name="FracNo 161 StartRow 5371">
          <a:extLst xmlns:a="http://schemas.openxmlformats.org/drawingml/2006/main">
            <a:ext uri="{FF2B5EF4-FFF2-40B4-BE49-F238E27FC236}">
              <a16:creationId xmlns:a16="http://schemas.microsoft.com/office/drawing/2014/main" id="{F8A26FE7-17F8-9B46-3029-A855CAF316DF}"/>
            </a:ext>
          </a:extLst>
        </cdr:cNvPr>
        <cdr:cNvSpPr/>
      </cdr:nvSpPr>
      <cdr:spPr>
        <a:xfrm xmlns:a="http://schemas.openxmlformats.org/drawingml/2006/main">
          <a:off x="2887671" y="6459467"/>
          <a:ext cx="37287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8">
              <a:moveTo>
                <a:pt x="18643" y="19283"/>
              </a:moveTo>
              <a:lnTo>
                <a:pt x="0" y="38567"/>
              </a:lnTo>
              <a:lnTo>
                <a:pt x="0" y="38567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0.19434</cdr:x>
      <cdr:y>0.61347</cdr:y>
    </cdr:from>
    <cdr:to>
      <cdr:x>0.19944</cdr:x>
      <cdr:y>0.61853</cdr:y>
    </cdr:to>
    <cdr:sp macro="" textlink="">
      <cdr:nvSpPr>
        <cdr:cNvPr id="516" name="FracNo 98 StartRow 5380">
          <a:extLst xmlns:a="http://schemas.openxmlformats.org/drawingml/2006/main">
            <a:ext uri="{FF2B5EF4-FFF2-40B4-BE49-F238E27FC236}">
              <a16:creationId xmlns:a16="http://schemas.microsoft.com/office/drawing/2014/main" id="{F1088675-CA71-EF49-AB84-2524D90F5722}"/>
            </a:ext>
          </a:extLst>
        </cdr:cNvPr>
        <cdr:cNvSpPr/>
      </cdr:nvSpPr>
      <cdr:spPr>
        <a:xfrm xmlns:a="http://schemas.openxmlformats.org/drawingml/2006/main">
          <a:off x="1421672" y="4674634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0.34879</cdr:x>
      <cdr:y>0.42755</cdr:y>
    </cdr:from>
    <cdr:to>
      <cdr:x>0.35389</cdr:x>
      <cdr:y>0.43261</cdr:y>
    </cdr:to>
    <cdr:sp macro="" textlink="">
      <cdr:nvSpPr>
        <cdr:cNvPr id="517" name="FracNo 95 StartRow 5389">
          <a:extLst xmlns:a="http://schemas.openxmlformats.org/drawingml/2006/main">
            <a:ext uri="{FF2B5EF4-FFF2-40B4-BE49-F238E27FC236}">
              <a16:creationId xmlns:a16="http://schemas.microsoft.com/office/drawing/2014/main" id="{B7773D6D-C0DA-1FC6-23B4-F6DD35260CC2}"/>
            </a:ext>
          </a:extLst>
        </cdr:cNvPr>
        <cdr:cNvSpPr/>
      </cdr:nvSpPr>
      <cdr:spPr>
        <a:xfrm xmlns:a="http://schemas.openxmlformats.org/drawingml/2006/main">
          <a:off x="2551495" y="3257922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0.31886</cdr:x>
      <cdr:y>0.58726</cdr:y>
    </cdr:from>
    <cdr:to>
      <cdr:x>0.32396</cdr:x>
      <cdr:y>0.59232</cdr:y>
    </cdr:to>
    <cdr:sp macro="" textlink="">
      <cdr:nvSpPr>
        <cdr:cNvPr id="518" name="FracNo 93 StartRow 5398">
          <a:extLst xmlns:a="http://schemas.openxmlformats.org/drawingml/2006/main">
            <a:ext uri="{FF2B5EF4-FFF2-40B4-BE49-F238E27FC236}">
              <a16:creationId xmlns:a16="http://schemas.microsoft.com/office/drawing/2014/main" id="{D35E530D-8E2F-AB33-8220-09A6B302366F}"/>
            </a:ext>
          </a:extLst>
        </cdr:cNvPr>
        <cdr:cNvSpPr/>
      </cdr:nvSpPr>
      <cdr:spPr>
        <a:xfrm xmlns:a="http://schemas.openxmlformats.org/drawingml/2006/main">
          <a:off x="2332534" y="4474925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2"/>
              </a:moveTo>
              <a:lnTo>
                <a:pt x="0" y="38566"/>
              </a:lnTo>
              <a:lnTo>
                <a:pt x="0" y="38566"/>
              </a:lnTo>
              <a:lnTo>
                <a:pt x="18643" y="19282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0.19572</cdr:x>
      <cdr:y>0.37159</cdr:y>
    </cdr:from>
    <cdr:to>
      <cdr:x>0.20082</cdr:x>
      <cdr:y>0.37666</cdr:y>
    </cdr:to>
    <cdr:sp macro="" textlink="">
      <cdr:nvSpPr>
        <cdr:cNvPr id="519" name="FracNo 90 StartRow 5407">
          <a:extLst xmlns:a="http://schemas.openxmlformats.org/drawingml/2006/main">
            <a:ext uri="{FF2B5EF4-FFF2-40B4-BE49-F238E27FC236}">
              <a16:creationId xmlns:a16="http://schemas.microsoft.com/office/drawing/2014/main" id="{1A44FDAE-9DF0-D14D-D72A-F5CC40C2FD37}"/>
            </a:ext>
          </a:extLst>
        </cdr:cNvPr>
        <cdr:cNvSpPr/>
      </cdr:nvSpPr>
      <cdr:spPr>
        <a:xfrm xmlns:a="http://schemas.openxmlformats.org/drawingml/2006/main">
          <a:off x="1431717" y="2831545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3" y="19284"/>
              </a:moveTo>
              <a:lnTo>
                <a:pt x="0" y="38566"/>
              </a:lnTo>
              <a:lnTo>
                <a:pt x="0" y="38566"/>
              </a:lnTo>
              <a:lnTo>
                <a:pt x="18643" y="19284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0.22497</cdr:x>
      <cdr:y>0.2546</cdr:y>
    </cdr:from>
    <cdr:to>
      <cdr:x>0.23006</cdr:x>
      <cdr:y>0.25967</cdr:y>
    </cdr:to>
    <cdr:sp macro="" textlink="">
      <cdr:nvSpPr>
        <cdr:cNvPr id="520" name="FracNo 401 StartRow 5416">
          <a:extLst xmlns:a="http://schemas.openxmlformats.org/drawingml/2006/main">
            <a:ext uri="{FF2B5EF4-FFF2-40B4-BE49-F238E27FC236}">
              <a16:creationId xmlns:a16="http://schemas.microsoft.com/office/drawing/2014/main" id="{3B3DCF91-FA11-ECDE-D4BE-2AD3932439CA}"/>
            </a:ext>
          </a:extLst>
        </cdr:cNvPr>
        <cdr:cNvSpPr/>
      </cdr:nvSpPr>
      <cdr:spPr>
        <a:xfrm xmlns:a="http://schemas.openxmlformats.org/drawingml/2006/main">
          <a:off x="1645668" y="1940080"/>
          <a:ext cx="37287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8">
              <a:moveTo>
                <a:pt x="18643" y="19283"/>
              </a:moveTo>
              <a:lnTo>
                <a:pt x="0" y="38567"/>
              </a:lnTo>
              <a:lnTo>
                <a:pt x="0" y="38567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0.33743</cdr:x>
      <cdr:y>0.37248</cdr:y>
    </cdr:from>
    <cdr:to>
      <cdr:x>0.34253</cdr:x>
      <cdr:y>0.37754</cdr:y>
    </cdr:to>
    <cdr:sp macro="" textlink="">
      <cdr:nvSpPr>
        <cdr:cNvPr id="521" name="FracNo 89 StartRow 5425">
          <a:extLst xmlns:a="http://schemas.openxmlformats.org/drawingml/2006/main">
            <a:ext uri="{FF2B5EF4-FFF2-40B4-BE49-F238E27FC236}">
              <a16:creationId xmlns:a16="http://schemas.microsoft.com/office/drawing/2014/main" id="{1D63CA76-293F-9661-EA98-468640D1E23C}"/>
            </a:ext>
          </a:extLst>
        </cdr:cNvPr>
        <cdr:cNvSpPr/>
      </cdr:nvSpPr>
      <cdr:spPr>
        <a:xfrm xmlns:a="http://schemas.openxmlformats.org/drawingml/2006/main">
          <a:off x="2468381" y="2838321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0.26466</cdr:x>
      <cdr:y>0.63351</cdr:y>
    </cdr:from>
    <cdr:to>
      <cdr:x>0.26976</cdr:x>
      <cdr:y>0.63857</cdr:y>
    </cdr:to>
    <cdr:sp macro="" textlink="">
      <cdr:nvSpPr>
        <cdr:cNvPr id="522" name="FracNo 85 StartRow 5434">
          <a:extLst xmlns:a="http://schemas.openxmlformats.org/drawingml/2006/main">
            <a:ext uri="{FF2B5EF4-FFF2-40B4-BE49-F238E27FC236}">
              <a16:creationId xmlns:a16="http://schemas.microsoft.com/office/drawing/2014/main" id="{68F7526D-DA30-4F82-E814-7DF1B07223CA}"/>
            </a:ext>
          </a:extLst>
        </cdr:cNvPr>
        <cdr:cNvSpPr/>
      </cdr:nvSpPr>
      <cdr:spPr>
        <a:xfrm xmlns:a="http://schemas.openxmlformats.org/drawingml/2006/main">
          <a:off x="1936026" y="4827319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2"/>
              </a:moveTo>
              <a:lnTo>
                <a:pt x="0" y="38566"/>
              </a:lnTo>
              <a:lnTo>
                <a:pt x="0" y="38566"/>
              </a:lnTo>
              <a:lnTo>
                <a:pt x="18643" y="19282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0.23861</cdr:x>
      <cdr:y>0.64294</cdr:y>
    </cdr:from>
    <cdr:to>
      <cdr:x>0.24371</cdr:x>
      <cdr:y>0.64801</cdr:y>
    </cdr:to>
    <cdr:sp macro="" textlink="">
      <cdr:nvSpPr>
        <cdr:cNvPr id="523" name="FracNo 84 StartRow 5443">
          <a:extLst xmlns:a="http://schemas.openxmlformats.org/drawingml/2006/main">
            <a:ext uri="{FF2B5EF4-FFF2-40B4-BE49-F238E27FC236}">
              <a16:creationId xmlns:a16="http://schemas.microsoft.com/office/drawing/2014/main" id="{8AC3482F-952D-2427-9693-5E3B0458230C}"/>
            </a:ext>
          </a:extLst>
        </cdr:cNvPr>
        <cdr:cNvSpPr/>
      </cdr:nvSpPr>
      <cdr:spPr>
        <a:xfrm xmlns:a="http://schemas.openxmlformats.org/drawingml/2006/main">
          <a:off x="1745502" y="4899237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0.24303</cdr:x>
      <cdr:y>0.46602</cdr:y>
    </cdr:from>
    <cdr:to>
      <cdr:x>0.24813</cdr:x>
      <cdr:y>0.47108</cdr:y>
    </cdr:to>
    <cdr:sp macro="" textlink="">
      <cdr:nvSpPr>
        <cdr:cNvPr id="524" name="FracNo 83 StartRow 5452">
          <a:extLst xmlns:a="http://schemas.openxmlformats.org/drawingml/2006/main">
            <a:ext uri="{FF2B5EF4-FFF2-40B4-BE49-F238E27FC236}">
              <a16:creationId xmlns:a16="http://schemas.microsoft.com/office/drawing/2014/main" id="{83A0BB33-5E7B-A69C-B95E-B2888DF026AD}"/>
            </a:ext>
          </a:extLst>
        </cdr:cNvPr>
        <cdr:cNvSpPr/>
      </cdr:nvSpPr>
      <cdr:spPr>
        <a:xfrm xmlns:a="http://schemas.openxmlformats.org/drawingml/2006/main">
          <a:off x="1777816" y="3551082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0.12518</cdr:x>
      <cdr:y>0.39785</cdr:y>
    </cdr:from>
    <cdr:to>
      <cdr:x>0.13028</cdr:x>
      <cdr:y>0.40291</cdr:y>
    </cdr:to>
    <cdr:sp macro="" textlink="">
      <cdr:nvSpPr>
        <cdr:cNvPr id="525" name="FracNo 82 StartRow 5461">
          <a:extLst xmlns:a="http://schemas.openxmlformats.org/drawingml/2006/main">
            <a:ext uri="{FF2B5EF4-FFF2-40B4-BE49-F238E27FC236}">
              <a16:creationId xmlns:a16="http://schemas.microsoft.com/office/drawing/2014/main" id="{4623FEF2-5A2C-F6CB-FBC9-EEBA874D84EA}"/>
            </a:ext>
          </a:extLst>
        </cdr:cNvPr>
        <cdr:cNvSpPr/>
      </cdr:nvSpPr>
      <cdr:spPr>
        <a:xfrm xmlns:a="http://schemas.openxmlformats.org/drawingml/2006/main">
          <a:off x="915722" y="3031587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0.16748</cdr:x>
      <cdr:y>0.86146</cdr:y>
    </cdr:from>
    <cdr:to>
      <cdr:x>0.17258</cdr:x>
      <cdr:y>0.86653</cdr:y>
    </cdr:to>
    <cdr:sp macro="" textlink="">
      <cdr:nvSpPr>
        <cdr:cNvPr id="526" name="FracNo 18 StartRow 5470">
          <a:extLst xmlns:a="http://schemas.openxmlformats.org/drawingml/2006/main">
            <a:ext uri="{FF2B5EF4-FFF2-40B4-BE49-F238E27FC236}">
              <a16:creationId xmlns:a16="http://schemas.microsoft.com/office/drawing/2014/main" id="{C6C42743-2109-44B7-E268-AAACEE3EA70B}"/>
            </a:ext>
          </a:extLst>
        </cdr:cNvPr>
        <cdr:cNvSpPr/>
      </cdr:nvSpPr>
      <cdr:spPr>
        <a:xfrm xmlns:a="http://schemas.openxmlformats.org/drawingml/2006/main">
          <a:off x="1225179" y="6564354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2" y="19283"/>
              </a:moveTo>
              <a:lnTo>
                <a:pt x="0" y="38566"/>
              </a:lnTo>
              <a:lnTo>
                <a:pt x="0" y="38566"/>
              </a:lnTo>
              <a:lnTo>
                <a:pt x="18642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0.2294</cdr:x>
      <cdr:y>0.86886</cdr:y>
    </cdr:from>
    <cdr:to>
      <cdr:x>0.2345</cdr:x>
      <cdr:y>0.87392</cdr:y>
    </cdr:to>
    <cdr:sp macro="" textlink="">
      <cdr:nvSpPr>
        <cdr:cNvPr id="527" name="FracNo 14 StartRow 5479">
          <a:extLst xmlns:a="http://schemas.openxmlformats.org/drawingml/2006/main">
            <a:ext uri="{FF2B5EF4-FFF2-40B4-BE49-F238E27FC236}">
              <a16:creationId xmlns:a16="http://schemas.microsoft.com/office/drawing/2014/main" id="{9BA61F6A-1483-8530-1888-7DEE5701E537}"/>
            </a:ext>
          </a:extLst>
        </cdr:cNvPr>
        <cdr:cNvSpPr/>
      </cdr:nvSpPr>
      <cdr:spPr>
        <a:xfrm xmlns:a="http://schemas.openxmlformats.org/drawingml/2006/main">
          <a:off x="1678112" y="6620730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2" y="19283"/>
              </a:moveTo>
              <a:lnTo>
                <a:pt x="0" y="38566"/>
              </a:lnTo>
              <a:lnTo>
                <a:pt x="0" y="38566"/>
              </a:lnTo>
              <a:lnTo>
                <a:pt x="18642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0.19762</cdr:x>
      <cdr:y>0.86973</cdr:y>
    </cdr:from>
    <cdr:to>
      <cdr:x>0.20272</cdr:x>
      <cdr:y>0.87479</cdr:y>
    </cdr:to>
    <cdr:sp macro="" textlink="">
      <cdr:nvSpPr>
        <cdr:cNvPr id="528" name="FracNo 13 StartRow 5488">
          <a:extLst xmlns:a="http://schemas.openxmlformats.org/drawingml/2006/main">
            <a:ext uri="{FF2B5EF4-FFF2-40B4-BE49-F238E27FC236}">
              <a16:creationId xmlns:a16="http://schemas.microsoft.com/office/drawing/2014/main" id="{B83F9621-BB7B-8778-72C3-F2896ED4B45B}"/>
            </a:ext>
          </a:extLst>
        </cdr:cNvPr>
        <cdr:cNvSpPr/>
      </cdr:nvSpPr>
      <cdr:spPr>
        <a:xfrm xmlns:a="http://schemas.openxmlformats.org/drawingml/2006/main">
          <a:off x="1445636" y="6627344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0.1841</cdr:x>
      <cdr:y>0.65655</cdr:y>
    </cdr:from>
    <cdr:to>
      <cdr:x>0.18919</cdr:x>
      <cdr:y>0.66161</cdr:y>
    </cdr:to>
    <cdr:sp macro="" textlink="">
      <cdr:nvSpPr>
        <cdr:cNvPr id="529" name="FracNo 9 StartRow 5497">
          <a:extLst xmlns:a="http://schemas.openxmlformats.org/drawingml/2006/main">
            <a:ext uri="{FF2B5EF4-FFF2-40B4-BE49-F238E27FC236}">
              <a16:creationId xmlns:a16="http://schemas.microsoft.com/office/drawing/2014/main" id="{7DAAF6B7-4259-E452-E10B-F36AD872C65E}"/>
            </a:ext>
          </a:extLst>
        </cdr:cNvPr>
        <cdr:cNvSpPr/>
      </cdr:nvSpPr>
      <cdr:spPr>
        <a:xfrm xmlns:a="http://schemas.openxmlformats.org/drawingml/2006/main">
          <a:off x="1346695" y="5002888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0.14069</cdr:x>
      <cdr:y>0.78144</cdr:y>
    </cdr:from>
    <cdr:to>
      <cdr:x>0.14579</cdr:x>
      <cdr:y>0.7865</cdr:y>
    </cdr:to>
    <cdr:sp macro="" textlink="">
      <cdr:nvSpPr>
        <cdr:cNvPr id="530" name="FracNo 6 StartRow 5506">
          <a:extLst xmlns:a="http://schemas.openxmlformats.org/drawingml/2006/main">
            <a:ext uri="{FF2B5EF4-FFF2-40B4-BE49-F238E27FC236}">
              <a16:creationId xmlns:a16="http://schemas.microsoft.com/office/drawing/2014/main" id="{D25C2CE3-A17B-7B2F-8506-80D6C2225F99}"/>
            </a:ext>
          </a:extLst>
        </cdr:cNvPr>
        <cdr:cNvSpPr/>
      </cdr:nvSpPr>
      <cdr:spPr>
        <a:xfrm xmlns:a="http://schemas.openxmlformats.org/drawingml/2006/main">
          <a:off x="1029180" y="5954538"/>
          <a:ext cx="37287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8">
              <a:moveTo>
                <a:pt x="18643" y="19283"/>
              </a:moveTo>
              <a:lnTo>
                <a:pt x="0" y="38567"/>
              </a:lnTo>
              <a:lnTo>
                <a:pt x="0" y="38567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0.3409</cdr:x>
      <cdr:y>0.92172</cdr:y>
    </cdr:from>
    <cdr:to>
      <cdr:x>0.34599</cdr:x>
      <cdr:y>0.92678</cdr:y>
    </cdr:to>
    <cdr:sp macro="" textlink="">
      <cdr:nvSpPr>
        <cdr:cNvPr id="531" name="FracNo 3 StartRow 5515">
          <a:extLst xmlns:a="http://schemas.openxmlformats.org/drawingml/2006/main">
            <a:ext uri="{FF2B5EF4-FFF2-40B4-BE49-F238E27FC236}">
              <a16:creationId xmlns:a16="http://schemas.microsoft.com/office/drawing/2014/main" id="{24E395E8-8102-709E-4264-60EA98801A76}"/>
            </a:ext>
          </a:extLst>
        </cdr:cNvPr>
        <cdr:cNvSpPr/>
      </cdr:nvSpPr>
      <cdr:spPr>
        <a:xfrm xmlns:a="http://schemas.openxmlformats.org/drawingml/2006/main">
          <a:off x="2493722" y="7023533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4"/>
              </a:moveTo>
              <a:lnTo>
                <a:pt x="0" y="38566"/>
              </a:lnTo>
              <a:lnTo>
                <a:pt x="0" y="38566"/>
              </a:lnTo>
              <a:lnTo>
                <a:pt x="18643" y="19284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0.21198</cdr:x>
      <cdr:y>0.62508</cdr:y>
    </cdr:from>
    <cdr:to>
      <cdr:x>0.21707</cdr:x>
      <cdr:y>0.63014</cdr:y>
    </cdr:to>
    <cdr:sp macro="" textlink="">
      <cdr:nvSpPr>
        <cdr:cNvPr id="532" name="FracNo 88 StartRow 5524">
          <a:extLst xmlns:a="http://schemas.openxmlformats.org/drawingml/2006/main">
            <a:ext uri="{FF2B5EF4-FFF2-40B4-BE49-F238E27FC236}">
              <a16:creationId xmlns:a16="http://schemas.microsoft.com/office/drawing/2014/main" id="{56C82850-D96F-442E-2332-C95DB84A82D2}"/>
            </a:ext>
          </a:extLst>
        </cdr:cNvPr>
        <cdr:cNvSpPr/>
      </cdr:nvSpPr>
      <cdr:spPr>
        <a:xfrm xmlns:a="http://schemas.openxmlformats.org/drawingml/2006/main">
          <a:off x="1550643" y="4763083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0.10704</cdr:x>
      <cdr:y>0.17728</cdr:y>
    </cdr:from>
    <cdr:to>
      <cdr:x>0.11214</cdr:x>
      <cdr:y>0.18234</cdr:y>
    </cdr:to>
    <cdr:sp macro="" textlink="">
      <cdr:nvSpPr>
        <cdr:cNvPr id="533" name="FracNo 406 StartRow 5533">
          <a:extLst xmlns:a="http://schemas.openxmlformats.org/drawingml/2006/main">
            <a:ext uri="{FF2B5EF4-FFF2-40B4-BE49-F238E27FC236}">
              <a16:creationId xmlns:a16="http://schemas.microsoft.com/office/drawing/2014/main" id="{12ACFA48-3BF4-0224-BC6B-FD471B5BB70C}"/>
            </a:ext>
          </a:extLst>
        </cdr:cNvPr>
        <cdr:cNvSpPr/>
      </cdr:nvSpPr>
      <cdr:spPr>
        <a:xfrm xmlns:a="http://schemas.openxmlformats.org/drawingml/2006/main">
          <a:off x="783037" y="1350852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0.54086</cdr:x>
      <cdr:y>0.71608</cdr:y>
    </cdr:from>
    <cdr:to>
      <cdr:x>0.54596</cdr:x>
      <cdr:y>0.72114</cdr:y>
    </cdr:to>
    <cdr:sp macro="" textlink="">
      <cdr:nvSpPr>
        <cdr:cNvPr id="534" name="FracNo 180 StartRow 5542">
          <a:extLst xmlns:a="http://schemas.openxmlformats.org/drawingml/2006/main">
            <a:ext uri="{FF2B5EF4-FFF2-40B4-BE49-F238E27FC236}">
              <a16:creationId xmlns:a16="http://schemas.microsoft.com/office/drawing/2014/main" id="{50E0106E-CC51-2249-2E60-49AEFF4AAAC0}"/>
            </a:ext>
          </a:extLst>
        </cdr:cNvPr>
        <cdr:cNvSpPr/>
      </cdr:nvSpPr>
      <cdr:spPr>
        <a:xfrm xmlns:a="http://schemas.openxmlformats.org/drawingml/2006/main">
          <a:off x="3956508" y="5456504"/>
          <a:ext cx="37288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8" h="38567">
              <a:moveTo>
                <a:pt x="18644" y="19283"/>
              </a:moveTo>
              <a:lnTo>
                <a:pt x="0" y="38566"/>
              </a:lnTo>
              <a:lnTo>
                <a:pt x="0" y="38566"/>
              </a:lnTo>
              <a:lnTo>
                <a:pt x="18644" y="19283"/>
              </a:lnTo>
              <a:lnTo>
                <a:pt x="37287" y="0"/>
              </a:lnTo>
              <a:lnTo>
                <a:pt x="372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0.9257</cdr:x>
      <cdr:y>0.91829</cdr:y>
    </cdr:from>
    <cdr:to>
      <cdr:x>0.9308</cdr:x>
      <cdr:y>0.92335</cdr:y>
    </cdr:to>
    <cdr:sp macro="" textlink="">
      <cdr:nvSpPr>
        <cdr:cNvPr id="535" name="FracNo 482 StartRow 5551">
          <a:extLst xmlns:a="http://schemas.openxmlformats.org/drawingml/2006/main">
            <a:ext uri="{FF2B5EF4-FFF2-40B4-BE49-F238E27FC236}">
              <a16:creationId xmlns:a16="http://schemas.microsoft.com/office/drawing/2014/main" id="{E04C5BA2-0DE2-2468-8DA0-824BFAEA2973}"/>
            </a:ext>
          </a:extLst>
        </cdr:cNvPr>
        <cdr:cNvSpPr/>
      </cdr:nvSpPr>
      <cdr:spPr>
        <a:xfrm xmlns:a="http://schemas.openxmlformats.org/drawingml/2006/main">
          <a:off x="6771709" y="6997350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0.32895</cdr:x>
      <cdr:y>0.33415</cdr:y>
    </cdr:from>
    <cdr:to>
      <cdr:x>0.33405</cdr:x>
      <cdr:y>0.33921</cdr:y>
    </cdr:to>
    <cdr:sp macro="" textlink="">
      <cdr:nvSpPr>
        <cdr:cNvPr id="536" name="FracNo 410 StartRow 5560">
          <a:extLst xmlns:a="http://schemas.openxmlformats.org/drawingml/2006/main">
            <a:ext uri="{FF2B5EF4-FFF2-40B4-BE49-F238E27FC236}">
              <a16:creationId xmlns:a16="http://schemas.microsoft.com/office/drawing/2014/main" id="{5E0D4593-8586-8313-C82F-A14AC1C1D3AF}"/>
            </a:ext>
          </a:extLst>
        </cdr:cNvPr>
        <cdr:cNvSpPr/>
      </cdr:nvSpPr>
      <cdr:spPr>
        <a:xfrm xmlns:a="http://schemas.openxmlformats.org/drawingml/2006/main">
          <a:off x="2406370" y="2546197"/>
          <a:ext cx="37287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8">
              <a:moveTo>
                <a:pt x="18643" y="19283"/>
              </a:moveTo>
              <a:lnTo>
                <a:pt x="0" y="38567"/>
              </a:lnTo>
              <a:lnTo>
                <a:pt x="0" y="38567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0.73551</cdr:x>
      <cdr:y>0.73475</cdr:y>
    </cdr:from>
    <cdr:to>
      <cdr:x>0.74061</cdr:x>
      <cdr:y>0.73981</cdr:y>
    </cdr:to>
    <cdr:sp macro="" textlink="">
      <cdr:nvSpPr>
        <cdr:cNvPr id="537" name="FracNo 495 StartRow 5569">
          <a:extLst xmlns:a="http://schemas.openxmlformats.org/drawingml/2006/main">
            <a:ext uri="{FF2B5EF4-FFF2-40B4-BE49-F238E27FC236}">
              <a16:creationId xmlns:a16="http://schemas.microsoft.com/office/drawing/2014/main" id="{07312A47-01F8-BDF6-CDC7-D1EFF6E2A2B5}"/>
            </a:ext>
          </a:extLst>
        </cdr:cNvPr>
        <cdr:cNvSpPr/>
      </cdr:nvSpPr>
      <cdr:spPr>
        <a:xfrm xmlns:a="http://schemas.openxmlformats.org/drawingml/2006/main">
          <a:off x="5380413" y="5598787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0.28469</cdr:x>
      <cdr:y>0.29259</cdr:y>
    </cdr:from>
    <cdr:to>
      <cdr:x>0.28978</cdr:x>
      <cdr:y>0.29765</cdr:y>
    </cdr:to>
    <cdr:sp macro="" textlink="">
      <cdr:nvSpPr>
        <cdr:cNvPr id="538" name="FracNo 407 StartRow 5578">
          <a:extLst xmlns:a="http://schemas.openxmlformats.org/drawingml/2006/main">
            <a:ext uri="{FF2B5EF4-FFF2-40B4-BE49-F238E27FC236}">
              <a16:creationId xmlns:a16="http://schemas.microsoft.com/office/drawing/2014/main" id="{F900DAE9-4A89-194E-F3E4-3037AE91B8BA}"/>
            </a:ext>
          </a:extLst>
        </cdr:cNvPr>
        <cdr:cNvSpPr/>
      </cdr:nvSpPr>
      <cdr:spPr>
        <a:xfrm xmlns:a="http://schemas.openxmlformats.org/drawingml/2006/main">
          <a:off x="2082533" y="2229563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0.78724</cdr:x>
      <cdr:y>0.89313</cdr:y>
    </cdr:from>
    <cdr:to>
      <cdr:x>0.79234</cdr:x>
      <cdr:y>0.89819</cdr:y>
    </cdr:to>
    <cdr:sp macro="" textlink="">
      <cdr:nvSpPr>
        <cdr:cNvPr id="539" name="FracNo 491 StartRow 5587">
          <a:extLst xmlns:a="http://schemas.openxmlformats.org/drawingml/2006/main">
            <a:ext uri="{FF2B5EF4-FFF2-40B4-BE49-F238E27FC236}">
              <a16:creationId xmlns:a16="http://schemas.microsoft.com/office/drawing/2014/main" id="{E69C3E9F-2F8A-6964-5257-4AB10BFF6CFA}"/>
            </a:ext>
          </a:extLst>
        </cdr:cNvPr>
        <cdr:cNvSpPr/>
      </cdr:nvSpPr>
      <cdr:spPr>
        <a:xfrm xmlns:a="http://schemas.openxmlformats.org/drawingml/2006/main">
          <a:off x="5758802" y="6805647"/>
          <a:ext cx="37287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8">
              <a:moveTo>
                <a:pt x="18643" y="19284"/>
              </a:moveTo>
              <a:lnTo>
                <a:pt x="0" y="38567"/>
              </a:lnTo>
              <a:lnTo>
                <a:pt x="0" y="38567"/>
              </a:lnTo>
              <a:lnTo>
                <a:pt x="18643" y="19284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0.91055</cdr:x>
      <cdr:y>0.90344</cdr:y>
    </cdr:from>
    <cdr:to>
      <cdr:x>0.91565</cdr:x>
      <cdr:y>0.90851</cdr:y>
    </cdr:to>
    <cdr:sp macro="" textlink="">
      <cdr:nvSpPr>
        <cdr:cNvPr id="540" name="FracNo 497 StartRow 5596">
          <a:extLst xmlns:a="http://schemas.openxmlformats.org/drawingml/2006/main">
            <a:ext uri="{FF2B5EF4-FFF2-40B4-BE49-F238E27FC236}">
              <a16:creationId xmlns:a16="http://schemas.microsoft.com/office/drawing/2014/main" id="{A880DB7D-A89C-C375-A111-63C4D09F0FC2}"/>
            </a:ext>
          </a:extLst>
        </cdr:cNvPr>
        <cdr:cNvSpPr/>
      </cdr:nvSpPr>
      <cdr:spPr>
        <a:xfrm xmlns:a="http://schemas.openxmlformats.org/drawingml/2006/main">
          <a:off x="6660841" y="6884243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0.82377</cdr:x>
      <cdr:y>0.79462</cdr:y>
    </cdr:from>
    <cdr:to>
      <cdr:x>0.82887</cdr:x>
      <cdr:y>0.79968</cdr:y>
    </cdr:to>
    <cdr:sp macro="" textlink="">
      <cdr:nvSpPr>
        <cdr:cNvPr id="541" name="FracNo 490 StartRow 5605">
          <a:extLst xmlns:a="http://schemas.openxmlformats.org/drawingml/2006/main">
            <a:ext uri="{FF2B5EF4-FFF2-40B4-BE49-F238E27FC236}">
              <a16:creationId xmlns:a16="http://schemas.microsoft.com/office/drawing/2014/main" id="{A51C9FE1-FAC7-45A5-4405-E77DB6B29DBF}"/>
            </a:ext>
          </a:extLst>
        </cdr:cNvPr>
        <cdr:cNvSpPr/>
      </cdr:nvSpPr>
      <cdr:spPr>
        <a:xfrm xmlns:a="http://schemas.openxmlformats.org/drawingml/2006/main">
          <a:off x="6026037" y="6054975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0.28788</cdr:x>
      <cdr:y>0.21497</cdr:y>
    </cdr:from>
    <cdr:to>
      <cdr:x>0.29298</cdr:x>
      <cdr:y>0.22003</cdr:y>
    </cdr:to>
    <cdr:sp macro="" textlink="">
      <cdr:nvSpPr>
        <cdr:cNvPr id="542" name="FracNo 414 StartRow 5614">
          <a:extLst xmlns:a="http://schemas.openxmlformats.org/drawingml/2006/main">
            <a:ext uri="{FF2B5EF4-FFF2-40B4-BE49-F238E27FC236}">
              <a16:creationId xmlns:a16="http://schemas.microsoft.com/office/drawing/2014/main" id="{79EFAE3D-36BF-18F8-6750-BE171408E5B3}"/>
            </a:ext>
          </a:extLst>
        </cdr:cNvPr>
        <cdr:cNvSpPr/>
      </cdr:nvSpPr>
      <cdr:spPr>
        <a:xfrm xmlns:a="http://schemas.openxmlformats.org/drawingml/2006/main">
          <a:off x="2105909" y="1638052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2" y="19283"/>
              </a:moveTo>
              <a:lnTo>
                <a:pt x="0" y="38566"/>
              </a:lnTo>
              <a:lnTo>
                <a:pt x="0" y="38566"/>
              </a:lnTo>
              <a:lnTo>
                <a:pt x="18642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0.26407</cdr:x>
      <cdr:y>0.18891</cdr:y>
    </cdr:from>
    <cdr:to>
      <cdr:x>0.26916</cdr:x>
      <cdr:y>0.19397</cdr:y>
    </cdr:to>
    <cdr:sp macro="" textlink="">
      <cdr:nvSpPr>
        <cdr:cNvPr id="543" name="FracNo 415 StartRow 5623">
          <a:extLst xmlns:a="http://schemas.openxmlformats.org/drawingml/2006/main">
            <a:ext uri="{FF2B5EF4-FFF2-40B4-BE49-F238E27FC236}">
              <a16:creationId xmlns:a16="http://schemas.microsoft.com/office/drawing/2014/main" id="{989FFF5C-6AF9-F245-7D73-B34E90009F40}"/>
            </a:ext>
          </a:extLst>
        </cdr:cNvPr>
        <cdr:cNvSpPr/>
      </cdr:nvSpPr>
      <cdr:spPr>
        <a:xfrm xmlns:a="http://schemas.openxmlformats.org/drawingml/2006/main">
          <a:off x="1931706" y="1439522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0.674</cdr:x>
      <cdr:y>0.83762</cdr:y>
    </cdr:from>
    <cdr:to>
      <cdr:x>0.67909</cdr:x>
      <cdr:y>0.84268</cdr:y>
    </cdr:to>
    <cdr:sp macro="" textlink="">
      <cdr:nvSpPr>
        <cdr:cNvPr id="544" name="FracNo 485 StartRow 5632">
          <a:extLst xmlns:a="http://schemas.openxmlformats.org/drawingml/2006/main">
            <a:ext uri="{FF2B5EF4-FFF2-40B4-BE49-F238E27FC236}">
              <a16:creationId xmlns:a16="http://schemas.microsoft.com/office/drawing/2014/main" id="{5197AD5F-24C9-F686-DB55-73712D1774D9}"/>
            </a:ext>
          </a:extLst>
        </cdr:cNvPr>
        <cdr:cNvSpPr/>
      </cdr:nvSpPr>
      <cdr:spPr>
        <a:xfrm xmlns:a="http://schemas.openxmlformats.org/drawingml/2006/main">
          <a:off x="4930427" y="6382641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0.09302</cdr:x>
      <cdr:y>0.22565</cdr:y>
    </cdr:from>
    <cdr:to>
      <cdr:x>0.09812</cdr:x>
      <cdr:y>0.23071</cdr:y>
    </cdr:to>
    <cdr:sp macro="" textlink="">
      <cdr:nvSpPr>
        <cdr:cNvPr id="545" name="FracNo 420 StartRow 5641">
          <a:extLst xmlns:a="http://schemas.openxmlformats.org/drawingml/2006/main">
            <a:ext uri="{FF2B5EF4-FFF2-40B4-BE49-F238E27FC236}">
              <a16:creationId xmlns:a16="http://schemas.microsoft.com/office/drawing/2014/main" id="{FE0AF4D1-D857-F0A7-4971-3A25B86A1FD7}"/>
            </a:ext>
          </a:extLst>
        </cdr:cNvPr>
        <cdr:cNvSpPr/>
      </cdr:nvSpPr>
      <cdr:spPr>
        <a:xfrm xmlns:a="http://schemas.openxmlformats.org/drawingml/2006/main">
          <a:off x="680455" y="1719478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3" y="19284"/>
              </a:moveTo>
              <a:lnTo>
                <a:pt x="0" y="38566"/>
              </a:lnTo>
              <a:lnTo>
                <a:pt x="0" y="38566"/>
              </a:lnTo>
              <a:lnTo>
                <a:pt x="18643" y="19284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0.80976</cdr:x>
      <cdr:y>0.73715</cdr:y>
    </cdr:from>
    <cdr:to>
      <cdr:x>0.81486</cdr:x>
      <cdr:y>0.74221</cdr:y>
    </cdr:to>
    <cdr:sp macro="" textlink="">
      <cdr:nvSpPr>
        <cdr:cNvPr id="546" name="FracNo 483 StartRow 5650">
          <a:extLst xmlns:a="http://schemas.openxmlformats.org/drawingml/2006/main">
            <a:ext uri="{FF2B5EF4-FFF2-40B4-BE49-F238E27FC236}">
              <a16:creationId xmlns:a16="http://schemas.microsoft.com/office/drawing/2014/main" id="{3FD9FDD5-999B-1DFE-75C8-A0736E35185F}"/>
            </a:ext>
          </a:extLst>
        </cdr:cNvPr>
        <cdr:cNvSpPr/>
      </cdr:nvSpPr>
      <cdr:spPr>
        <a:xfrm xmlns:a="http://schemas.openxmlformats.org/drawingml/2006/main">
          <a:off x="5923544" y="5617078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0.13257</cdr:x>
      <cdr:y>0.17875</cdr:y>
    </cdr:from>
    <cdr:to>
      <cdr:x>0.13766</cdr:x>
      <cdr:y>0.18381</cdr:y>
    </cdr:to>
    <cdr:sp macro="" textlink="">
      <cdr:nvSpPr>
        <cdr:cNvPr id="547" name="FracNo 409 StartRow 5659">
          <a:extLst xmlns:a="http://schemas.openxmlformats.org/drawingml/2006/main">
            <a:ext uri="{FF2B5EF4-FFF2-40B4-BE49-F238E27FC236}">
              <a16:creationId xmlns:a16="http://schemas.microsoft.com/office/drawing/2014/main" id="{244377EB-3411-400A-2BFC-30EF5E04E7E7}"/>
            </a:ext>
          </a:extLst>
        </cdr:cNvPr>
        <cdr:cNvSpPr/>
      </cdr:nvSpPr>
      <cdr:spPr>
        <a:xfrm xmlns:a="http://schemas.openxmlformats.org/drawingml/2006/main">
          <a:off x="969747" y="1362050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2" y="19283"/>
              </a:moveTo>
              <a:lnTo>
                <a:pt x="0" y="38566"/>
              </a:lnTo>
              <a:lnTo>
                <a:pt x="0" y="38566"/>
              </a:lnTo>
              <a:lnTo>
                <a:pt x="18642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0.77554</cdr:x>
      <cdr:y>0.75752</cdr:y>
    </cdr:from>
    <cdr:to>
      <cdr:x>0.78064</cdr:x>
      <cdr:y>0.76258</cdr:y>
    </cdr:to>
    <cdr:sp macro="" textlink="">
      <cdr:nvSpPr>
        <cdr:cNvPr id="548" name="FracNo 489 StartRow 5668">
          <a:extLst xmlns:a="http://schemas.openxmlformats.org/drawingml/2006/main">
            <a:ext uri="{FF2B5EF4-FFF2-40B4-BE49-F238E27FC236}">
              <a16:creationId xmlns:a16="http://schemas.microsoft.com/office/drawing/2014/main" id="{AE2C7C13-5419-0603-C6FF-EA4E336852E0}"/>
            </a:ext>
          </a:extLst>
        </cdr:cNvPr>
        <cdr:cNvSpPr/>
      </cdr:nvSpPr>
      <cdr:spPr>
        <a:xfrm xmlns:a="http://schemas.openxmlformats.org/drawingml/2006/main">
          <a:off x="5673260" y="5772290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2"/>
              </a:moveTo>
              <a:lnTo>
                <a:pt x="0" y="38566"/>
              </a:lnTo>
              <a:lnTo>
                <a:pt x="0" y="38566"/>
              </a:lnTo>
              <a:lnTo>
                <a:pt x="18643" y="19282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0.79675</cdr:x>
      <cdr:y>0.78602</cdr:y>
    </cdr:from>
    <cdr:to>
      <cdr:x>0.80184</cdr:x>
      <cdr:y>0.79108</cdr:y>
    </cdr:to>
    <cdr:sp macro="" textlink="">
      <cdr:nvSpPr>
        <cdr:cNvPr id="549" name="FracNo 493 StartRow 5677">
          <a:extLst xmlns:a="http://schemas.openxmlformats.org/drawingml/2006/main">
            <a:ext uri="{FF2B5EF4-FFF2-40B4-BE49-F238E27FC236}">
              <a16:creationId xmlns:a16="http://schemas.microsoft.com/office/drawing/2014/main" id="{818877AF-73B7-63E8-ECA2-A5CDF23DAC39}"/>
            </a:ext>
          </a:extLst>
        </cdr:cNvPr>
        <cdr:cNvSpPr/>
      </cdr:nvSpPr>
      <cdr:spPr>
        <a:xfrm xmlns:a="http://schemas.openxmlformats.org/drawingml/2006/main">
          <a:off x="5828357" y="5989463"/>
          <a:ext cx="37288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8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7" y="0"/>
              </a:lnTo>
              <a:lnTo>
                <a:pt x="372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0.75064</cdr:x>
      <cdr:y>0.4274</cdr:y>
    </cdr:from>
    <cdr:to>
      <cdr:x>0.75574</cdr:x>
      <cdr:y>0.43247</cdr:y>
    </cdr:to>
    <cdr:sp macro="" textlink="">
      <cdr:nvSpPr>
        <cdr:cNvPr id="550" name="FracNo 562 StartRow 5686">
          <a:extLst xmlns:a="http://schemas.openxmlformats.org/drawingml/2006/main">
            <a:ext uri="{FF2B5EF4-FFF2-40B4-BE49-F238E27FC236}">
              <a16:creationId xmlns:a16="http://schemas.microsoft.com/office/drawing/2014/main" id="{43ADF8C0-9AEA-DA69-65E4-32973566A3D0}"/>
            </a:ext>
          </a:extLst>
        </cdr:cNvPr>
        <cdr:cNvSpPr/>
      </cdr:nvSpPr>
      <cdr:spPr>
        <a:xfrm xmlns:a="http://schemas.openxmlformats.org/drawingml/2006/main">
          <a:off x="5491075" y="3256826"/>
          <a:ext cx="37287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8">
              <a:moveTo>
                <a:pt x="18643" y="19284"/>
              </a:moveTo>
              <a:lnTo>
                <a:pt x="0" y="38567"/>
              </a:lnTo>
              <a:lnTo>
                <a:pt x="0" y="38567"/>
              </a:lnTo>
              <a:lnTo>
                <a:pt x="18643" y="19284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0.70854</cdr:x>
      <cdr:y>0.26933</cdr:y>
    </cdr:from>
    <cdr:to>
      <cdr:x>0.71364</cdr:x>
      <cdr:y>0.27439</cdr:y>
    </cdr:to>
    <cdr:sp macro="" textlink="">
      <cdr:nvSpPr>
        <cdr:cNvPr id="551" name="FracNo 245 StartRow 5695">
          <a:extLst xmlns:a="http://schemas.openxmlformats.org/drawingml/2006/main">
            <a:ext uri="{FF2B5EF4-FFF2-40B4-BE49-F238E27FC236}">
              <a16:creationId xmlns:a16="http://schemas.microsoft.com/office/drawing/2014/main" id="{3580B11B-CFB3-297A-274F-597DD8BF188C}"/>
            </a:ext>
          </a:extLst>
        </cdr:cNvPr>
        <cdr:cNvSpPr/>
      </cdr:nvSpPr>
      <cdr:spPr>
        <a:xfrm xmlns:a="http://schemas.openxmlformats.org/drawingml/2006/main">
          <a:off x="5183141" y="2052308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0.67126</cdr:x>
      <cdr:y>0.09431</cdr:y>
    </cdr:from>
    <cdr:to>
      <cdr:x>0.67635</cdr:x>
      <cdr:y>0.09937</cdr:y>
    </cdr:to>
    <cdr:sp macro="" textlink="">
      <cdr:nvSpPr>
        <cdr:cNvPr id="552" name="FracNo 243 StartRow 5704">
          <a:extLst xmlns:a="http://schemas.openxmlformats.org/drawingml/2006/main">
            <a:ext uri="{FF2B5EF4-FFF2-40B4-BE49-F238E27FC236}">
              <a16:creationId xmlns:a16="http://schemas.microsoft.com/office/drawing/2014/main" id="{957F0F45-6F66-CAC7-E213-3872C9F29931}"/>
            </a:ext>
          </a:extLst>
        </cdr:cNvPr>
        <cdr:cNvSpPr/>
      </cdr:nvSpPr>
      <cdr:spPr>
        <a:xfrm xmlns:a="http://schemas.openxmlformats.org/drawingml/2006/main">
          <a:off x="4910373" y="718635"/>
          <a:ext cx="37287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8">
              <a:moveTo>
                <a:pt x="18643" y="19283"/>
              </a:moveTo>
              <a:lnTo>
                <a:pt x="0" y="38567"/>
              </a:lnTo>
              <a:lnTo>
                <a:pt x="0" y="38567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0.83146</cdr:x>
      <cdr:y>0.38067</cdr:y>
    </cdr:from>
    <cdr:to>
      <cdr:x>0.83656</cdr:x>
      <cdr:y>0.38573</cdr:y>
    </cdr:to>
    <cdr:sp macro="" textlink="">
      <cdr:nvSpPr>
        <cdr:cNvPr id="553" name="FracNo 567 StartRow 5713">
          <a:extLst xmlns:a="http://schemas.openxmlformats.org/drawingml/2006/main">
            <a:ext uri="{FF2B5EF4-FFF2-40B4-BE49-F238E27FC236}">
              <a16:creationId xmlns:a16="http://schemas.microsoft.com/office/drawing/2014/main" id="{D693C0CF-190E-0C1A-B955-0F50C26368D6}"/>
            </a:ext>
          </a:extLst>
        </cdr:cNvPr>
        <cdr:cNvSpPr/>
      </cdr:nvSpPr>
      <cdr:spPr>
        <a:xfrm xmlns:a="http://schemas.openxmlformats.org/drawingml/2006/main">
          <a:off x="6082303" y="2900696"/>
          <a:ext cx="37287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8">
              <a:moveTo>
                <a:pt x="18643" y="19284"/>
              </a:moveTo>
              <a:lnTo>
                <a:pt x="0" y="38567"/>
              </a:lnTo>
              <a:lnTo>
                <a:pt x="0" y="38567"/>
              </a:lnTo>
              <a:lnTo>
                <a:pt x="18643" y="19284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0.87487</cdr:x>
      <cdr:y>0.59475</cdr:y>
    </cdr:from>
    <cdr:to>
      <cdr:x>0.87997</cdr:x>
      <cdr:y>0.59981</cdr:y>
    </cdr:to>
    <cdr:sp macro="" textlink="">
      <cdr:nvSpPr>
        <cdr:cNvPr id="554" name="FracNo 579 StartRow 5722">
          <a:extLst xmlns:a="http://schemas.openxmlformats.org/drawingml/2006/main">
            <a:ext uri="{FF2B5EF4-FFF2-40B4-BE49-F238E27FC236}">
              <a16:creationId xmlns:a16="http://schemas.microsoft.com/office/drawing/2014/main" id="{8687FC48-16D4-2086-5D61-97A081A43B02}"/>
            </a:ext>
          </a:extLst>
        </cdr:cNvPr>
        <cdr:cNvSpPr/>
      </cdr:nvSpPr>
      <cdr:spPr>
        <a:xfrm xmlns:a="http://schemas.openxmlformats.org/drawingml/2006/main">
          <a:off x="6399864" y="4532014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0.81186</cdr:x>
      <cdr:y>0.61193</cdr:y>
    </cdr:from>
    <cdr:to>
      <cdr:x>0.81696</cdr:x>
      <cdr:y>0.61699</cdr:y>
    </cdr:to>
    <cdr:sp macro="" textlink="">
      <cdr:nvSpPr>
        <cdr:cNvPr id="555" name="FracNo 574 StartRow 5731">
          <a:extLst xmlns:a="http://schemas.openxmlformats.org/drawingml/2006/main">
            <a:ext uri="{FF2B5EF4-FFF2-40B4-BE49-F238E27FC236}">
              <a16:creationId xmlns:a16="http://schemas.microsoft.com/office/drawing/2014/main" id="{F022BCD5-9240-92C7-34D1-5C23383E5801}"/>
            </a:ext>
          </a:extLst>
        </cdr:cNvPr>
        <cdr:cNvSpPr/>
      </cdr:nvSpPr>
      <cdr:spPr>
        <a:xfrm xmlns:a="http://schemas.openxmlformats.org/drawingml/2006/main">
          <a:off x="5938916" y="4662913"/>
          <a:ext cx="37287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8">
              <a:moveTo>
                <a:pt x="18643" y="19284"/>
              </a:moveTo>
              <a:lnTo>
                <a:pt x="0" y="38567"/>
              </a:lnTo>
              <a:lnTo>
                <a:pt x="0" y="38567"/>
              </a:lnTo>
              <a:lnTo>
                <a:pt x="18643" y="19284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0.78965</cdr:x>
      <cdr:y>0.55752</cdr:y>
    </cdr:from>
    <cdr:to>
      <cdr:x>0.79475</cdr:x>
      <cdr:y>0.56258</cdr:y>
    </cdr:to>
    <cdr:sp macro="" textlink="">
      <cdr:nvSpPr>
        <cdr:cNvPr id="556" name="FracNo 575 StartRow 5740">
          <a:extLst xmlns:a="http://schemas.openxmlformats.org/drawingml/2006/main">
            <a:ext uri="{FF2B5EF4-FFF2-40B4-BE49-F238E27FC236}">
              <a16:creationId xmlns:a16="http://schemas.microsoft.com/office/drawing/2014/main" id="{3866BC62-5A38-FE1B-B41F-9C23569651D2}"/>
            </a:ext>
          </a:extLst>
        </cdr:cNvPr>
        <cdr:cNvSpPr/>
      </cdr:nvSpPr>
      <cdr:spPr>
        <a:xfrm xmlns:a="http://schemas.openxmlformats.org/drawingml/2006/main">
          <a:off x="5776447" y="4248324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0.74094</cdr:x>
      <cdr:y>0.48342</cdr:y>
    </cdr:from>
    <cdr:to>
      <cdr:x>0.74604</cdr:x>
      <cdr:y>0.48848</cdr:y>
    </cdr:to>
    <cdr:sp macro="" textlink="">
      <cdr:nvSpPr>
        <cdr:cNvPr id="557" name="FracNo 578 StartRow 5749">
          <a:extLst xmlns:a="http://schemas.openxmlformats.org/drawingml/2006/main">
            <a:ext uri="{FF2B5EF4-FFF2-40B4-BE49-F238E27FC236}">
              <a16:creationId xmlns:a16="http://schemas.microsoft.com/office/drawing/2014/main" id="{4CDDE3B4-7426-6FCE-B200-0CB8DC0BAE93}"/>
            </a:ext>
          </a:extLst>
        </cdr:cNvPr>
        <cdr:cNvSpPr/>
      </cdr:nvSpPr>
      <cdr:spPr>
        <a:xfrm xmlns:a="http://schemas.openxmlformats.org/drawingml/2006/main">
          <a:off x="5420129" y="3683641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0.35918</cdr:x>
      <cdr:y>0.12752</cdr:y>
    </cdr:from>
    <cdr:to>
      <cdr:x>0.36427</cdr:x>
      <cdr:y>0.13258</cdr:y>
    </cdr:to>
    <cdr:sp macro="" textlink="">
      <cdr:nvSpPr>
        <cdr:cNvPr id="558" name="FracNo 417 StartRow 5758">
          <a:extLst xmlns:a="http://schemas.openxmlformats.org/drawingml/2006/main">
            <a:ext uri="{FF2B5EF4-FFF2-40B4-BE49-F238E27FC236}">
              <a16:creationId xmlns:a16="http://schemas.microsoft.com/office/drawing/2014/main" id="{B8C06D85-D281-9EA8-6E71-361C81C14E30}"/>
            </a:ext>
          </a:extLst>
        </cdr:cNvPr>
        <cdr:cNvSpPr/>
      </cdr:nvSpPr>
      <cdr:spPr>
        <a:xfrm xmlns:a="http://schemas.openxmlformats.org/drawingml/2006/main">
          <a:off x="2627441" y="971667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2" y="19284"/>
              </a:moveTo>
              <a:lnTo>
                <a:pt x="0" y="38566"/>
              </a:lnTo>
              <a:lnTo>
                <a:pt x="0" y="38566"/>
              </a:lnTo>
              <a:lnTo>
                <a:pt x="18642" y="19284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0.87314</cdr:x>
      <cdr:y>0.40762</cdr:y>
    </cdr:from>
    <cdr:to>
      <cdr:x>0.87824</cdr:x>
      <cdr:y>0.41268</cdr:y>
    </cdr:to>
    <cdr:sp macro="" textlink="">
      <cdr:nvSpPr>
        <cdr:cNvPr id="559" name="FracNo 570 StartRow 5767">
          <a:extLst xmlns:a="http://schemas.openxmlformats.org/drawingml/2006/main">
            <a:ext uri="{FF2B5EF4-FFF2-40B4-BE49-F238E27FC236}">
              <a16:creationId xmlns:a16="http://schemas.microsoft.com/office/drawing/2014/main" id="{600E8353-4AFB-8520-453F-BE75F58B0F03}"/>
            </a:ext>
          </a:extLst>
        </cdr:cNvPr>
        <cdr:cNvSpPr/>
      </cdr:nvSpPr>
      <cdr:spPr>
        <a:xfrm xmlns:a="http://schemas.openxmlformats.org/drawingml/2006/main">
          <a:off x="6387199" y="3106064"/>
          <a:ext cx="37287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8">
              <a:moveTo>
                <a:pt x="18643" y="19283"/>
              </a:moveTo>
              <a:lnTo>
                <a:pt x="0" y="38567"/>
              </a:lnTo>
              <a:lnTo>
                <a:pt x="0" y="38567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0.64014</cdr:x>
      <cdr:y>0.36966</cdr:y>
    </cdr:from>
    <cdr:to>
      <cdr:x>0.64523</cdr:x>
      <cdr:y>0.37472</cdr:y>
    </cdr:to>
    <cdr:sp macro="" textlink="">
      <cdr:nvSpPr>
        <cdr:cNvPr id="560" name="FracNo 656 StartRow 5776">
          <a:extLst xmlns:a="http://schemas.openxmlformats.org/drawingml/2006/main">
            <a:ext uri="{FF2B5EF4-FFF2-40B4-BE49-F238E27FC236}">
              <a16:creationId xmlns:a16="http://schemas.microsoft.com/office/drawing/2014/main" id="{8CBCD7E2-2943-5E2D-4F80-FD5F352AA0ED}"/>
            </a:ext>
          </a:extLst>
        </cdr:cNvPr>
        <cdr:cNvSpPr/>
      </cdr:nvSpPr>
      <cdr:spPr>
        <a:xfrm xmlns:a="http://schemas.openxmlformats.org/drawingml/2006/main">
          <a:off x="4682732" y="2816819"/>
          <a:ext cx="37286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8">
              <a:moveTo>
                <a:pt x="18643" y="19283"/>
              </a:moveTo>
              <a:lnTo>
                <a:pt x="0" y="38567"/>
              </a:lnTo>
              <a:lnTo>
                <a:pt x="0" y="38567"/>
              </a:lnTo>
              <a:lnTo>
                <a:pt x="18643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0.65708</cdr:x>
      <cdr:y>0.2457</cdr:y>
    </cdr:from>
    <cdr:to>
      <cdr:x>0.66218</cdr:x>
      <cdr:y>0.25076</cdr:y>
    </cdr:to>
    <cdr:sp macro="" textlink="">
      <cdr:nvSpPr>
        <cdr:cNvPr id="561" name="FracNo 241 StartRow 5785">
          <a:extLst xmlns:a="http://schemas.openxmlformats.org/drawingml/2006/main">
            <a:ext uri="{FF2B5EF4-FFF2-40B4-BE49-F238E27FC236}">
              <a16:creationId xmlns:a16="http://schemas.microsoft.com/office/drawing/2014/main" id="{E9936EA3-9724-F311-A652-38537E78CC7C}"/>
            </a:ext>
          </a:extLst>
        </cdr:cNvPr>
        <cdr:cNvSpPr/>
      </cdr:nvSpPr>
      <cdr:spPr>
        <a:xfrm xmlns:a="http://schemas.openxmlformats.org/drawingml/2006/main">
          <a:off x="4806699" y="1872238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13398" y="24708"/>
              </a:lnTo>
              <a:lnTo>
                <a:pt x="0" y="38566"/>
              </a:lnTo>
              <a:lnTo>
                <a:pt x="0" y="38566"/>
              </a:lnTo>
              <a:lnTo>
                <a:pt x="13398" y="24708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0.50699</cdr:x>
      <cdr:y>0.17474</cdr:y>
    </cdr:from>
    <cdr:to>
      <cdr:x>0.51208</cdr:x>
      <cdr:y>0.1798</cdr:y>
    </cdr:to>
    <cdr:sp macro="" textlink="">
      <cdr:nvSpPr>
        <cdr:cNvPr id="562" name="FracNo 329 StartRow 5796">
          <a:extLst xmlns:a="http://schemas.openxmlformats.org/drawingml/2006/main">
            <a:ext uri="{FF2B5EF4-FFF2-40B4-BE49-F238E27FC236}">
              <a16:creationId xmlns:a16="http://schemas.microsoft.com/office/drawing/2014/main" id="{7D4A965B-7945-6BCD-9B8B-A0605211A945}"/>
            </a:ext>
          </a:extLst>
        </cdr:cNvPr>
        <cdr:cNvSpPr/>
      </cdr:nvSpPr>
      <cdr:spPr>
        <a:xfrm xmlns:a="http://schemas.openxmlformats.org/drawingml/2006/main">
          <a:off x="3708704" y="1331510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4" y="19283"/>
              </a:moveTo>
              <a:lnTo>
                <a:pt x="0" y="38566"/>
              </a:lnTo>
              <a:lnTo>
                <a:pt x="0" y="38566"/>
              </a:lnTo>
              <a:lnTo>
                <a:pt x="18644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0.53897</cdr:x>
      <cdr:y>0.26321</cdr:y>
    </cdr:from>
    <cdr:to>
      <cdr:x>0.54407</cdr:x>
      <cdr:y>0.26827</cdr:y>
    </cdr:to>
    <cdr:sp macro="" textlink="">
      <cdr:nvSpPr>
        <cdr:cNvPr id="563" name="FracNo 340 StartRow 5805">
          <a:extLst xmlns:a="http://schemas.openxmlformats.org/drawingml/2006/main">
            <a:ext uri="{FF2B5EF4-FFF2-40B4-BE49-F238E27FC236}">
              <a16:creationId xmlns:a16="http://schemas.microsoft.com/office/drawing/2014/main" id="{F9E8427E-0DA0-9D76-4A1C-D1195721DC87}"/>
            </a:ext>
          </a:extLst>
        </cdr:cNvPr>
        <cdr:cNvSpPr/>
      </cdr:nvSpPr>
      <cdr:spPr>
        <a:xfrm xmlns:a="http://schemas.openxmlformats.org/drawingml/2006/main">
          <a:off x="3942694" y="2005629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0.75875</cdr:x>
      <cdr:y>0.12853</cdr:y>
    </cdr:from>
    <cdr:to>
      <cdr:x>0.76385</cdr:x>
      <cdr:y>0.13359</cdr:y>
    </cdr:to>
    <cdr:sp macro="" textlink="">
      <cdr:nvSpPr>
        <cdr:cNvPr id="564" name="FracNo 251 StartRow 5814">
          <a:extLst xmlns:a="http://schemas.openxmlformats.org/drawingml/2006/main">
            <a:ext uri="{FF2B5EF4-FFF2-40B4-BE49-F238E27FC236}">
              <a16:creationId xmlns:a16="http://schemas.microsoft.com/office/drawing/2014/main" id="{40710DEC-CFD4-631A-9DEB-2D87CC435D78}"/>
            </a:ext>
          </a:extLst>
        </cdr:cNvPr>
        <cdr:cNvSpPr/>
      </cdr:nvSpPr>
      <cdr:spPr>
        <a:xfrm xmlns:a="http://schemas.openxmlformats.org/drawingml/2006/main">
          <a:off x="5550420" y="979393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0.78869</cdr:x>
      <cdr:y>0.09667</cdr:y>
    </cdr:from>
    <cdr:to>
      <cdr:x>0.79378</cdr:x>
      <cdr:y>0.10173</cdr:y>
    </cdr:to>
    <cdr:sp macro="" textlink="">
      <cdr:nvSpPr>
        <cdr:cNvPr id="565" name="FracNo 252 StartRow 5823">
          <a:extLst xmlns:a="http://schemas.openxmlformats.org/drawingml/2006/main">
            <a:ext uri="{FF2B5EF4-FFF2-40B4-BE49-F238E27FC236}">
              <a16:creationId xmlns:a16="http://schemas.microsoft.com/office/drawing/2014/main" id="{373A1537-0442-7E93-1A28-037F94D2F4EA}"/>
            </a:ext>
          </a:extLst>
        </cdr:cNvPr>
        <cdr:cNvSpPr/>
      </cdr:nvSpPr>
      <cdr:spPr>
        <a:xfrm xmlns:a="http://schemas.openxmlformats.org/drawingml/2006/main">
          <a:off x="5769399" y="736649"/>
          <a:ext cx="37287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8">
              <a:moveTo>
                <a:pt x="18643" y="19284"/>
              </a:moveTo>
              <a:lnTo>
                <a:pt x="0" y="38567"/>
              </a:lnTo>
              <a:lnTo>
                <a:pt x="0" y="38567"/>
              </a:lnTo>
              <a:lnTo>
                <a:pt x="18643" y="19284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0.39747</cdr:x>
      <cdr:y>0.14548</cdr:y>
    </cdr:from>
    <cdr:to>
      <cdr:x>0.40256</cdr:x>
      <cdr:y>0.15054</cdr:y>
    </cdr:to>
    <cdr:sp macro="" textlink="">
      <cdr:nvSpPr>
        <cdr:cNvPr id="566" name="FracNo 339 StartRow 5832">
          <a:extLst xmlns:a="http://schemas.openxmlformats.org/drawingml/2006/main">
            <a:ext uri="{FF2B5EF4-FFF2-40B4-BE49-F238E27FC236}">
              <a16:creationId xmlns:a16="http://schemas.microsoft.com/office/drawing/2014/main" id="{64F84FB5-4F6D-1318-0FE9-059CAEA31CD1}"/>
            </a:ext>
          </a:extLst>
        </cdr:cNvPr>
        <cdr:cNvSpPr/>
      </cdr:nvSpPr>
      <cdr:spPr>
        <a:xfrm xmlns:a="http://schemas.openxmlformats.org/drawingml/2006/main">
          <a:off x="2907555" y="1108540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0.64516</cdr:x>
      <cdr:y>0.18153</cdr:y>
    </cdr:from>
    <cdr:to>
      <cdr:x>0.65025</cdr:x>
      <cdr:y>0.18659</cdr:y>
    </cdr:to>
    <cdr:sp macro="" textlink="">
      <cdr:nvSpPr>
        <cdr:cNvPr id="567" name="FracNo 327 StartRow 5841">
          <a:extLst xmlns:a="http://schemas.openxmlformats.org/drawingml/2006/main">
            <a:ext uri="{FF2B5EF4-FFF2-40B4-BE49-F238E27FC236}">
              <a16:creationId xmlns:a16="http://schemas.microsoft.com/office/drawing/2014/main" id="{D761F3E3-B667-2E64-4FD9-BA893E1A1664}"/>
            </a:ext>
          </a:extLst>
        </cdr:cNvPr>
        <cdr:cNvSpPr/>
      </cdr:nvSpPr>
      <cdr:spPr>
        <a:xfrm xmlns:a="http://schemas.openxmlformats.org/drawingml/2006/main">
          <a:off x="4719446" y="1383236"/>
          <a:ext cx="37288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8" h="38568">
              <a:moveTo>
                <a:pt x="18643" y="19284"/>
              </a:moveTo>
              <a:lnTo>
                <a:pt x="0" y="38567"/>
              </a:lnTo>
              <a:lnTo>
                <a:pt x="0" y="38567"/>
              </a:lnTo>
              <a:lnTo>
                <a:pt x="18643" y="19284"/>
              </a:lnTo>
              <a:lnTo>
                <a:pt x="37287" y="0"/>
              </a:lnTo>
              <a:lnTo>
                <a:pt x="372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0.54605</cdr:x>
      <cdr:y>0.10275</cdr:y>
    </cdr:from>
    <cdr:to>
      <cdr:x>0.55114</cdr:x>
      <cdr:y>0.10781</cdr:y>
    </cdr:to>
    <cdr:sp macro="" textlink="">
      <cdr:nvSpPr>
        <cdr:cNvPr id="568" name="FracNo 337 StartRow 5850">
          <a:extLst xmlns:a="http://schemas.openxmlformats.org/drawingml/2006/main">
            <a:ext uri="{FF2B5EF4-FFF2-40B4-BE49-F238E27FC236}">
              <a16:creationId xmlns:a16="http://schemas.microsoft.com/office/drawing/2014/main" id="{2BF13560-E5C0-CEB0-4748-77E581FE6D02}"/>
            </a:ext>
          </a:extLst>
        </cdr:cNvPr>
        <cdr:cNvSpPr/>
      </cdr:nvSpPr>
      <cdr:spPr>
        <a:xfrm xmlns:a="http://schemas.openxmlformats.org/drawingml/2006/main">
          <a:off x="3994446" y="782950"/>
          <a:ext cx="37287" cy="3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8">
              <a:moveTo>
                <a:pt x="18643" y="19284"/>
              </a:moveTo>
              <a:lnTo>
                <a:pt x="0" y="38567"/>
              </a:lnTo>
              <a:lnTo>
                <a:pt x="0" y="38567"/>
              </a:lnTo>
              <a:lnTo>
                <a:pt x="18643" y="19284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0.56094</cdr:x>
      <cdr:y>0.18185</cdr:y>
    </cdr:from>
    <cdr:to>
      <cdr:x>0.56604</cdr:x>
      <cdr:y>0.18691</cdr:y>
    </cdr:to>
    <cdr:sp macro="" textlink="">
      <cdr:nvSpPr>
        <cdr:cNvPr id="569" name="FracNo 336 StartRow 5859">
          <a:extLst xmlns:a="http://schemas.openxmlformats.org/drawingml/2006/main">
            <a:ext uri="{FF2B5EF4-FFF2-40B4-BE49-F238E27FC236}">
              <a16:creationId xmlns:a16="http://schemas.microsoft.com/office/drawing/2014/main" id="{EB573A96-65B0-8FDE-AEA4-20E0C9D0F4B0}"/>
            </a:ext>
          </a:extLst>
        </cdr:cNvPr>
        <cdr:cNvSpPr/>
      </cdr:nvSpPr>
      <cdr:spPr>
        <a:xfrm xmlns:a="http://schemas.openxmlformats.org/drawingml/2006/main">
          <a:off x="4103419" y="1385702"/>
          <a:ext cx="37287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7" h="38567">
              <a:moveTo>
                <a:pt x="18643" y="19284"/>
              </a:moveTo>
              <a:lnTo>
                <a:pt x="0" y="38566"/>
              </a:lnTo>
              <a:lnTo>
                <a:pt x="0" y="38566"/>
              </a:lnTo>
              <a:lnTo>
                <a:pt x="18643" y="19284"/>
              </a:lnTo>
              <a:lnTo>
                <a:pt x="37286" y="0"/>
              </a:lnTo>
              <a:lnTo>
                <a:pt x="3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0.56675</cdr:x>
      <cdr:y>0.18867</cdr:y>
    </cdr:from>
    <cdr:to>
      <cdr:x>0.57185</cdr:x>
      <cdr:y>0.19373</cdr:y>
    </cdr:to>
    <cdr:sp macro="" textlink="">
      <cdr:nvSpPr>
        <cdr:cNvPr id="570" name="FracNo 330 StartRow 5868">
          <a:extLst xmlns:a="http://schemas.openxmlformats.org/drawingml/2006/main">
            <a:ext uri="{FF2B5EF4-FFF2-40B4-BE49-F238E27FC236}">
              <a16:creationId xmlns:a16="http://schemas.microsoft.com/office/drawing/2014/main" id="{FCF147DC-09CB-FA84-A437-5B6C42637466}"/>
            </a:ext>
          </a:extLst>
        </cdr:cNvPr>
        <cdr:cNvSpPr/>
      </cdr:nvSpPr>
      <cdr:spPr>
        <a:xfrm xmlns:a="http://schemas.openxmlformats.org/drawingml/2006/main">
          <a:off x="4145904" y="1437681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3" y="19283"/>
              </a:moveTo>
              <a:lnTo>
                <a:pt x="0" y="38566"/>
              </a:lnTo>
              <a:lnTo>
                <a:pt x="0" y="38566"/>
              </a:lnTo>
              <a:lnTo>
                <a:pt x="18643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0.54892</cdr:x>
      <cdr:y>0.2397</cdr:y>
    </cdr:from>
    <cdr:to>
      <cdr:x>0.55401</cdr:x>
      <cdr:y>0.24476</cdr:y>
    </cdr:to>
    <cdr:sp macro="" textlink="">
      <cdr:nvSpPr>
        <cdr:cNvPr id="571" name="FracNo 322 StartRow 5877">
          <a:extLst xmlns:a="http://schemas.openxmlformats.org/drawingml/2006/main">
            <a:ext uri="{FF2B5EF4-FFF2-40B4-BE49-F238E27FC236}">
              <a16:creationId xmlns:a16="http://schemas.microsoft.com/office/drawing/2014/main" id="{F7184C44-BDD6-0D2A-0BEC-B4FB794280EE}"/>
            </a:ext>
          </a:extLst>
        </cdr:cNvPr>
        <cdr:cNvSpPr/>
      </cdr:nvSpPr>
      <cdr:spPr>
        <a:xfrm xmlns:a="http://schemas.openxmlformats.org/drawingml/2006/main">
          <a:off x="4015437" y="1826495"/>
          <a:ext cx="37286" cy="3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86" h="38567">
              <a:moveTo>
                <a:pt x="18642" y="19283"/>
              </a:moveTo>
              <a:lnTo>
                <a:pt x="0" y="38566"/>
              </a:lnTo>
              <a:lnTo>
                <a:pt x="0" y="38566"/>
              </a:lnTo>
              <a:lnTo>
                <a:pt x="18642" y="19283"/>
              </a:lnTo>
              <a:lnTo>
                <a:pt x="37285" y="0"/>
              </a:lnTo>
              <a:lnTo>
                <a:pt x="37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0.09223</cdr:x>
      <cdr:y>0.11123</cdr:y>
    </cdr:from>
    <cdr:to>
      <cdr:x>0.09719</cdr:x>
      <cdr:y>0.11615</cdr:y>
    </cdr:to>
    <cdr:sp macro="" textlink="">
      <cdr:nvSpPr>
        <cdr:cNvPr id="572" name="FracNo 413 StartRow 5886">
          <a:extLst xmlns:a="http://schemas.openxmlformats.org/drawingml/2006/main">
            <a:ext uri="{FF2B5EF4-FFF2-40B4-BE49-F238E27FC236}">
              <a16:creationId xmlns:a16="http://schemas.microsoft.com/office/drawing/2014/main" id="{768024B9-EC37-C543-9C80-BE2E53975103}"/>
            </a:ext>
          </a:extLst>
        </cdr:cNvPr>
        <cdr:cNvSpPr/>
      </cdr:nvSpPr>
      <cdr:spPr>
        <a:xfrm xmlns:a="http://schemas.openxmlformats.org/drawingml/2006/main">
          <a:off x="674665" y="847554"/>
          <a:ext cx="36291" cy="37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291" h="37537">
              <a:moveTo>
                <a:pt x="18643" y="18253"/>
              </a:moveTo>
              <a:lnTo>
                <a:pt x="0" y="37536"/>
              </a:lnTo>
              <a:lnTo>
                <a:pt x="0" y="37536"/>
              </a:lnTo>
              <a:lnTo>
                <a:pt x="18643" y="18253"/>
              </a:lnTo>
              <a:lnTo>
                <a:pt x="36290" y="0"/>
              </a:lnTo>
              <a:lnTo>
                <a:pt x="362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0.22379</cdr:x>
      <cdr:y>0.84981</cdr:y>
    </cdr:from>
    <cdr:to>
      <cdr:x>0.22818</cdr:x>
      <cdr:y>0.85417</cdr:y>
    </cdr:to>
    <cdr:sp macro="" textlink="">
      <cdr:nvSpPr>
        <cdr:cNvPr id="573" name="FracNo 19 StartRow 5895">
          <a:extLst xmlns:a="http://schemas.openxmlformats.org/drawingml/2006/main">
            <a:ext uri="{FF2B5EF4-FFF2-40B4-BE49-F238E27FC236}">
              <a16:creationId xmlns:a16="http://schemas.microsoft.com/office/drawing/2014/main" id="{404691A5-BE8C-FEF7-76A5-5F66C48B6887}"/>
            </a:ext>
          </a:extLst>
        </cdr:cNvPr>
        <cdr:cNvSpPr/>
      </cdr:nvSpPr>
      <cdr:spPr>
        <a:xfrm xmlns:a="http://schemas.openxmlformats.org/drawingml/2006/main">
          <a:off x="1637072" y="6475552"/>
          <a:ext cx="32111" cy="332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11" h="33214">
              <a:moveTo>
                <a:pt x="13467" y="19283"/>
              </a:moveTo>
              <a:lnTo>
                <a:pt x="0" y="33213"/>
              </a:lnTo>
              <a:lnTo>
                <a:pt x="0" y="33213"/>
              </a:lnTo>
              <a:lnTo>
                <a:pt x="13467" y="19283"/>
              </a:lnTo>
              <a:lnTo>
                <a:pt x="32110" y="0"/>
              </a:lnTo>
              <a:lnTo>
                <a:pt x="321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0.65601</cdr:x>
      <cdr:y>0.08859</cdr:y>
    </cdr:from>
    <cdr:to>
      <cdr:x>0.66035</cdr:x>
      <cdr:y>0.0929</cdr:y>
    </cdr:to>
    <cdr:sp macro="" textlink="">
      <cdr:nvSpPr>
        <cdr:cNvPr id="574" name="FracNo 333 StartRow 5904">
          <a:extLst xmlns:a="http://schemas.openxmlformats.org/drawingml/2006/main">
            <a:ext uri="{FF2B5EF4-FFF2-40B4-BE49-F238E27FC236}">
              <a16:creationId xmlns:a16="http://schemas.microsoft.com/office/drawing/2014/main" id="{A4F468C5-A88D-5161-5433-51545D8EAD68}"/>
            </a:ext>
          </a:extLst>
        </cdr:cNvPr>
        <cdr:cNvSpPr/>
      </cdr:nvSpPr>
      <cdr:spPr>
        <a:xfrm xmlns:a="http://schemas.openxmlformats.org/drawingml/2006/main">
          <a:off x="4798823" y="675048"/>
          <a:ext cx="31740" cy="328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740" h="32829">
              <a:moveTo>
                <a:pt x="13096" y="19282"/>
              </a:moveTo>
              <a:lnTo>
                <a:pt x="0" y="32828"/>
              </a:lnTo>
              <a:lnTo>
                <a:pt x="0" y="32828"/>
              </a:lnTo>
              <a:lnTo>
                <a:pt x="13096" y="19282"/>
              </a:lnTo>
              <a:lnTo>
                <a:pt x="21274" y="10824"/>
              </a:lnTo>
              <a:lnTo>
                <a:pt x="31739" y="0"/>
              </a:lnTo>
              <a:lnTo>
                <a:pt x="31739" y="0"/>
              </a:lnTo>
              <a:lnTo>
                <a:pt x="21274" y="108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0.11874</cdr:x>
      <cdr:y>0.38403</cdr:y>
    </cdr:from>
    <cdr:to>
      <cdr:x>0.12279</cdr:x>
      <cdr:y>0.38805</cdr:y>
    </cdr:to>
    <cdr:sp macro="" textlink="">
      <cdr:nvSpPr>
        <cdr:cNvPr id="575" name="FracNo 94 StartRow 5915">
          <a:extLst xmlns:a="http://schemas.openxmlformats.org/drawingml/2006/main">
            <a:ext uri="{FF2B5EF4-FFF2-40B4-BE49-F238E27FC236}">
              <a16:creationId xmlns:a16="http://schemas.microsoft.com/office/drawing/2014/main" id="{4C5570AE-2B3A-C6F0-5197-C392B7F9379C}"/>
            </a:ext>
          </a:extLst>
        </cdr:cNvPr>
        <cdr:cNvSpPr/>
      </cdr:nvSpPr>
      <cdr:spPr>
        <a:xfrm xmlns:a="http://schemas.openxmlformats.org/drawingml/2006/main">
          <a:off x="868587" y="2926283"/>
          <a:ext cx="29641" cy="30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641" h="30659">
              <a:moveTo>
                <a:pt x="18643" y="11374"/>
              </a:moveTo>
              <a:lnTo>
                <a:pt x="0" y="30658"/>
              </a:lnTo>
              <a:lnTo>
                <a:pt x="0" y="30658"/>
              </a:lnTo>
              <a:lnTo>
                <a:pt x="18643" y="11374"/>
              </a:lnTo>
              <a:lnTo>
                <a:pt x="29640" y="0"/>
              </a:lnTo>
              <a:lnTo>
                <a:pt x="296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0.12243</cdr:x>
      <cdr:y>0.37991</cdr:y>
    </cdr:from>
    <cdr:to>
      <cdr:x>0.12623</cdr:x>
      <cdr:y>0.38367</cdr:y>
    </cdr:to>
    <cdr:sp macro="" textlink="">
      <cdr:nvSpPr>
        <cdr:cNvPr id="576" name="FracNo 99 StartRow 5924">
          <a:extLst xmlns:a="http://schemas.openxmlformats.org/drawingml/2006/main">
            <a:ext uri="{FF2B5EF4-FFF2-40B4-BE49-F238E27FC236}">
              <a16:creationId xmlns:a16="http://schemas.microsoft.com/office/drawing/2014/main" id="{DF6BC979-5B52-2411-F079-91206AD4BF6C}"/>
            </a:ext>
          </a:extLst>
        </cdr:cNvPr>
        <cdr:cNvSpPr/>
      </cdr:nvSpPr>
      <cdr:spPr>
        <a:xfrm xmlns:a="http://schemas.openxmlformats.org/drawingml/2006/main">
          <a:off x="895624" y="2894882"/>
          <a:ext cx="27757" cy="287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57" h="28710">
              <a:moveTo>
                <a:pt x="9113" y="19284"/>
              </a:moveTo>
              <a:lnTo>
                <a:pt x="0" y="28709"/>
              </a:lnTo>
              <a:lnTo>
                <a:pt x="0" y="28709"/>
              </a:lnTo>
              <a:lnTo>
                <a:pt x="9113" y="19284"/>
              </a:lnTo>
              <a:lnTo>
                <a:pt x="27756" y="0"/>
              </a:lnTo>
              <a:lnTo>
                <a:pt x="277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0.61002</cdr:x>
      <cdr:y>0.19623</cdr:y>
    </cdr:from>
    <cdr:to>
      <cdr:x>0.61381</cdr:x>
      <cdr:y>0.2</cdr:y>
    </cdr:to>
    <cdr:sp macro="" textlink="">
      <cdr:nvSpPr>
        <cdr:cNvPr id="577" name="FracNo 326 StartRow 5933">
          <a:extLst xmlns:a="http://schemas.openxmlformats.org/drawingml/2006/main">
            <a:ext uri="{FF2B5EF4-FFF2-40B4-BE49-F238E27FC236}">
              <a16:creationId xmlns:a16="http://schemas.microsoft.com/office/drawing/2014/main" id="{7C2F4E7F-317C-807C-1AB7-6F7E6B985E8C}"/>
            </a:ext>
          </a:extLst>
        </cdr:cNvPr>
        <cdr:cNvSpPr/>
      </cdr:nvSpPr>
      <cdr:spPr>
        <a:xfrm xmlns:a="http://schemas.openxmlformats.org/drawingml/2006/main">
          <a:off x="4462399" y="1495271"/>
          <a:ext cx="27757" cy="287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57" h="28709">
              <a:moveTo>
                <a:pt x="9113" y="19283"/>
              </a:moveTo>
              <a:lnTo>
                <a:pt x="0" y="28708"/>
              </a:lnTo>
              <a:lnTo>
                <a:pt x="0" y="28708"/>
              </a:lnTo>
              <a:lnTo>
                <a:pt x="9113" y="19283"/>
              </a:lnTo>
              <a:lnTo>
                <a:pt x="27756" y="0"/>
              </a:lnTo>
              <a:lnTo>
                <a:pt x="277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0.86595</cdr:x>
      <cdr:y>0.74494</cdr:y>
    </cdr:from>
    <cdr:to>
      <cdr:x>0.87187</cdr:x>
      <cdr:y>0.75082</cdr:y>
    </cdr:to>
    <cdr:sp macro="" textlink="">
      <cdr:nvSpPr>
        <cdr:cNvPr id="578" name="FracNo 728 StartRow 5942">
          <a:extLst xmlns:a="http://schemas.openxmlformats.org/drawingml/2006/main">
            <a:ext uri="{FF2B5EF4-FFF2-40B4-BE49-F238E27FC236}">
              <a16:creationId xmlns:a16="http://schemas.microsoft.com/office/drawing/2014/main" id="{3674A41D-6BF4-4E16-4336-168CF86760C1}"/>
            </a:ext>
          </a:extLst>
        </cdr:cNvPr>
        <cdr:cNvSpPr/>
      </cdr:nvSpPr>
      <cdr:spPr>
        <a:xfrm xmlns:a="http://schemas.openxmlformats.org/drawingml/2006/main">
          <a:off x="6334573" y="5676480"/>
          <a:ext cx="43300" cy="447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300" h="44786">
              <a:moveTo>
                <a:pt x="23547" y="1679"/>
              </a:moveTo>
              <a:lnTo>
                <a:pt x="0" y="26033"/>
              </a:lnTo>
              <a:lnTo>
                <a:pt x="18130" y="44785"/>
              </a:lnTo>
              <a:lnTo>
                <a:pt x="41676" y="20430"/>
              </a:lnTo>
              <a:lnTo>
                <a:pt x="43299" y="18752"/>
              </a:lnTo>
              <a:lnTo>
                <a:pt x="251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0.50464</cdr:x>
      <cdr:y>0.52145</cdr:y>
    </cdr:from>
    <cdr:to>
      <cdr:x>0.50775</cdr:x>
      <cdr:y>0.52453</cdr:y>
    </cdr:to>
    <cdr:sp macro="" textlink="">
      <cdr:nvSpPr>
        <cdr:cNvPr id="579" name="FracNo 650 StartRow 5951">
          <a:extLst xmlns:a="http://schemas.openxmlformats.org/drawingml/2006/main">
            <a:ext uri="{FF2B5EF4-FFF2-40B4-BE49-F238E27FC236}">
              <a16:creationId xmlns:a16="http://schemas.microsoft.com/office/drawing/2014/main" id="{69E2A0C9-DE7F-B537-95DC-CBAD4CBDB39B}"/>
            </a:ext>
          </a:extLst>
        </cdr:cNvPr>
        <cdr:cNvSpPr/>
      </cdr:nvSpPr>
      <cdr:spPr>
        <a:xfrm xmlns:a="http://schemas.openxmlformats.org/drawingml/2006/main">
          <a:off x="3691533" y="3973414"/>
          <a:ext cx="22750" cy="235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50" h="23532">
              <a:moveTo>
                <a:pt x="4106" y="19283"/>
              </a:moveTo>
              <a:lnTo>
                <a:pt x="0" y="23531"/>
              </a:lnTo>
              <a:lnTo>
                <a:pt x="0" y="23531"/>
              </a:lnTo>
              <a:lnTo>
                <a:pt x="4106" y="19283"/>
              </a:lnTo>
              <a:lnTo>
                <a:pt x="22749" y="0"/>
              </a:lnTo>
              <a:lnTo>
                <a:pt x="227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0.3743</cdr:x>
      <cdr:y>0.29201</cdr:y>
    </cdr:from>
    <cdr:to>
      <cdr:x>0.37685</cdr:x>
      <cdr:y>0.29455</cdr:y>
    </cdr:to>
    <cdr:sp macro="" textlink="">
      <cdr:nvSpPr>
        <cdr:cNvPr id="580" name="FracNo 331 StartRow 5960">
          <a:extLst xmlns:a="http://schemas.openxmlformats.org/drawingml/2006/main">
            <a:ext uri="{FF2B5EF4-FFF2-40B4-BE49-F238E27FC236}">
              <a16:creationId xmlns:a16="http://schemas.microsoft.com/office/drawing/2014/main" id="{E3A9605E-79F7-CF98-1700-DF342A4DB6E4}"/>
            </a:ext>
          </a:extLst>
        </cdr:cNvPr>
        <cdr:cNvSpPr/>
      </cdr:nvSpPr>
      <cdr:spPr>
        <a:xfrm xmlns:a="http://schemas.openxmlformats.org/drawingml/2006/main">
          <a:off x="2738088" y="2225149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7798" y="11217"/>
              </a:lnTo>
              <a:lnTo>
                <a:pt x="0" y="19283"/>
              </a:lnTo>
              <a:lnTo>
                <a:pt x="0" y="19283"/>
              </a:lnTo>
              <a:lnTo>
                <a:pt x="7798" y="11217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0.10742</cdr:x>
      <cdr:y>0.50328</cdr:y>
    </cdr:from>
    <cdr:to>
      <cdr:x>0.10996</cdr:x>
      <cdr:y>0.50582</cdr:y>
    </cdr:to>
    <cdr:sp macro="" textlink="">
      <cdr:nvSpPr>
        <cdr:cNvPr id="581" name="FracNo 87 StartRow 5970">
          <a:extLst xmlns:a="http://schemas.openxmlformats.org/drawingml/2006/main">
            <a:ext uri="{FF2B5EF4-FFF2-40B4-BE49-F238E27FC236}">
              <a16:creationId xmlns:a16="http://schemas.microsoft.com/office/drawing/2014/main" id="{A20B8E56-B1FC-CFCF-7DE7-E5376422F5C9}"/>
            </a:ext>
          </a:extLst>
        </cdr:cNvPr>
        <cdr:cNvSpPr/>
      </cdr:nvSpPr>
      <cdr:spPr>
        <a:xfrm xmlns:a="http://schemas.openxmlformats.org/drawingml/2006/main">
          <a:off x="785764" y="3835029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0.60543</cdr:x>
      <cdr:y>0.51137</cdr:y>
    </cdr:from>
    <cdr:to>
      <cdr:x>0.60798</cdr:x>
      <cdr:y>0.5139</cdr:y>
    </cdr:to>
    <cdr:sp macro="" textlink="">
      <cdr:nvSpPr>
        <cdr:cNvPr id="582" name="FracNo 643 StartRow 5978">
          <a:extLst xmlns:a="http://schemas.openxmlformats.org/drawingml/2006/main">
            <a:ext uri="{FF2B5EF4-FFF2-40B4-BE49-F238E27FC236}">
              <a16:creationId xmlns:a16="http://schemas.microsoft.com/office/drawing/2014/main" id="{4DAAFFDF-E22C-C71A-6D33-EBBA99FFA580}"/>
            </a:ext>
          </a:extLst>
        </cdr:cNvPr>
        <cdr:cNvSpPr/>
      </cdr:nvSpPr>
      <cdr:spPr>
        <a:xfrm xmlns:a="http://schemas.openxmlformats.org/drawingml/2006/main">
          <a:off x="4428860" y="3896625"/>
          <a:ext cx="18644" cy="19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5">
              <a:moveTo>
                <a:pt x="0" y="19284"/>
              </a:moveTo>
              <a:lnTo>
                <a:pt x="0" y="19284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0.36991</cdr:x>
      <cdr:y>0.3955</cdr:y>
    </cdr:from>
    <cdr:to>
      <cdr:x>0.37246</cdr:x>
      <cdr:y>0.39803</cdr:y>
    </cdr:to>
    <cdr:sp macro="" textlink="">
      <cdr:nvSpPr>
        <cdr:cNvPr id="583" name="FracNo 86 StartRow 5985">
          <a:extLst xmlns:a="http://schemas.openxmlformats.org/drawingml/2006/main">
            <a:ext uri="{FF2B5EF4-FFF2-40B4-BE49-F238E27FC236}">
              <a16:creationId xmlns:a16="http://schemas.microsoft.com/office/drawing/2014/main" id="{ED672A3A-2DDD-38EC-B4B5-BAD0A8E2991F}"/>
            </a:ext>
          </a:extLst>
        </cdr:cNvPr>
        <cdr:cNvSpPr/>
      </cdr:nvSpPr>
      <cdr:spPr>
        <a:xfrm xmlns:a="http://schemas.openxmlformats.org/drawingml/2006/main">
          <a:off x="2705976" y="3013691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0.85572</cdr:x>
      <cdr:y>0.78377</cdr:y>
    </cdr:from>
    <cdr:to>
      <cdr:x>0.85827</cdr:x>
      <cdr:y>0.7863</cdr:y>
    </cdr:to>
    <cdr:sp macro="" textlink="">
      <cdr:nvSpPr>
        <cdr:cNvPr id="584" name="FracNo 487 StartRow 5992">
          <a:extLst xmlns:a="http://schemas.openxmlformats.org/drawingml/2006/main">
            <a:ext uri="{FF2B5EF4-FFF2-40B4-BE49-F238E27FC236}">
              <a16:creationId xmlns:a16="http://schemas.microsoft.com/office/drawing/2014/main" id="{89F4151B-09B5-0930-1442-ED516C35388A}"/>
            </a:ext>
          </a:extLst>
        </cdr:cNvPr>
        <cdr:cNvSpPr/>
      </cdr:nvSpPr>
      <cdr:spPr>
        <a:xfrm xmlns:a="http://schemas.openxmlformats.org/drawingml/2006/main">
          <a:off x="6259740" y="5972335"/>
          <a:ext cx="18644" cy="19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5">
              <a:moveTo>
                <a:pt x="0" y="19284"/>
              </a:moveTo>
              <a:lnTo>
                <a:pt x="0" y="19284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0.46995</cdr:x>
      <cdr:y>0.44751</cdr:y>
    </cdr:from>
    <cdr:to>
      <cdr:x>0.47249</cdr:x>
      <cdr:y>0.45004</cdr:y>
    </cdr:to>
    <cdr:sp macro="" textlink="">
      <cdr:nvSpPr>
        <cdr:cNvPr id="585" name="FracNo 652 StartRow 5999">
          <a:extLst xmlns:a="http://schemas.openxmlformats.org/drawingml/2006/main">
            <a:ext uri="{FF2B5EF4-FFF2-40B4-BE49-F238E27FC236}">
              <a16:creationId xmlns:a16="http://schemas.microsoft.com/office/drawing/2014/main" id="{8C3DDDCC-C027-1A35-C24D-B5C56D850AAE}"/>
            </a:ext>
          </a:extLst>
        </cdr:cNvPr>
        <cdr:cNvSpPr/>
      </cdr:nvSpPr>
      <cdr:spPr>
        <a:xfrm xmlns:a="http://schemas.openxmlformats.org/drawingml/2006/main">
          <a:off x="3437747" y="3409998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0.16045</cdr:x>
      <cdr:y>0.70003</cdr:y>
    </cdr:from>
    <cdr:to>
      <cdr:x>0.16299</cdr:x>
      <cdr:y>0.70256</cdr:y>
    </cdr:to>
    <cdr:sp macro="" textlink="">
      <cdr:nvSpPr>
        <cdr:cNvPr id="586" name="FracNo 20 StartRow 6007">
          <a:extLst xmlns:a="http://schemas.openxmlformats.org/drawingml/2006/main">
            <a:ext uri="{FF2B5EF4-FFF2-40B4-BE49-F238E27FC236}">
              <a16:creationId xmlns:a16="http://schemas.microsoft.com/office/drawing/2014/main" id="{A859D943-7053-CF15-7AD4-D83F1B97BB6C}"/>
            </a:ext>
          </a:extLst>
        </cdr:cNvPr>
        <cdr:cNvSpPr/>
      </cdr:nvSpPr>
      <cdr:spPr>
        <a:xfrm xmlns:a="http://schemas.openxmlformats.org/drawingml/2006/main">
          <a:off x="1173688" y="5334229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0.45618</cdr:x>
      <cdr:y>0.45095</cdr:y>
    </cdr:from>
    <cdr:to>
      <cdr:x>0.45873</cdr:x>
      <cdr:y>0.45348</cdr:y>
    </cdr:to>
    <cdr:sp macro="" textlink="">
      <cdr:nvSpPr>
        <cdr:cNvPr id="587" name="FracNo 653 StartRow 6015">
          <a:extLst xmlns:a="http://schemas.openxmlformats.org/drawingml/2006/main">
            <a:ext uri="{FF2B5EF4-FFF2-40B4-BE49-F238E27FC236}">
              <a16:creationId xmlns:a16="http://schemas.microsoft.com/office/drawing/2014/main" id="{82E19836-820F-7529-D5EC-000564805ACD}"/>
            </a:ext>
          </a:extLst>
        </cdr:cNvPr>
        <cdr:cNvSpPr/>
      </cdr:nvSpPr>
      <cdr:spPr>
        <a:xfrm xmlns:a="http://schemas.openxmlformats.org/drawingml/2006/main">
          <a:off x="3337080" y="3436232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0.47658</cdr:x>
      <cdr:y>0.51163</cdr:y>
    </cdr:from>
    <cdr:to>
      <cdr:x>0.47913</cdr:x>
      <cdr:y>0.51416</cdr:y>
    </cdr:to>
    <cdr:sp macro="" textlink="">
      <cdr:nvSpPr>
        <cdr:cNvPr id="588" name="FracNo 645 StartRow 6022">
          <a:extLst xmlns:a="http://schemas.openxmlformats.org/drawingml/2006/main">
            <a:ext uri="{FF2B5EF4-FFF2-40B4-BE49-F238E27FC236}">
              <a16:creationId xmlns:a16="http://schemas.microsoft.com/office/drawing/2014/main" id="{DA01BEA0-B336-3B32-2BB2-54EC74323934}"/>
            </a:ext>
          </a:extLst>
        </cdr:cNvPr>
        <cdr:cNvSpPr/>
      </cdr:nvSpPr>
      <cdr:spPr>
        <a:xfrm xmlns:a="http://schemas.openxmlformats.org/drawingml/2006/main">
          <a:off x="3486271" y="3898594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0.88561</cdr:x>
      <cdr:y>0.82207</cdr:y>
    </cdr:from>
    <cdr:to>
      <cdr:x>0.88816</cdr:x>
      <cdr:y>0.8246</cdr:y>
    </cdr:to>
    <cdr:sp macro="" textlink="">
      <cdr:nvSpPr>
        <cdr:cNvPr id="589" name="FracNo 492 StartRow 6030">
          <a:extLst xmlns:a="http://schemas.openxmlformats.org/drawingml/2006/main">
            <a:ext uri="{FF2B5EF4-FFF2-40B4-BE49-F238E27FC236}">
              <a16:creationId xmlns:a16="http://schemas.microsoft.com/office/drawing/2014/main" id="{C68FCBFF-1693-D042-7CF8-67BE706C3B36}"/>
            </a:ext>
          </a:extLst>
        </cdr:cNvPr>
        <cdr:cNvSpPr/>
      </cdr:nvSpPr>
      <cdr:spPr>
        <a:xfrm xmlns:a="http://schemas.openxmlformats.org/drawingml/2006/main">
          <a:off x="6478440" y="6264151"/>
          <a:ext cx="18644" cy="19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5">
              <a:moveTo>
                <a:pt x="0" y="19284"/>
              </a:moveTo>
              <a:lnTo>
                <a:pt x="0" y="19284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0.30377</cdr:x>
      <cdr:y>0.79119</cdr:y>
    </cdr:from>
    <cdr:to>
      <cdr:x>0.30632</cdr:x>
      <cdr:y>0.79372</cdr:y>
    </cdr:to>
    <cdr:sp macro="" textlink="">
      <cdr:nvSpPr>
        <cdr:cNvPr id="590" name="FracNo 2 StartRow 6037">
          <a:extLst xmlns:a="http://schemas.openxmlformats.org/drawingml/2006/main">
            <a:ext uri="{FF2B5EF4-FFF2-40B4-BE49-F238E27FC236}">
              <a16:creationId xmlns:a16="http://schemas.microsoft.com/office/drawing/2014/main" id="{AE7F59E4-F2F5-2E9D-794D-5F0881A52C49}"/>
            </a:ext>
          </a:extLst>
        </cdr:cNvPr>
        <cdr:cNvSpPr/>
      </cdr:nvSpPr>
      <cdr:spPr>
        <a:xfrm xmlns:a="http://schemas.openxmlformats.org/drawingml/2006/main">
          <a:off x="2222162" y="6028856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</cdr:x>
      <cdr:y>0.74273</cdr:y>
    </cdr:from>
    <cdr:to>
      <cdr:x>0.27155</cdr:x>
      <cdr:y>0.74526</cdr:y>
    </cdr:to>
    <cdr:sp macro="" textlink="">
      <cdr:nvSpPr>
        <cdr:cNvPr id="591" name="FracNo 16 StartRow 6045">
          <a:extLst xmlns:a="http://schemas.openxmlformats.org/drawingml/2006/main">
            <a:ext uri="{FF2B5EF4-FFF2-40B4-BE49-F238E27FC236}">
              <a16:creationId xmlns:a16="http://schemas.microsoft.com/office/drawing/2014/main" id="{644D386D-3DC0-1065-A3B8-C7F89C649857}"/>
            </a:ext>
          </a:extLst>
        </cdr:cNvPr>
        <cdr:cNvSpPr/>
      </cdr:nvSpPr>
      <cdr:spPr>
        <a:xfrm xmlns:a="http://schemas.openxmlformats.org/drawingml/2006/main">
          <a:off x="1967764" y="5659594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0.63865</cdr:x>
      <cdr:y>0.5672</cdr:y>
    </cdr:from>
    <cdr:to>
      <cdr:x>0.64119</cdr:x>
      <cdr:y>0.56973</cdr:y>
    </cdr:to>
    <cdr:sp macro="" textlink="">
      <cdr:nvSpPr>
        <cdr:cNvPr id="592" name="FracNo 649 StartRow 6053">
          <a:extLst xmlns:a="http://schemas.openxmlformats.org/drawingml/2006/main">
            <a:ext uri="{FF2B5EF4-FFF2-40B4-BE49-F238E27FC236}">
              <a16:creationId xmlns:a16="http://schemas.microsoft.com/office/drawing/2014/main" id="{E5CAF09A-C40B-5DBA-D5BF-BADF1273B9C4}"/>
            </a:ext>
          </a:extLst>
        </cdr:cNvPr>
        <cdr:cNvSpPr/>
      </cdr:nvSpPr>
      <cdr:spPr>
        <a:xfrm xmlns:a="http://schemas.openxmlformats.org/drawingml/2006/main">
          <a:off x="4671821" y="4322027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0.71606</cdr:x>
      <cdr:y>0.80576</cdr:y>
    </cdr:from>
    <cdr:to>
      <cdr:x>0.71861</cdr:x>
      <cdr:y>0.80829</cdr:y>
    </cdr:to>
    <cdr:sp macro="" textlink="">
      <cdr:nvSpPr>
        <cdr:cNvPr id="593" name="FracNo 494 StartRow 6061">
          <a:extLst xmlns:a="http://schemas.openxmlformats.org/drawingml/2006/main">
            <a:ext uri="{FF2B5EF4-FFF2-40B4-BE49-F238E27FC236}">
              <a16:creationId xmlns:a16="http://schemas.microsoft.com/office/drawing/2014/main" id="{DFDB078E-77EB-9CE7-FD23-5BE2F36183F3}"/>
            </a:ext>
          </a:extLst>
        </cdr:cNvPr>
        <cdr:cNvSpPr/>
      </cdr:nvSpPr>
      <cdr:spPr>
        <a:xfrm xmlns:a="http://schemas.openxmlformats.org/drawingml/2006/main">
          <a:off x="5238146" y="6139869"/>
          <a:ext cx="18644" cy="19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5">
              <a:moveTo>
                <a:pt x="18643" y="0"/>
              </a:moveTo>
              <a:lnTo>
                <a:pt x="0" y="19284"/>
              </a:lnTo>
              <a:lnTo>
                <a:pt x="0" y="19284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0.25752</cdr:x>
      <cdr:y>0.79455</cdr:y>
    </cdr:from>
    <cdr:to>
      <cdr:x>0.26007</cdr:x>
      <cdr:y>0.79708</cdr:y>
    </cdr:to>
    <cdr:sp macro="" textlink="">
      <cdr:nvSpPr>
        <cdr:cNvPr id="594" name="FracNo 11 StartRow 6069">
          <a:extLst xmlns:a="http://schemas.openxmlformats.org/drawingml/2006/main">
            <a:ext uri="{FF2B5EF4-FFF2-40B4-BE49-F238E27FC236}">
              <a16:creationId xmlns:a16="http://schemas.microsoft.com/office/drawing/2014/main" id="{C6440456-02BA-392E-9AE6-BFE9707E90C5}"/>
            </a:ext>
          </a:extLst>
        </cdr:cNvPr>
        <cdr:cNvSpPr/>
      </cdr:nvSpPr>
      <cdr:spPr>
        <a:xfrm xmlns:a="http://schemas.openxmlformats.org/drawingml/2006/main">
          <a:off x="1883811" y="6054486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0.36368</cdr:x>
      <cdr:y>0.91059</cdr:y>
    </cdr:from>
    <cdr:to>
      <cdr:x>0.36623</cdr:x>
      <cdr:y>0.91312</cdr:y>
    </cdr:to>
    <cdr:sp macro="" textlink="">
      <cdr:nvSpPr>
        <cdr:cNvPr id="595" name="FracNo 10 StartRow 6076">
          <a:extLst xmlns:a="http://schemas.openxmlformats.org/drawingml/2006/main">
            <a:ext uri="{FF2B5EF4-FFF2-40B4-BE49-F238E27FC236}">
              <a16:creationId xmlns:a16="http://schemas.microsoft.com/office/drawing/2014/main" id="{A1AA43CE-5B24-F489-4A13-88685ABCB8CD}"/>
            </a:ext>
          </a:extLst>
        </cdr:cNvPr>
        <cdr:cNvSpPr/>
      </cdr:nvSpPr>
      <cdr:spPr>
        <a:xfrm xmlns:a="http://schemas.openxmlformats.org/drawingml/2006/main">
          <a:off x="2660386" y="6938658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0.87582</cdr:x>
      <cdr:y>0.91446</cdr:y>
    </cdr:from>
    <cdr:to>
      <cdr:x>0.87837</cdr:x>
      <cdr:y>0.91699</cdr:y>
    </cdr:to>
    <cdr:sp macro="" textlink="">
      <cdr:nvSpPr>
        <cdr:cNvPr id="596" name="FracNo 496 StartRow 6084">
          <a:extLst xmlns:a="http://schemas.openxmlformats.org/drawingml/2006/main">
            <a:ext uri="{FF2B5EF4-FFF2-40B4-BE49-F238E27FC236}">
              <a16:creationId xmlns:a16="http://schemas.microsoft.com/office/drawing/2014/main" id="{90B3048B-FF14-5955-F2D2-E8C227822A9A}"/>
            </a:ext>
          </a:extLst>
        </cdr:cNvPr>
        <cdr:cNvSpPr/>
      </cdr:nvSpPr>
      <cdr:spPr>
        <a:xfrm xmlns:a="http://schemas.openxmlformats.org/drawingml/2006/main">
          <a:off x="6406811" y="6968186"/>
          <a:ext cx="18644" cy="19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5">
              <a:moveTo>
                <a:pt x="18643" y="0"/>
              </a:moveTo>
              <a:lnTo>
                <a:pt x="0" y="19284"/>
              </a:lnTo>
              <a:lnTo>
                <a:pt x="0" y="19284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0.1085</cdr:x>
      <cdr:y>0.51465</cdr:y>
    </cdr:from>
    <cdr:to>
      <cdr:x>0.11105</cdr:x>
      <cdr:y>0.51718</cdr:y>
    </cdr:to>
    <cdr:sp macro="" textlink="">
      <cdr:nvSpPr>
        <cdr:cNvPr id="597" name="FracNo 81 StartRow 6092">
          <a:extLst xmlns:a="http://schemas.openxmlformats.org/drawingml/2006/main">
            <a:ext uri="{FF2B5EF4-FFF2-40B4-BE49-F238E27FC236}">
              <a16:creationId xmlns:a16="http://schemas.microsoft.com/office/drawing/2014/main" id="{95BC0CEC-1E98-1FA9-056F-376F5E00BB71}"/>
            </a:ext>
          </a:extLst>
        </cdr:cNvPr>
        <cdr:cNvSpPr/>
      </cdr:nvSpPr>
      <cdr:spPr>
        <a:xfrm xmlns:a="http://schemas.openxmlformats.org/drawingml/2006/main">
          <a:off x="793684" y="3921600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0.16023</cdr:x>
      <cdr:y>0.36404</cdr:y>
    </cdr:from>
    <cdr:to>
      <cdr:x>0.16277</cdr:x>
      <cdr:y>0.36658</cdr:y>
    </cdr:to>
    <cdr:sp macro="" textlink="">
      <cdr:nvSpPr>
        <cdr:cNvPr id="598" name="FracNo 403 StartRow 6100">
          <a:extLst xmlns:a="http://schemas.openxmlformats.org/drawingml/2006/main">
            <a:ext uri="{FF2B5EF4-FFF2-40B4-BE49-F238E27FC236}">
              <a16:creationId xmlns:a16="http://schemas.microsoft.com/office/drawing/2014/main" id="{BC909724-BFC7-9BA6-6567-83FE9D4424E8}"/>
            </a:ext>
          </a:extLst>
        </cdr:cNvPr>
        <cdr:cNvSpPr/>
      </cdr:nvSpPr>
      <cdr:spPr>
        <a:xfrm xmlns:a="http://schemas.openxmlformats.org/drawingml/2006/main">
          <a:off x="1172080" y="2774022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0.48056</cdr:x>
      <cdr:y>0.89119</cdr:y>
    </cdr:from>
    <cdr:to>
      <cdr:x>0.48311</cdr:x>
      <cdr:y>0.89372</cdr:y>
    </cdr:to>
    <cdr:sp macro="" textlink="">
      <cdr:nvSpPr>
        <cdr:cNvPr id="599" name="FracNo 175 StartRow 6108">
          <a:extLst xmlns:a="http://schemas.openxmlformats.org/drawingml/2006/main">
            <a:ext uri="{FF2B5EF4-FFF2-40B4-BE49-F238E27FC236}">
              <a16:creationId xmlns:a16="http://schemas.microsoft.com/office/drawing/2014/main" id="{E5B42385-DE3B-F65F-B4A0-D264B8BEC276}"/>
            </a:ext>
          </a:extLst>
        </cdr:cNvPr>
        <cdr:cNvSpPr/>
      </cdr:nvSpPr>
      <cdr:spPr>
        <a:xfrm xmlns:a="http://schemas.openxmlformats.org/drawingml/2006/main">
          <a:off x="3515405" y="6790893"/>
          <a:ext cx="18644" cy="19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5">
              <a:moveTo>
                <a:pt x="18643" y="0"/>
              </a:moveTo>
              <a:lnTo>
                <a:pt x="0" y="19284"/>
              </a:lnTo>
              <a:lnTo>
                <a:pt x="0" y="19284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0.67683</cdr:x>
      <cdr:y>0.87911</cdr:y>
    </cdr:from>
    <cdr:to>
      <cdr:x>0.67938</cdr:x>
      <cdr:y>0.88164</cdr:y>
    </cdr:to>
    <cdr:sp macro="" textlink="">
      <cdr:nvSpPr>
        <cdr:cNvPr id="600" name="FracNo 481 StartRow 6116">
          <a:extLst xmlns:a="http://schemas.openxmlformats.org/drawingml/2006/main">
            <a:ext uri="{FF2B5EF4-FFF2-40B4-BE49-F238E27FC236}">
              <a16:creationId xmlns:a16="http://schemas.microsoft.com/office/drawing/2014/main" id="{C4AB0CDE-8BB4-358E-6E64-EA8A1AC35BF3}"/>
            </a:ext>
          </a:extLst>
        </cdr:cNvPr>
        <cdr:cNvSpPr/>
      </cdr:nvSpPr>
      <cdr:spPr>
        <a:xfrm xmlns:a="http://schemas.openxmlformats.org/drawingml/2006/main">
          <a:off x="4951161" y="6698799"/>
          <a:ext cx="18644" cy="192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3">
              <a:moveTo>
                <a:pt x="18643" y="0"/>
              </a:moveTo>
              <a:lnTo>
                <a:pt x="0" y="19282"/>
              </a:lnTo>
              <a:lnTo>
                <a:pt x="0" y="19282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0.78967</cdr:x>
      <cdr:y>0.67225</cdr:y>
    </cdr:from>
    <cdr:to>
      <cdr:x>0.79222</cdr:x>
      <cdr:y>0.67478</cdr:y>
    </cdr:to>
    <cdr:sp macro="" textlink="">
      <cdr:nvSpPr>
        <cdr:cNvPr id="601" name="FracNo 500 StartRow 6124">
          <a:extLst xmlns:a="http://schemas.openxmlformats.org/drawingml/2006/main">
            <a:ext uri="{FF2B5EF4-FFF2-40B4-BE49-F238E27FC236}">
              <a16:creationId xmlns:a16="http://schemas.microsoft.com/office/drawing/2014/main" id="{72B4D460-9D71-52A6-B3B6-90118D01B09B}"/>
            </a:ext>
          </a:extLst>
        </cdr:cNvPr>
        <cdr:cNvSpPr/>
      </cdr:nvSpPr>
      <cdr:spPr>
        <a:xfrm xmlns:a="http://schemas.openxmlformats.org/drawingml/2006/main">
          <a:off x="5776602" y="5122559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0.27982</cdr:x>
      <cdr:y>0.45819</cdr:y>
    </cdr:from>
    <cdr:to>
      <cdr:x>0.28237</cdr:x>
      <cdr:y>0.46072</cdr:y>
    </cdr:to>
    <cdr:sp macro="" textlink="">
      <cdr:nvSpPr>
        <cdr:cNvPr id="602" name="FracNo 92 StartRow 6132">
          <a:extLst xmlns:a="http://schemas.openxmlformats.org/drawingml/2006/main">
            <a:ext uri="{FF2B5EF4-FFF2-40B4-BE49-F238E27FC236}">
              <a16:creationId xmlns:a16="http://schemas.microsoft.com/office/drawing/2014/main" id="{8472302B-4A1B-5342-629D-567806D26C2D}"/>
            </a:ext>
          </a:extLst>
        </cdr:cNvPr>
        <cdr:cNvSpPr/>
      </cdr:nvSpPr>
      <cdr:spPr>
        <a:xfrm xmlns:a="http://schemas.openxmlformats.org/drawingml/2006/main">
          <a:off x="2046940" y="3491410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0.7017</cdr:x>
      <cdr:y>0.61998</cdr:y>
    </cdr:from>
    <cdr:to>
      <cdr:x>0.70425</cdr:x>
      <cdr:y>0.62251</cdr:y>
    </cdr:to>
    <cdr:sp macro="" textlink="">
      <cdr:nvSpPr>
        <cdr:cNvPr id="603" name="FracNo 571 StartRow 6139">
          <a:extLst xmlns:a="http://schemas.openxmlformats.org/drawingml/2006/main">
            <a:ext uri="{FF2B5EF4-FFF2-40B4-BE49-F238E27FC236}">
              <a16:creationId xmlns:a16="http://schemas.microsoft.com/office/drawing/2014/main" id="{E251C4FB-D462-C296-B3D3-4E578190D3D3}"/>
            </a:ext>
          </a:extLst>
        </cdr:cNvPr>
        <cdr:cNvSpPr/>
      </cdr:nvSpPr>
      <cdr:spPr>
        <a:xfrm xmlns:a="http://schemas.openxmlformats.org/drawingml/2006/main">
          <a:off x="5133068" y="4724250"/>
          <a:ext cx="18645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5" h="19284">
              <a:moveTo>
                <a:pt x="18644" y="0"/>
              </a:moveTo>
              <a:lnTo>
                <a:pt x="0" y="19283"/>
              </a:lnTo>
              <a:lnTo>
                <a:pt x="0" y="19283"/>
              </a:lnTo>
              <a:lnTo>
                <a:pt x="1864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0.52289</cdr:x>
      <cdr:y>0.85496</cdr:y>
    </cdr:from>
    <cdr:to>
      <cdr:x>0.52544</cdr:x>
      <cdr:y>0.85749</cdr:y>
    </cdr:to>
    <cdr:sp macro="" textlink="">
      <cdr:nvSpPr>
        <cdr:cNvPr id="604" name="FracNo 179 StartRow 6147">
          <a:extLst xmlns:a="http://schemas.openxmlformats.org/drawingml/2006/main">
            <a:ext uri="{FF2B5EF4-FFF2-40B4-BE49-F238E27FC236}">
              <a16:creationId xmlns:a16="http://schemas.microsoft.com/office/drawing/2014/main" id="{065E3F60-5AE2-EDF9-9AFB-F6723C3D9242}"/>
            </a:ext>
          </a:extLst>
        </cdr:cNvPr>
        <cdr:cNvSpPr/>
      </cdr:nvSpPr>
      <cdr:spPr>
        <a:xfrm xmlns:a="http://schemas.openxmlformats.org/drawingml/2006/main">
          <a:off x="3825074" y="6514799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0.56268</cdr:x>
      <cdr:y>0.91065</cdr:y>
    </cdr:from>
    <cdr:to>
      <cdr:x>0.56523</cdr:x>
      <cdr:y>0.91318</cdr:y>
    </cdr:to>
    <cdr:sp macro="" textlink="">
      <cdr:nvSpPr>
        <cdr:cNvPr id="605" name="FracNo 176 StartRow 6155">
          <a:extLst xmlns:a="http://schemas.openxmlformats.org/drawingml/2006/main">
            <a:ext uri="{FF2B5EF4-FFF2-40B4-BE49-F238E27FC236}">
              <a16:creationId xmlns:a16="http://schemas.microsoft.com/office/drawing/2014/main" id="{4C49C16B-B55F-1DB5-5EEB-0B8733767B6A}"/>
            </a:ext>
          </a:extLst>
        </cdr:cNvPr>
        <cdr:cNvSpPr/>
      </cdr:nvSpPr>
      <cdr:spPr>
        <a:xfrm xmlns:a="http://schemas.openxmlformats.org/drawingml/2006/main">
          <a:off x="4116121" y="6939126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0.634</cdr:x>
      <cdr:y>0.81927</cdr:y>
    </cdr:from>
    <cdr:to>
      <cdr:x>0.63655</cdr:x>
      <cdr:y>0.8218</cdr:y>
    </cdr:to>
    <cdr:sp macro="" textlink="">
      <cdr:nvSpPr>
        <cdr:cNvPr id="606" name="FracNo 173 StartRow 6163">
          <a:extLst xmlns:a="http://schemas.openxmlformats.org/drawingml/2006/main">
            <a:ext uri="{FF2B5EF4-FFF2-40B4-BE49-F238E27FC236}">
              <a16:creationId xmlns:a16="http://schemas.microsoft.com/office/drawing/2014/main" id="{12DF4E61-409A-4AB5-2F4B-22BE1356D530}"/>
            </a:ext>
          </a:extLst>
        </cdr:cNvPr>
        <cdr:cNvSpPr/>
      </cdr:nvSpPr>
      <cdr:spPr>
        <a:xfrm xmlns:a="http://schemas.openxmlformats.org/drawingml/2006/main">
          <a:off x="4637870" y="6242803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0.45418</cdr:x>
      <cdr:y>0.7391</cdr:y>
    </cdr:from>
    <cdr:to>
      <cdr:x>0.45673</cdr:x>
      <cdr:y>0.74163</cdr:y>
    </cdr:to>
    <cdr:sp macro="" textlink="">
      <cdr:nvSpPr>
        <cdr:cNvPr id="607" name="FracNo 172 StartRow 6171">
          <a:extLst xmlns:a="http://schemas.openxmlformats.org/drawingml/2006/main">
            <a:ext uri="{FF2B5EF4-FFF2-40B4-BE49-F238E27FC236}">
              <a16:creationId xmlns:a16="http://schemas.microsoft.com/office/drawing/2014/main" id="{6F333877-475C-CD67-B70B-193208147E8B}"/>
            </a:ext>
          </a:extLst>
        </cdr:cNvPr>
        <cdr:cNvSpPr/>
      </cdr:nvSpPr>
      <cdr:spPr>
        <a:xfrm xmlns:a="http://schemas.openxmlformats.org/drawingml/2006/main">
          <a:off x="3322435" y="5631962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0.52026</cdr:x>
      <cdr:y>0.48105</cdr:y>
    </cdr:from>
    <cdr:to>
      <cdr:x>0.52281</cdr:x>
      <cdr:y>0.48358</cdr:y>
    </cdr:to>
    <cdr:sp macro="" textlink="">
      <cdr:nvSpPr>
        <cdr:cNvPr id="608" name="FracNo 641 StartRow 6178">
          <a:extLst xmlns:a="http://schemas.openxmlformats.org/drawingml/2006/main">
            <a:ext uri="{FF2B5EF4-FFF2-40B4-BE49-F238E27FC236}">
              <a16:creationId xmlns:a16="http://schemas.microsoft.com/office/drawing/2014/main" id="{65F291D6-34CF-D4F9-85A5-6E0306DD2CB2}"/>
            </a:ext>
          </a:extLst>
        </cdr:cNvPr>
        <cdr:cNvSpPr/>
      </cdr:nvSpPr>
      <cdr:spPr>
        <a:xfrm xmlns:a="http://schemas.openxmlformats.org/drawingml/2006/main">
          <a:off x="3805815" y="3665574"/>
          <a:ext cx="18644" cy="192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3">
              <a:moveTo>
                <a:pt x="18643" y="0"/>
              </a:moveTo>
              <a:lnTo>
                <a:pt x="0" y="19282"/>
              </a:lnTo>
              <a:lnTo>
                <a:pt x="0" y="19282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0.43056</cdr:x>
      <cdr:y>0.89278</cdr:y>
    </cdr:from>
    <cdr:to>
      <cdr:x>0.43311</cdr:x>
      <cdr:y>0.89531</cdr:y>
    </cdr:to>
    <cdr:sp macro="" textlink="">
      <cdr:nvSpPr>
        <cdr:cNvPr id="609" name="FracNo 168 StartRow 6186">
          <a:extLst xmlns:a="http://schemas.openxmlformats.org/drawingml/2006/main">
            <a:ext uri="{FF2B5EF4-FFF2-40B4-BE49-F238E27FC236}">
              <a16:creationId xmlns:a16="http://schemas.microsoft.com/office/drawing/2014/main" id="{7D70A3F0-35E6-0B11-4B2A-D2A8392C590E}"/>
            </a:ext>
          </a:extLst>
        </cdr:cNvPr>
        <cdr:cNvSpPr/>
      </cdr:nvSpPr>
      <cdr:spPr>
        <a:xfrm xmlns:a="http://schemas.openxmlformats.org/drawingml/2006/main">
          <a:off x="3149624" y="6802958"/>
          <a:ext cx="18644" cy="19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5">
              <a:moveTo>
                <a:pt x="18643" y="0"/>
              </a:moveTo>
              <a:lnTo>
                <a:pt x="0" y="19284"/>
              </a:lnTo>
              <a:lnTo>
                <a:pt x="0" y="19284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0.41606</cdr:x>
      <cdr:y>0.85273</cdr:y>
    </cdr:from>
    <cdr:to>
      <cdr:x>0.41861</cdr:x>
      <cdr:y>0.85526</cdr:y>
    </cdr:to>
    <cdr:sp macro="" textlink="">
      <cdr:nvSpPr>
        <cdr:cNvPr id="610" name="FracNo 166 StartRow 6194">
          <a:extLst xmlns:a="http://schemas.openxmlformats.org/drawingml/2006/main">
            <a:ext uri="{FF2B5EF4-FFF2-40B4-BE49-F238E27FC236}">
              <a16:creationId xmlns:a16="http://schemas.microsoft.com/office/drawing/2014/main" id="{54D354A7-BC7F-F10C-F2EF-284D32877925}"/>
            </a:ext>
          </a:extLst>
        </cdr:cNvPr>
        <cdr:cNvSpPr/>
      </cdr:nvSpPr>
      <cdr:spPr>
        <a:xfrm xmlns:a="http://schemas.openxmlformats.org/drawingml/2006/main">
          <a:off x="3043539" y="6497821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0.499</cdr:x>
      <cdr:y>0.77893</cdr:y>
    </cdr:from>
    <cdr:to>
      <cdr:x>0.50154</cdr:x>
      <cdr:y>0.78146</cdr:y>
    </cdr:to>
    <cdr:sp macro="" textlink="">
      <cdr:nvSpPr>
        <cdr:cNvPr id="611" name="FracNo 164 StartRow 6202">
          <a:extLst xmlns:a="http://schemas.openxmlformats.org/drawingml/2006/main">
            <a:ext uri="{FF2B5EF4-FFF2-40B4-BE49-F238E27FC236}">
              <a16:creationId xmlns:a16="http://schemas.microsoft.com/office/drawing/2014/main" id="{06596E6D-A22E-C9C1-2154-01F56BE69422}"/>
            </a:ext>
          </a:extLst>
        </cdr:cNvPr>
        <cdr:cNvSpPr/>
      </cdr:nvSpPr>
      <cdr:spPr>
        <a:xfrm xmlns:a="http://schemas.openxmlformats.org/drawingml/2006/main">
          <a:off x="3650256" y="5935453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0.10509</cdr:x>
      <cdr:y>0.20289</cdr:y>
    </cdr:from>
    <cdr:to>
      <cdr:x>0.10764</cdr:x>
      <cdr:y>0.20542</cdr:y>
    </cdr:to>
    <cdr:sp macro="" textlink="">
      <cdr:nvSpPr>
        <cdr:cNvPr id="612" name="FracNo 416 StartRow 6209">
          <a:extLst xmlns:a="http://schemas.openxmlformats.org/drawingml/2006/main">
            <a:ext uri="{FF2B5EF4-FFF2-40B4-BE49-F238E27FC236}">
              <a16:creationId xmlns:a16="http://schemas.microsoft.com/office/drawing/2014/main" id="{AD22C55E-A017-AC34-0D2D-8AB18CEDE042}"/>
            </a:ext>
          </a:extLst>
        </cdr:cNvPr>
        <cdr:cNvSpPr/>
      </cdr:nvSpPr>
      <cdr:spPr>
        <a:xfrm xmlns:a="http://schemas.openxmlformats.org/drawingml/2006/main">
          <a:off x="768781" y="1546002"/>
          <a:ext cx="18644" cy="192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3">
              <a:moveTo>
                <a:pt x="18643" y="0"/>
              </a:moveTo>
              <a:lnTo>
                <a:pt x="0" y="19282"/>
              </a:lnTo>
              <a:lnTo>
                <a:pt x="0" y="19282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0.52247</cdr:x>
      <cdr:y>0.90305</cdr:y>
    </cdr:from>
    <cdr:to>
      <cdr:x>0.52502</cdr:x>
      <cdr:y>0.90558</cdr:y>
    </cdr:to>
    <cdr:sp macro="" textlink="">
      <cdr:nvSpPr>
        <cdr:cNvPr id="613" name="FracNo 162 StartRow 6217">
          <a:extLst xmlns:a="http://schemas.openxmlformats.org/drawingml/2006/main">
            <a:ext uri="{FF2B5EF4-FFF2-40B4-BE49-F238E27FC236}">
              <a16:creationId xmlns:a16="http://schemas.microsoft.com/office/drawing/2014/main" id="{18325FDB-E52F-5883-7F80-60EFA5A06481}"/>
            </a:ext>
          </a:extLst>
        </cdr:cNvPr>
        <cdr:cNvSpPr/>
      </cdr:nvSpPr>
      <cdr:spPr>
        <a:xfrm xmlns:a="http://schemas.openxmlformats.org/drawingml/2006/main">
          <a:off x="3821994" y="6881243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0.55547</cdr:x>
      <cdr:y>0.72759</cdr:y>
    </cdr:from>
    <cdr:to>
      <cdr:x>0.55802</cdr:x>
      <cdr:y>0.73012</cdr:y>
    </cdr:to>
    <cdr:sp macro="" textlink="">
      <cdr:nvSpPr>
        <cdr:cNvPr id="614" name="FracNo 169 StartRow 6225">
          <a:extLst xmlns:a="http://schemas.openxmlformats.org/drawingml/2006/main">
            <a:ext uri="{FF2B5EF4-FFF2-40B4-BE49-F238E27FC236}">
              <a16:creationId xmlns:a16="http://schemas.microsoft.com/office/drawing/2014/main" id="{5011D0B9-11C1-DBF8-ED90-4D0AFC936D1A}"/>
            </a:ext>
          </a:extLst>
        </cdr:cNvPr>
        <cdr:cNvSpPr/>
      </cdr:nvSpPr>
      <cdr:spPr>
        <a:xfrm xmlns:a="http://schemas.openxmlformats.org/drawingml/2006/main">
          <a:off x="4063396" y="5544239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0.49543</cdr:x>
      <cdr:y>0.10335</cdr:y>
    </cdr:from>
    <cdr:to>
      <cdr:x>0.49798</cdr:x>
      <cdr:y>0.10588</cdr:y>
    </cdr:to>
    <cdr:sp macro="" textlink="">
      <cdr:nvSpPr>
        <cdr:cNvPr id="615" name="FracNo 334 StartRow 6233">
          <a:extLst xmlns:a="http://schemas.openxmlformats.org/drawingml/2006/main">
            <a:ext uri="{FF2B5EF4-FFF2-40B4-BE49-F238E27FC236}">
              <a16:creationId xmlns:a16="http://schemas.microsoft.com/office/drawing/2014/main" id="{062B7D92-7D19-86DA-68C1-911E79FFE298}"/>
            </a:ext>
          </a:extLst>
        </cdr:cNvPr>
        <cdr:cNvSpPr/>
      </cdr:nvSpPr>
      <cdr:spPr>
        <a:xfrm xmlns:a="http://schemas.openxmlformats.org/drawingml/2006/main">
          <a:off x="3624180" y="787517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0.55367</cdr:x>
      <cdr:y>0.14015</cdr:y>
    </cdr:from>
    <cdr:to>
      <cdr:x>0.55622</cdr:x>
      <cdr:y>0.14268</cdr:y>
    </cdr:to>
    <cdr:sp macro="" textlink="">
      <cdr:nvSpPr>
        <cdr:cNvPr id="616" name="FracNo 325 StartRow 6240">
          <a:extLst xmlns:a="http://schemas.openxmlformats.org/drawingml/2006/main">
            <a:ext uri="{FF2B5EF4-FFF2-40B4-BE49-F238E27FC236}">
              <a16:creationId xmlns:a16="http://schemas.microsoft.com/office/drawing/2014/main" id="{1630F393-C17A-F211-CA53-DFA4A2C451AE}"/>
            </a:ext>
          </a:extLst>
        </cdr:cNvPr>
        <cdr:cNvSpPr/>
      </cdr:nvSpPr>
      <cdr:spPr>
        <a:xfrm xmlns:a="http://schemas.openxmlformats.org/drawingml/2006/main">
          <a:off x="4050189" y="1067965"/>
          <a:ext cx="18644" cy="19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5">
              <a:moveTo>
                <a:pt x="0" y="19284"/>
              </a:moveTo>
              <a:lnTo>
                <a:pt x="0" y="19284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0.76623</cdr:x>
      <cdr:y>0.23004</cdr:y>
    </cdr:from>
    <cdr:to>
      <cdr:x>0.76878</cdr:x>
      <cdr:y>0.23257</cdr:y>
    </cdr:to>
    <cdr:sp macro="" textlink="">
      <cdr:nvSpPr>
        <cdr:cNvPr id="617" name="FracNo 259 StartRow 6247">
          <a:extLst xmlns:a="http://schemas.openxmlformats.org/drawingml/2006/main">
            <a:ext uri="{FF2B5EF4-FFF2-40B4-BE49-F238E27FC236}">
              <a16:creationId xmlns:a16="http://schemas.microsoft.com/office/drawing/2014/main" id="{AE343652-C0DF-83FD-213E-0551BA4EF008}"/>
            </a:ext>
          </a:extLst>
        </cdr:cNvPr>
        <cdr:cNvSpPr/>
      </cdr:nvSpPr>
      <cdr:spPr>
        <a:xfrm xmlns:a="http://schemas.openxmlformats.org/drawingml/2006/main">
          <a:off x="5605116" y="1752908"/>
          <a:ext cx="18643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3" h="19284">
              <a:moveTo>
                <a:pt x="0" y="19283"/>
              </a:moveTo>
              <a:lnTo>
                <a:pt x="0" y="19283"/>
              </a:lnTo>
              <a:lnTo>
                <a:pt x="18642" y="0"/>
              </a:lnTo>
              <a:lnTo>
                <a:pt x="186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0.6835</cdr:x>
      <cdr:y>0.14235</cdr:y>
    </cdr:from>
    <cdr:to>
      <cdr:x>0.68605</cdr:x>
      <cdr:y>0.14488</cdr:y>
    </cdr:to>
    <cdr:sp macro="" textlink="">
      <cdr:nvSpPr>
        <cdr:cNvPr id="618" name="FracNo 256 StartRow 6254">
          <a:extLst xmlns:a="http://schemas.openxmlformats.org/drawingml/2006/main">
            <a:ext uri="{FF2B5EF4-FFF2-40B4-BE49-F238E27FC236}">
              <a16:creationId xmlns:a16="http://schemas.microsoft.com/office/drawing/2014/main" id="{74B88F62-93A8-8D34-54D1-5D3E0335162B}"/>
            </a:ext>
          </a:extLst>
        </cdr:cNvPr>
        <cdr:cNvSpPr/>
      </cdr:nvSpPr>
      <cdr:spPr>
        <a:xfrm xmlns:a="http://schemas.openxmlformats.org/drawingml/2006/main">
          <a:off x="4999961" y="1084701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0.71062</cdr:x>
      <cdr:y>0.17552</cdr:y>
    </cdr:from>
    <cdr:to>
      <cdr:x>0.71316</cdr:x>
      <cdr:y>0.17805</cdr:y>
    </cdr:to>
    <cdr:sp macro="" textlink="">
      <cdr:nvSpPr>
        <cdr:cNvPr id="619" name="FracNo 255 StartRow 6261">
          <a:extLst xmlns:a="http://schemas.openxmlformats.org/drawingml/2006/main">
            <a:ext uri="{FF2B5EF4-FFF2-40B4-BE49-F238E27FC236}">
              <a16:creationId xmlns:a16="http://schemas.microsoft.com/office/drawing/2014/main" id="{3AC64BC8-852F-A1BC-A113-31ABB900292E}"/>
            </a:ext>
          </a:extLst>
        </cdr:cNvPr>
        <cdr:cNvSpPr/>
      </cdr:nvSpPr>
      <cdr:spPr>
        <a:xfrm xmlns:a="http://schemas.openxmlformats.org/drawingml/2006/main">
          <a:off x="5198291" y="1337492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0.82015</cdr:x>
      <cdr:y>0.12604</cdr:y>
    </cdr:from>
    <cdr:to>
      <cdr:x>0.8227</cdr:x>
      <cdr:y>0.12857</cdr:y>
    </cdr:to>
    <cdr:sp macro="" textlink="">
      <cdr:nvSpPr>
        <cdr:cNvPr id="620" name="FracNo 254 StartRow 6268">
          <a:extLst xmlns:a="http://schemas.openxmlformats.org/drawingml/2006/main">
            <a:ext uri="{FF2B5EF4-FFF2-40B4-BE49-F238E27FC236}">
              <a16:creationId xmlns:a16="http://schemas.microsoft.com/office/drawing/2014/main" id="{C59D4590-9288-2245-E6A6-1408CB9842E1}"/>
            </a:ext>
          </a:extLst>
        </cdr:cNvPr>
        <cdr:cNvSpPr/>
      </cdr:nvSpPr>
      <cdr:spPr>
        <a:xfrm xmlns:a="http://schemas.openxmlformats.org/drawingml/2006/main">
          <a:off x="5999561" y="960431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0.82474</cdr:x>
      <cdr:y>0.27625</cdr:y>
    </cdr:from>
    <cdr:to>
      <cdr:x>0.82729</cdr:x>
      <cdr:y>0.27878</cdr:y>
    </cdr:to>
    <cdr:sp macro="" textlink="">
      <cdr:nvSpPr>
        <cdr:cNvPr id="621" name="FracNo 250 StartRow 6275">
          <a:extLst xmlns:a="http://schemas.openxmlformats.org/drawingml/2006/main">
            <a:ext uri="{FF2B5EF4-FFF2-40B4-BE49-F238E27FC236}">
              <a16:creationId xmlns:a16="http://schemas.microsoft.com/office/drawing/2014/main" id="{663EF225-F02D-4180-BCE4-76AAB44CE413}"/>
            </a:ext>
          </a:extLst>
        </cdr:cNvPr>
        <cdr:cNvSpPr/>
      </cdr:nvSpPr>
      <cdr:spPr>
        <a:xfrm xmlns:a="http://schemas.openxmlformats.org/drawingml/2006/main">
          <a:off x="6033160" y="2105009"/>
          <a:ext cx="18643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3" h="19284">
              <a:moveTo>
                <a:pt x="18642" y="0"/>
              </a:moveTo>
              <a:lnTo>
                <a:pt x="0" y="19283"/>
              </a:lnTo>
              <a:lnTo>
                <a:pt x="0" y="19283"/>
              </a:lnTo>
              <a:lnTo>
                <a:pt x="1864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0.90824</cdr:x>
      <cdr:y>0.10659</cdr:y>
    </cdr:from>
    <cdr:to>
      <cdr:x>0.91079</cdr:x>
      <cdr:y>0.10912</cdr:y>
    </cdr:to>
    <cdr:sp macro="" textlink="">
      <cdr:nvSpPr>
        <cdr:cNvPr id="622" name="FracNo 247 StartRow 6283">
          <a:extLst xmlns:a="http://schemas.openxmlformats.org/drawingml/2006/main">
            <a:ext uri="{FF2B5EF4-FFF2-40B4-BE49-F238E27FC236}">
              <a16:creationId xmlns:a16="http://schemas.microsoft.com/office/drawing/2014/main" id="{8EAE597F-043F-3167-0D58-DD3883A3927D}"/>
            </a:ext>
          </a:extLst>
        </cdr:cNvPr>
        <cdr:cNvSpPr/>
      </cdr:nvSpPr>
      <cdr:spPr>
        <a:xfrm xmlns:a="http://schemas.openxmlformats.org/drawingml/2006/main">
          <a:off x="6643949" y="812245"/>
          <a:ext cx="18645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5" h="19284">
              <a:moveTo>
                <a:pt x="0" y="19283"/>
              </a:moveTo>
              <a:lnTo>
                <a:pt x="0" y="19283"/>
              </a:lnTo>
              <a:lnTo>
                <a:pt x="18644" y="0"/>
              </a:lnTo>
              <a:lnTo>
                <a:pt x="186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0.83072</cdr:x>
      <cdr:y>0.11182</cdr:y>
    </cdr:from>
    <cdr:to>
      <cdr:x>0.83327</cdr:x>
      <cdr:y>0.11435</cdr:y>
    </cdr:to>
    <cdr:sp macro="" textlink="">
      <cdr:nvSpPr>
        <cdr:cNvPr id="623" name="FracNo 248 StartRow 6290">
          <a:extLst xmlns:a="http://schemas.openxmlformats.org/drawingml/2006/main">
            <a:ext uri="{FF2B5EF4-FFF2-40B4-BE49-F238E27FC236}">
              <a16:creationId xmlns:a16="http://schemas.microsoft.com/office/drawing/2014/main" id="{E34229E2-F96C-060B-03B9-DDB47F6178A9}"/>
            </a:ext>
          </a:extLst>
        </cdr:cNvPr>
        <cdr:cNvSpPr/>
      </cdr:nvSpPr>
      <cdr:spPr>
        <a:xfrm xmlns:a="http://schemas.openxmlformats.org/drawingml/2006/main">
          <a:off x="6076912" y="852085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0.80273</cdr:x>
      <cdr:y>0.30023</cdr:y>
    </cdr:from>
    <cdr:to>
      <cdr:x>0.80528</cdr:x>
      <cdr:y>0.30276</cdr:y>
    </cdr:to>
    <cdr:sp macro="" textlink="">
      <cdr:nvSpPr>
        <cdr:cNvPr id="624" name="FracNo 246 StartRow 6297">
          <a:extLst xmlns:a="http://schemas.openxmlformats.org/drawingml/2006/main">
            <a:ext uri="{FF2B5EF4-FFF2-40B4-BE49-F238E27FC236}">
              <a16:creationId xmlns:a16="http://schemas.microsoft.com/office/drawing/2014/main" id="{99EC9512-D12E-7DC0-162A-69BE1420F72C}"/>
            </a:ext>
          </a:extLst>
        </cdr:cNvPr>
        <cdr:cNvSpPr/>
      </cdr:nvSpPr>
      <cdr:spPr>
        <a:xfrm xmlns:a="http://schemas.openxmlformats.org/drawingml/2006/main">
          <a:off x="5872144" y="2287761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0.90717</cdr:x>
      <cdr:y>0.55563</cdr:y>
    </cdr:from>
    <cdr:to>
      <cdr:x>0.90972</cdr:x>
      <cdr:y>0.55816</cdr:y>
    </cdr:to>
    <cdr:sp macro="" textlink="">
      <cdr:nvSpPr>
        <cdr:cNvPr id="625" name="FracNo 566 StartRow 6304">
          <a:extLst xmlns:a="http://schemas.openxmlformats.org/drawingml/2006/main">
            <a:ext uri="{FF2B5EF4-FFF2-40B4-BE49-F238E27FC236}">
              <a16:creationId xmlns:a16="http://schemas.microsoft.com/office/drawing/2014/main" id="{6E3A8C82-10B1-23A1-F5A5-0DBAE8AEAF51}"/>
            </a:ext>
          </a:extLst>
        </cdr:cNvPr>
        <cdr:cNvSpPr/>
      </cdr:nvSpPr>
      <cdr:spPr>
        <a:xfrm xmlns:a="http://schemas.openxmlformats.org/drawingml/2006/main">
          <a:off x="6636110" y="4233894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0.86712</cdr:x>
      <cdr:y>0.67453</cdr:y>
    </cdr:from>
    <cdr:to>
      <cdr:x>0.86967</cdr:x>
      <cdr:y>0.67706</cdr:y>
    </cdr:to>
    <cdr:sp macro="" textlink="">
      <cdr:nvSpPr>
        <cdr:cNvPr id="626" name="FracNo 488 StartRow 6311">
          <a:extLst xmlns:a="http://schemas.openxmlformats.org/drawingml/2006/main">
            <a:ext uri="{FF2B5EF4-FFF2-40B4-BE49-F238E27FC236}">
              <a16:creationId xmlns:a16="http://schemas.microsoft.com/office/drawing/2014/main" id="{DA959D29-92C6-6F42-F18F-DDE475C67926}"/>
            </a:ext>
          </a:extLst>
        </cdr:cNvPr>
        <cdr:cNvSpPr/>
      </cdr:nvSpPr>
      <cdr:spPr>
        <a:xfrm xmlns:a="http://schemas.openxmlformats.org/drawingml/2006/main">
          <a:off x="6343136" y="5139940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0.85934</cdr:x>
      <cdr:y>0.55925</cdr:y>
    </cdr:from>
    <cdr:to>
      <cdr:x>0.86189</cdr:x>
      <cdr:y>0.56178</cdr:y>
    </cdr:to>
    <cdr:sp macro="" textlink="">
      <cdr:nvSpPr>
        <cdr:cNvPr id="627" name="FracNo 577 StartRow 6318">
          <a:extLst xmlns:a="http://schemas.openxmlformats.org/drawingml/2006/main">
            <a:ext uri="{FF2B5EF4-FFF2-40B4-BE49-F238E27FC236}">
              <a16:creationId xmlns:a16="http://schemas.microsoft.com/office/drawing/2014/main" id="{D298A72E-5971-FEF3-9A33-63BBA16BA29F}"/>
            </a:ext>
          </a:extLst>
        </cdr:cNvPr>
        <cdr:cNvSpPr/>
      </cdr:nvSpPr>
      <cdr:spPr>
        <a:xfrm xmlns:a="http://schemas.openxmlformats.org/drawingml/2006/main">
          <a:off x="6286221" y="4261492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0.91011</cdr:x>
      <cdr:y>0.46123</cdr:y>
    </cdr:from>
    <cdr:to>
      <cdr:x>0.91266</cdr:x>
      <cdr:y>0.46376</cdr:y>
    </cdr:to>
    <cdr:sp macro="" textlink="">
      <cdr:nvSpPr>
        <cdr:cNvPr id="628" name="FracNo 580 StartRow 6325">
          <a:extLst xmlns:a="http://schemas.openxmlformats.org/drawingml/2006/main">
            <a:ext uri="{FF2B5EF4-FFF2-40B4-BE49-F238E27FC236}">
              <a16:creationId xmlns:a16="http://schemas.microsoft.com/office/drawing/2014/main" id="{43F7B48B-EF16-8D52-52E2-C109A1EE08C7}"/>
            </a:ext>
          </a:extLst>
        </cdr:cNvPr>
        <cdr:cNvSpPr/>
      </cdr:nvSpPr>
      <cdr:spPr>
        <a:xfrm xmlns:a="http://schemas.openxmlformats.org/drawingml/2006/main">
          <a:off x="6657651" y="3514595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0.92564</cdr:x>
      <cdr:y>0.28756</cdr:y>
    </cdr:from>
    <cdr:to>
      <cdr:x>0.92819</cdr:x>
      <cdr:y>0.29009</cdr:y>
    </cdr:to>
    <cdr:sp macro="" textlink="">
      <cdr:nvSpPr>
        <cdr:cNvPr id="629" name="FracNo 249 StartRow 6332">
          <a:extLst xmlns:a="http://schemas.openxmlformats.org/drawingml/2006/main">
            <a:ext uri="{FF2B5EF4-FFF2-40B4-BE49-F238E27FC236}">
              <a16:creationId xmlns:a16="http://schemas.microsoft.com/office/drawing/2014/main" id="{579E61A0-6ECA-B5A0-5B47-9DB7015C1617}"/>
            </a:ext>
          </a:extLst>
        </cdr:cNvPr>
        <cdr:cNvSpPr/>
      </cdr:nvSpPr>
      <cdr:spPr>
        <a:xfrm xmlns:a="http://schemas.openxmlformats.org/drawingml/2006/main">
          <a:off x="6771220" y="2191182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0" y="19283"/>
              </a:moveTo>
              <a:lnTo>
                <a:pt x="0" y="19283"/>
              </a:lnTo>
              <a:lnTo>
                <a:pt x="18643" y="0"/>
              </a:lnTo>
              <a:lnTo>
                <a:pt x="18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0.70747</cdr:x>
      <cdr:y>0.41791</cdr:y>
    </cdr:from>
    <cdr:to>
      <cdr:x>0.71002</cdr:x>
      <cdr:y>0.42044</cdr:y>
    </cdr:to>
    <cdr:sp macro="" textlink="">
      <cdr:nvSpPr>
        <cdr:cNvPr id="630" name="FracNo 569 StartRow 6339">
          <a:extLst xmlns:a="http://schemas.openxmlformats.org/drawingml/2006/main">
            <a:ext uri="{FF2B5EF4-FFF2-40B4-BE49-F238E27FC236}">
              <a16:creationId xmlns:a16="http://schemas.microsoft.com/office/drawing/2014/main" id="{211EA8B7-2E4F-6BD9-6993-DE746D36AAB4}"/>
            </a:ext>
          </a:extLst>
        </cdr:cNvPr>
        <cdr:cNvSpPr/>
      </cdr:nvSpPr>
      <cdr:spPr>
        <a:xfrm xmlns:a="http://schemas.openxmlformats.org/drawingml/2006/main">
          <a:off x="5175289" y="3184458"/>
          <a:ext cx="18644" cy="19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4" h="19284">
              <a:moveTo>
                <a:pt x="18643" y="0"/>
              </a:moveTo>
              <a:lnTo>
                <a:pt x="0" y="19283"/>
              </a:lnTo>
              <a:lnTo>
                <a:pt x="0" y="19283"/>
              </a:lnTo>
              <a:lnTo>
                <a:pt x="186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0.10339</cdr:y>
    </cdr:from>
    <cdr:to>
      <cdr:x>0.09434</cdr:x>
      <cdr:y>0.1059</cdr:y>
    </cdr:to>
    <cdr:sp macro="" textlink="">
      <cdr:nvSpPr>
        <cdr:cNvPr id="631" name="FracNo 1047 StartRow 6347">
          <a:extLst xmlns:a="http://schemas.openxmlformats.org/drawingml/2006/main">
            <a:ext uri="{FF2B5EF4-FFF2-40B4-BE49-F238E27FC236}">
              <a16:creationId xmlns:a16="http://schemas.microsoft.com/office/drawing/2014/main" id="{202F2D86-024E-9663-698C-E9A161024BB5}"/>
            </a:ext>
          </a:extLst>
        </cdr:cNvPr>
        <cdr:cNvSpPr/>
      </cdr:nvSpPr>
      <cdr:spPr>
        <a:xfrm xmlns:a="http://schemas.openxmlformats.org/drawingml/2006/main">
          <a:off x="671676" y="787822"/>
          <a:ext cx="18472" cy="191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72" h="19106">
              <a:moveTo>
                <a:pt x="527" y="18560"/>
              </a:moveTo>
              <a:lnTo>
                <a:pt x="0" y="19105"/>
              </a:lnTo>
              <a:lnTo>
                <a:pt x="0" y="19105"/>
              </a:lnTo>
              <a:lnTo>
                <a:pt x="527" y="18560"/>
              </a:lnTo>
              <a:lnTo>
                <a:pt x="18471" y="0"/>
              </a:lnTo>
              <a:lnTo>
                <a:pt x="184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0.93762</cdr:x>
      <cdr:y>0.92529</cdr:y>
    </cdr:from>
    <cdr:to>
      <cdr:x>0.9437</cdr:x>
      <cdr:y>0.93133</cdr:y>
    </cdr:to>
    <cdr:sp macro="" textlink="">
      <cdr:nvSpPr>
        <cdr:cNvPr id="632" name="FracNo 509 StartRow 6356">
          <a:extLst xmlns:a="http://schemas.openxmlformats.org/drawingml/2006/main">
            <a:ext uri="{FF2B5EF4-FFF2-40B4-BE49-F238E27FC236}">
              <a16:creationId xmlns:a16="http://schemas.microsoft.com/office/drawing/2014/main" id="{B99E8BFC-DD50-5E8B-8272-F6480F66955D}"/>
            </a:ext>
          </a:extLst>
        </cdr:cNvPr>
        <cdr:cNvSpPr/>
      </cdr:nvSpPr>
      <cdr:spPr>
        <a:xfrm xmlns:a="http://schemas.openxmlformats.org/drawingml/2006/main">
          <a:off x="6858887" y="7050728"/>
          <a:ext cx="44486" cy="460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486" h="46014">
              <a:moveTo>
                <a:pt x="10578" y="25695"/>
              </a:moveTo>
              <a:lnTo>
                <a:pt x="0" y="36637"/>
              </a:lnTo>
              <a:lnTo>
                <a:pt x="27193" y="46013"/>
              </a:lnTo>
              <a:lnTo>
                <a:pt x="32357" y="40672"/>
              </a:lnTo>
              <a:lnTo>
                <a:pt x="44485" y="28128"/>
              </a:lnTo>
              <a:lnTo>
                <a:pt x="354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0.70266</cdr:y>
    </cdr:from>
    <cdr:to>
      <cdr:x>0.09516</cdr:x>
      <cdr:y>0.70843</cdr:y>
    </cdr:to>
    <cdr:sp macro="" textlink="">
      <cdr:nvSpPr>
        <cdr:cNvPr id="633" name="FracNo 984 StartRow 6365">
          <a:extLst xmlns:a="http://schemas.openxmlformats.org/drawingml/2006/main">
            <a:ext uri="{FF2B5EF4-FFF2-40B4-BE49-F238E27FC236}">
              <a16:creationId xmlns:a16="http://schemas.microsoft.com/office/drawing/2014/main" id="{4336AEB9-03B5-3AD4-CDAE-BB40C36826ED}"/>
            </a:ext>
          </a:extLst>
        </cdr:cNvPr>
        <cdr:cNvSpPr/>
      </cdr:nvSpPr>
      <cdr:spPr>
        <a:xfrm xmlns:a="http://schemas.openxmlformats.org/drawingml/2006/main">
          <a:off x="671676" y="5354255"/>
          <a:ext cx="24402" cy="43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02" h="43992">
              <a:moveTo>
                <a:pt x="3945" y="2406"/>
              </a:moveTo>
              <a:lnTo>
                <a:pt x="0" y="6487"/>
              </a:lnTo>
              <a:lnTo>
                <a:pt x="0" y="43991"/>
              </a:lnTo>
              <a:lnTo>
                <a:pt x="15350" y="28114"/>
              </a:lnTo>
              <a:lnTo>
                <a:pt x="24401" y="18752"/>
              </a:lnTo>
              <a:lnTo>
                <a:pt x="62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0.71405</cdr:x>
      <cdr:y>0.92805</cdr:y>
    </cdr:from>
    <cdr:to>
      <cdr:x>0.71612</cdr:x>
      <cdr:y>0.9301</cdr:y>
    </cdr:to>
    <cdr:sp macro="" textlink="">
      <cdr:nvSpPr>
        <cdr:cNvPr id="634" name="FracNo 499 StartRow 6374">
          <a:extLst xmlns:a="http://schemas.openxmlformats.org/drawingml/2006/main">
            <a:ext uri="{FF2B5EF4-FFF2-40B4-BE49-F238E27FC236}">
              <a16:creationId xmlns:a16="http://schemas.microsoft.com/office/drawing/2014/main" id="{BD70FADE-185F-296E-2F81-0AD473AF5BC9}"/>
            </a:ext>
          </a:extLst>
        </cdr:cNvPr>
        <cdr:cNvSpPr/>
      </cdr:nvSpPr>
      <cdr:spPr>
        <a:xfrm xmlns:a="http://schemas.openxmlformats.org/drawingml/2006/main">
          <a:off x="5223397" y="7071713"/>
          <a:ext cx="15134" cy="15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34" h="15653">
              <a:moveTo>
                <a:pt x="14274" y="888"/>
              </a:moveTo>
              <a:lnTo>
                <a:pt x="0" y="15652"/>
              </a:lnTo>
              <a:lnTo>
                <a:pt x="0" y="15652"/>
              </a:lnTo>
              <a:lnTo>
                <a:pt x="14274" y="888"/>
              </a:lnTo>
              <a:lnTo>
                <a:pt x="15133" y="0"/>
              </a:lnTo>
              <a:lnTo>
                <a:pt x="151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0.82543</cdr:x>
      <cdr:y>0.92703</cdr:y>
    </cdr:from>
    <cdr:to>
      <cdr:x>0.831</cdr:x>
      <cdr:y>0.9301</cdr:y>
    </cdr:to>
    <cdr:sp macro="" textlink="">
      <cdr:nvSpPr>
        <cdr:cNvPr id="635" name="FracNo 998 StartRow 6383">
          <a:extLst xmlns:a="http://schemas.openxmlformats.org/drawingml/2006/main">
            <a:ext uri="{FF2B5EF4-FFF2-40B4-BE49-F238E27FC236}">
              <a16:creationId xmlns:a16="http://schemas.microsoft.com/office/drawing/2014/main" id="{8E09E0E7-32B0-0A6E-B17B-BA74FBC27546}"/>
            </a:ext>
          </a:extLst>
        </cdr:cNvPr>
        <cdr:cNvSpPr/>
      </cdr:nvSpPr>
      <cdr:spPr>
        <a:xfrm xmlns:a="http://schemas.openxmlformats.org/drawingml/2006/main">
          <a:off x="6038190" y="7063990"/>
          <a:ext cx="40729" cy="233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729" h="23376">
              <a:moveTo>
                <a:pt x="36445" y="23183"/>
              </a:moveTo>
              <a:lnTo>
                <a:pt x="36259" y="23375"/>
              </a:lnTo>
              <a:lnTo>
                <a:pt x="0" y="23375"/>
              </a:lnTo>
              <a:lnTo>
                <a:pt x="938" y="22405"/>
              </a:lnTo>
              <a:lnTo>
                <a:pt x="22599" y="0"/>
              </a:lnTo>
              <a:lnTo>
                <a:pt x="407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0.54364</cdr:x>
      <cdr:y>0.92718</cdr:y>
    </cdr:from>
    <cdr:to>
      <cdr:x>0.54906</cdr:x>
      <cdr:y>0.9301</cdr:y>
    </cdr:to>
    <cdr:sp macro="" textlink="">
      <cdr:nvSpPr>
        <cdr:cNvPr id="636" name="FracNo 973 StartRow 6392">
          <a:extLst xmlns:a="http://schemas.openxmlformats.org/drawingml/2006/main">
            <a:ext uri="{FF2B5EF4-FFF2-40B4-BE49-F238E27FC236}">
              <a16:creationId xmlns:a16="http://schemas.microsoft.com/office/drawing/2014/main" id="{B99D0E06-3F0C-04F4-E9CB-23202A0E0936}"/>
            </a:ext>
          </a:extLst>
        </cdr:cNvPr>
        <cdr:cNvSpPr/>
      </cdr:nvSpPr>
      <cdr:spPr>
        <a:xfrm xmlns:a="http://schemas.openxmlformats.org/drawingml/2006/main">
          <a:off x="3976846" y="7065131"/>
          <a:ext cx="39626" cy="22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626" h="22235">
              <a:moveTo>
                <a:pt x="38345" y="20076"/>
              </a:moveTo>
              <a:lnTo>
                <a:pt x="36258" y="22234"/>
              </a:lnTo>
              <a:lnTo>
                <a:pt x="0" y="22234"/>
              </a:lnTo>
              <a:lnTo>
                <a:pt x="13321" y="8455"/>
              </a:lnTo>
              <a:lnTo>
                <a:pt x="21496" y="0"/>
              </a:lnTo>
              <a:lnTo>
                <a:pt x="3962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0.90207</cdr:x>
      <cdr:y>0.1045</cdr:y>
    </cdr:from>
    <cdr:to>
      <cdr:x>0.90358</cdr:x>
      <cdr:y>0.10599</cdr:y>
    </cdr:to>
    <cdr:sp macro="" textlink="">
      <cdr:nvSpPr>
        <cdr:cNvPr id="637" name="FracNo 253 StartRow 6401">
          <a:extLst xmlns:a="http://schemas.openxmlformats.org/drawingml/2006/main">
            <a:ext uri="{FF2B5EF4-FFF2-40B4-BE49-F238E27FC236}">
              <a16:creationId xmlns:a16="http://schemas.microsoft.com/office/drawing/2014/main" id="{AE4FE2C4-53F1-C5E2-A5EF-3835BEF814EE}"/>
            </a:ext>
          </a:extLst>
        </cdr:cNvPr>
        <cdr:cNvSpPr/>
      </cdr:nvSpPr>
      <cdr:spPr>
        <a:xfrm xmlns:a="http://schemas.openxmlformats.org/drawingml/2006/main">
          <a:off x="6598824" y="796261"/>
          <a:ext cx="11030" cy="114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30" h="11411">
              <a:moveTo>
                <a:pt x="0" y="11410"/>
              </a:moveTo>
              <a:lnTo>
                <a:pt x="0" y="11410"/>
              </a:lnTo>
              <a:lnTo>
                <a:pt x="11029" y="0"/>
              </a:lnTo>
              <a:lnTo>
                <a:pt x="110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0.83825</cdr:x>
      <cdr:y>0.35203</cdr:y>
    </cdr:from>
    <cdr:to>
      <cdr:x>0.84213</cdr:x>
      <cdr:y>0.35588</cdr:y>
    </cdr:to>
    <cdr:sp macro="" textlink="">
      <cdr:nvSpPr>
        <cdr:cNvPr id="638" name="FracNo 929 StartRow 6408">
          <a:extLst xmlns:a="http://schemas.openxmlformats.org/drawingml/2006/main">
            <a:ext uri="{FF2B5EF4-FFF2-40B4-BE49-F238E27FC236}">
              <a16:creationId xmlns:a16="http://schemas.microsoft.com/office/drawing/2014/main" id="{C314D8E8-4070-6C4B-CA7B-13E96F272A01}"/>
            </a:ext>
          </a:extLst>
        </cdr:cNvPr>
        <cdr:cNvSpPr/>
      </cdr:nvSpPr>
      <cdr:spPr>
        <a:xfrm xmlns:a="http://schemas.openxmlformats.org/drawingml/2006/main">
          <a:off x="6131979" y="2682460"/>
          <a:ext cx="28395" cy="293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95" h="29369">
              <a:moveTo>
                <a:pt x="25635" y="21606"/>
              </a:moveTo>
              <a:lnTo>
                <a:pt x="18130" y="29368"/>
              </a:lnTo>
              <a:lnTo>
                <a:pt x="0" y="10617"/>
              </a:lnTo>
              <a:lnTo>
                <a:pt x="7505" y="2854"/>
              </a:lnTo>
              <a:lnTo>
                <a:pt x="10265" y="0"/>
              </a:lnTo>
              <a:lnTo>
                <a:pt x="2839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0.61035</cdr:x>
      <cdr:y>0.20151</cdr:y>
    </cdr:from>
    <cdr:to>
      <cdr:x>0.61154</cdr:x>
      <cdr:y>0.20269</cdr:y>
    </cdr:to>
    <cdr:sp macro="" textlink="">
      <cdr:nvSpPr>
        <cdr:cNvPr id="639" name="FracNo 324 StartRow 6417">
          <a:extLst xmlns:a="http://schemas.openxmlformats.org/drawingml/2006/main">
            <a:ext uri="{FF2B5EF4-FFF2-40B4-BE49-F238E27FC236}">
              <a16:creationId xmlns:a16="http://schemas.microsoft.com/office/drawing/2014/main" id="{3181F481-D7A5-8FC0-1797-69406ABBE301}"/>
            </a:ext>
          </a:extLst>
        </cdr:cNvPr>
        <cdr:cNvSpPr/>
      </cdr:nvSpPr>
      <cdr:spPr>
        <a:xfrm xmlns:a="http://schemas.openxmlformats.org/drawingml/2006/main">
          <a:off x="4464852" y="1535515"/>
          <a:ext cx="8701" cy="90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01" h="9000">
              <a:moveTo>
                <a:pt x="0" y="8999"/>
              </a:moveTo>
              <a:lnTo>
                <a:pt x="0" y="8999"/>
              </a:lnTo>
              <a:lnTo>
                <a:pt x="8700" y="0"/>
              </a:lnTo>
              <a:lnTo>
                <a:pt x="87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0.81886</cdr:y>
    </cdr:from>
    <cdr:to>
      <cdr:x>0.09401</cdr:x>
      <cdr:y>0.82321</cdr:y>
    </cdr:to>
    <cdr:sp macro="" textlink="">
      <cdr:nvSpPr>
        <cdr:cNvPr id="640" name="FracNo 987 StartRow 6424">
          <a:extLst xmlns:a="http://schemas.openxmlformats.org/drawingml/2006/main">
            <a:ext uri="{FF2B5EF4-FFF2-40B4-BE49-F238E27FC236}">
              <a16:creationId xmlns:a16="http://schemas.microsoft.com/office/drawing/2014/main" id="{FFB91B7F-ECB4-0C6B-42D6-4364137635D9}"/>
            </a:ext>
          </a:extLst>
        </cdr:cNvPr>
        <cdr:cNvSpPr/>
      </cdr:nvSpPr>
      <cdr:spPr>
        <a:xfrm xmlns:a="http://schemas.openxmlformats.org/drawingml/2006/main">
          <a:off x="671676" y="6239750"/>
          <a:ext cx="16017" cy="331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17" h="33132">
              <a:moveTo>
                <a:pt x="0" y="0"/>
              </a:moveTo>
              <a:lnTo>
                <a:pt x="0" y="33131"/>
              </a:lnTo>
              <a:lnTo>
                <a:pt x="4907" y="28056"/>
              </a:lnTo>
              <a:lnTo>
                <a:pt x="16016" y="16566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0.14536</cdr:x>
      <cdr:y>0.17862</cdr:y>
    </cdr:from>
    <cdr:to>
      <cdr:x>0.14589</cdr:x>
      <cdr:y>0.17914</cdr:y>
    </cdr:to>
    <cdr:sp macro="" textlink="">
      <cdr:nvSpPr>
        <cdr:cNvPr id="641" name="FracNo 408 StartRow 6432">
          <a:extLst xmlns:a="http://schemas.openxmlformats.org/drawingml/2006/main">
            <a:ext uri="{FF2B5EF4-FFF2-40B4-BE49-F238E27FC236}">
              <a16:creationId xmlns:a16="http://schemas.microsoft.com/office/drawing/2014/main" id="{6E4E6FFB-DA49-9D35-3A14-D45AE65DAFC3}"/>
            </a:ext>
          </a:extLst>
        </cdr:cNvPr>
        <cdr:cNvSpPr/>
      </cdr:nvSpPr>
      <cdr:spPr>
        <a:xfrm xmlns:a="http://schemas.openxmlformats.org/drawingml/2006/main">
          <a:off x="1063325" y="1361051"/>
          <a:ext cx="3869" cy="40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69" h="4002">
              <a:moveTo>
                <a:pt x="3868" y="0"/>
              </a:moveTo>
              <a:lnTo>
                <a:pt x="0" y="4001"/>
              </a:lnTo>
              <a:lnTo>
                <a:pt x="0" y="4001"/>
              </a:lnTo>
              <a:lnTo>
                <a:pt x="3868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0.1646</cdr:x>
      <cdr:y>0.36563</cdr:y>
    </cdr:from>
    <cdr:to>
      <cdr:x>0.16483</cdr:x>
      <cdr:y>0.36586</cdr:y>
    </cdr:to>
    <cdr:sp macro="" textlink="">
      <cdr:nvSpPr>
        <cdr:cNvPr id="642" name="FracNo 405 StartRow 6440">
          <a:extLst xmlns:a="http://schemas.openxmlformats.org/drawingml/2006/main">
            <a:ext uri="{FF2B5EF4-FFF2-40B4-BE49-F238E27FC236}">
              <a16:creationId xmlns:a16="http://schemas.microsoft.com/office/drawing/2014/main" id="{93D628D5-7082-47E1-48D6-C6214D443073}"/>
            </a:ext>
          </a:extLst>
        </cdr:cNvPr>
        <cdr:cNvSpPr/>
      </cdr:nvSpPr>
      <cdr:spPr>
        <a:xfrm xmlns:a="http://schemas.openxmlformats.org/drawingml/2006/main">
          <a:off x="1204076" y="2786064"/>
          <a:ext cx="1712" cy="1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2" h="1771">
              <a:moveTo>
                <a:pt x="1711" y="0"/>
              </a:moveTo>
              <a:lnTo>
                <a:pt x="0" y="1770"/>
              </a:lnTo>
              <a:lnTo>
                <a:pt x="0" y="1770"/>
              </a:lnTo>
              <a:lnTo>
                <a:pt x="1711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235"/>
  <sheetViews>
    <sheetView workbookViewId="0">
      <pane xSplit="1" ySplit="2" topLeftCell="BD3" activePane="bottomRight" state="frozen"/>
      <selection pane="topRight" activeCell="B1" sqref="B1"/>
      <selection pane="bottomLeft" activeCell="A3" sqref="A3"/>
      <selection pane="bottomRight" sqref="A1:XFD1048576"/>
    </sheetView>
  </sheetViews>
  <sheetFormatPr defaultRowHeight="15" x14ac:dyDescent="0.25"/>
  <sheetData>
    <row r="1" spans="1:149" x14ac:dyDescent="0.25">
      <c r="A1" t="s">
        <v>0</v>
      </c>
      <c r="B1" t="s">
        <v>65</v>
      </c>
      <c r="C1" t="s">
        <v>66</v>
      </c>
      <c r="D1" t="s">
        <v>44</v>
      </c>
      <c r="E1" t="s">
        <v>45</v>
      </c>
      <c r="F1" t="s">
        <v>46</v>
      </c>
      <c r="G1" t="s">
        <v>47</v>
      </c>
      <c r="H1" t="s">
        <v>68</v>
      </c>
      <c r="V1" t="s">
        <v>69</v>
      </c>
      <c r="AJ1" t="s">
        <v>70</v>
      </c>
      <c r="AX1" t="s">
        <v>71</v>
      </c>
      <c r="BL1" t="s">
        <v>48</v>
      </c>
      <c r="BM1" t="s">
        <v>49</v>
      </c>
      <c r="BN1" t="s">
        <v>50</v>
      </c>
      <c r="BO1" t="s">
        <v>51</v>
      </c>
      <c r="BP1" t="s">
        <v>52</v>
      </c>
      <c r="BQ1" t="s">
        <v>53</v>
      </c>
      <c r="BR1" t="s">
        <v>54</v>
      </c>
      <c r="BS1" t="s">
        <v>55</v>
      </c>
    </row>
    <row r="2" spans="1:149" x14ac:dyDescent="0.25">
      <c r="H2" t="s">
        <v>43</v>
      </c>
      <c r="I2" t="s">
        <v>1</v>
      </c>
      <c r="J2" t="s">
        <v>72</v>
      </c>
      <c r="K2" t="s">
        <v>67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41</v>
      </c>
      <c r="T2" t="s">
        <v>42</v>
      </c>
      <c r="U2" t="s">
        <v>73</v>
      </c>
      <c r="V2" t="s">
        <v>43</v>
      </c>
      <c r="W2" t="s">
        <v>1</v>
      </c>
      <c r="X2" t="s">
        <v>72</v>
      </c>
      <c r="Y2" t="s">
        <v>67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41</v>
      </c>
      <c r="AH2" t="s">
        <v>42</v>
      </c>
      <c r="AI2" t="s">
        <v>73</v>
      </c>
      <c r="AJ2" t="s">
        <v>43</v>
      </c>
      <c r="AK2" t="s">
        <v>1</v>
      </c>
      <c r="AL2" t="s">
        <v>72</v>
      </c>
      <c r="AM2" t="s">
        <v>67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41</v>
      </c>
      <c r="AV2" t="s">
        <v>42</v>
      </c>
      <c r="AW2" t="s">
        <v>73</v>
      </c>
      <c r="AX2" t="s">
        <v>43</v>
      </c>
      <c r="AY2" t="s">
        <v>1</v>
      </c>
      <c r="AZ2" t="s">
        <v>72</v>
      </c>
      <c r="BA2" t="s">
        <v>67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41</v>
      </c>
      <c r="BJ2" t="s">
        <v>42</v>
      </c>
      <c r="BK2" t="s">
        <v>73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t="s">
        <v>74</v>
      </c>
      <c r="I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1</v>
      </c>
      <c r="V3" t="s">
        <v>74</v>
      </c>
      <c r="W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1</v>
      </c>
      <c r="AJ3" t="s">
        <v>74</v>
      </c>
      <c r="AK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 t="s">
        <v>74</v>
      </c>
      <c r="AY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</row>
    <row r="4" spans="1:149" x14ac:dyDescent="0.25">
      <c r="A4">
        <v>1</v>
      </c>
      <c r="B4">
        <v>6.5458908507104702E-2</v>
      </c>
      <c r="C4">
        <v>6.5458908507104702E-2</v>
      </c>
      <c r="D4" s="1">
        <v>-4.14640850710472E-5</v>
      </c>
      <c r="E4">
        <v>6.1312499999999995E-4</v>
      </c>
      <c r="F4">
        <v>-6.5458908507104701E-4</v>
      </c>
      <c r="G4">
        <v>0</v>
      </c>
      <c r="H4" t="s">
        <v>74</v>
      </c>
      <c r="I4">
        <v>0</v>
      </c>
      <c r="J4" t="s">
        <v>75</v>
      </c>
      <c r="K4">
        <v>3.14159265358979</v>
      </c>
      <c r="L4">
        <v>0.99199999999999999</v>
      </c>
      <c r="M4">
        <v>0</v>
      </c>
      <c r="N4">
        <v>5.8245346242475203E-2</v>
      </c>
      <c r="O4">
        <v>0</v>
      </c>
      <c r="P4">
        <v>1.6E-2</v>
      </c>
      <c r="Q4">
        <v>0</v>
      </c>
      <c r="R4">
        <v>0</v>
      </c>
      <c r="S4">
        <v>0</v>
      </c>
      <c r="T4">
        <v>0</v>
      </c>
      <c r="U4">
        <v>1</v>
      </c>
      <c r="V4" t="s">
        <v>74</v>
      </c>
      <c r="W4">
        <v>0</v>
      </c>
      <c r="X4" t="s">
        <v>76</v>
      </c>
      <c r="Y4">
        <v>-1.5707963267949001</v>
      </c>
      <c r="Z4">
        <v>0.99199999999999999</v>
      </c>
      <c r="AA4">
        <v>0</v>
      </c>
      <c r="AB4">
        <v>5.8245346242475203E-2</v>
      </c>
      <c r="AC4">
        <v>0</v>
      </c>
      <c r="AD4">
        <v>1.6E-2</v>
      </c>
      <c r="AE4">
        <v>0</v>
      </c>
      <c r="AF4">
        <v>0</v>
      </c>
      <c r="AG4">
        <v>0</v>
      </c>
      <c r="AH4">
        <v>0</v>
      </c>
      <c r="AI4">
        <v>1</v>
      </c>
      <c r="AJ4" t="s">
        <v>74</v>
      </c>
      <c r="AK4">
        <v>0</v>
      </c>
      <c r="AL4" t="s">
        <v>77</v>
      </c>
      <c r="AM4">
        <v>0</v>
      </c>
      <c r="AN4">
        <v>0.99199999999999999</v>
      </c>
      <c r="AO4">
        <v>0</v>
      </c>
      <c r="AP4">
        <v>5.8245346242475203E-2</v>
      </c>
      <c r="AQ4">
        <v>0</v>
      </c>
      <c r="AR4">
        <v>1.6E-2</v>
      </c>
      <c r="AS4">
        <v>0</v>
      </c>
      <c r="AT4">
        <v>0</v>
      </c>
      <c r="AU4">
        <v>0</v>
      </c>
      <c r="AV4">
        <v>0</v>
      </c>
      <c r="AW4">
        <v>1</v>
      </c>
      <c r="AX4" t="s">
        <v>74</v>
      </c>
      <c r="AY4">
        <v>0</v>
      </c>
      <c r="AZ4" t="s">
        <v>76</v>
      </c>
      <c r="BA4">
        <v>-1.5707963267949001</v>
      </c>
      <c r="BB4">
        <v>0.99199999999999999</v>
      </c>
      <c r="BC4">
        <v>0</v>
      </c>
      <c r="BD4">
        <v>5.8245346242475203E-2</v>
      </c>
      <c r="BE4">
        <v>0</v>
      </c>
      <c r="BF4">
        <v>1.6E-2</v>
      </c>
      <c r="BG4">
        <v>0</v>
      </c>
      <c r="BH4">
        <v>0</v>
      </c>
      <c r="BI4">
        <v>0</v>
      </c>
      <c r="BJ4">
        <v>0</v>
      </c>
      <c r="BK4">
        <v>1</v>
      </c>
      <c r="BL4">
        <v>1.1649069248495E-4</v>
      </c>
      <c r="BM4">
        <v>0</v>
      </c>
      <c r="BN4" s="1">
        <v>4.3481320615740699E-7</v>
      </c>
      <c r="BO4">
        <v>0</v>
      </c>
      <c r="BP4">
        <v>0</v>
      </c>
      <c r="BQ4">
        <v>0</v>
      </c>
      <c r="BR4" s="1">
        <v>6.1429546266408705E-5</v>
      </c>
      <c r="BS4">
        <v>0</v>
      </c>
    </row>
    <row r="5" spans="1:149" x14ac:dyDescent="0.25">
      <c r="A5">
        <v>2</v>
      </c>
      <c r="B5">
        <v>3.6724667845616198E-2</v>
      </c>
      <c r="C5">
        <v>0.102183576352721</v>
      </c>
      <c r="D5">
        <v>-2.8851292990420902E-4</v>
      </c>
      <c r="E5">
        <v>6.1312499999999995E-4</v>
      </c>
      <c r="F5">
        <v>-1.02183576352721E-3</v>
      </c>
      <c r="G5">
        <v>0</v>
      </c>
      <c r="H5" t="s">
        <v>74</v>
      </c>
      <c r="I5">
        <v>0</v>
      </c>
      <c r="J5" t="s">
        <v>75</v>
      </c>
      <c r="K5">
        <v>3.14159265358979</v>
      </c>
      <c r="L5">
        <v>0.98778077199057401</v>
      </c>
      <c r="M5">
        <v>0</v>
      </c>
      <c r="N5">
        <v>5.79976139881557E-2</v>
      </c>
      <c r="O5">
        <v>0</v>
      </c>
      <c r="P5">
        <v>1.6E-2</v>
      </c>
      <c r="Q5">
        <v>0</v>
      </c>
      <c r="R5">
        <v>0</v>
      </c>
      <c r="S5">
        <v>0</v>
      </c>
      <c r="T5">
        <v>0</v>
      </c>
      <c r="U5">
        <v>1</v>
      </c>
      <c r="V5" t="s">
        <v>78</v>
      </c>
      <c r="W5">
        <v>2131911.6150477598</v>
      </c>
      <c r="X5" t="s">
        <v>76</v>
      </c>
      <c r="Y5">
        <v>-1.5707963267949001</v>
      </c>
      <c r="Z5">
        <v>0.984489007035379</v>
      </c>
      <c r="AA5">
        <v>4.1105576499812198E-3</v>
      </c>
      <c r="AB5">
        <v>5.6070161189812E-2</v>
      </c>
      <c r="AC5">
        <v>2.3893225970372499E-4</v>
      </c>
      <c r="AD5">
        <v>2.2611650941480099E-2</v>
      </c>
      <c r="AE5">
        <v>0</v>
      </c>
      <c r="AF5">
        <v>0</v>
      </c>
      <c r="AG5">
        <v>6.36619772367562E-3</v>
      </c>
      <c r="AH5">
        <v>0</v>
      </c>
      <c r="AI5">
        <v>0.99574674595823998</v>
      </c>
      <c r="AJ5" t="s">
        <v>74</v>
      </c>
      <c r="AK5">
        <v>0</v>
      </c>
      <c r="AL5" t="s">
        <v>77</v>
      </c>
      <c r="AM5">
        <v>0</v>
      </c>
      <c r="AN5">
        <v>0.99199999999999999</v>
      </c>
      <c r="AO5">
        <v>0</v>
      </c>
      <c r="AP5">
        <v>5.8245346242475203E-2</v>
      </c>
      <c r="AQ5">
        <v>0</v>
      </c>
      <c r="AR5">
        <v>1.6E-2</v>
      </c>
      <c r="AS5">
        <v>0</v>
      </c>
      <c r="AT5">
        <v>0</v>
      </c>
      <c r="AU5">
        <v>0</v>
      </c>
      <c r="AV5">
        <v>0</v>
      </c>
      <c r="AW5">
        <v>1</v>
      </c>
      <c r="AX5" t="s">
        <v>74</v>
      </c>
      <c r="AY5">
        <v>0</v>
      </c>
      <c r="AZ5" t="s">
        <v>76</v>
      </c>
      <c r="BA5">
        <v>-1.5707963267949001</v>
      </c>
      <c r="BB5">
        <v>0.99199999999999999</v>
      </c>
      <c r="BC5">
        <v>0</v>
      </c>
      <c r="BD5">
        <v>5.8245346242475203E-2</v>
      </c>
      <c r="BE5">
        <v>0</v>
      </c>
      <c r="BF5">
        <v>1.6E-2</v>
      </c>
      <c r="BG5">
        <v>0</v>
      </c>
      <c r="BH5">
        <v>0</v>
      </c>
      <c r="BI5">
        <v>0</v>
      </c>
      <c r="BJ5">
        <v>0</v>
      </c>
      <c r="BK5">
        <v>1</v>
      </c>
      <c r="BL5">
        <v>1.1539869996131099E-4</v>
      </c>
      <c r="BM5" s="1">
        <v>3.1830988618378101E-6</v>
      </c>
      <c r="BN5" s="1">
        <v>4.2595002119617701E-7</v>
      </c>
      <c r="BO5" s="1">
        <v>4.9999999999998403E-8</v>
      </c>
      <c r="BP5">
        <v>0</v>
      </c>
      <c r="BQ5">
        <v>0</v>
      </c>
      <c r="BR5" s="1">
        <v>6.3408884084064894E-5</v>
      </c>
      <c r="BS5" s="1">
        <v>1.7495506757056901E-6</v>
      </c>
    </row>
    <row r="6" spans="1:149" x14ac:dyDescent="0.25">
      <c r="A6">
        <v>3</v>
      </c>
      <c r="B6">
        <v>4.7574621640887702E-4</v>
      </c>
      <c r="C6">
        <v>0.10265932256913</v>
      </c>
      <c r="D6">
        <v>-2.9112563789968499E-4</v>
      </c>
      <c r="E6">
        <v>6.1312499999999995E-4</v>
      </c>
      <c r="F6">
        <v>-1.0265932256913E-3</v>
      </c>
      <c r="G6" s="1">
        <v>-1.0842021724855E-19</v>
      </c>
      <c r="H6" t="s">
        <v>74</v>
      </c>
      <c r="I6">
        <v>0</v>
      </c>
      <c r="J6" t="s">
        <v>75</v>
      </c>
      <c r="K6">
        <v>3.14159265358979</v>
      </c>
      <c r="L6">
        <v>0.98358272485378195</v>
      </c>
      <c r="M6">
        <v>0</v>
      </c>
      <c r="N6">
        <v>5.7751125370187298E-2</v>
      </c>
      <c r="O6">
        <v>0</v>
      </c>
      <c r="P6">
        <v>1.6E-2</v>
      </c>
      <c r="Q6">
        <v>0</v>
      </c>
      <c r="R6">
        <v>0</v>
      </c>
      <c r="S6">
        <v>0</v>
      </c>
      <c r="T6">
        <v>0</v>
      </c>
      <c r="U6">
        <v>0.99574758331313895</v>
      </c>
      <c r="V6" t="s">
        <v>78</v>
      </c>
      <c r="W6">
        <v>2154458.0168576702</v>
      </c>
      <c r="X6" t="s">
        <v>76</v>
      </c>
      <c r="Y6">
        <v>-1.5707963267949001</v>
      </c>
      <c r="Z6">
        <v>0.97943770191980195</v>
      </c>
      <c r="AA6">
        <v>6.4367878490583499E-3</v>
      </c>
      <c r="AB6">
        <v>5.5373156031896201E-2</v>
      </c>
      <c r="AC6">
        <v>4.1785708198760501E-4</v>
      </c>
      <c r="AD6">
        <v>2.41201987028767E-2</v>
      </c>
      <c r="AE6">
        <v>2.2572700674604001E-4</v>
      </c>
      <c r="AF6">
        <v>0</v>
      </c>
      <c r="AG6">
        <v>1.26093144908916E-2</v>
      </c>
      <c r="AH6" s="1">
        <v>9.1122118764879807E-5</v>
      </c>
      <c r="AI6">
        <v>0.987298502291592</v>
      </c>
      <c r="AJ6" t="s">
        <v>74</v>
      </c>
      <c r="AK6">
        <v>0</v>
      </c>
      <c r="AL6" t="s">
        <v>77</v>
      </c>
      <c r="AM6">
        <v>0</v>
      </c>
      <c r="AN6">
        <v>0.99199999999999999</v>
      </c>
      <c r="AO6">
        <v>0</v>
      </c>
      <c r="AP6">
        <v>5.8245346242475203E-2</v>
      </c>
      <c r="AQ6">
        <v>0</v>
      </c>
      <c r="AR6">
        <v>1.6E-2</v>
      </c>
      <c r="AS6">
        <v>0</v>
      </c>
      <c r="AT6">
        <v>0</v>
      </c>
      <c r="AU6">
        <v>0</v>
      </c>
      <c r="AV6">
        <v>0</v>
      </c>
      <c r="AW6">
        <v>1</v>
      </c>
      <c r="AX6" t="s">
        <v>74</v>
      </c>
      <c r="AY6">
        <v>0</v>
      </c>
      <c r="AZ6" t="s">
        <v>76</v>
      </c>
      <c r="BA6">
        <v>-1.5707963267949001</v>
      </c>
      <c r="BB6">
        <v>0.99199999999999999</v>
      </c>
      <c r="BC6">
        <v>0</v>
      </c>
      <c r="BD6">
        <v>5.8245346242475203E-2</v>
      </c>
      <c r="BE6">
        <v>0</v>
      </c>
      <c r="BF6">
        <v>1.6E-2</v>
      </c>
      <c r="BG6">
        <v>0</v>
      </c>
      <c r="BH6">
        <v>0</v>
      </c>
      <c r="BI6">
        <v>0</v>
      </c>
      <c r="BJ6">
        <v>0</v>
      </c>
      <c r="BK6">
        <v>1</v>
      </c>
      <c r="BL6">
        <v>1.15016415484511E-4</v>
      </c>
      <c r="BM6" s="1">
        <v>6.3502183048282501E-6</v>
      </c>
      <c r="BN6" s="1">
        <v>4.2352736878190598E-7</v>
      </c>
      <c r="BO6" s="1">
        <v>9.9748995875699305E-8</v>
      </c>
      <c r="BP6">
        <v>0</v>
      </c>
      <c r="BQ6">
        <v>0</v>
      </c>
      <c r="BR6" s="1">
        <v>6.3218570686907294E-5</v>
      </c>
      <c r="BS6" s="1">
        <v>3.4920787027281599E-6</v>
      </c>
    </row>
    <row r="7" spans="1:149" x14ac:dyDescent="0.25">
      <c r="A7">
        <v>4</v>
      </c>
      <c r="B7">
        <v>2.9853134152149901E-4</v>
      </c>
      <c r="C7">
        <v>0.102957853910651</v>
      </c>
      <c r="D7">
        <v>-2.9276121553487998E-4</v>
      </c>
      <c r="E7">
        <v>6.1312499999999995E-4</v>
      </c>
      <c r="F7">
        <v>-1.02957853910651E-3</v>
      </c>
      <c r="G7">
        <v>0</v>
      </c>
      <c r="H7" t="s">
        <v>74</v>
      </c>
      <c r="I7">
        <v>0</v>
      </c>
      <c r="J7" t="s">
        <v>75</v>
      </c>
      <c r="K7">
        <v>3.14159265358979</v>
      </c>
      <c r="L7">
        <v>0.97938445422773102</v>
      </c>
      <c r="M7">
        <v>0</v>
      </c>
      <c r="N7">
        <v>5.7504623630032101E-2</v>
      </c>
      <c r="O7">
        <v>0</v>
      </c>
      <c r="P7">
        <v>1.6E-2</v>
      </c>
      <c r="Q7">
        <v>0</v>
      </c>
      <c r="R7">
        <v>0</v>
      </c>
      <c r="S7">
        <v>0</v>
      </c>
      <c r="T7">
        <v>0</v>
      </c>
      <c r="U7">
        <v>0.99080365645933699</v>
      </c>
      <c r="V7" t="s">
        <v>78</v>
      </c>
      <c r="W7">
        <v>2168572.2579509201</v>
      </c>
      <c r="X7" t="s">
        <v>76</v>
      </c>
      <c r="Y7">
        <v>-1.5707963267949001</v>
      </c>
      <c r="Z7">
        <v>0.97470902333012799</v>
      </c>
      <c r="AA7">
        <v>1.13679967882926E-2</v>
      </c>
      <c r="AB7">
        <v>5.48573281817945E-2</v>
      </c>
      <c r="AC7">
        <v>6.7895998097931203E-4</v>
      </c>
      <c r="AD7">
        <v>2.4971062985404101E-2</v>
      </c>
      <c r="AE7">
        <v>4.6602460758151298E-4</v>
      </c>
      <c r="AF7">
        <v>0</v>
      </c>
      <c r="AG7">
        <v>1.87904619027719E-2</v>
      </c>
      <c r="AH7">
        <v>2.4455080545776701E-4</v>
      </c>
      <c r="AI7">
        <v>0.97819457394506404</v>
      </c>
      <c r="AJ7" t="s">
        <v>74</v>
      </c>
      <c r="AK7">
        <v>0</v>
      </c>
      <c r="AL7" t="s">
        <v>77</v>
      </c>
      <c r="AM7">
        <v>0</v>
      </c>
      <c r="AN7">
        <v>0.99199999999999999</v>
      </c>
      <c r="AO7">
        <v>0</v>
      </c>
      <c r="AP7">
        <v>5.8245346242475203E-2</v>
      </c>
      <c r="AQ7">
        <v>0</v>
      </c>
      <c r="AR7">
        <v>1.6E-2</v>
      </c>
      <c r="AS7">
        <v>0</v>
      </c>
      <c r="AT7">
        <v>0</v>
      </c>
      <c r="AU7">
        <v>0</v>
      </c>
      <c r="AV7">
        <v>0</v>
      </c>
      <c r="AW7">
        <v>1</v>
      </c>
      <c r="AX7" t="s">
        <v>74</v>
      </c>
      <c r="AY7">
        <v>0</v>
      </c>
      <c r="AZ7" t="s">
        <v>76</v>
      </c>
      <c r="BA7">
        <v>-1.5707963267949001</v>
      </c>
      <c r="BB7">
        <v>0.99199999999999999</v>
      </c>
      <c r="BC7">
        <v>0</v>
      </c>
      <c r="BD7">
        <v>5.8245346242475203E-2</v>
      </c>
      <c r="BE7">
        <v>0</v>
      </c>
      <c r="BF7">
        <v>1.6E-2</v>
      </c>
      <c r="BG7">
        <v>0</v>
      </c>
      <c r="BH7">
        <v>0</v>
      </c>
      <c r="BI7">
        <v>0</v>
      </c>
      <c r="BJ7">
        <v>0</v>
      </c>
      <c r="BK7">
        <v>1</v>
      </c>
      <c r="BL7">
        <v>1.14765802138878E-4</v>
      </c>
      <c r="BM7" s="1">
        <v>9.5175063541148203E-6</v>
      </c>
      <c r="BN7" s="1">
        <v>4.21960296781023E-7</v>
      </c>
      <c r="BO7" s="1">
        <v>1.4950064021290599E-7</v>
      </c>
      <c r="BP7">
        <v>0</v>
      </c>
      <c r="BQ7">
        <v>0</v>
      </c>
      <c r="BR7" s="1">
        <v>6.3089034845359906E-5</v>
      </c>
      <c r="BS7" s="1">
        <v>5.2354709742252498E-6</v>
      </c>
    </row>
    <row r="8" spans="1:149" x14ac:dyDescent="0.25">
      <c r="A8">
        <v>5</v>
      </c>
      <c r="B8">
        <v>2.19413021532548E-4</v>
      </c>
      <c r="C8">
        <v>0.103177266932184</v>
      </c>
      <c r="D8">
        <v>-2.9396152959163002E-4</v>
      </c>
      <c r="E8">
        <v>6.1312499999999995E-4</v>
      </c>
      <c r="F8">
        <v>-1.03177266932184E-3</v>
      </c>
      <c r="G8">
        <v>0</v>
      </c>
      <c r="H8" t="s">
        <v>74</v>
      </c>
      <c r="I8">
        <v>0</v>
      </c>
      <c r="J8" t="s">
        <v>75</v>
      </c>
      <c r="K8">
        <v>3.14159265358979</v>
      </c>
      <c r="L8">
        <v>0.97518622619322703</v>
      </c>
      <c r="M8">
        <v>0</v>
      </c>
      <c r="N8">
        <v>5.7258124390642401E-2</v>
      </c>
      <c r="O8">
        <v>0</v>
      </c>
      <c r="P8">
        <v>1.6E-2</v>
      </c>
      <c r="Q8">
        <v>0</v>
      </c>
      <c r="R8">
        <v>0</v>
      </c>
      <c r="S8">
        <v>0</v>
      </c>
      <c r="T8">
        <v>0</v>
      </c>
      <c r="U8">
        <v>0.985860630023355</v>
      </c>
      <c r="V8" t="s">
        <v>78</v>
      </c>
      <c r="W8">
        <v>2178930.38563623</v>
      </c>
      <c r="X8" t="s">
        <v>76</v>
      </c>
      <c r="Y8">
        <v>-1.5707963267949001</v>
      </c>
      <c r="Z8">
        <v>0.97012376132008604</v>
      </c>
      <c r="AA8">
        <v>1.6438487265137299E-2</v>
      </c>
      <c r="AB8">
        <v>5.4419540957801299E-2</v>
      </c>
      <c r="AC8">
        <v>9.4455521063339302E-4</v>
      </c>
      <c r="AD8">
        <v>2.55277807407037E-2</v>
      </c>
      <c r="AE8">
        <v>7.1560341280182396E-4</v>
      </c>
      <c r="AF8">
        <v>0</v>
      </c>
      <c r="AG8">
        <v>2.4909155571923101E-2</v>
      </c>
      <c r="AH8">
        <v>4.6036897046757702E-4</v>
      </c>
      <c r="AI8">
        <v>0.96912786710194199</v>
      </c>
      <c r="AJ8" t="s">
        <v>74</v>
      </c>
      <c r="AK8">
        <v>0</v>
      </c>
      <c r="AL8" t="s">
        <v>77</v>
      </c>
      <c r="AM8">
        <v>0</v>
      </c>
      <c r="AN8">
        <v>0.99199999999999999</v>
      </c>
      <c r="AO8">
        <v>0</v>
      </c>
      <c r="AP8">
        <v>5.8245346242475203E-2</v>
      </c>
      <c r="AQ8">
        <v>0</v>
      </c>
      <c r="AR8">
        <v>1.6E-2</v>
      </c>
      <c r="AS8">
        <v>0</v>
      </c>
      <c r="AT8">
        <v>0</v>
      </c>
      <c r="AU8">
        <v>0</v>
      </c>
      <c r="AV8">
        <v>0</v>
      </c>
      <c r="AW8">
        <v>1</v>
      </c>
      <c r="AX8" t="s">
        <v>74</v>
      </c>
      <c r="AY8">
        <v>0</v>
      </c>
      <c r="AZ8" t="s">
        <v>76</v>
      </c>
      <c r="BA8">
        <v>-1.5707963267949001</v>
      </c>
      <c r="BB8">
        <v>0.99199999999999999</v>
      </c>
      <c r="BC8">
        <v>0</v>
      </c>
      <c r="BD8">
        <v>5.8245346242475203E-2</v>
      </c>
      <c r="BE8">
        <v>0</v>
      </c>
      <c r="BF8">
        <v>1.6E-2</v>
      </c>
      <c r="BG8">
        <v>0</v>
      </c>
      <c r="BH8">
        <v>0</v>
      </c>
      <c r="BI8">
        <v>0</v>
      </c>
      <c r="BJ8">
        <v>0</v>
      </c>
      <c r="BK8">
        <v>1</v>
      </c>
      <c r="BL8">
        <v>1.14556456522014E-4</v>
      </c>
      <c r="BM8" s="1">
        <v>1.26847622711954E-5</v>
      </c>
      <c r="BN8" s="1">
        <v>4.2072617156748901E-7</v>
      </c>
      <c r="BO8" s="1">
        <v>1.99251779818602E-7</v>
      </c>
      <c r="BP8">
        <v>0</v>
      </c>
      <c r="BQ8">
        <v>0</v>
      </c>
      <c r="BR8" s="1">
        <v>6.2977007300514594E-5</v>
      </c>
      <c r="BS8" s="1">
        <v>6.9793612543384497E-6</v>
      </c>
    </row>
    <row r="9" spans="1:149" x14ac:dyDescent="0.25">
      <c r="A9">
        <v>6</v>
      </c>
      <c r="B9">
        <v>1.7422975873777899E-4</v>
      </c>
      <c r="C9">
        <v>0.103351496690922</v>
      </c>
      <c r="D9">
        <v>-2.9491361984298201E-4</v>
      </c>
      <c r="E9">
        <v>6.1312499999999995E-4</v>
      </c>
      <c r="F9">
        <v>-1.0335149669092199E-3</v>
      </c>
      <c r="G9">
        <v>0</v>
      </c>
      <c r="H9" t="s">
        <v>74</v>
      </c>
      <c r="I9">
        <v>0</v>
      </c>
      <c r="J9" t="s">
        <v>75</v>
      </c>
      <c r="K9">
        <v>3.14159265358979</v>
      </c>
      <c r="L9">
        <v>0.97098809072438697</v>
      </c>
      <c r="M9">
        <v>0</v>
      </c>
      <c r="N9">
        <v>5.7011630586251798E-2</v>
      </c>
      <c r="O9">
        <v>0</v>
      </c>
      <c r="P9">
        <v>1.6E-2</v>
      </c>
      <c r="Q9">
        <v>0</v>
      </c>
      <c r="R9">
        <v>0</v>
      </c>
      <c r="S9">
        <v>0</v>
      </c>
      <c r="T9">
        <v>0</v>
      </c>
      <c r="U9">
        <v>0.98105570441256396</v>
      </c>
      <c r="V9" t="s">
        <v>78</v>
      </c>
      <c r="W9">
        <v>2187146.4623671402</v>
      </c>
      <c r="X9" t="s">
        <v>76</v>
      </c>
      <c r="Y9">
        <v>-1.5707963267949001</v>
      </c>
      <c r="Z9">
        <v>0.96562111714862098</v>
      </c>
      <c r="AA9">
        <v>2.1602696804832702E-2</v>
      </c>
      <c r="AB9">
        <v>5.4025772668047901E-2</v>
      </c>
      <c r="AC9">
        <v>1.2130319321249001E-3</v>
      </c>
      <c r="AD9">
        <v>2.5914365909117401E-2</v>
      </c>
      <c r="AE9">
        <v>9.7205165570332902E-4</v>
      </c>
      <c r="AF9">
        <v>0</v>
      </c>
      <c r="AG9">
        <v>3.0965077678270201E-2</v>
      </c>
      <c r="AH9">
        <v>7.3881903023814797E-4</v>
      </c>
      <c r="AI9">
        <v>0.96023583312206096</v>
      </c>
      <c r="AJ9" t="s">
        <v>74</v>
      </c>
      <c r="AK9">
        <v>0</v>
      </c>
      <c r="AL9" t="s">
        <v>77</v>
      </c>
      <c r="AM9">
        <v>0</v>
      </c>
      <c r="AN9">
        <v>0.99199999999999999</v>
      </c>
      <c r="AO9">
        <v>0</v>
      </c>
      <c r="AP9">
        <v>5.8245346242475203E-2</v>
      </c>
      <c r="AQ9">
        <v>0</v>
      </c>
      <c r="AR9">
        <v>1.6E-2</v>
      </c>
      <c r="AS9">
        <v>0</v>
      </c>
      <c r="AT9">
        <v>0</v>
      </c>
      <c r="AU9">
        <v>0</v>
      </c>
      <c r="AV9">
        <v>0</v>
      </c>
      <c r="AW9">
        <v>1</v>
      </c>
      <c r="AX9" t="s">
        <v>74</v>
      </c>
      <c r="AY9">
        <v>0</v>
      </c>
      <c r="AZ9" t="s">
        <v>76</v>
      </c>
      <c r="BA9">
        <v>-1.5707963267949001</v>
      </c>
      <c r="BB9">
        <v>0.99199999999999999</v>
      </c>
      <c r="BC9">
        <v>0</v>
      </c>
      <c r="BD9">
        <v>5.8245346242475203E-2</v>
      </c>
      <c r="BE9">
        <v>0</v>
      </c>
      <c r="BF9">
        <v>1.6E-2</v>
      </c>
      <c r="BG9">
        <v>0</v>
      </c>
      <c r="BH9">
        <v>0</v>
      </c>
      <c r="BI9">
        <v>0</v>
      </c>
      <c r="BJ9">
        <v>0</v>
      </c>
      <c r="BK9">
        <v>1</v>
      </c>
      <c r="BL9">
        <v>1.14370563835688E-4</v>
      </c>
      <c r="BM9" s="1">
        <v>1.5851948354254201E-5</v>
      </c>
      <c r="BN9" s="1">
        <v>4.1967801744222702E-7</v>
      </c>
      <c r="BO9" s="1">
        <v>2.4900182247404899E-7</v>
      </c>
      <c r="BP9">
        <v>0</v>
      </c>
      <c r="BQ9">
        <v>0</v>
      </c>
      <c r="BR9" s="1">
        <v>6.2874913383449896E-5</v>
      </c>
      <c r="BS9" s="1">
        <v>8.7236043817307899E-6</v>
      </c>
    </row>
    <row r="10" spans="1:149" x14ac:dyDescent="0.25">
      <c r="A10">
        <v>7</v>
      </c>
      <c r="B10">
        <v>1.4491826618152499E-4</v>
      </c>
      <c r="C10">
        <v>0.103496414957103</v>
      </c>
      <c r="D10">
        <v>-2.9570484559272999E-4</v>
      </c>
      <c r="E10">
        <v>6.1312499999999995E-4</v>
      </c>
      <c r="F10">
        <v>-1.03496414957103E-3</v>
      </c>
      <c r="G10" s="1">
        <v>-1.0842021724855E-19</v>
      </c>
      <c r="H10" t="s">
        <v>74</v>
      </c>
      <c r="I10">
        <v>0</v>
      </c>
      <c r="J10" t="s">
        <v>75</v>
      </c>
      <c r="K10">
        <v>3.14159265358979</v>
      </c>
      <c r="L10">
        <v>0.96679006548554103</v>
      </c>
      <c r="M10">
        <v>0</v>
      </c>
      <c r="N10">
        <v>5.67651432540228E-2</v>
      </c>
      <c r="O10">
        <v>0</v>
      </c>
      <c r="P10">
        <v>1.6E-2</v>
      </c>
      <c r="Q10">
        <v>0</v>
      </c>
      <c r="R10">
        <v>0</v>
      </c>
      <c r="S10">
        <v>0</v>
      </c>
      <c r="T10">
        <v>0</v>
      </c>
      <c r="U10">
        <v>0.976388574514368</v>
      </c>
      <c r="V10" t="s">
        <v>78</v>
      </c>
      <c r="W10">
        <v>2193974.3565317602</v>
      </c>
      <c r="X10" t="s">
        <v>76</v>
      </c>
      <c r="Y10">
        <v>-1.5707963267949001</v>
      </c>
      <c r="Z10">
        <v>0.96117271292019302</v>
      </c>
      <c r="AA10">
        <v>2.41914087088511E-2</v>
      </c>
      <c r="AB10">
        <v>5.3660438539645097E-2</v>
      </c>
      <c r="AC10">
        <v>1.4004393401341299E-3</v>
      </c>
      <c r="AD10">
        <v>2.61889472654592E-2</v>
      </c>
      <c r="AE10">
        <v>1.2339482484212099E-3</v>
      </c>
      <c r="AF10">
        <v>0</v>
      </c>
      <c r="AG10">
        <v>3.6957920765147902E-2</v>
      </c>
      <c r="AH10">
        <v>1.08018178854467E-3</v>
      </c>
      <c r="AI10">
        <v>0.95151835938191798</v>
      </c>
      <c r="AJ10" t="s">
        <v>74</v>
      </c>
      <c r="AK10">
        <v>0</v>
      </c>
      <c r="AL10" t="s">
        <v>77</v>
      </c>
      <c r="AM10">
        <v>0</v>
      </c>
      <c r="AN10">
        <v>0.99199999999999999</v>
      </c>
      <c r="AO10">
        <v>0</v>
      </c>
      <c r="AP10">
        <v>5.8245346242475203E-2</v>
      </c>
      <c r="AQ10">
        <v>0</v>
      </c>
      <c r="AR10">
        <v>1.6E-2</v>
      </c>
      <c r="AS10">
        <v>0</v>
      </c>
      <c r="AT10">
        <v>0</v>
      </c>
      <c r="AU10">
        <v>0</v>
      </c>
      <c r="AV10">
        <v>0</v>
      </c>
      <c r="AW10">
        <v>1</v>
      </c>
      <c r="AX10" t="s">
        <v>74</v>
      </c>
      <c r="AY10">
        <v>0</v>
      </c>
      <c r="AZ10" t="s">
        <v>76</v>
      </c>
      <c r="BA10">
        <v>-1.5707963267949001</v>
      </c>
      <c r="BB10">
        <v>0.99199999999999999</v>
      </c>
      <c r="BC10">
        <v>0</v>
      </c>
      <c r="BD10">
        <v>5.8245346242475203E-2</v>
      </c>
      <c r="BE10">
        <v>0</v>
      </c>
      <c r="BF10">
        <v>1.6E-2</v>
      </c>
      <c r="BG10">
        <v>0</v>
      </c>
      <c r="BH10">
        <v>0</v>
      </c>
      <c r="BI10">
        <v>0</v>
      </c>
      <c r="BJ10">
        <v>0</v>
      </c>
      <c r="BK10">
        <v>1</v>
      </c>
      <c r="BL10">
        <v>1.14158356809376E-4</v>
      </c>
      <c r="BM10" s="1">
        <v>1.90190512768463E-5</v>
      </c>
      <c r="BN10" s="1">
        <v>4.18665827924931E-7</v>
      </c>
      <c r="BO10" s="1">
        <v>2.9875055884793902E-7</v>
      </c>
      <c r="BP10">
        <v>0</v>
      </c>
      <c r="BQ10">
        <v>0</v>
      </c>
      <c r="BR10" s="1">
        <v>6.2756403667658795E-5</v>
      </c>
      <c r="BS10" s="1">
        <v>1.04681188825485E-5</v>
      </c>
      <c r="ES10" s="1"/>
    </row>
    <row r="11" spans="1:149" x14ac:dyDescent="0.25">
      <c r="A11">
        <v>8</v>
      </c>
      <c r="B11">
        <v>1.2433629543219901E-4</v>
      </c>
      <c r="C11">
        <v>0.103620751252535</v>
      </c>
      <c r="D11">
        <v>-2.9638320586615599E-4</v>
      </c>
      <c r="E11">
        <v>6.1312499999999995E-4</v>
      </c>
      <c r="F11">
        <v>-1.03620751252535E-3</v>
      </c>
      <c r="G11">
        <v>0</v>
      </c>
      <c r="H11" t="s">
        <v>74</v>
      </c>
      <c r="I11">
        <v>0</v>
      </c>
      <c r="J11" t="s">
        <v>75</v>
      </c>
      <c r="K11">
        <v>3.14159265358979</v>
      </c>
      <c r="L11">
        <v>0.96259216114988699</v>
      </c>
      <c r="M11">
        <v>0</v>
      </c>
      <c r="N11">
        <v>5.6518663020632701E-2</v>
      </c>
      <c r="O11">
        <v>0</v>
      </c>
      <c r="P11">
        <v>1.6E-2</v>
      </c>
      <c r="Q11">
        <v>0</v>
      </c>
      <c r="R11">
        <v>0</v>
      </c>
      <c r="S11">
        <v>0</v>
      </c>
      <c r="T11">
        <v>0</v>
      </c>
      <c r="U11">
        <v>0.97182976124601705</v>
      </c>
      <c r="V11" t="s">
        <v>78</v>
      </c>
      <c r="W11">
        <v>2199828.2764198701</v>
      </c>
      <c r="X11" t="s">
        <v>76</v>
      </c>
      <c r="Y11">
        <v>-1.5707963267949001</v>
      </c>
      <c r="Z11">
        <v>0.95676289300367601</v>
      </c>
      <c r="AA11">
        <v>2.9467774105539499E-2</v>
      </c>
      <c r="AB11">
        <v>5.3315060038119401E-2</v>
      </c>
      <c r="AC11">
        <v>1.6720877653799301E-3</v>
      </c>
      <c r="AD11">
        <v>2.6383697967002601E-2</v>
      </c>
      <c r="AE11">
        <v>1.50034832580758E-3</v>
      </c>
      <c r="AF11">
        <v>0</v>
      </c>
      <c r="AG11">
        <v>4.28873678294222E-2</v>
      </c>
      <c r="AH11">
        <v>1.48475814422871E-3</v>
      </c>
      <c r="AI11">
        <v>0.94294613606785405</v>
      </c>
      <c r="AJ11" t="s">
        <v>74</v>
      </c>
      <c r="AK11">
        <v>0</v>
      </c>
      <c r="AL11" t="s">
        <v>77</v>
      </c>
      <c r="AM11">
        <v>0</v>
      </c>
      <c r="AN11">
        <v>0.99199999999999999</v>
      </c>
      <c r="AO11">
        <v>0</v>
      </c>
      <c r="AP11">
        <v>5.8245346242475203E-2</v>
      </c>
      <c r="AQ11">
        <v>0</v>
      </c>
      <c r="AR11">
        <v>1.6E-2</v>
      </c>
      <c r="AS11">
        <v>0</v>
      </c>
      <c r="AT11">
        <v>0</v>
      </c>
      <c r="AU11">
        <v>0</v>
      </c>
      <c r="AV11">
        <v>0</v>
      </c>
      <c r="AW11">
        <v>1</v>
      </c>
      <c r="AX11" t="s">
        <v>74</v>
      </c>
      <c r="AY11">
        <v>0</v>
      </c>
      <c r="AZ11" t="s">
        <v>76</v>
      </c>
      <c r="BA11">
        <v>-1.5707963267949001</v>
      </c>
      <c r="BB11">
        <v>0.99199999999999999</v>
      </c>
      <c r="BC11">
        <v>0</v>
      </c>
      <c r="BD11">
        <v>5.8245346242475203E-2</v>
      </c>
      <c r="BE11">
        <v>0</v>
      </c>
      <c r="BF11">
        <v>1.6E-2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1.13998251654541E-4</v>
      </c>
      <c r="BM11" s="1">
        <v>2.21860629868255E-5</v>
      </c>
      <c r="BN11" s="1">
        <v>4.1781925510593001E-7</v>
      </c>
      <c r="BO11" s="1">
        <v>3.4849786245745598E-7</v>
      </c>
      <c r="BP11">
        <v>0</v>
      </c>
      <c r="BQ11">
        <v>0</v>
      </c>
      <c r="BR11" s="1">
        <v>6.2665208880637393E-5</v>
      </c>
      <c r="BS11" s="1">
        <v>1.2212850985936099E-5</v>
      </c>
    </row>
    <row r="12" spans="1:149" x14ac:dyDescent="0.25">
      <c r="A12">
        <v>9</v>
      </c>
      <c r="B12">
        <v>1.09078196873616E-4</v>
      </c>
      <c r="C12">
        <v>0.10372982944940901</v>
      </c>
      <c r="D12">
        <v>-2.9697795025920398E-4</v>
      </c>
      <c r="E12">
        <v>6.1312499999999995E-4</v>
      </c>
      <c r="F12">
        <v>-1.03729829449409E-3</v>
      </c>
      <c r="G12" s="1">
        <v>-1.0842021724855E-19</v>
      </c>
      <c r="H12" t="s">
        <v>74</v>
      </c>
      <c r="I12">
        <v>0</v>
      </c>
      <c r="J12" t="s">
        <v>75</v>
      </c>
      <c r="K12">
        <v>3.14159265358979</v>
      </c>
      <c r="L12">
        <v>0.95839438627590801</v>
      </c>
      <c r="M12">
        <v>0</v>
      </c>
      <c r="N12">
        <v>5.6272190388593601E-2</v>
      </c>
      <c r="O12">
        <v>0</v>
      </c>
      <c r="P12">
        <v>1.6E-2</v>
      </c>
      <c r="Q12">
        <v>0</v>
      </c>
      <c r="R12">
        <v>0</v>
      </c>
      <c r="S12">
        <v>0</v>
      </c>
      <c r="T12">
        <v>0</v>
      </c>
      <c r="U12">
        <v>0.96734987120429805</v>
      </c>
      <c r="V12" t="s">
        <v>78</v>
      </c>
      <c r="W12">
        <v>2204960.6318469099</v>
      </c>
      <c r="X12" t="s">
        <v>76</v>
      </c>
      <c r="Y12">
        <v>-1.5707963267949001</v>
      </c>
      <c r="Z12">
        <v>0.95238206162464301</v>
      </c>
      <c r="AA12">
        <v>3.2095283196722203E-2</v>
      </c>
      <c r="AB12">
        <v>5.29844978273862E-2</v>
      </c>
      <c r="AC12">
        <v>1.86031175621699E-3</v>
      </c>
      <c r="AD12">
        <v>2.6518390681476E-2</v>
      </c>
      <c r="AE12">
        <v>1.77057674632196E-3</v>
      </c>
      <c r="AF12">
        <v>0</v>
      </c>
      <c r="AG12">
        <v>4.8753088011430898E-2</v>
      </c>
      <c r="AH12">
        <v>1.9528660434530499E-3</v>
      </c>
      <c r="AI12">
        <v>0.93448992809519704</v>
      </c>
      <c r="AJ12" t="s">
        <v>74</v>
      </c>
      <c r="AK12">
        <v>0</v>
      </c>
      <c r="AL12" t="s">
        <v>77</v>
      </c>
      <c r="AM12">
        <v>0</v>
      </c>
      <c r="AN12">
        <v>0.99199999999999999</v>
      </c>
      <c r="AO12">
        <v>0</v>
      </c>
      <c r="AP12">
        <v>5.8245346242475203E-2</v>
      </c>
      <c r="AQ12">
        <v>0</v>
      </c>
      <c r="AR12">
        <v>1.6E-2</v>
      </c>
      <c r="AS12">
        <v>0</v>
      </c>
      <c r="AT12">
        <v>0</v>
      </c>
      <c r="AU12">
        <v>0</v>
      </c>
      <c r="AV12">
        <v>0</v>
      </c>
      <c r="AW12">
        <v>1</v>
      </c>
      <c r="AX12" t="s">
        <v>74</v>
      </c>
      <c r="AY12">
        <v>0</v>
      </c>
      <c r="AZ12" t="s">
        <v>76</v>
      </c>
      <c r="BA12">
        <v>-1.5707963267949001</v>
      </c>
      <c r="BB12">
        <v>0.99199999999999999</v>
      </c>
      <c r="BC12">
        <v>0</v>
      </c>
      <c r="BD12">
        <v>5.8245346242475203E-2</v>
      </c>
      <c r="BE12">
        <v>0</v>
      </c>
      <c r="BF12">
        <v>1.6E-2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1.13803846228574E-4</v>
      </c>
      <c r="BM12" s="1">
        <v>2.5352977027442E-5</v>
      </c>
      <c r="BN12" s="1">
        <v>4.1694917193675602E-7</v>
      </c>
      <c r="BO12" s="1">
        <v>3.9824363188021302E-7</v>
      </c>
      <c r="BP12">
        <v>0</v>
      </c>
      <c r="BQ12">
        <v>0</v>
      </c>
      <c r="BR12" s="1">
        <v>6.25541204576457E-5</v>
      </c>
      <c r="BS12" s="1">
        <v>1.39577619064167E-5</v>
      </c>
    </row>
    <row r="13" spans="1:149" x14ac:dyDescent="0.25">
      <c r="A13">
        <v>10</v>
      </c>
      <c r="B13" s="1">
        <v>9.7310007375147397E-5</v>
      </c>
      <c r="C13">
        <v>0.103827139456784</v>
      </c>
      <c r="D13">
        <v>-2.9750823970894598E-4</v>
      </c>
      <c r="E13">
        <v>6.1312499999999995E-4</v>
      </c>
      <c r="F13">
        <v>-1.0382713945678401E-3</v>
      </c>
      <c r="G13" s="1">
        <v>-1.0842021724855E-19</v>
      </c>
      <c r="H13" t="s">
        <v>74</v>
      </c>
      <c r="I13">
        <v>0</v>
      </c>
      <c r="J13" t="s">
        <v>75</v>
      </c>
      <c r="K13">
        <v>3.14159265358979</v>
      </c>
      <c r="L13">
        <v>0.95419674840052904</v>
      </c>
      <c r="M13">
        <v>0</v>
      </c>
      <c r="N13">
        <v>5.6025725800436299E-2</v>
      </c>
      <c r="O13">
        <v>0</v>
      </c>
      <c r="P13">
        <v>1.6E-2</v>
      </c>
      <c r="Q13">
        <v>0</v>
      </c>
      <c r="R13">
        <v>0</v>
      </c>
      <c r="S13">
        <v>0</v>
      </c>
      <c r="T13">
        <v>0</v>
      </c>
      <c r="U13">
        <v>0.96292603332786497</v>
      </c>
      <c r="V13" t="s">
        <v>78</v>
      </c>
      <c r="W13">
        <v>2209536.7723992201</v>
      </c>
      <c r="X13" t="s">
        <v>76</v>
      </c>
      <c r="Y13">
        <v>-1.5707963267949001</v>
      </c>
      <c r="Z13">
        <v>0.94802389192914605</v>
      </c>
      <c r="AA13">
        <v>3.7425866477090501E-2</v>
      </c>
      <c r="AB13">
        <v>5.2665394443657698E-2</v>
      </c>
      <c r="AC13">
        <v>2.1332485072263598E-3</v>
      </c>
      <c r="AD13">
        <v>2.66060938673344E-2</v>
      </c>
      <c r="AE13">
        <v>2.04412655655853E-3</v>
      </c>
      <c r="AF13">
        <v>0</v>
      </c>
      <c r="AG13">
        <v>5.4554736207696297E-2</v>
      </c>
      <c r="AH13">
        <v>2.4848392175793898E-3</v>
      </c>
      <c r="AI13">
        <v>0.92612701713844803</v>
      </c>
      <c r="AJ13" t="s">
        <v>74</v>
      </c>
      <c r="AK13">
        <v>0</v>
      </c>
      <c r="AL13" t="s">
        <v>77</v>
      </c>
      <c r="AM13">
        <v>0</v>
      </c>
      <c r="AN13">
        <v>0.99199999999999999</v>
      </c>
      <c r="AO13">
        <v>0</v>
      </c>
      <c r="AP13">
        <v>5.8245346242475203E-2</v>
      </c>
      <c r="AQ13">
        <v>0</v>
      </c>
      <c r="AR13">
        <v>1.6E-2</v>
      </c>
      <c r="AS13">
        <v>0</v>
      </c>
      <c r="AT13">
        <v>0</v>
      </c>
      <c r="AU13">
        <v>0</v>
      </c>
      <c r="AV13">
        <v>0</v>
      </c>
      <c r="AW13">
        <v>1</v>
      </c>
      <c r="AX13" t="s">
        <v>74</v>
      </c>
      <c r="AY13">
        <v>0</v>
      </c>
      <c r="AZ13" t="s">
        <v>76</v>
      </c>
      <c r="BA13">
        <v>-1.5707963267949001</v>
      </c>
      <c r="BB13">
        <v>0.99199999999999999</v>
      </c>
      <c r="BC13">
        <v>0</v>
      </c>
      <c r="BD13">
        <v>5.8245346242475203E-2</v>
      </c>
      <c r="BE13">
        <v>0</v>
      </c>
      <c r="BF13">
        <v>1.6E-2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1.13657530618135E-4</v>
      </c>
      <c r="BM13" s="1">
        <v>2.8519787712637901E-5</v>
      </c>
      <c r="BN13" s="1">
        <v>4.1620979087743298E-7</v>
      </c>
      <c r="BO13" s="1">
        <v>4.4798777779981802E-7</v>
      </c>
      <c r="BP13">
        <v>0</v>
      </c>
      <c r="BQ13">
        <v>0</v>
      </c>
      <c r="BR13" s="1">
        <v>6.2468724280542495E-5</v>
      </c>
      <c r="BS13" s="1">
        <v>1.5702822090106001E-5</v>
      </c>
    </row>
    <row r="14" spans="1:149" x14ac:dyDescent="0.25">
      <c r="A14">
        <v>11</v>
      </c>
      <c r="B14" s="1">
        <v>8.7955208470327393E-5</v>
      </c>
      <c r="C14">
        <v>0.103915094665254</v>
      </c>
      <c r="D14">
        <v>-2.9798731711145601E-4</v>
      </c>
      <c r="E14">
        <v>6.1312499999999995E-4</v>
      </c>
      <c r="F14">
        <v>-1.03915094665254E-3</v>
      </c>
      <c r="G14">
        <v>0</v>
      </c>
      <c r="H14" t="s">
        <v>74</v>
      </c>
      <c r="I14">
        <v>0</v>
      </c>
      <c r="J14" t="s">
        <v>75</v>
      </c>
      <c r="K14">
        <v>3.14159265358979</v>
      </c>
      <c r="L14">
        <v>0.94999925433603005</v>
      </c>
      <c r="M14">
        <v>0</v>
      </c>
      <c r="N14">
        <v>5.5779269656144499E-2</v>
      </c>
      <c r="O14">
        <v>0</v>
      </c>
      <c r="P14">
        <v>1.6E-2</v>
      </c>
      <c r="Q14">
        <v>0</v>
      </c>
      <c r="R14">
        <v>0</v>
      </c>
      <c r="S14">
        <v>0</v>
      </c>
      <c r="T14">
        <v>0</v>
      </c>
      <c r="U14">
        <v>0.958541876667651</v>
      </c>
      <c r="V14" t="s">
        <v>78</v>
      </c>
      <c r="W14">
        <v>2213670.97784191</v>
      </c>
      <c r="X14" t="s">
        <v>76</v>
      </c>
      <c r="Y14">
        <v>-1.5707963267949001</v>
      </c>
      <c r="Z14">
        <v>0.94368398186889602</v>
      </c>
      <c r="AA14">
        <v>4.0070244292415402E-2</v>
      </c>
      <c r="AB14">
        <v>5.2355432233794803E-2</v>
      </c>
      <c r="AC14">
        <v>2.3215929822140201E-3</v>
      </c>
      <c r="AD14">
        <v>2.6655921911782E-2</v>
      </c>
      <c r="AE14">
        <v>2.3206026026784299E-3</v>
      </c>
      <c r="AF14">
        <v>0</v>
      </c>
      <c r="AG14">
        <v>6.0291954110912399E-2</v>
      </c>
      <c r="AH14">
        <v>3.0810256951775599E-3</v>
      </c>
      <c r="AI14">
        <v>0.91784118187061503</v>
      </c>
      <c r="AJ14" t="s">
        <v>74</v>
      </c>
      <c r="AK14">
        <v>0</v>
      </c>
      <c r="AL14" t="s">
        <v>77</v>
      </c>
      <c r="AM14">
        <v>0</v>
      </c>
      <c r="AN14">
        <v>0.99199999999999999</v>
      </c>
      <c r="AO14">
        <v>0</v>
      </c>
      <c r="AP14">
        <v>5.8245346242475203E-2</v>
      </c>
      <c r="AQ14">
        <v>0</v>
      </c>
      <c r="AR14">
        <v>1.6E-2</v>
      </c>
      <c r="AS14">
        <v>0</v>
      </c>
      <c r="AT14">
        <v>0</v>
      </c>
      <c r="AU14">
        <v>0</v>
      </c>
      <c r="AV14">
        <v>0</v>
      </c>
      <c r="AW14">
        <v>1</v>
      </c>
      <c r="AX14" t="s">
        <v>74</v>
      </c>
      <c r="AY14">
        <v>0</v>
      </c>
      <c r="AZ14" t="s">
        <v>76</v>
      </c>
      <c r="BA14">
        <v>-1.5707963267949001</v>
      </c>
      <c r="BB14">
        <v>0.99199999999999999</v>
      </c>
      <c r="BC14">
        <v>0</v>
      </c>
      <c r="BD14">
        <v>5.8245346242475203E-2</v>
      </c>
      <c r="BE14">
        <v>0</v>
      </c>
      <c r="BF14">
        <v>1.6E-2</v>
      </c>
      <c r="BG14">
        <v>0</v>
      </c>
      <c r="BH14">
        <v>0</v>
      </c>
      <c r="BI14">
        <v>0</v>
      </c>
      <c r="BJ14">
        <v>0</v>
      </c>
      <c r="BK14">
        <v>1</v>
      </c>
      <c r="BL14">
        <v>1.1347349367855199E-4</v>
      </c>
      <c r="BM14" s="1">
        <v>3.1686489903044999E-5</v>
      </c>
      <c r="BN14" s="1">
        <v>4.1542225146770799E-7</v>
      </c>
      <c r="BO14" s="1">
        <v>4.9773021948726602E-7</v>
      </c>
      <c r="BP14">
        <v>0</v>
      </c>
      <c r="BQ14">
        <v>0</v>
      </c>
      <c r="BR14" s="1">
        <v>6.2361934873946101E-5</v>
      </c>
      <c r="BS14" s="1">
        <v>1.7448008158258099E-5</v>
      </c>
    </row>
    <row r="15" spans="1:149" x14ac:dyDescent="0.25">
      <c r="A15">
        <v>12</v>
      </c>
      <c r="B15" s="1">
        <v>8.0339723358951803E-5</v>
      </c>
      <c r="C15">
        <v>0.103995434388613</v>
      </c>
      <c r="D15">
        <v>-2.98424721787517E-4</v>
      </c>
      <c r="E15">
        <v>6.1312499999999995E-4</v>
      </c>
      <c r="F15">
        <v>-1.0399543438861299E-3</v>
      </c>
      <c r="G15">
        <v>0</v>
      </c>
      <c r="H15" t="s">
        <v>74</v>
      </c>
      <c r="I15">
        <v>0</v>
      </c>
      <c r="J15" t="s">
        <v>75</v>
      </c>
      <c r="K15">
        <v>3.14159265358979</v>
      </c>
      <c r="L15">
        <v>0.94580191029877203</v>
      </c>
      <c r="M15">
        <v>0</v>
      </c>
      <c r="N15">
        <v>5.5532822320712098E-2</v>
      </c>
      <c r="O15">
        <v>0</v>
      </c>
      <c r="P15">
        <v>1.6E-2</v>
      </c>
      <c r="Q15">
        <v>0</v>
      </c>
      <c r="R15">
        <v>0</v>
      </c>
      <c r="S15">
        <v>0</v>
      </c>
      <c r="T15">
        <v>0</v>
      </c>
      <c r="U15">
        <v>0.95418605490611696</v>
      </c>
      <c r="V15" t="s">
        <v>78</v>
      </c>
      <c r="W15">
        <v>2217445.5678829998</v>
      </c>
      <c r="X15" t="s">
        <v>76</v>
      </c>
      <c r="Y15">
        <v>-1.5707963267949001</v>
      </c>
      <c r="Z15">
        <v>0.93935913928483095</v>
      </c>
      <c r="AA15">
        <v>4.5420337205092198E-2</v>
      </c>
      <c r="AB15">
        <v>5.2052942143037899E-2</v>
      </c>
      <c r="AC15">
        <v>2.5947499063946901E-3</v>
      </c>
      <c r="AD15">
        <v>2.66745006070024E-2</v>
      </c>
      <c r="AE15">
        <v>2.5996876152279899E-3</v>
      </c>
      <c r="AF15">
        <v>0</v>
      </c>
      <c r="AG15">
        <v>6.5964371696501906E-2</v>
      </c>
      <c r="AH15">
        <v>3.74178612124846E-3</v>
      </c>
      <c r="AI15">
        <v>0.909621223592323</v>
      </c>
      <c r="AJ15" t="s">
        <v>74</v>
      </c>
      <c r="AK15">
        <v>0</v>
      </c>
      <c r="AL15" t="s">
        <v>77</v>
      </c>
      <c r="AM15">
        <v>0</v>
      </c>
      <c r="AN15">
        <v>0.99199999999999999</v>
      </c>
      <c r="AO15">
        <v>0</v>
      </c>
      <c r="AP15">
        <v>5.8245346242475203E-2</v>
      </c>
      <c r="AQ15">
        <v>0</v>
      </c>
      <c r="AR15">
        <v>1.6E-2</v>
      </c>
      <c r="AS15">
        <v>0</v>
      </c>
      <c r="AT15">
        <v>0</v>
      </c>
      <c r="AU15">
        <v>0</v>
      </c>
      <c r="AV15">
        <v>0</v>
      </c>
      <c r="AW15">
        <v>1</v>
      </c>
      <c r="AX15" t="s">
        <v>74</v>
      </c>
      <c r="AY15">
        <v>0</v>
      </c>
      <c r="AZ15" t="s">
        <v>76</v>
      </c>
      <c r="BA15">
        <v>-1.5707963267949001</v>
      </c>
      <c r="BB15">
        <v>0.99199999999999999</v>
      </c>
      <c r="BC15">
        <v>0</v>
      </c>
      <c r="BD15">
        <v>5.8245346242475203E-2</v>
      </c>
      <c r="BE15">
        <v>0</v>
      </c>
      <c r="BF15">
        <v>1.6E-2</v>
      </c>
      <c r="BG15">
        <v>0</v>
      </c>
      <c r="BH15">
        <v>0</v>
      </c>
      <c r="BI15">
        <v>0</v>
      </c>
      <c r="BJ15">
        <v>0</v>
      </c>
      <c r="BK15">
        <v>1</v>
      </c>
      <c r="BL15">
        <v>1.13335603427548E-4</v>
      </c>
      <c r="BM15" s="1">
        <v>3.4853078908875202E-5</v>
      </c>
      <c r="BN15" s="1">
        <v>4.1474912071224202E-7</v>
      </c>
      <c r="BO15" s="1">
        <v>5.4747088327553801E-7</v>
      </c>
      <c r="BP15">
        <v>0</v>
      </c>
      <c r="BQ15">
        <v>0</v>
      </c>
      <c r="BR15" s="1">
        <v>6.2280046263116906E-5</v>
      </c>
      <c r="BS15" s="1">
        <v>1.9193301096498399E-5</v>
      </c>
    </row>
    <row r="16" spans="1:149" x14ac:dyDescent="0.25">
      <c r="A16">
        <v>13</v>
      </c>
      <c r="B16" s="1">
        <v>7.4019673722516995E-5</v>
      </c>
      <c r="C16">
        <v>0.104069454062336</v>
      </c>
      <c r="D16">
        <v>-2.988275554598E-4</v>
      </c>
      <c r="E16">
        <v>6.1312499999999995E-4</v>
      </c>
      <c r="F16">
        <v>-1.0406945406233601E-3</v>
      </c>
      <c r="G16" s="1">
        <v>-1.0842021724855E-19</v>
      </c>
      <c r="H16" t="s">
        <v>74</v>
      </c>
      <c r="I16">
        <v>0</v>
      </c>
      <c r="J16" t="s">
        <v>75</v>
      </c>
      <c r="K16">
        <v>3.14159265358979</v>
      </c>
      <c r="L16">
        <v>0.94160472200396095</v>
      </c>
      <c r="M16">
        <v>0</v>
      </c>
      <c r="N16">
        <v>5.5286384129708002E-2</v>
      </c>
      <c r="O16">
        <v>0</v>
      </c>
      <c r="P16">
        <v>1.6E-2</v>
      </c>
      <c r="Q16">
        <v>0</v>
      </c>
      <c r="R16">
        <v>0</v>
      </c>
      <c r="S16">
        <v>0</v>
      </c>
      <c r="T16">
        <v>0</v>
      </c>
      <c r="U16">
        <v>0.94985077638090498</v>
      </c>
      <c r="V16" t="s">
        <v>78</v>
      </c>
      <c r="W16">
        <v>2220921.8269420201</v>
      </c>
      <c r="X16" t="s">
        <v>76</v>
      </c>
      <c r="Y16">
        <v>-1.5707963267949001</v>
      </c>
      <c r="Z16">
        <v>0.93504697212454602</v>
      </c>
      <c r="AA16">
        <v>5.0770939102225597E-2</v>
      </c>
      <c r="AB16">
        <v>5.1756681162041303E-2</v>
      </c>
      <c r="AC16">
        <v>2.8677377146994099E-3</v>
      </c>
      <c r="AD16">
        <v>2.6666808284705999E-2</v>
      </c>
      <c r="AE16">
        <v>2.8811206200499702E-3</v>
      </c>
      <c r="AF16">
        <v>0</v>
      </c>
      <c r="AG16">
        <v>7.1571608708190695E-2</v>
      </c>
      <c r="AH16">
        <v>4.46749212865494E-3</v>
      </c>
      <c r="AI16">
        <v>0.90145949671965997</v>
      </c>
      <c r="AJ16" t="s">
        <v>74</v>
      </c>
      <c r="AK16">
        <v>0</v>
      </c>
      <c r="AL16" t="s">
        <v>77</v>
      </c>
      <c r="AM16">
        <v>0</v>
      </c>
      <c r="AN16">
        <v>0.99199999999999999</v>
      </c>
      <c r="AO16">
        <v>0</v>
      </c>
      <c r="AP16">
        <v>5.8245346242475203E-2</v>
      </c>
      <c r="AQ16">
        <v>0</v>
      </c>
      <c r="AR16">
        <v>1.6E-2</v>
      </c>
      <c r="AS16">
        <v>0</v>
      </c>
      <c r="AT16">
        <v>0</v>
      </c>
      <c r="AU16">
        <v>0</v>
      </c>
      <c r="AV16">
        <v>0</v>
      </c>
      <c r="AW16">
        <v>1</v>
      </c>
      <c r="AX16" t="s">
        <v>74</v>
      </c>
      <c r="AY16">
        <v>0</v>
      </c>
      <c r="AZ16" t="s">
        <v>76</v>
      </c>
      <c r="BA16">
        <v>-1.5707963267949001</v>
      </c>
      <c r="BB16">
        <v>0.99199999999999999</v>
      </c>
      <c r="BC16">
        <v>0</v>
      </c>
      <c r="BD16">
        <v>5.8245346242475203E-2</v>
      </c>
      <c r="BE16">
        <v>0</v>
      </c>
      <c r="BF16">
        <v>1.6E-2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1.1320074774569999E-4</v>
      </c>
      <c r="BM16" s="1">
        <v>3.8019550418422798E-5</v>
      </c>
      <c r="BN16" s="1">
        <v>4.1410034443273501E-7</v>
      </c>
      <c r="BO16" s="1">
        <v>5.9720970143651897E-7</v>
      </c>
      <c r="BP16">
        <v>0</v>
      </c>
      <c r="BQ16">
        <v>0</v>
      </c>
      <c r="BR16" s="1">
        <v>6.2199406426088604E-5</v>
      </c>
      <c r="BS16" s="1">
        <v>2.0938685097463401E-5</v>
      </c>
    </row>
    <row r="17" spans="1:71" x14ac:dyDescent="0.25">
      <c r="A17">
        <v>14</v>
      </c>
      <c r="B17" s="1">
        <v>6.8690713298769505E-5</v>
      </c>
      <c r="C17">
        <v>0.104138144775635</v>
      </c>
      <c r="D17">
        <v>-2.9920124923514199E-4</v>
      </c>
      <c r="E17">
        <v>6.1312499999999995E-4</v>
      </c>
      <c r="F17">
        <v>-1.0413814477563501E-3</v>
      </c>
      <c r="G17">
        <v>0</v>
      </c>
      <c r="H17" t="s">
        <v>74</v>
      </c>
      <c r="I17">
        <v>0</v>
      </c>
      <c r="J17" t="s">
        <v>75</v>
      </c>
      <c r="K17">
        <v>3.14159265358979</v>
      </c>
      <c r="L17">
        <v>0.93740769475067798</v>
      </c>
      <c r="M17">
        <v>0</v>
      </c>
      <c r="N17">
        <v>5.5039955394267898E-2</v>
      </c>
      <c r="O17">
        <v>0</v>
      </c>
      <c r="P17">
        <v>1.6E-2</v>
      </c>
      <c r="Q17">
        <v>0</v>
      </c>
      <c r="R17">
        <v>0</v>
      </c>
      <c r="S17">
        <v>0</v>
      </c>
      <c r="T17">
        <v>0</v>
      </c>
      <c r="U17">
        <v>0.94553067296291904</v>
      </c>
      <c r="V17" t="s">
        <v>78</v>
      </c>
      <c r="W17">
        <v>2224146.62283475</v>
      </c>
      <c r="X17" t="s">
        <v>76</v>
      </c>
      <c r="Y17">
        <v>-1.5707963267949001</v>
      </c>
      <c r="Z17">
        <v>0.93074563939541599</v>
      </c>
      <c r="AA17">
        <v>5.3415732327831401E-2</v>
      </c>
      <c r="AB17">
        <v>5.14656979542834E-2</v>
      </c>
      <c r="AC17">
        <v>3.0555464023984602E-3</v>
      </c>
      <c r="AD17">
        <v>2.6636687531046799E-2</v>
      </c>
      <c r="AE17">
        <v>3.1646825846655601E-3</v>
      </c>
      <c r="AF17">
        <v>0</v>
      </c>
      <c r="AG17">
        <v>7.7113275961331301E-2</v>
      </c>
      <c r="AH17">
        <v>5.25852490650623E-3</v>
      </c>
      <c r="AI17">
        <v>0.893350777827154</v>
      </c>
      <c r="AJ17" t="s">
        <v>74</v>
      </c>
      <c r="AK17">
        <v>0</v>
      </c>
      <c r="AL17" t="s">
        <v>77</v>
      </c>
      <c r="AM17">
        <v>0</v>
      </c>
      <c r="AN17">
        <v>0.99199999999999999</v>
      </c>
      <c r="AO17">
        <v>0</v>
      </c>
      <c r="AP17">
        <v>5.8245346242475203E-2</v>
      </c>
      <c r="AQ17">
        <v>0</v>
      </c>
      <c r="AR17">
        <v>1.6E-2</v>
      </c>
      <c r="AS17">
        <v>0</v>
      </c>
      <c r="AT17">
        <v>0</v>
      </c>
      <c r="AU17">
        <v>0</v>
      </c>
      <c r="AV17">
        <v>0</v>
      </c>
      <c r="AW17">
        <v>1</v>
      </c>
      <c r="AX17" t="s">
        <v>74</v>
      </c>
      <c r="AY17">
        <v>0</v>
      </c>
      <c r="AZ17" t="s">
        <v>76</v>
      </c>
      <c r="BA17">
        <v>-1.5707963267949001</v>
      </c>
      <c r="BB17">
        <v>0.99199999999999999</v>
      </c>
      <c r="BC17">
        <v>0</v>
      </c>
      <c r="BD17">
        <v>5.8245346242475203E-2</v>
      </c>
      <c r="BE17">
        <v>0</v>
      </c>
      <c r="BF17">
        <v>1.6E-2</v>
      </c>
      <c r="BG17">
        <v>0</v>
      </c>
      <c r="BH17">
        <v>0</v>
      </c>
      <c r="BI17">
        <v>0</v>
      </c>
      <c r="BJ17">
        <v>0</v>
      </c>
      <c r="BK17">
        <v>1</v>
      </c>
      <c r="BL17">
        <v>1.1302594611795E-4</v>
      </c>
      <c r="BM17" s="1">
        <v>4.1185900433918697E-5</v>
      </c>
      <c r="BN17" s="1">
        <v>4.1338705366550201E-7</v>
      </c>
      <c r="BO17" s="1">
        <v>6.4694661117339897E-7</v>
      </c>
      <c r="BP17">
        <v>0</v>
      </c>
      <c r="BQ17">
        <v>0</v>
      </c>
      <c r="BR17" s="1">
        <v>6.2096408140622803E-5</v>
      </c>
      <c r="BS17" s="1">
        <v>2.2684146779862199E-5</v>
      </c>
    </row>
    <row r="18" spans="1:71" x14ac:dyDescent="0.25">
      <c r="A18">
        <v>15</v>
      </c>
      <c r="B18" s="1">
        <v>6.4137125962573094E-5</v>
      </c>
      <c r="C18">
        <v>0.104202281901597</v>
      </c>
      <c r="D18">
        <v>-2.99550050576937E-4</v>
      </c>
      <c r="E18">
        <v>6.1312499999999995E-4</v>
      </c>
      <c r="F18">
        <v>-1.0420228190159699E-3</v>
      </c>
      <c r="G18" s="1">
        <v>-1.0842021724855E-19</v>
      </c>
      <c r="H18" t="s">
        <v>74</v>
      </c>
      <c r="I18">
        <v>0</v>
      </c>
      <c r="J18" t="s">
        <v>75</v>
      </c>
      <c r="K18">
        <v>3.14159265358979</v>
      </c>
      <c r="L18">
        <v>0.93321083349870904</v>
      </c>
      <c r="M18">
        <v>0</v>
      </c>
      <c r="N18">
        <v>5.4793536405605997E-2</v>
      </c>
      <c r="O18">
        <v>0</v>
      </c>
      <c r="P18">
        <v>1.6E-2</v>
      </c>
      <c r="Q18">
        <v>0</v>
      </c>
      <c r="R18">
        <v>0</v>
      </c>
      <c r="S18">
        <v>0</v>
      </c>
      <c r="T18">
        <v>0</v>
      </c>
      <c r="U18">
        <v>0.94122200647201204</v>
      </c>
      <c r="V18" t="s">
        <v>78</v>
      </c>
      <c r="W18">
        <v>2227156.6091085998</v>
      </c>
      <c r="X18" t="s">
        <v>76</v>
      </c>
      <c r="Y18">
        <v>-1.5707963267949001</v>
      </c>
      <c r="Z18">
        <v>0.92645369249137399</v>
      </c>
      <c r="AA18">
        <v>5.87533680326148E-2</v>
      </c>
      <c r="AB18">
        <v>5.1179247740280299E-2</v>
      </c>
      <c r="AC18">
        <v>3.32778704803312E-3</v>
      </c>
      <c r="AD18">
        <v>2.6587171466405699E-2</v>
      </c>
      <c r="AE18">
        <v>3.45018653183866E-3</v>
      </c>
      <c r="AF18">
        <v>0</v>
      </c>
      <c r="AG18">
        <v>8.2588976416279797E-2</v>
      </c>
      <c r="AH18">
        <v>6.1152740108557898E-3</v>
      </c>
      <c r="AI18">
        <v>0.88529147209589298</v>
      </c>
      <c r="AJ18" t="s">
        <v>74</v>
      </c>
      <c r="AK18">
        <v>0</v>
      </c>
      <c r="AL18" t="s">
        <v>77</v>
      </c>
      <c r="AM18">
        <v>0</v>
      </c>
      <c r="AN18">
        <v>0.99199999999999999</v>
      </c>
      <c r="AO18">
        <v>0</v>
      </c>
      <c r="AP18">
        <v>5.8245346242475203E-2</v>
      </c>
      <c r="AQ18">
        <v>0</v>
      </c>
      <c r="AR18">
        <v>1.6E-2</v>
      </c>
      <c r="AS18">
        <v>0</v>
      </c>
      <c r="AT18">
        <v>0</v>
      </c>
      <c r="AU18">
        <v>0</v>
      </c>
      <c r="AV18">
        <v>0</v>
      </c>
      <c r="AW18">
        <v>1</v>
      </c>
      <c r="AX18" t="s">
        <v>74</v>
      </c>
      <c r="AY18">
        <v>0</v>
      </c>
      <c r="AZ18" t="s">
        <v>76</v>
      </c>
      <c r="BA18">
        <v>-1.5707963267949001</v>
      </c>
      <c r="BB18">
        <v>0.99199999999999999</v>
      </c>
      <c r="BC18">
        <v>0</v>
      </c>
      <c r="BD18">
        <v>5.8245346242475203E-2</v>
      </c>
      <c r="BE18">
        <v>0</v>
      </c>
      <c r="BF18">
        <v>1.6E-2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1.12895631839435E-4</v>
      </c>
      <c r="BM18" s="1">
        <v>4.4352125213567798E-5</v>
      </c>
      <c r="BN18" s="1">
        <v>4.1277584886356602E-7</v>
      </c>
      <c r="BO18" s="1">
        <v>6.9668155371019598E-7</v>
      </c>
      <c r="BP18">
        <v>0</v>
      </c>
      <c r="BQ18">
        <v>0</v>
      </c>
      <c r="BR18" s="1">
        <v>6.20176046941102E-5</v>
      </c>
      <c r="BS18" s="1">
        <v>2.44296746399844E-5</v>
      </c>
    </row>
    <row r="19" spans="1:71" x14ac:dyDescent="0.25">
      <c r="A19">
        <v>16</v>
      </c>
      <c r="B19" s="1">
        <v>6.0201712604765203E-5</v>
      </c>
      <c r="C19">
        <v>0.104262483614202</v>
      </c>
      <c r="D19">
        <v>-2.9987734469750198E-4</v>
      </c>
      <c r="E19">
        <v>6.1312499999999995E-4</v>
      </c>
      <c r="F19">
        <v>-1.04262483614202E-3</v>
      </c>
      <c r="G19" s="1">
        <v>-1.0842021724855E-19</v>
      </c>
      <c r="H19" t="s">
        <v>74</v>
      </c>
      <c r="I19">
        <v>0</v>
      </c>
      <c r="J19" t="s">
        <v>75</v>
      </c>
      <c r="K19">
        <v>3.14159265358979</v>
      </c>
      <c r="L19">
        <v>0.929014142935914</v>
      </c>
      <c r="M19">
        <v>0</v>
      </c>
      <c r="N19">
        <v>5.4547127438970403E-2</v>
      </c>
      <c r="O19">
        <v>0</v>
      </c>
      <c r="P19">
        <v>1.6E-2</v>
      </c>
      <c r="Q19">
        <v>0</v>
      </c>
      <c r="R19">
        <v>0</v>
      </c>
      <c r="S19">
        <v>0</v>
      </c>
      <c r="T19">
        <v>0</v>
      </c>
      <c r="U19">
        <v>0.93692213395888102</v>
      </c>
      <c r="V19" t="s">
        <v>78</v>
      </c>
      <c r="W19">
        <v>2229980.9985026899</v>
      </c>
      <c r="X19" t="s">
        <v>76</v>
      </c>
      <c r="Y19">
        <v>-1.5707963267949001</v>
      </c>
      <c r="Z19">
        <v>0.92216997008885004</v>
      </c>
      <c r="AA19">
        <v>6.1387294115225199E-2</v>
      </c>
      <c r="AB19">
        <v>5.08967362110836E-2</v>
      </c>
      <c r="AC19">
        <v>3.5149319126210402E-3</v>
      </c>
      <c r="AD19">
        <v>2.6520700015384101E-2</v>
      </c>
      <c r="AE19">
        <v>3.7374705233662901E-3</v>
      </c>
      <c r="AF19">
        <v>0</v>
      </c>
      <c r="AG19">
        <v>8.7998306033894094E-2</v>
      </c>
      <c r="AH19">
        <v>7.0381364075494399E-3</v>
      </c>
      <c r="AI19">
        <v>0.87727907857323895</v>
      </c>
      <c r="AJ19" t="s">
        <v>74</v>
      </c>
      <c r="AK19">
        <v>0</v>
      </c>
      <c r="AL19" t="s">
        <v>77</v>
      </c>
      <c r="AM19">
        <v>0</v>
      </c>
      <c r="AN19">
        <v>0.99199999999999999</v>
      </c>
      <c r="AO19">
        <v>0</v>
      </c>
      <c r="AP19">
        <v>5.8245346242475203E-2</v>
      </c>
      <c r="AQ19">
        <v>0</v>
      </c>
      <c r="AR19">
        <v>1.6E-2</v>
      </c>
      <c r="AS19">
        <v>0</v>
      </c>
      <c r="AT19">
        <v>0</v>
      </c>
      <c r="AU19">
        <v>0</v>
      </c>
      <c r="AV19">
        <v>0</v>
      </c>
      <c r="AW19">
        <v>1</v>
      </c>
      <c r="AX19" t="s">
        <v>74</v>
      </c>
      <c r="AY19">
        <v>0</v>
      </c>
      <c r="AZ19" t="s">
        <v>76</v>
      </c>
      <c r="BA19">
        <v>-1.5707963267949001</v>
      </c>
      <c r="BB19">
        <v>0.99199999999999999</v>
      </c>
      <c r="BC19">
        <v>0</v>
      </c>
      <c r="BD19">
        <v>5.8245346242475203E-2</v>
      </c>
      <c r="BE19">
        <v>0</v>
      </c>
      <c r="BF19">
        <v>1.6E-2</v>
      </c>
      <c r="BG19">
        <v>0</v>
      </c>
      <c r="BH19">
        <v>0</v>
      </c>
      <c r="BI19">
        <v>0</v>
      </c>
      <c r="BJ19">
        <v>0</v>
      </c>
      <c r="BK19">
        <v>1</v>
      </c>
      <c r="BL19">
        <v>1.1272474402381301E-4</v>
      </c>
      <c r="BM19" s="1">
        <v>4.7518221220721803E-5</v>
      </c>
      <c r="BN19" s="1">
        <v>4.1209481226262899E-7</v>
      </c>
      <c r="BO19" s="1">
        <v>7.4641447349337101E-7</v>
      </c>
      <c r="BP19">
        <v>0</v>
      </c>
      <c r="BQ19">
        <v>0</v>
      </c>
      <c r="BR19" s="1">
        <v>6.1916186144398298E-5</v>
      </c>
      <c r="BS19" s="1">
        <v>2.6175258654394201E-5</v>
      </c>
    </row>
    <row r="20" spans="1:71" x14ac:dyDescent="0.25">
      <c r="A20">
        <v>17</v>
      </c>
      <c r="B20" s="1">
        <v>5.6767185592394697E-5</v>
      </c>
      <c r="C20">
        <v>0.104319250799794</v>
      </c>
      <c r="D20">
        <v>-3.0018587368568799E-4</v>
      </c>
      <c r="E20">
        <v>6.1312499999999995E-4</v>
      </c>
      <c r="F20">
        <v>-1.04319250799794E-3</v>
      </c>
      <c r="G20">
        <v>0</v>
      </c>
      <c r="H20" t="s">
        <v>74</v>
      </c>
      <c r="I20">
        <v>0</v>
      </c>
      <c r="J20" t="s">
        <v>75</v>
      </c>
      <c r="K20">
        <v>3.14159265358979</v>
      </c>
      <c r="L20">
        <v>0.92481762753574204</v>
      </c>
      <c r="M20">
        <v>0</v>
      </c>
      <c r="N20">
        <v>5.4300728757019898E-2</v>
      </c>
      <c r="O20">
        <v>0</v>
      </c>
      <c r="P20">
        <v>1.6E-2</v>
      </c>
      <c r="Q20">
        <v>0</v>
      </c>
      <c r="R20">
        <v>0</v>
      </c>
      <c r="S20">
        <v>0</v>
      </c>
      <c r="T20">
        <v>0</v>
      </c>
      <c r="U20">
        <v>0.93262915348828801</v>
      </c>
      <c r="V20" t="s">
        <v>78</v>
      </c>
      <c r="W20">
        <v>2232643.4539128202</v>
      </c>
      <c r="X20" t="s">
        <v>76</v>
      </c>
      <c r="Y20">
        <v>-1.5707963267949001</v>
      </c>
      <c r="Z20">
        <v>0.91789352621632503</v>
      </c>
      <c r="AA20">
        <v>6.6697250631202104E-2</v>
      </c>
      <c r="AB20">
        <v>5.06176813261901E-2</v>
      </c>
      <c r="AC20">
        <v>3.78599864770582E-3</v>
      </c>
      <c r="AD20">
        <v>2.6439268009635301E-2</v>
      </c>
      <c r="AE20">
        <v>4.0263925501517299E-3</v>
      </c>
      <c r="AF20">
        <v>0</v>
      </c>
      <c r="AG20">
        <v>9.3340854446515895E-2</v>
      </c>
      <c r="AH20">
        <v>8.0275157144689101E-3</v>
      </c>
      <c r="AI20">
        <v>0.86931183591372296</v>
      </c>
      <c r="AJ20" t="s">
        <v>74</v>
      </c>
      <c r="AK20">
        <v>0</v>
      </c>
      <c r="AL20" t="s">
        <v>77</v>
      </c>
      <c r="AM20">
        <v>0</v>
      </c>
      <c r="AN20">
        <v>0.99199999999999999</v>
      </c>
      <c r="AO20">
        <v>0</v>
      </c>
      <c r="AP20">
        <v>5.8245346242475203E-2</v>
      </c>
      <c r="AQ20">
        <v>0</v>
      </c>
      <c r="AR20">
        <v>1.6E-2</v>
      </c>
      <c r="AS20">
        <v>0</v>
      </c>
      <c r="AT20">
        <v>0</v>
      </c>
      <c r="AU20">
        <v>0</v>
      </c>
      <c r="AV20">
        <v>0</v>
      </c>
      <c r="AW20">
        <v>1</v>
      </c>
      <c r="AX20" t="s">
        <v>74</v>
      </c>
      <c r="AY20">
        <v>0</v>
      </c>
      <c r="AZ20" t="s">
        <v>76</v>
      </c>
      <c r="BA20">
        <v>-1.5707963267949001</v>
      </c>
      <c r="BB20">
        <v>0.99199999999999999</v>
      </c>
      <c r="BC20">
        <v>0</v>
      </c>
      <c r="BD20">
        <v>5.8245346242475203E-2</v>
      </c>
      <c r="BE20">
        <v>0</v>
      </c>
      <c r="BF20">
        <v>1.6E-2</v>
      </c>
      <c r="BG20">
        <v>0</v>
      </c>
      <c r="BH20">
        <v>0</v>
      </c>
      <c r="BI20">
        <v>0</v>
      </c>
      <c r="BJ20">
        <v>0</v>
      </c>
      <c r="BK20">
        <v>1</v>
      </c>
      <c r="BL20">
        <v>1.1259755060793301E-4</v>
      </c>
      <c r="BM20" s="1">
        <v>5.06841850804924E-5</v>
      </c>
      <c r="BN20" s="1">
        <v>4.1151102967062498E-7</v>
      </c>
      <c r="BO20" s="1">
        <v>7.9614531751030098E-7</v>
      </c>
      <c r="BP20">
        <v>0</v>
      </c>
      <c r="BQ20">
        <v>0</v>
      </c>
      <c r="BR20" s="1">
        <v>6.1838602908911001E-5</v>
      </c>
      <c r="BS20" s="1">
        <v>2.7920889984939702E-5</v>
      </c>
    </row>
    <row r="21" spans="1:71" x14ac:dyDescent="0.25">
      <c r="A21">
        <v>18</v>
      </c>
      <c r="B21" s="1">
        <v>5.37442439417633E-5</v>
      </c>
      <c r="C21">
        <v>0.104372995043736</v>
      </c>
      <c r="D21">
        <v>-3.0047789011315501E-4</v>
      </c>
      <c r="E21">
        <v>6.1312499999999995E-4</v>
      </c>
      <c r="F21">
        <v>-1.0437299504373601E-3</v>
      </c>
      <c r="G21">
        <v>0</v>
      </c>
      <c r="H21" t="s">
        <v>74</v>
      </c>
      <c r="I21">
        <v>0</v>
      </c>
      <c r="J21" t="s">
        <v>75</v>
      </c>
      <c r="K21">
        <v>3.14159265358979</v>
      </c>
      <c r="L21">
        <v>0.92062129160547401</v>
      </c>
      <c r="M21">
        <v>0</v>
      </c>
      <c r="N21">
        <v>5.40543406126568E-2</v>
      </c>
      <c r="O21">
        <v>0</v>
      </c>
      <c r="P21">
        <v>1.6E-2</v>
      </c>
      <c r="Q21">
        <v>0</v>
      </c>
      <c r="R21">
        <v>0</v>
      </c>
      <c r="S21">
        <v>0</v>
      </c>
      <c r="T21">
        <v>0</v>
      </c>
      <c r="U21">
        <v>0.928341670474647</v>
      </c>
      <c r="V21" t="s">
        <v>78</v>
      </c>
      <c r="W21">
        <v>2235163.4139390402</v>
      </c>
      <c r="X21" t="s">
        <v>76</v>
      </c>
      <c r="Y21">
        <v>-1.5707963267949001</v>
      </c>
      <c r="Z21">
        <v>0.91362357963914098</v>
      </c>
      <c r="AA21">
        <v>6.9313899448787006E-2</v>
      </c>
      <c r="AB21">
        <v>5.0341686549277197E-2</v>
      </c>
      <c r="AC21">
        <v>3.9723085013478997E-3</v>
      </c>
      <c r="AD21">
        <v>2.63445294700923E-2</v>
      </c>
      <c r="AE21">
        <v>4.3168267250400898E-3</v>
      </c>
      <c r="AF21">
        <v>0</v>
      </c>
      <c r="AG21">
        <v>9.8616205480923605E-2</v>
      </c>
      <c r="AH21">
        <v>9.0838216057758606E-3</v>
      </c>
      <c r="AI21">
        <v>0.86138848866634299</v>
      </c>
      <c r="AJ21" t="s">
        <v>74</v>
      </c>
      <c r="AK21">
        <v>0</v>
      </c>
      <c r="AL21" t="s">
        <v>77</v>
      </c>
      <c r="AM21">
        <v>0</v>
      </c>
      <c r="AN21">
        <v>0.99199999999999999</v>
      </c>
      <c r="AO21">
        <v>0</v>
      </c>
      <c r="AP21">
        <v>5.8245346242475203E-2</v>
      </c>
      <c r="AQ21">
        <v>0</v>
      </c>
      <c r="AR21">
        <v>1.6E-2</v>
      </c>
      <c r="AS21">
        <v>0</v>
      </c>
      <c r="AT21">
        <v>0</v>
      </c>
      <c r="AU21">
        <v>0</v>
      </c>
      <c r="AV21">
        <v>0</v>
      </c>
      <c r="AW21">
        <v>1</v>
      </c>
      <c r="AX21" t="s">
        <v>74</v>
      </c>
      <c r="AY21">
        <v>0</v>
      </c>
      <c r="AZ21" t="s">
        <v>76</v>
      </c>
      <c r="BA21">
        <v>-1.5707963267949001</v>
      </c>
      <c r="BB21">
        <v>0.99199999999999999</v>
      </c>
      <c r="BC21">
        <v>0</v>
      </c>
      <c r="BD21">
        <v>5.8245346242475203E-2</v>
      </c>
      <c r="BE21">
        <v>0</v>
      </c>
      <c r="BF21">
        <v>1.6E-2</v>
      </c>
      <c r="BG21">
        <v>0</v>
      </c>
      <c r="BH21">
        <v>0</v>
      </c>
      <c r="BI21">
        <v>0</v>
      </c>
      <c r="BJ21">
        <v>0</v>
      </c>
      <c r="BK21">
        <v>1</v>
      </c>
      <c r="BL21">
        <v>1.12429514074116E-4</v>
      </c>
      <c r="BM21" s="1">
        <v>5.3850013543349697E-5</v>
      </c>
      <c r="BN21" s="1">
        <v>4.1085423585482E-7</v>
      </c>
      <c r="BO21" s="1">
        <v>8.4587403471749203E-7</v>
      </c>
      <c r="BP21">
        <v>0</v>
      </c>
      <c r="BQ21">
        <v>0</v>
      </c>
      <c r="BR21" s="1">
        <v>6.1738313745883803E-5</v>
      </c>
      <c r="BS21" s="1">
        <v>2.9666560755183099E-5</v>
      </c>
    </row>
    <row r="22" spans="1:71" x14ac:dyDescent="0.25">
      <c r="A22">
        <v>19</v>
      </c>
      <c r="B22" s="1">
        <v>5.1063686673250903E-5</v>
      </c>
      <c r="C22">
        <v>0.104424058730409</v>
      </c>
      <c r="D22">
        <v>-3.0075526732126499E-4</v>
      </c>
      <c r="E22">
        <v>6.1312499999999995E-4</v>
      </c>
      <c r="F22">
        <v>-1.04424058730409E-3</v>
      </c>
      <c r="G22">
        <v>0</v>
      </c>
      <c r="H22" t="s">
        <v>74</v>
      </c>
      <c r="I22">
        <v>0</v>
      </c>
      <c r="J22" t="s">
        <v>75</v>
      </c>
      <c r="K22">
        <v>3.14159265358979</v>
      </c>
      <c r="L22">
        <v>0.91642513932634295</v>
      </c>
      <c r="M22">
        <v>0</v>
      </c>
      <c r="N22">
        <v>5.3807963251382498E-2</v>
      </c>
      <c r="O22">
        <v>0</v>
      </c>
      <c r="P22">
        <v>1.6E-2</v>
      </c>
      <c r="Q22">
        <v>0</v>
      </c>
      <c r="R22">
        <v>0</v>
      </c>
      <c r="S22">
        <v>0</v>
      </c>
      <c r="T22">
        <v>0</v>
      </c>
      <c r="U22">
        <v>0.92405864296731499</v>
      </c>
      <c r="V22" t="s">
        <v>78</v>
      </c>
      <c r="W22">
        <v>2237557.0446079802</v>
      </c>
      <c r="X22" t="s">
        <v>76</v>
      </c>
      <c r="Y22">
        <v>-1.5707963267949001</v>
      </c>
      <c r="Z22">
        <v>0.90935947737901301</v>
      </c>
      <c r="AA22">
        <v>7.45847529829929E-2</v>
      </c>
      <c r="AB22">
        <v>5.00684216362694E-2</v>
      </c>
      <c r="AC22">
        <v>4.2418658612706902E-3</v>
      </c>
      <c r="AD22">
        <v>2.6237872818856301E-2</v>
      </c>
      <c r="AE22">
        <v>4.6086603887057201E-3</v>
      </c>
      <c r="AF22">
        <v>0</v>
      </c>
      <c r="AG22">
        <v>0.103823937565622</v>
      </c>
      <c r="AH22">
        <v>1.0207469344097801E-2</v>
      </c>
      <c r="AI22">
        <v>0.85350813251063895</v>
      </c>
      <c r="AJ22" t="s">
        <v>74</v>
      </c>
      <c r="AK22">
        <v>0</v>
      </c>
      <c r="AL22" t="s">
        <v>77</v>
      </c>
      <c r="AM22">
        <v>0</v>
      </c>
      <c r="AN22">
        <v>0.99199999999999999</v>
      </c>
      <c r="AO22">
        <v>0</v>
      </c>
      <c r="AP22">
        <v>5.8245346242475203E-2</v>
      </c>
      <c r="AQ22">
        <v>0</v>
      </c>
      <c r="AR22">
        <v>1.6E-2</v>
      </c>
      <c r="AS22">
        <v>0</v>
      </c>
      <c r="AT22">
        <v>0</v>
      </c>
      <c r="AU22">
        <v>0</v>
      </c>
      <c r="AV22">
        <v>0</v>
      </c>
      <c r="AW22">
        <v>1</v>
      </c>
      <c r="AX22" t="s">
        <v>74</v>
      </c>
      <c r="AY22">
        <v>0</v>
      </c>
      <c r="AZ22" t="s">
        <v>76</v>
      </c>
      <c r="BA22">
        <v>-1.5707963267949001</v>
      </c>
      <c r="BB22">
        <v>0.99199999999999999</v>
      </c>
      <c r="BC22">
        <v>0</v>
      </c>
      <c r="BD22">
        <v>5.8245346242475203E-2</v>
      </c>
      <c r="BE22">
        <v>0</v>
      </c>
      <c r="BF22">
        <v>1.6E-2</v>
      </c>
      <c r="BG22">
        <v>0</v>
      </c>
      <c r="BH22">
        <v>0</v>
      </c>
      <c r="BI22">
        <v>0</v>
      </c>
      <c r="BJ22">
        <v>0</v>
      </c>
      <c r="BK22">
        <v>1</v>
      </c>
      <c r="BL22">
        <v>1.1230447161693701E-4</v>
      </c>
      <c r="BM22" s="1">
        <v>5.70157034548597E-5</v>
      </c>
      <c r="BN22" s="1">
        <v>4.1029112161164698E-7</v>
      </c>
      <c r="BO22" s="1">
        <v>8.95600575565207E-7</v>
      </c>
      <c r="BP22">
        <v>0</v>
      </c>
      <c r="BQ22">
        <v>0</v>
      </c>
      <c r="BR22" s="1">
        <v>6.1661526883297901E-5</v>
      </c>
      <c r="BS22" s="1">
        <v>3.1412263877949599E-5</v>
      </c>
    </row>
    <row r="23" spans="1:71" x14ac:dyDescent="0.25">
      <c r="A23">
        <v>20</v>
      </c>
      <c r="B23" s="1">
        <v>4.8671053134501602E-5</v>
      </c>
      <c r="C23">
        <v>0.10447272978354399</v>
      </c>
      <c r="D23">
        <v>-3.0101958027736302E-4</v>
      </c>
      <c r="E23">
        <v>6.1312499999999995E-4</v>
      </c>
      <c r="F23">
        <v>-1.04472729783544E-3</v>
      </c>
      <c r="G23" s="1">
        <v>-1.0842021724855E-19</v>
      </c>
      <c r="H23" t="s">
        <v>74</v>
      </c>
      <c r="I23">
        <v>0</v>
      </c>
      <c r="J23" t="s">
        <v>75</v>
      </c>
      <c r="K23">
        <v>3.14159265358979</v>
      </c>
      <c r="L23">
        <v>0.91222917478676901</v>
      </c>
      <c r="M23">
        <v>0</v>
      </c>
      <c r="N23">
        <v>5.3561596913248799E-2</v>
      </c>
      <c r="O23">
        <v>0</v>
      </c>
      <c r="P23">
        <v>1.6E-2</v>
      </c>
      <c r="Q23">
        <v>0</v>
      </c>
      <c r="R23">
        <v>0</v>
      </c>
      <c r="S23">
        <v>0</v>
      </c>
      <c r="T23">
        <v>0</v>
      </c>
      <c r="U23">
        <v>0.91977927829045902</v>
      </c>
      <c r="V23" t="s">
        <v>78</v>
      </c>
      <c r="W23">
        <v>2239837.9371233601</v>
      </c>
      <c r="X23" t="s">
        <v>76</v>
      </c>
      <c r="Y23">
        <v>-1.5707963267949001</v>
      </c>
      <c r="Z23">
        <v>0.90510066786593901</v>
      </c>
      <c r="AA23">
        <v>7.9832509928218304E-2</v>
      </c>
      <c r="AB23">
        <v>4.9797608549793898E-2</v>
      </c>
      <c r="AC23">
        <v>4.5105678801393304E-3</v>
      </c>
      <c r="AD23">
        <v>2.61204762727014E-2</v>
      </c>
      <c r="AE23">
        <v>4.9017918700604898E-3</v>
      </c>
      <c r="AF23">
        <v>0</v>
      </c>
      <c r="AG23">
        <v>0.108963624048679</v>
      </c>
      <c r="AH23">
        <v>1.13988794125364E-2</v>
      </c>
      <c r="AI23">
        <v>0.84567011084765598</v>
      </c>
      <c r="AJ23" t="s">
        <v>74</v>
      </c>
      <c r="AK23">
        <v>0</v>
      </c>
      <c r="AL23" t="s">
        <v>77</v>
      </c>
      <c r="AM23">
        <v>0</v>
      </c>
      <c r="AN23">
        <v>0.99199999999999999</v>
      </c>
      <c r="AO23">
        <v>0</v>
      </c>
      <c r="AP23">
        <v>5.8245346242475203E-2</v>
      </c>
      <c r="AQ23">
        <v>0</v>
      </c>
      <c r="AR23">
        <v>1.6E-2</v>
      </c>
      <c r="AS23">
        <v>0</v>
      </c>
      <c r="AT23">
        <v>0</v>
      </c>
      <c r="AU23">
        <v>0</v>
      </c>
      <c r="AV23">
        <v>0</v>
      </c>
      <c r="AW23">
        <v>1</v>
      </c>
      <c r="AX23" t="s">
        <v>74</v>
      </c>
      <c r="AY23">
        <v>0</v>
      </c>
      <c r="AZ23" t="s">
        <v>76</v>
      </c>
      <c r="BA23">
        <v>-1.5707963267949001</v>
      </c>
      <c r="BB23">
        <v>0.99199999999999999</v>
      </c>
      <c r="BC23">
        <v>0</v>
      </c>
      <c r="BD23">
        <v>5.8245346242475203E-2</v>
      </c>
      <c r="BE23">
        <v>0</v>
      </c>
      <c r="BF23">
        <v>1.6E-2</v>
      </c>
      <c r="BG23">
        <v>0</v>
      </c>
      <c r="BH23">
        <v>0</v>
      </c>
      <c r="BI23">
        <v>0</v>
      </c>
      <c r="BJ23">
        <v>0</v>
      </c>
      <c r="BK23">
        <v>1</v>
      </c>
      <c r="BL23">
        <v>1.12180232914066E-4</v>
      </c>
      <c r="BM23" s="1">
        <v>6.01812517306078E-5</v>
      </c>
      <c r="BN23" s="1">
        <v>4.0973648220976698E-7</v>
      </c>
      <c r="BO23" s="1">
        <v>9.4532489160357795E-7</v>
      </c>
      <c r="BP23">
        <v>0</v>
      </c>
      <c r="BQ23">
        <v>0</v>
      </c>
      <c r="BR23" s="1">
        <v>6.1585019570035304E-5</v>
      </c>
      <c r="BS23" s="1">
        <v>3.3157992920243802E-5</v>
      </c>
    </row>
    <row r="24" spans="1:71" x14ac:dyDescent="0.25">
      <c r="A24">
        <v>21</v>
      </c>
      <c r="B24" s="1">
        <v>4.6522892953431398E-5</v>
      </c>
      <c r="C24">
        <v>0.104519252676497</v>
      </c>
      <c r="D24">
        <v>-3.0127216595463702E-4</v>
      </c>
      <c r="E24">
        <v>6.1312499999999995E-4</v>
      </c>
      <c r="F24">
        <v>-1.0451925267649701E-3</v>
      </c>
      <c r="G24">
        <v>0</v>
      </c>
      <c r="H24" t="s">
        <v>74</v>
      </c>
      <c r="I24">
        <v>0</v>
      </c>
      <c r="J24" t="s">
        <v>75</v>
      </c>
      <c r="K24">
        <v>3.14159265358979</v>
      </c>
      <c r="L24">
        <v>0.90803340200995897</v>
      </c>
      <c r="M24">
        <v>0</v>
      </c>
      <c r="N24">
        <v>5.3315241834478597E-2</v>
      </c>
      <c r="O24">
        <v>0</v>
      </c>
      <c r="P24">
        <v>1.6E-2</v>
      </c>
      <c r="Q24">
        <v>0</v>
      </c>
      <c r="R24">
        <v>0</v>
      </c>
      <c r="S24">
        <v>0</v>
      </c>
      <c r="T24">
        <v>0</v>
      </c>
      <c r="U24">
        <v>0.91550296312650503</v>
      </c>
      <c r="V24" t="s">
        <v>78</v>
      </c>
      <c r="W24">
        <v>2242017.62891482</v>
      </c>
      <c r="X24" t="s">
        <v>76</v>
      </c>
      <c r="Y24">
        <v>-1.5707963267949001</v>
      </c>
      <c r="Z24">
        <v>0.90084668081283603</v>
      </c>
      <c r="AA24">
        <v>8.5055112553296106E-2</v>
      </c>
      <c r="AB24">
        <v>4.9529010938321898E-2</v>
      </c>
      <c r="AC24">
        <v>4.77835479729971E-3</v>
      </c>
      <c r="AD24">
        <v>2.5993349399135699E-2</v>
      </c>
      <c r="AE24">
        <v>5.1961287254801702E-3</v>
      </c>
      <c r="AF24">
        <v>0</v>
      </c>
      <c r="AG24">
        <v>0.114034833446345</v>
      </c>
      <c r="AH24">
        <v>1.26584772244169E-2</v>
      </c>
      <c r="AI24">
        <v>0.83787394483472799</v>
      </c>
      <c r="AJ24" t="s">
        <v>74</v>
      </c>
      <c r="AK24">
        <v>0</v>
      </c>
      <c r="AL24" t="s">
        <v>77</v>
      </c>
      <c r="AM24">
        <v>0</v>
      </c>
      <c r="AN24">
        <v>0.99199999999999999</v>
      </c>
      <c r="AO24">
        <v>0</v>
      </c>
      <c r="AP24">
        <v>5.8245346242475203E-2</v>
      </c>
      <c r="AQ24">
        <v>0</v>
      </c>
      <c r="AR24">
        <v>1.6E-2</v>
      </c>
      <c r="AS24">
        <v>0</v>
      </c>
      <c r="AT24">
        <v>0</v>
      </c>
      <c r="AU24">
        <v>0</v>
      </c>
      <c r="AV24">
        <v>0</v>
      </c>
      <c r="AW24">
        <v>1</v>
      </c>
      <c r="AX24" t="s">
        <v>74</v>
      </c>
      <c r="AY24">
        <v>0</v>
      </c>
      <c r="AZ24" t="s">
        <v>76</v>
      </c>
      <c r="BA24">
        <v>-1.5707963267949001</v>
      </c>
      <c r="BB24">
        <v>0.99199999999999999</v>
      </c>
      <c r="BC24">
        <v>0</v>
      </c>
      <c r="BD24">
        <v>5.8245346242475203E-2</v>
      </c>
      <c r="BE24">
        <v>0</v>
      </c>
      <c r="BF24">
        <v>1.6E-2</v>
      </c>
      <c r="BG24">
        <v>0</v>
      </c>
      <c r="BH24">
        <v>0</v>
      </c>
      <c r="BI24">
        <v>0</v>
      </c>
      <c r="BJ24">
        <v>0</v>
      </c>
      <c r="BK24">
        <v>1</v>
      </c>
      <c r="BL24">
        <v>1.12056650027525E-4</v>
      </c>
      <c r="BM24" s="1">
        <v>6.3346655335380796E-5</v>
      </c>
      <c r="BN24" s="1">
        <v>4.0918932285548697E-7</v>
      </c>
      <c r="BO24" s="1">
        <v>9.9504693515558503E-7</v>
      </c>
      <c r="BP24">
        <v>0</v>
      </c>
      <c r="BQ24">
        <v>0</v>
      </c>
      <c r="BR24" s="1">
        <v>6.1508726486251305E-5</v>
      </c>
      <c r="BS24" s="1">
        <v>3.4903741995963702E-5</v>
      </c>
    </row>
    <row r="25" spans="1:71" x14ac:dyDescent="0.25">
      <c r="A25">
        <v>22</v>
      </c>
      <c r="B25" s="1">
        <v>4.4584115059195799E-5</v>
      </c>
      <c r="C25">
        <v>0.10456383679155699</v>
      </c>
      <c r="D25">
        <v>-3.01514169162945E-4</v>
      </c>
      <c r="E25">
        <v>6.1312499999999995E-4</v>
      </c>
      <c r="F25">
        <v>-1.04563836791557E-3</v>
      </c>
      <c r="G25" s="1">
        <v>-1.0842021724855E-19</v>
      </c>
      <c r="H25" t="s">
        <v>74</v>
      </c>
      <c r="I25">
        <v>0</v>
      </c>
      <c r="J25" t="s">
        <v>75</v>
      </c>
      <c r="K25">
        <v>3.14159265358979</v>
      </c>
      <c r="L25">
        <v>0.90383782497691501</v>
      </c>
      <c r="M25">
        <v>0</v>
      </c>
      <c r="N25">
        <v>5.3068898248816603E-2</v>
      </c>
      <c r="O25">
        <v>0</v>
      </c>
      <c r="P25">
        <v>1.6E-2</v>
      </c>
      <c r="Q25">
        <v>0</v>
      </c>
      <c r="R25">
        <v>0</v>
      </c>
      <c r="S25">
        <v>0</v>
      </c>
      <c r="T25">
        <v>0</v>
      </c>
      <c r="U25">
        <v>0.911229215520585</v>
      </c>
      <c r="V25" t="s">
        <v>78</v>
      </c>
      <c r="W25">
        <v>2244105.9991357801</v>
      </c>
      <c r="X25" t="s">
        <v>76</v>
      </c>
      <c r="Y25">
        <v>-1.5707963267949001</v>
      </c>
      <c r="Z25">
        <v>0.89659711188193603</v>
      </c>
      <c r="AA25">
        <v>8.7622987340305894E-2</v>
      </c>
      <c r="AB25">
        <v>4.92624261473266E-2</v>
      </c>
      <c r="AC25">
        <v>4.9626186510908204E-3</v>
      </c>
      <c r="AD25">
        <v>2.58573648051862E-2</v>
      </c>
      <c r="AE25">
        <v>5.49158633479601E-3</v>
      </c>
      <c r="AF25">
        <v>0</v>
      </c>
      <c r="AG25">
        <v>0.119037129637692</v>
      </c>
      <c r="AH25">
        <v>1.3986692893912101E-2</v>
      </c>
      <c r="AI25">
        <v>0.830119285340989</v>
      </c>
      <c r="AJ25" t="s">
        <v>74</v>
      </c>
      <c r="AK25">
        <v>0</v>
      </c>
      <c r="AL25" t="s">
        <v>77</v>
      </c>
      <c r="AM25">
        <v>0</v>
      </c>
      <c r="AN25">
        <v>0.99199999999999999</v>
      </c>
      <c r="AO25">
        <v>0</v>
      </c>
      <c r="AP25">
        <v>5.8245346242475203E-2</v>
      </c>
      <c r="AQ25">
        <v>0</v>
      </c>
      <c r="AR25">
        <v>1.6E-2</v>
      </c>
      <c r="AS25">
        <v>0</v>
      </c>
      <c r="AT25">
        <v>0</v>
      </c>
      <c r="AU25">
        <v>0</v>
      </c>
      <c r="AV25">
        <v>0</v>
      </c>
      <c r="AW25">
        <v>1</v>
      </c>
      <c r="AX25" t="s">
        <v>74</v>
      </c>
      <c r="AY25">
        <v>0</v>
      </c>
      <c r="AZ25" t="s">
        <v>76</v>
      </c>
      <c r="BA25">
        <v>-1.5707963267949001</v>
      </c>
      <c r="BB25">
        <v>0.99199999999999999</v>
      </c>
      <c r="BC25">
        <v>0</v>
      </c>
      <c r="BD25">
        <v>5.8245346242475203E-2</v>
      </c>
      <c r="BE25">
        <v>0</v>
      </c>
      <c r="BF25">
        <v>1.6E-2</v>
      </c>
      <c r="BG25">
        <v>0</v>
      </c>
      <c r="BH25">
        <v>0</v>
      </c>
      <c r="BI25">
        <v>0</v>
      </c>
      <c r="BJ25">
        <v>0</v>
      </c>
      <c r="BK25">
        <v>1</v>
      </c>
      <c r="BL25">
        <v>1.11892317766092E-4</v>
      </c>
      <c r="BM25" s="1">
        <v>6.6511911265802103E-5</v>
      </c>
      <c r="BN25" s="1">
        <v>4.0856623455680702E-7</v>
      </c>
      <c r="BO25" s="1">
        <v>1.0447666590443E-6</v>
      </c>
      <c r="BP25">
        <v>0</v>
      </c>
      <c r="BQ25">
        <v>0</v>
      </c>
      <c r="BR25" s="1">
        <v>6.1409846352312298E-5</v>
      </c>
      <c r="BS25" s="1">
        <v>3.6649505679627201E-5</v>
      </c>
    </row>
    <row r="26" spans="1:71" x14ac:dyDescent="0.25">
      <c r="A26">
        <v>23</v>
      </c>
      <c r="B26" s="1">
        <v>4.2826068105392697E-5</v>
      </c>
      <c r="C26">
        <v>0.104606662859662</v>
      </c>
      <c r="D26">
        <v>-3.0174657784724697E-4</v>
      </c>
      <c r="E26">
        <v>6.1312499999999995E-4</v>
      </c>
      <c r="F26">
        <v>-1.0460666285966201E-3</v>
      </c>
      <c r="G26">
        <v>0</v>
      </c>
      <c r="H26" t="s">
        <v>74</v>
      </c>
      <c r="I26">
        <v>0</v>
      </c>
      <c r="J26" t="s">
        <v>75</v>
      </c>
      <c r="K26">
        <v>3.14159265358979</v>
      </c>
      <c r="L26">
        <v>0.89964244764578905</v>
      </c>
      <c r="M26">
        <v>0</v>
      </c>
      <c r="N26">
        <v>5.2822566388666198E-2</v>
      </c>
      <c r="O26">
        <v>0</v>
      </c>
      <c r="P26">
        <v>1.6E-2</v>
      </c>
      <c r="Q26">
        <v>0</v>
      </c>
      <c r="R26">
        <v>0</v>
      </c>
      <c r="S26">
        <v>0</v>
      </c>
      <c r="T26">
        <v>0</v>
      </c>
      <c r="U26">
        <v>0.90695765140009299</v>
      </c>
      <c r="V26" t="s">
        <v>78</v>
      </c>
      <c r="W26">
        <v>2246111.5732716802</v>
      </c>
      <c r="X26" t="s">
        <v>76</v>
      </c>
      <c r="Y26">
        <v>-1.5707963267949001</v>
      </c>
      <c r="Z26">
        <v>0.89235161083105696</v>
      </c>
      <c r="AA26">
        <v>9.2789839401772503E-2</v>
      </c>
      <c r="AB26">
        <v>4.8997679063246299E-2</v>
      </c>
      <c r="AC26">
        <v>5.2284204561651804E-3</v>
      </c>
      <c r="AD26">
        <v>2.57132826568446E-2</v>
      </c>
      <c r="AE26">
        <v>5.7880867675512001E-3</v>
      </c>
      <c r="AF26">
        <v>0</v>
      </c>
      <c r="AG26">
        <v>0.123970072016652</v>
      </c>
      <c r="AH26">
        <v>1.5383961054819199E-2</v>
      </c>
      <c r="AI26">
        <v>0.82240587941730803</v>
      </c>
      <c r="AJ26" t="s">
        <v>74</v>
      </c>
      <c r="AK26">
        <v>0</v>
      </c>
      <c r="AL26" t="s">
        <v>77</v>
      </c>
      <c r="AM26">
        <v>0</v>
      </c>
      <c r="AN26">
        <v>0.99199999999999999</v>
      </c>
      <c r="AO26">
        <v>0</v>
      </c>
      <c r="AP26">
        <v>5.8245346242475203E-2</v>
      </c>
      <c r="AQ26">
        <v>0</v>
      </c>
      <c r="AR26">
        <v>1.6E-2</v>
      </c>
      <c r="AS26">
        <v>0</v>
      </c>
      <c r="AT26">
        <v>0</v>
      </c>
      <c r="AU26">
        <v>0</v>
      </c>
      <c r="AV26">
        <v>0</v>
      </c>
      <c r="AW26">
        <v>1</v>
      </c>
      <c r="AX26" t="s">
        <v>74</v>
      </c>
      <c r="AY26">
        <v>0</v>
      </c>
      <c r="AZ26" t="s">
        <v>76</v>
      </c>
      <c r="BA26">
        <v>-1.5707963267949001</v>
      </c>
      <c r="BB26">
        <v>0.99199999999999999</v>
      </c>
      <c r="BC26">
        <v>0</v>
      </c>
      <c r="BD26">
        <v>5.8245346242475203E-2</v>
      </c>
      <c r="BE26">
        <v>0</v>
      </c>
      <c r="BF26">
        <v>1.6E-2</v>
      </c>
      <c r="BG26">
        <v>0</v>
      </c>
      <c r="BH26">
        <v>0</v>
      </c>
      <c r="BI26">
        <v>0</v>
      </c>
      <c r="BJ26">
        <v>0</v>
      </c>
      <c r="BK26">
        <v>1</v>
      </c>
      <c r="BL26">
        <v>1.1176967919651401E-4</v>
      </c>
      <c r="BM26" s="1">
        <v>6.9677016535735702E-5</v>
      </c>
      <c r="BN26" s="1">
        <v>4.0803159592671497E-7</v>
      </c>
      <c r="BO26" s="1">
        <v>1.09448401636361E-6</v>
      </c>
      <c r="BP26">
        <v>0</v>
      </c>
      <c r="BQ26">
        <v>0</v>
      </c>
      <c r="BR26" s="1">
        <v>6.1333818045169897E-5</v>
      </c>
      <c r="BS26" s="1">
        <v>3.8395278936197701E-5</v>
      </c>
    </row>
    <row r="27" spans="1:71" x14ac:dyDescent="0.25">
      <c r="A27">
        <v>24</v>
      </c>
      <c r="B27" s="1">
        <v>4.1225127077639297E-5</v>
      </c>
      <c r="C27">
        <v>0.10464788798674</v>
      </c>
      <c r="D27">
        <v>-3.01970250632741E-4</v>
      </c>
      <c r="E27">
        <v>6.1312499999999995E-4</v>
      </c>
      <c r="F27">
        <v>-1.0464788798674001E-3</v>
      </c>
      <c r="G27">
        <v>0</v>
      </c>
      <c r="H27" t="s">
        <v>74</v>
      </c>
      <c r="I27">
        <v>0</v>
      </c>
      <c r="J27" t="s">
        <v>75</v>
      </c>
      <c r="K27">
        <v>3.14159265358979</v>
      </c>
      <c r="L27">
        <v>0.89544727396829804</v>
      </c>
      <c r="M27">
        <v>0</v>
      </c>
      <c r="N27">
        <v>5.2576246486052497E-2</v>
      </c>
      <c r="O27">
        <v>0</v>
      </c>
      <c r="P27">
        <v>1.6E-2</v>
      </c>
      <c r="Q27">
        <v>0</v>
      </c>
      <c r="R27">
        <v>0</v>
      </c>
      <c r="S27">
        <v>0</v>
      </c>
      <c r="T27">
        <v>0</v>
      </c>
      <c r="U27">
        <v>0.90268796082843505</v>
      </c>
      <c r="V27" t="s">
        <v>78</v>
      </c>
      <c r="W27">
        <v>2248041.7608412099</v>
      </c>
      <c r="X27" t="s">
        <v>76</v>
      </c>
      <c r="Y27">
        <v>-1.5707963267949001</v>
      </c>
      <c r="Z27">
        <v>0.88810987222967297</v>
      </c>
      <c r="AA27">
        <v>9.5327881327572195E-2</v>
      </c>
      <c r="AB27">
        <v>4.8734617306733098E-2</v>
      </c>
      <c r="AC27">
        <v>5.4115201988626004E-3</v>
      </c>
      <c r="AD27">
        <v>2.5561769901309098E-2</v>
      </c>
      <c r="AE27">
        <v>6.08555785708701E-3</v>
      </c>
      <c r="AF27">
        <v>0</v>
      </c>
      <c r="AG27">
        <v>0.128833215609852</v>
      </c>
      <c r="AH27">
        <v>1.6850720717949901E-2</v>
      </c>
      <c r="AI27">
        <v>0.81473354649937901</v>
      </c>
      <c r="AJ27" t="s">
        <v>74</v>
      </c>
      <c r="AK27">
        <v>0</v>
      </c>
      <c r="AL27" t="s">
        <v>77</v>
      </c>
      <c r="AM27">
        <v>0</v>
      </c>
      <c r="AN27">
        <v>0.99199999999999999</v>
      </c>
      <c r="AO27">
        <v>0</v>
      </c>
      <c r="AP27">
        <v>5.8245346242475203E-2</v>
      </c>
      <c r="AQ27">
        <v>0</v>
      </c>
      <c r="AR27">
        <v>1.6E-2</v>
      </c>
      <c r="AS27">
        <v>0</v>
      </c>
      <c r="AT27">
        <v>0</v>
      </c>
      <c r="AU27">
        <v>0</v>
      </c>
      <c r="AV27">
        <v>0</v>
      </c>
      <c r="AW27">
        <v>1</v>
      </c>
      <c r="AX27" t="s">
        <v>74</v>
      </c>
      <c r="AY27">
        <v>0</v>
      </c>
      <c r="AZ27" t="s">
        <v>76</v>
      </c>
      <c r="BA27">
        <v>-1.5707963267949001</v>
      </c>
      <c r="BB27">
        <v>0.99199999999999999</v>
      </c>
      <c r="BC27">
        <v>0</v>
      </c>
      <c r="BD27">
        <v>5.8245346242475203E-2</v>
      </c>
      <c r="BE27">
        <v>0</v>
      </c>
      <c r="BF27">
        <v>1.6E-2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1.11606538238299E-4</v>
      </c>
      <c r="BM27" s="1">
        <v>7.2841968163900995E-5</v>
      </c>
      <c r="BN27" s="1">
        <v>4.07420562263701E-7</v>
      </c>
      <c r="BO27" s="1">
        <v>1.1441989602836701E-6</v>
      </c>
      <c r="BP27">
        <v>0</v>
      </c>
      <c r="BQ27">
        <v>0</v>
      </c>
      <c r="BR27" s="1">
        <v>6.1235359237463404E-5</v>
      </c>
      <c r="BS27" s="1">
        <v>4.01410570634013E-5</v>
      </c>
    </row>
    <row r="28" spans="1:71" x14ac:dyDescent="0.25">
      <c r="A28">
        <v>25</v>
      </c>
      <c r="B28" s="1">
        <v>3.9761636823940899E-5</v>
      </c>
      <c r="C28">
        <v>0.104687649623564</v>
      </c>
      <c r="D28">
        <v>-3.0218593857590499E-4</v>
      </c>
      <c r="E28">
        <v>6.1312499999999995E-4</v>
      </c>
      <c r="F28">
        <v>-1.04687649623564E-3</v>
      </c>
      <c r="G28">
        <v>0</v>
      </c>
      <c r="H28" t="s">
        <v>74</v>
      </c>
      <c r="I28">
        <v>0</v>
      </c>
      <c r="J28" t="s">
        <v>75</v>
      </c>
      <c r="K28">
        <v>3.14159265358979</v>
      </c>
      <c r="L28">
        <v>0.89125230790380605</v>
      </c>
      <c r="M28">
        <v>0</v>
      </c>
      <c r="N28">
        <v>5.2329938773449901E-2</v>
      </c>
      <c r="O28">
        <v>0</v>
      </c>
      <c r="P28">
        <v>1.6E-2</v>
      </c>
      <c r="Q28">
        <v>0</v>
      </c>
      <c r="R28">
        <v>0</v>
      </c>
      <c r="S28">
        <v>0</v>
      </c>
      <c r="T28">
        <v>0</v>
      </c>
      <c r="U28">
        <v>0.89840198195365095</v>
      </c>
      <c r="V28" t="s">
        <v>78</v>
      </c>
      <c r="W28">
        <v>2249903.0430972301</v>
      </c>
      <c r="X28" t="s">
        <v>76</v>
      </c>
      <c r="Y28">
        <v>-1.5707963267949001</v>
      </c>
      <c r="Z28">
        <v>0.88387162810151898</v>
      </c>
      <c r="AA28">
        <v>9.7849907010377005E-2</v>
      </c>
      <c r="AB28">
        <v>4.8473107434441498E-2</v>
      </c>
      <c r="AC28">
        <v>5.5940114079451597E-3</v>
      </c>
      <c r="AD28">
        <v>2.5403415515727001E-2</v>
      </c>
      <c r="AE28">
        <v>6.3839324366306701E-3</v>
      </c>
      <c r="AF28">
        <v>0</v>
      </c>
      <c r="AG28">
        <v>0.13362611116652101</v>
      </c>
      <c r="AH28">
        <v>1.83874151599751E-2</v>
      </c>
      <c r="AI28">
        <v>0.80708425230449599</v>
      </c>
      <c r="AJ28" t="s">
        <v>74</v>
      </c>
      <c r="AK28">
        <v>0</v>
      </c>
      <c r="AL28" t="s">
        <v>77</v>
      </c>
      <c r="AM28">
        <v>0</v>
      </c>
      <c r="AN28">
        <v>0.99199999999999999</v>
      </c>
      <c r="AO28">
        <v>0</v>
      </c>
      <c r="AP28">
        <v>5.8245346242475203E-2</v>
      </c>
      <c r="AQ28">
        <v>0</v>
      </c>
      <c r="AR28">
        <v>1.6E-2</v>
      </c>
      <c r="AS28">
        <v>0</v>
      </c>
      <c r="AT28">
        <v>0</v>
      </c>
      <c r="AU28">
        <v>0</v>
      </c>
      <c r="AV28">
        <v>0</v>
      </c>
      <c r="AW28">
        <v>1</v>
      </c>
      <c r="AX28" t="s">
        <v>74</v>
      </c>
      <c r="AY28">
        <v>0</v>
      </c>
      <c r="AZ28" t="s">
        <v>76</v>
      </c>
      <c r="BA28">
        <v>-1.5707963267949001</v>
      </c>
      <c r="BB28">
        <v>0.99199999999999999</v>
      </c>
      <c r="BC28">
        <v>0</v>
      </c>
      <c r="BD28">
        <v>5.8245346242475203E-2</v>
      </c>
      <c r="BE28">
        <v>0</v>
      </c>
      <c r="BF28">
        <v>1.6E-2</v>
      </c>
      <c r="BG28">
        <v>0</v>
      </c>
      <c r="BH28">
        <v>0</v>
      </c>
      <c r="BI28">
        <v>0</v>
      </c>
      <c r="BJ28">
        <v>0</v>
      </c>
      <c r="BK28">
        <v>1</v>
      </c>
      <c r="BL28">
        <v>1.11443875050393E-4</v>
      </c>
      <c r="BM28" s="1">
        <v>7.6006763163247797E-5</v>
      </c>
      <c r="BN28" s="1">
        <v>4.06814711373013E-7</v>
      </c>
      <c r="BO28" s="1">
        <v>1.1939114438839901E-6</v>
      </c>
      <c r="BP28">
        <v>0</v>
      </c>
      <c r="BQ28">
        <v>0</v>
      </c>
      <c r="BR28" s="1">
        <v>6.1137060129299903E-5</v>
      </c>
      <c r="BS28" s="1">
        <v>4.18868356438467E-5</v>
      </c>
    </row>
    <row r="29" spans="1:71" x14ac:dyDescent="0.25">
      <c r="A29">
        <v>26</v>
      </c>
      <c r="B29" s="1">
        <v>3.8419111538525702E-5</v>
      </c>
      <c r="C29">
        <v>0.104726068735102</v>
      </c>
      <c r="D29">
        <v>-3.0239430252608301E-4</v>
      </c>
      <c r="E29">
        <v>6.1312499999999995E-4</v>
      </c>
      <c r="F29">
        <v>-1.04726068735102E-3</v>
      </c>
      <c r="G29">
        <v>0</v>
      </c>
      <c r="H29" t="s">
        <v>74</v>
      </c>
      <c r="I29">
        <v>0</v>
      </c>
      <c r="J29" t="s">
        <v>75</v>
      </c>
      <c r="K29">
        <v>3.14159265358979</v>
      </c>
      <c r="L29">
        <v>0.88705755419662902</v>
      </c>
      <c r="M29">
        <v>0</v>
      </c>
      <c r="N29">
        <v>5.2083643529421297E-2</v>
      </c>
      <c r="O29">
        <v>0</v>
      </c>
      <c r="P29">
        <v>1.6E-2</v>
      </c>
      <c r="Q29">
        <v>0</v>
      </c>
      <c r="R29">
        <v>0</v>
      </c>
      <c r="S29">
        <v>0</v>
      </c>
      <c r="T29">
        <v>0</v>
      </c>
      <c r="U29">
        <v>0.89408344852645605</v>
      </c>
      <c r="V29" t="s">
        <v>78</v>
      </c>
      <c r="W29">
        <v>2251701.1228487901</v>
      </c>
      <c r="X29" t="s">
        <v>76</v>
      </c>
      <c r="Y29">
        <v>-1.5707963267949001</v>
      </c>
      <c r="Z29">
        <v>0.879636642789969</v>
      </c>
      <c r="AA29">
        <v>0.102921700009259</v>
      </c>
      <c r="AB29">
        <v>4.82130319466859E-2</v>
      </c>
      <c r="AC29">
        <v>5.8565042928885903E-3</v>
      </c>
      <c r="AD29">
        <v>2.52387335162686E-2</v>
      </c>
      <c r="AE29">
        <v>6.6831539194579896E-3</v>
      </c>
      <c r="AF29">
        <v>0</v>
      </c>
      <c r="AG29">
        <v>0.138348270589707</v>
      </c>
      <c r="AH29">
        <v>1.9994525319362699E-2</v>
      </c>
      <c r="AI29">
        <v>0.79944187586381499</v>
      </c>
      <c r="AJ29" t="s">
        <v>74</v>
      </c>
      <c r="AK29">
        <v>0</v>
      </c>
      <c r="AL29" t="s">
        <v>77</v>
      </c>
      <c r="AM29">
        <v>0</v>
      </c>
      <c r="AN29">
        <v>0.99199999999999999</v>
      </c>
      <c r="AO29">
        <v>0</v>
      </c>
      <c r="AP29">
        <v>5.8245346242475203E-2</v>
      </c>
      <c r="AQ29">
        <v>0</v>
      </c>
      <c r="AR29">
        <v>1.6E-2</v>
      </c>
      <c r="AS29">
        <v>0</v>
      </c>
      <c r="AT29">
        <v>0</v>
      </c>
      <c r="AU29">
        <v>0</v>
      </c>
      <c r="AV29">
        <v>0</v>
      </c>
      <c r="AW29">
        <v>1</v>
      </c>
      <c r="AX29" t="s">
        <v>74</v>
      </c>
      <c r="AY29">
        <v>0</v>
      </c>
      <c r="AZ29" t="s">
        <v>76</v>
      </c>
      <c r="BA29">
        <v>-1.5707963267949001</v>
      </c>
      <c r="BB29">
        <v>0.99199999999999999</v>
      </c>
      <c r="BC29">
        <v>0</v>
      </c>
      <c r="BD29">
        <v>5.8245346242475203E-2</v>
      </c>
      <c r="BE29">
        <v>0</v>
      </c>
      <c r="BF29">
        <v>1.6E-2</v>
      </c>
      <c r="BG29">
        <v>0</v>
      </c>
      <c r="BH29">
        <v>0</v>
      </c>
      <c r="BI29">
        <v>0</v>
      </c>
      <c r="BJ29">
        <v>0</v>
      </c>
      <c r="BK29">
        <v>1</v>
      </c>
      <c r="BL29">
        <v>1.11321936126973E-4</v>
      </c>
      <c r="BM29" s="1">
        <v>7.9171397954534904E-5</v>
      </c>
      <c r="BN29" s="1">
        <v>4.06294199465177E-7</v>
      </c>
      <c r="BO29" s="1">
        <v>1.2436214109419999E-6</v>
      </c>
      <c r="BP29">
        <v>0</v>
      </c>
      <c r="BQ29">
        <v>0</v>
      </c>
      <c r="BR29" s="1">
        <v>6.1061109349303406E-5</v>
      </c>
      <c r="BS29" s="1">
        <v>4.3632610186813503E-5</v>
      </c>
    </row>
    <row r="30" spans="1:71" x14ac:dyDescent="0.25">
      <c r="A30">
        <v>27</v>
      </c>
      <c r="B30" s="1">
        <v>3.7183633909905998E-5</v>
      </c>
      <c r="C30">
        <v>0.104763252369012</v>
      </c>
      <c r="D30">
        <v>-3.0259592719226899E-4</v>
      </c>
      <c r="E30">
        <v>6.1312499999999995E-4</v>
      </c>
      <c r="F30">
        <v>-1.0476325236901201E-3</v>
      </c>
      <c r="G30">
        <v>0</v>
      </c>
      <c r="H30" t="s">
        <v>74</v>
      </c>
      <c r="I30">
        <v>0</v>
      </c>
      <c r="J30" t="s">
        <v>75</v>
      </c>
      <c r="K30">
        <v>3.14159265358979</v>
      </c>
      <c r="L30">
        <v>0.88286301831598202</v>
      </c>
      <c r="M30">
        <v>0</v>
      </c>
      <c r="N30">
        <v>5.1837361075091799E-2</v>
      </c>
      <c r="O30">
        <v>0</v>
      </c>
      <c r="P30">
        <v>1.6E-2</v>
      </c>
      <c r="Q30">
        <v>0</v>
      </c>
      <c r="R30">
        <v>0</v>
      </c>
      <c r="S30">
        <v>0</v>
      </c>
      <c r="T30">
        <v>0</v>
      </c>
      <c r="U30">
        <v>0.88973340030563697</v>
      </c>
      <c r="V30" t="s">
        <v>78</v>
      </c>
      <c r="W30">
        <v>2253441.04585071</v>
      </c>
      <c r="X30" t="s">
        <v>76</v>
      </c>
      <c r="Y30">
        <v>-1.5707963267949001</v>
      </c>
      <c r="Z30">
        <v>0.87540470809478899</v>
      </c>
      <c r="AA30">
        <v>0.107959221992182</v>
      </c>
      <c r="AB30">
        <v>4.7954286825010503E-2</v>
      </c>
      <c r="AC30">
        <v>6.1178190870081898E-3</v>
      </c>
      <c r="AD30">
        <v>2.5068174051175E-2</v>
      </c>
      <c r="AE30">
        <v>6.9831752656896798E-3</v>
      </c>
      <c r="AF30">
        <v>0</v>
      </c>
      <c r="AG30">
        <v>0.14299916416171299</v>
      </c>
      <c r="AH30">
        <v>2.1672572661570199E-2</v>
      </c>
      <c r="AI30">
        <v>0.79180762136730998</v>
      </c>
      <c r="AJ30" t="s">
        <v>74</v>
      </c>
      <c r="AK30">
        <v>0</v>
      </c>
      <c r="AL30" t="s">
        <v>77</v>
      </c>
      <c r="AM30">
        <v>0</v>
      </c>
      <c r="AN30">
        <v>0.99199999999999999</v>
      </c>
      <c r="AO30">
        <v>0</v>
      </c>
      <c r="AP30">
        <v>5.8245346242475203E-2</v>
      </c>
      <c r="AQ30">
        <v>0</v>
      </c>
      <c r="AR30">
        <v>1.6E-2</v>
      </c>
      <c r="AS30">
        <v>0</v>
      </c>
      <c r="AT30">
        <v>0</v>
      </c>
      <c r="AU30">
        <v>0</v>
      </c>
      <c r="AV30">
        <v>0</v>
      </c>
      <c r="AW30">
        <v>1</v>
      </c>
      <c r="AX30" t="s">
        <v>74</v>
      </c>
      <c r="AY30">
        <v>0</v>
      </c>
      <c r="AZ30" t="s">
        <v>76</v>
      </c>
      <c r="BA30">
        <v>-1.5707963267949001</v>
      </c>
      <c r="BB30">
        <v>0.99199999999999999</v>
      </c>
      <c r="BC30">
        <v>0</v>
      </c>
      <c r="BD30">
        <v>5.8245346242475203E-2</v>
      </c>
      <c r="BE30">
        <v>0</v>
      </c>
      <c r="BF30">
        <v>1.6E-2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1.1120007973603E-4</v>
      </c>
      <c r="BM30" s="1">
        <v>8.2335868411641795E-5</v>
      </c>
      <c r="BN30" s="1">
        <v>4.0577744635081799E-7</v>
      </c>
      <c r="BO30" s="1">
        <v>1.2933287966447501E-6</v>
      </c>
      <c r="BP30">
        <v>0</v>
      </c>
      <c r="BQ30">
        <v>0</v>
      </c>
      <c r="BR30" s="1">
        <v>6.0985117547278097E-5</v>
      </c>
      <c r="BS30" s="1">
        <v>4.5378376124379002E-5</v>
      </c>
    </row>
    <row r="31" spans="1:71" x14ac:dyDescent="0.25">
      <c r="A31">
        <v>28</v>
      </c>
      <c r="B31" s="1">
        <v>3.6043374874389703E-5</v>
      </c>
      <c r="C31">
        <v>0.104799295743886</v>
      </c>
      <c r="D31">
        <v>-3.02791332577717E-4</v>
      </c>
      <c r="E31">
        <v>6.1312499999999995E-4</v>
      </c>
      <c r="F31">
        <v>-1.0479929574388599E-3</v>
      </c>
      <c r="G31">
        <v>0</v>
      </c>
      <c r="H31" t="s">
        <v>74</v>
      </c>
      <c r="I31">
        <v>0</v>
      </c>
      <c r="J31" t="s">
        <v>75</v>
      </c>
      <c r="K31">
        <v>3.14159265358979</v>
      </c>
      <c r="L31">
        <v>0.87866870573704003</v>
      </c>
      <c r="M31">
        <v>0</v>
      </c>
      <c r="N31">
        <v>5.1591091731936899E-2</v>
      </c>
      <c r="O31">
        <v>0</v>
      </c>
      <c r="P31">
        <v>1.6E-2</v>
      </c>
      <c r="Q31">
        <v>0</v>
      </c>
      <c r="R31">
        <v>0</v>
      </c>
      <c r="S31">
        <v>0</v>
      </c>
      <c r="T31">
        <v>0</v>
      </c>
      <c r="U31">
        <v>0.88535275772403099</v>
      </c>
      <c r="V31" t="s">
        <v>78</v>
      </c>
      <c r="W31">
        <v>2255127.2994786501</v>
      </c>
      <c r="X31" t="s">
        <v>76</v>
      </c>
      <c r="Y31">
        <v>-1.5707963267949001</v>
      </c>
      <c r="Z31">
        <v>0.87117563864097403</v>
      </c>
      <c r="AA31">
        <v>0.112961333858205</v>
      </c>
      <c r="AB31">
        <v>4.7696779492644399E-2</v>
      </c>
      <c r="AC31">
        <v>6.3779337854321201E-3</v>
      </c>
      <c r="AD31">
        <v>2.48921404848945E-2</v>
      </c>
      <c r="AE31">
        <v>7.2839525513874598E-3</v>
      </c>
      <c r="AF31">
        <v>0</v>
      </c>
      <c r="AG31">
        <v>0.14757825115707901</v>
      </c>
      <c r="AH31">
        <v>2.3422089650818E-2</v>
      </c>
      <c r="AI31">
        <v>0.78418257539779501</v>
      </c>
      <c r="AJ31" t="s">
        <v>74</v>
      </c>
      <c r="AK31">
        <v>0</v>
      </c>
      <c r="AL31" t="s">
        <v>77</v>
      </c>
      <c r="AM31">
        <v>0</v>
      </c>
      <c r="AN31">
        <v>0.99199999999999999</v>
      </c>
      <c r="AO31">
        <v>0</v>
      </c>
      <c r="AP31">
        <v>5.8245346242475203E-2</v>
      </c>
      <c r="AQ31">
        <v>0</v>
      </c>
      <c r="AR31">
        <v>1.6E-2</v>
      </c>
      <c r="AS31">
        <v>0</v>
      </c>
      <c r="AT31">
        <v>0</v>
      </c>
      <c r="AU31">
        <v>0</v>
      </c>
      <c r="AV31">
        <v>0</v>
      </c>
      <c r="AW31">
        <v>1</v>
      </c>
      <c r="AX31" t="s">
        <v>74</v>
      </c>
      <c r="AY31">
        <v>0</v>
      </c>
      <c r="AZ31" t="s">
        <v>76</v>
      </c>
      <c r="BA31">
        <v>-1.5707963267949001</v>
      </c>
      <c r="BB31">
        <v>0.99199999999999999</v>
      </c>
      <c r="BC31">
        <v>0</v>
      </c>
      <c r="BD31">
        <v>5.8245346242475203E-2</v>
      </c>
      <c r="BE31">
        <v>0</v>
      </c>
      <c r="BF31">
        <v>1.6E-2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1.11078248747482E-4</v>
      </c>
      <c r="BM31" s="1">
        <v>8.5500170403948606E-5</v>
      </c>
      <c r="BN31" s="1">
        <v>4.0526408672547002E-7</v>
      </c>
      <c r="BO31" s="1">
        <v>1.3430335361086E-6</v>
      </c>
      <c r="BP31">
        <v>0</v>
      </c>
      <c r="BQ31">
        <v>0</v>
      </c>
      <c r="BR31" s="1">
        <v>6.0909059565026599E-5</v>
      </c>
      <c r="BS31" s="1">
        <v>4.7124129086014798E-5</v>
      </c>
    </row>
    <row r="32" spans="1:71" x14ac:dyDescent="0.25">
      <c r="A32">
        <v>29</v>
      </c>
      <c r="B32" s="1">
        <v>3.49882063996743E-5</v>
      </c>
      <c r="C32">
        <v>0.104834283950286</v>
      </c>
      <c r="D32">
        <v>-3.0298098329326799E-4</v>
      </c>
      <c r="E32">
        <v>6.1312499999999995E-4</v>
      </c>
      <c r="F32">
        <v>-1.0483428395028601E-3</v>
      </c>
      <c r="G32">
        <v>0</v>
      </c>
      <c r="H32" t="s">
        <v>74</v>
      </c>
      <c r="I32">
        <v>0</v>
      </c>
      <c r="J32" t="s">
        <v>75</v>
      </c>
      <c r="K32">
        <v>3.14159265358979</v>
      </c>
      <c r="L32">
        <v>0.874474621963513</v>
      </c>
      <c r="M32">
        <v>0</v>
      </c>
      <c r="N32">
        <v>5.1344835823107303E-2</v>
      </c>
      <c r="O32">
        <v>0</v>
      </c>
      <c r="P32">
        <v>1.6E-2</v>
      </c>
      <c r="Q32">
        <v>0</v>
      </c>
      <c r="R32">
        <v>0</v>
      </c>
      <c r="S32">
        <v>0</v>
      </c>
      <c r="T32">
        <v>0</v>
      </c>
      <c r="U32">
        <v>0.88094233897560303</v>
      </c>
      <c r="V32" t="s">
        <v>78</v>
      </c>
      <c r="W32">
        <v>2256763.8930986701</v>
      </c>
      <c r="X32" t="s">
        <v>76</v>
      </c>
      <c r="Y32">
        <v>-1.5707963267949001</v>
      </c>
      <c r="Z32">
        <v>0.86694926870003697</v>
      </c>
      <c r="AA32">
        <v>0.117926973279548</v>
      </c>
      <c r="AB32">
        <v>4.7440427183777702E-2</v>
      </c>
      <c r="AC32">
        <v>6.6368118485302099E-3</v>
      </c>
      <c r="AD32">
        <v>2.4710995902301799E-2</v>
      </c>
      <c r="AE32">
        <v>7.5854446211987003E-3</v>
      </c>
      <c r="AF32">
        <v>0</v>
      </c>
      <c r="AG32">
        <v>0.15208497968455501</v>
      </c>
      <c r="AH32">
        <v>2.5243619874061402E-2</v>
      </c>
      <c r="AI32">
        <v>0.77656772401414598</v>
      </c>
      <c r="AJ32" t="s">
        <v>74</v>
      </c>
      <c r="AK32">
        <v>0</v>
      </c>
      <c r="AL32" t="s">
        <v>77</v>
      </c>
      <c r="AM32">
        <v>0</v>
      </c>
      <c r="AN32">
        <v>0.99199999999999999</v>
      </c>
      <c r="AO32">
        <v>0</v>
      </c>
      <c r="AP32">
        <v>5.8245346242475203E-2</v>
      </c>
      <c r="AQ32">
        <v>0</v>
      </c>
      <c r="AR32">
        <v>1.6E-2</v>
      </c>
      <c r="AS32">
        <v>0</v>
      </c>
      <c r="AT32">
        <v>0</v>
      </c>
      <c r="AU32">
        <v>0</v>
      </c>
      <c r="AV32">
        <v>0</v>
      </c>
      <c r="AW32">
        <v>1</v>
      </c>
      <c r="AX32" t="s">
        <v>74</v>
      </c>
      <c r="AY32">
        <v>0</v>
      </c>
      <c r="AZ32" t="s">
        <v>76</v>
      </c>
      <c r="BA32">
        <v>-1.5707963267949001</v>
      </c>
      <c r="BB32">
        <v>0.99199999999999999</v>
      </c>
      <c r="BC32">
        <v>0</v>
      </c>
      <c r="BD32">
        <v>5.8245346242475203E-2</v>
      </c>
      <c r="BE32">
        <v>0</v>
      </c>
      <c r="BF32">
        <v>1.6E-2</v>
      </c>
      <c r="BG32">
        <v>0</v>
      </c>
      <c r="BH32">
        <v>0</v>
      </c>
      <c r="BI32">
        <v>0</v>
      </c>
      <c r="BJ32">
        <v>0</v>
      </c>
      <c r="BK32">
        <v>1</v>
      </c>
      <c r="BL32">
        <v>1.10956383670183E-4</v>
      </c>
      <c r="BM32" s="1">
        <v>8.8664299779308002E-5</v>
      </c>
      <c r="BN32" s="1">
        <v>4.0475376394087098E-7</v>
      </c>
      <c r="BO32" s="1">
        <v>1.39273556411179E-6</v>
      </c>
      <c r="BP32">
        <v>0</v>
      </c>
      <c r="BQ32">
        <v>0</v>
      </c>
      <c r="BR32" s="1">
        <v>6.0832908271269098E-5</v>
      </c>
      <c r="BS32" s="1">
        <v>4.8869864868025303E-5</v>
      </c>
    </row>
    <row r="33" spans="1:71" x14ac:dyDescent="0.25">
      <c r="A33">
        <v>30</v>
      </c>
      <c r="B33" s="1">
        <v>3.4009406787767099E-5</v>
      </c>
      <c r="C33">
        <v>0.104868293357074</v>
      </c>
      <c r="D33">
        <v>-3.0316529625591399E-4</v>
      </c>
      <c r="E33">
        <v>6.1312499999999995E-4</v>
      </c>
      <c r="F33">
        <v>-1.04868293357074E-3</v>
      </c>
      <c r="G33">
        <v>0</v>
      </c>
      <c r="H33" t="s">
        <v>74</v>
      </c>
      <c r="I33">
        <v>0</v>
      </c>
      <c r="J33" t="s">
        <v>75</v>
      </c>
      <c r="K33">
        <v>3.14159265358979</v>
      </c>
      <c r="L33">
        <v>0.87028077254735603</v>
      </c>
      <c r="M33">
        <v>0</v>
      </c>
      <c r="N33">
        <v>5.1098593674586301E-2</v>
      </c>
      <c r="O33">
        <v>0</v>
      </c>
      <c r="P33">
        <v>1.6E-2</v>
      </c>
      <c r="Q33">
        <v>0</v>
      </c>
      <c r="R33">
        <v>0</v>
      </c>
      <c r="S33">
        <v>0</v>
      </c>
      <c r="T33">
        <v>0</v>
      </c>
      <c r="U33">
        <v>0.876502874162714</v>
      </c>
      <c r="V33" t="s">
        <v>78</v>
      </c>
      <c r="W33">
        <v>2258354.42450201</v>
      </c>
      <c r="X33" t="s">
        <v>76</v>
      </c>
      <c r="Y33">
        <v>-1.5707963267949001</v>
      </c>
      <c r="Z33">
        <v>0.86272544955441999</v>
      </c>
      <c r="AA33">
        <v>0.12035997599875201</v>
      </c>
      <c r="AB33">
        <v>4.7185155594504397E-2</v>
      </c>
      <c r="AC33">
        <v>6.8160412289073203E-3</v>
      </c>
      <c r="AD33">
        <v>2.4525068510623999E-2</v>
      </c>
      <c r="AE33">
        <v>7.8876127898671305E-3</v>
      </c>
      <c r="AF33">
        <v>0</v>
      </c>
      <c r="AG33">
        <v>0.15651878650798801</v>
      </c>
      <c r="AH33">
        <v>2.71377181903667E-2</v>
      </c>
      <c r="AI33">
        <v>0.768963966895434</v>
      </c>
      <c r="AJ33" t="s">
        <v>74</v>
      </c>
      <c r="AK33">
        <v>0</v>
      </c>
      <c r="AL33" t="s">
        <v>77</v>
      </c>
      <c r="AM33">
        <v>0</v>
      </c>
      <c r="AN33">
        <v>0.99199999999999999</v>
      </c>
      <c r="AO33">
        <v>0</v>
      </c>
      <c r="AP33">
        <v>5.8245346242475203E-2</v>
      </c>
      <c r="AQ33">
        <v>0</v>
      </c>
      <c r="AR33">
        <v>1.6E-2</v>
      </c>
      <c r="AS33">
        <v>0</v>
      </c>
      <c r="AT33">
        <v>0</v>
      </c>
      <c r="AU33">
        <v>0</v>
      </c>
      <c r="AV33">
        <v>0</v>
      </c>
      <c r="AW33">
        <v>1</v>
      </c>
      <c r="AX33" t="s">
        <v>74</v>
      </c>
      <c r="AY33">
        <v>0</v>
      </c>
      <c r="AZ33" t="s">
        <v>76</v>
      </c>
      <c r="BA33">
        <v>-1.5707963267949001</v>
      </c>
      <c r="BB33">
        <v>0.99199999999999999</v>
      </c>
      <c r="BC33">
        <v>0</v>
      </c>
      <c r="BD33">
        <v>5.8245346242475203E-2</v>
      </c>
      <c r="BE33">
        <v>0</v>
      </c>
      <c r="BF33">
        <v>1.6E-2</v>
      </c>
      <c r="BG33">
        <v>0</v>
      </c>
      <c r="BH33">
        <v>0</v>
      </c>
      <c r="BI33">
        <v>0</v>
      </c>
      <c r="BJ33">
        <v>0</v>
      </c>
      <c r="BK33">
        <v>1</v>
      </c>
      <c r="BL33">
        <v>1.1079524149147401E-4</v>
      </c>
      <c r="BM33" s="1">
        <v>9.1828252349177296E-5</v>
      </c>
      <c r="BN33" s="1">
        <v>4.0416778835068701E-7</v>
      </c>
      <c r="BO33" s="1">
        <v>1.4424348148608301E-6</v>
      </c>
      <c r="BP33">
        <v>0</v>
      </c>
      <c r="BQ33">
        <v>0</v>
      </c>
      <c r="BR33" s="1">
        <v>6.0735038063536501E-5</v>
      </c>
      <c r="BS33" s="1">
        <v>5.06155794072254E-5</v>
      </c>
    </row>
    <row r="34" spans="1:71" x14ac:dyDescent="0.25">
      <c r="A34">
        <v>31</v>
      </c>
      <c r="B34" s="1">
        <v>3.3099425276675498E-5</v>
      </c>
      <c r="C34">
        <v>0.10490139278235</v>
      </c>
      <c r="D34">
        <v>-3.0334464709771698E-4</v>
      </c>
      <c r="E34">
        <v>6.1312499999999995E-4</v>
      </c>
      <c r="F34">
        <v>-1.0490139278235E-3</v>
      </c>
      <c r="G34">
        <v>0</v>
      </c>
      <c r="H34" t="s">
        <v>74</v>
      </c>
      <c r="I34">
        <v>0</v>
      </c>
      <c r="J34" t="s">
        <v>75</v>
      </c>
      <c r="K34">
        <v>3.14159265358979</v>
      </c>
      <c r="L34">
        <v>0.86608716310624401</v>
      </c>
      <c r="M34">
        <v>0</v>
      </c>
      <c r="N34">
        <v>5.0852365616215998E-2</v>
      </c>
      <c r="O34">
        <v>0</v>
      </c>
      <c r="P34">
        <v>1.6E-2</v>
      </c>
      <c r="Q34">
        <v>0</v>
      </c>
      <c r="R34">
        <v>0</v>
      </c>
      <c r="S34">
        <v>0</v>
      </c>
      <c r="T34">
        <v>0</v>
      </c>
      <c r="U34">
        <v>0.87203501709147002</v>
      </c>
      <c r="V34" t="s">
        <v>78</v>
      </c>
      <c r="W34">
        <v>2259902.1352110701</v>
      </c>
      <c r="X34" t="s">
        <v>76</v>
      </c>
      <c r="Y34">
        <v>-1.5707963267949001</v>
      </c>
      <c r="Z34">
        <v>0.85850404729705398</v>
      </c>
      <c r="AA34">
        <v>0.12524975410436701</v>
      </c>
      <c r="AB34">
        <v>4.6930897758870202E-2</v>
      </c>
      <c r="AC34">
        <v>7.0723714445187803E-3</v>
      </c>
      <c r="AD34">
        <v>2.4334656157355999E-2</v>
      </c>
      <c r="AE34">
        <v>8.1904205842180007E-3</v>
      </c>
      <c r="AF34">
        <v>0</v>
      </c>
      <c r="AG34">
        <v>0.16087909684695001</v>
      </c>
      <c r="AH34">
        <v>2.91049509039139E-2</v>
      </c>
      <c r="AI34">
        <v>0.76137212913393504</v>
      </c>
      <c r="AJ34" t="s">
        <v>74</v>
      </c>
      <c r="AK34">
        <v>0</v>
      </c>
      <c r="AL34" t="s">
        <v>77</v>
      </c>
      <c r="AM34">
        <v>0</v>
      </c>
      <c r="AN34">
        <v>0.99199999999999999</v>
      </c>
      <c r="AO34">
        <v>0</v>
      </c>
      <c r="AP34">
        <v>5.8245346242475203E-2</v>
      </c>
      <c r="AQ34">
        <v>0</v>
      </c>
      <c r="AR34">
        <v>1.6E-2</v>
      </c>
      <c r="AS34">
        <v>0</v>
      </c>
      <c r="AT34">
        <v>0</v>
      </c>
      <c r="AU34">
        <v>0</v>
      </c>
      <c r="AV34">
        <v>0</v>
      </c>
      <c r="AW34">
        <v>1</v>
      </c>
      <c r="AX34" t="s">
        <v>74</v>
      </c>
      <c r="AY34">
        <v>0</v>
      </c>
      <c r="AZ34" t="s">
        <v>76</v>
      </c>
      <c r="BA34">
        <v>-1.5707963267949001</v>
      </c>
      <c r="BB34">
        <v>0.99199999999999999</v>
      </c>
      <c r="BC34">
        <v>0</v>
      </c>
      <c r="BD34">
        <v>5.8245346242475203E-2</v>
      </c>
      <c r="BE34">
        <v>0</v>
      </c>
      <c r="BF34">
        <v>1.6E-2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1.10673163652278E-4</v>
      </c>
      <c r="BM34" s="1">
        <v>9.4992023875432001E-5</v>
      </c>
      <c r="BN34" s="1">
        <v>4.0366265627733802E-7</v>
      </c>
      <c r="BO34" s="1">
        <v>1.4921312217834201E-6</v>
      </c>
      <c r="BP34">
        <v>0</v>
      </c>
      <c r="BQ34">
        <v>0</v>
      </c>
      <c r="BR34" s="1">
        <v>6.0658634439688002E-5</v>
      </c>
      <c r="BS34" s="1">
        <v>5.2361268758075401E-5</v>
      </c>
    </row>
    <row r="35" spans="1:71" x14ac:dyDescent="0.25">
      <c r="A35">
        <v>32</v>
      </c>
      <c r="B35" s="1">
        <v>3.2251692467215201E-5</v>
      </c>
      <c r="C35">
        <v>0.104933644474818</v>
      </c>
      <c r="D35">
        <v>-3.0351937553632001E-4</v>
      </c>
      <c r="E35">
        <v>6.1312499999999995E-4</v>
      </c>
      <c r="F35">
        <v>-1.04933644474818E-3</v>
      </c>
      <c r="G35" s="1">
        <v>-1.0842021724855E-19</v>
      </c>
      <c r="H35" t="s">
        <v>74</v>
      </c>
      <c r="I35">
        <v>0</v>
      </c>
      <c r="J35" t="s">
        <v>75</v>
      </c>
      <c r="K35">
        <v>3.14159265358979</v>
      </c>
      <c r="L35">
        <v>0.86189379933936305</v>
      </c>
      <c r="M35">
        <v>0</v>
      </c>
      <c r="N35">
        <v>5.0606151982624699E-2</v>
      </c>
      <c r="O35">
        <v>0</v>
      </c>
      <c r="P35">
        <v>1.6E-2</v>
      </c>
      <c r="Q35">
        <v>0</v>
      </c>
      <c r="R35">
        <v>0</v>
      </c>
      <c r="S35">
        <v>0</v>
      </c>
      <c r="T35">
        <v>0</v>
      </c>
      <c r="U35">
        <v>0.86753935517043401</v>
      </c>
      <c r="V35" t="s">
        <v>78</v>
      </c>
      <c r="W35">
        <v>2261409.9568242002</v>
      </c>
      <c r="X35" t="s">
        <v>76</v>
      </c>
      <c r="Y35">
        <v>-1.5707963267949001</v>
      </c>
      <c r="Z35">
        <v>0.85428494098248298</v>
      </c>
      <c r="AA35">
        <v>0.12764368067225501</v>
      </c>
      <c r="AB35">
        <v>4.6677593106308701E-2</v>
      </c>
      <c r="AC35">
        <v>7.2502163883179796E-3</v>
      </c>
      <c r="AD35">
        <v>2.41400301334408E-2</v>
      </c>
      <c r="AE35">
        <v>8.4938335188974798E-3</v>
      </c>
      <c r="AF35">
        <v>0</v>
      </c>
      <c r="AG35">
        <v>0.165165324157655</v>
      </c>
      <c r="AH35">
        <v>3.1145895959248202E-2</v>
      </c>
      <c r="AI35">
        <v>0.75379297113232802</v>
      </c>
      <c r="AJ35" t="s">
        <v>74</v>
      </c>
      <c r="AK35">
        <v>0</v>
      </c>
      <c r="AL35" t="s">
        <v>77</v>
      </c>
      <c r="AM35">
        <v>0</v>
      </c>
      <c r="AN35">
        <v>0.99199999999999999</v>
      </c>
      <c r="AO35">
        <v>0</v>
      </c>
      <c r="AP35">
        <v>5.8245346242475203E-2</v>
      </c>
      <c r="AQ35">
        <v>0</v>
      </c>
      <c r="AR35">
        <v>1.6E-2</v>
      </c>
      <c r="AS35">
        <v>0</v>
      </c>
      <c r="AT35">
        <v>0</v>
      </c>
      <c r="AU35">
        <v>0</v>
      </c>
      <c r="AV35">
        <v>0</v>
      </c>
      <c r="AW35">
        <v>1</v>
      </c>
      <c r="AX35" t="s">
        <v>74</v>
      </c>
      <c r="AY35">
        <v>0</v>
      </c>
      <c r="AZ35" t="s">
        <v>76</v>
      </c>
      <c r="BA35">
        <v>-1.5707963267949001</v>
      </c>
      <c r="BB35">
        <v>0.99199999999999999</v>
      </c>
      <c r="BC35">
        <v>0</v>
      </c>
      <c r="BD35">
        <v>5.8245346242475203E-2</v>
      </c>
      <c r="BE35">
        <v>0</v>
      </c>
      <c r="BF35">
        <v>1.6E-2</v>
      </c>
      <c r="BG35">
        <v>0</v>
      </c>
      <c r="BH35">
        <v>0</v>
      </c>
      <c r="BI35">
        <v>0</v>
      </c>
      <c r="BJ35">
        <v>0</v>
      </c>
      <c r="BK35">
        <v>1</v>
      </c>
      <c r="BL35">
        <v>1.10512326981101E-4</v>
      </c>
      <c r="BM35" s="1">
        <v>9.8155610058451494E-5</v>
      </c>
      <c r="BN35" s="1">
        <v>4.03082555865239E-7</v>
      </c>
      <c r="BO35" s="1">
        <v>1.5418247173412799E-6</v>
      </c>
      <c r="BP35">
        <v>0</v>
      </c>
      <c r="BQ35">
        <v>0</v>
      </c>
      <c r="BR35" s="1">
        <v>6.05608048486329E-5</v>
      </c>
      <c r="BS35" s="1">
        <v>5.4106929072626903E-5</v>
      </c>
    </row>
    <row r="36" spans="1:71" x14ac:dyDescent="0.25">
      <c r="A36">
        <v>33</v>
      </c>
      <c r="B36" s="1">
        <v>3.1460466491729997E-5</v>
      </c>
      <c r="C36">
        <v>0.10496510494130901</v>
      </c>
      <c r="D36">
        <v>-3.0368978990293099E-4</v>
      </c>
      <c r="E36">
        <v>6.1312499999999995E-4</v>
      </c>
      <c r="F36">
        <v>-1.0496510494130899E-3</v>
      </c>
      <c r="G36">
        <v>0</v>
      </c>
      <c r="H36" t="s">
        <v>74</v>
      </c>
      <c r="I36">
        <v>0</v>
      </c>
      <c r="J36" t="s">
        <v>75</v>
      </c>
      <c r="K36">
        <v>3.14159265358979</v>
      </c>
      <c r="L36">
        <v>0.85770068704190106</v>
      </c>
      <c r="M36">
        <v>0</v>
      </c>
      <c r="N36">
        <v>5.0359953114076997E-2</v>
      </c>
      <c r="O36">
        <v>0</v>
      </c>
      <c r="P36">
        <v>1.6E-2</v>
      </c>
      <c r="Q36">
        <v>0</v>
      </c>
      <c r="R36">
        <v>0</v>
      </c>
      <c r="S36">
        <v>0</v>
      </c>
      <c r="T36">
        <v>0</v>
      </c>
      <c r="U36">
        <v>0.863016417768392</v>
      </c>
      <c r="V36" t="s">
        <v>78</v>
      </c>
      <c r="W36">
        <v>2262880.5500900499</v>
      </c>
      <c r="X36" t="s">
        <v>76</v>
      </c>
      <c r="Y36">
        <v>-1.5707963267949001</v>
      </c>
      <c r="Z36">
        <v>0.85006802106412804</v>
      </c>
      <c r="AA36">
        <v>0.134890753006877</v>
      </c>
      <c r="AB36">
        <v>4.64251866663557E-2</v>
      </c>
      <c r="AC36">
        <v>7.5804536541914597E-3</v>
      </c>
      <c r="AD36">
        <v>2.3941438394196699E-2</v>
      </c>
      <c r="AE36">
        <v>8.7978189004481004E-3</v>
      </c>
      <c r="AF36">
        <v>0</v>
      </c>
      <c r="AG36">
        <v>0.16937686989460499</v>
      </c>
      <c r="AH36">
        <v>3.3261143157779997E-2</v>
      </c>
      <c r="AI36">
        <v>0.74622719696072404</v>
      </c>
      <c r="AJ36" t="s">
        <v>74</v>
      </c>
      <c r="AK36">
        <v>0</v>
      </c>
      <c r="AL36" t="s">
        <v>77</v>
      </c>
      <c r="AM36">
        <v>0</v>
      </c>
      <c r="AN36">
        <v>0.99199999999999999</v>
      </c>
      <c r="AO36">
        <v>0</v>
      </c>
      <c r="AP36">
        <v>5.8245346242475203E-2</v>
      </c>
      <c r="AQ36">
        <v>0</v>
      </c>
      <c r="AR36">
        <v>1.6E-2</v>
      </c>
      <c r="AS36">
        <v>0</v>
      </c>
      <c r="AT36">
        <v>0</v>
      </c>
      <c r="AU36">
        <v>0</v>
      </c>
      <c r="AV36">
        <v>0</v>
      </c>
      <c r="AW36">
        <v>1</v>
      </c>
      <c r="AX36" t="s">
        <v>74</v>
      </c>
      <c r="AY36">
        <v>0</v>
      </c>
      <c r="AZ36" t="s">
        <v>76</v>
      </c>
      <c r="BA36">
        <v>-1.5707963267949001</v>
      </c>
      <c r="BB36">
        <v>0.99199999999999999</v>
      </c>
      <c r="BC36">
        <v>0</v>
      </c>
      <c r="BD36">
        <v>5.8245346242475203E-2</v>
      </c>
      <c r="BE36">
        <v>0</v>
      </c>
      <c r="BF36">
        <v>1.6E-2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1.10428142959787E-4</v>
      </c>
      <c r="BM36">
        <v>1.0131900652619299E-4</v>
      </c>
      <c r="BN36" s="1">
        <v>4.0265815790186898E-7</v>
      </c>
      <c r="BO36" s="1">
        <v>1.5915152328585201E-6</v>
      </c>
      <c r="BP36">
        <v>0</v>
      </c>
      <c r="BQ36">
        <v>0</v>
      </c>
      <c r="BR36" s="1">
        <v>6.0505172035653597E-5</v>
      </c>
      <c r="BS36" s="1">
        <v>5.5852556582788701E-5</v>
      </c>
    </row>
    <row r="37" spans="1:71" x14ac:dyDescent="0.25">
      <c r="A37">
        <v>34</v>
      </c>
      <c r="B37" s="1">
        <v>3.07207073013104E-5</v>
      </c>
      <c r="C37">
        <v>0.104995825648611</v>
      </c>
      <c r="D37">
        <v>-3.03856170981893E-4</v>
      </c>
      <c r="E37">
        <v>6.1312499999999995E-4</v>
      </c>
      <c r="F37">
        <v>-1.0499582564861101E-3</v>
      </c>
      <c r="G37" s="1">
        <v>-1.0842021724855E-19</v>
      </c>
      <c r="H37" t="s">
        <v>74</v>
      </c>
      <c r="I37">
        <v>0</v>
      </c>
      <c r="J37" t="s">
        <v>75</v>
      </c>
      <c r="K37">
        <v>3.14159265358979</v>
      </c>
      <c r="L37">
        <v>0.85350783211852999</v>
      </c>
      <c r="M37">
        <v>0</v>
      </c>
      <c r="N37">
        <v>5.0113769357266302E-2</v>
      </c>
      <c r="O37">
        <v>0</v>
      </c>
      <c r="P37">
        <v>1.6E-2</v>
      </c>
      <c r="Q37">
        <v>0</v>
      </c>
      <c r="R37">
        <v>0</v>
      </c>
      <c r="S37">
        <v>0</v>
      </c>
      <c r="T37">
        <v>0</v>
      </c>
      <c r="U37">
        <v>0.85846668331144305</v>
      </c>
      <c r="V37" t="s">
        <v>78</v>
      </c>
      <c r="W37">
        <v>2264316.3380412301</v>
      </c>
      <c r="X37" t="s">
        <v>76</v>
      </c>
      <c r="Y37">
        <v>-1.5707963267949001</v>
      </c>
      <c r="Z37">
        <v>0.84585318806613996</v>
      </c>
      <c r="AA37">
        <v>0.13724397384343201</v>
      </c>
      <c r="AB37">
        <v>4.61736283938022E-2</v>
      </c>
      <c r="AC37">
        <v>7.7568755389182996E-3</v>
      </c>
      <c r="AD37">
        <v>2.37391083025702E-2</v>
      </c>
      <c r="AE37">
        <v>9.1023456553133396E-3</v>
      </c>
      <c r="AF37">
        <v>0</v>
      </c>
      <c r="AG37">
        <v>0.173513123253211</v>
      </c>
      <c r="AH37">
        <v>3.5451294394808201E-2</v>
      </c>
      <c r="AI37">
        <v>0.73867546145379004</v>
      </c>
      <c r="AJ37" t="s">
        <v>74</v>
      </c>
      <c r="AK37">
        <v>0</v>
      </c>
      <c r="AL37" t="s">
        <v>77</v>
      </c>
      <c r="AM37">
        <v>0</v>
      </c>
      <c r="AN37">
        <v>0.99199999999999999</v>
      </c>
      <c r="AO37">
        <v>0</v>
      </c>
      <c r="AP37">
        <v>5.8245346242475203E-2</v>
      </c>
      <c r="AQ37">
        <v>0</v>
      </c>
      <c r="AR37">
        <v>1.6E-2</v>
      </c>
      <c r="AS37">
        <v>0</v>
      </c>
      <c r="AT37">
        <v>0</v>
      </c>
      <c r="AU37">
        <v>0</v>
      </c>
      <c r="AV37">
        <v>0</v>
      </c>
      <c r="AW37">
        <v>1</v>
      </c>
      <c r="AX37" t="s">
        <v>74</v>
      </c>
      <c r="AY37">
        <v>0</v>
      </c>
      <c r="AZ37" t="s">
        <v>76</v>
      </c>
      <c r="BA37">
        <v>-1.5707963267949001</v>
      </c>
      <c r="BB37">
        <v>0.99199999999999999</v>
      </c>
      <c r="BC37">
        <v>0</v>
      </c>
      <c r="BD37">
        <v>5.8245346242475203E-2</v>
      </c>
      <c r="BE37">
        <v>0</v>
      </c>
      <c r="BF37">
        <v>1.6E-2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1.10267482887469E-4</v>
      </c>
      <c r="BM37">
        <v>1.0448220882401E-4</v>
      </c>
      <c r="BN37" s="1">
        <v>4.0208306816843099E-7</v>
      </c>
      <c r="BO37" s="1">
        <v>1.64120269836172E-6</v>
      </c>
      <c r="BP37">
        <v>0</v>
      </c>
      <c r="BQ37">
        <v>0</v>
      </c>
      <c r="BR37" s="1">
        <v>6.04073279734533E-5</v>
      </c>
      <c r="BS37" s="1">
        <v>5.7598147584503198E-5</v>
      </c>
    </row>
    <row r="38" spans="1:71" x14ac:dyDescent="0.25">
      <c r="A38">
        <v>35</v>
      </c>
      <c r="B38" s="1">
        <v>3.0027973251947799E-5</v>
      </c>
      <c r="C38">
        <v>0.10502585362186299</v>
      </c>
      <c r="D38">
        <v>-3.0401877528403898E-4</v>
      </c>
      <c r="E38">
        <v>6.1312499999999995E-4</v>
      </c>
      <c r="F38">
        <v>-1.0502585362186299E-3</v>
      </c>
      <c r="G38">
        <v>0</v>
      </c>
      <c r="H38" t="s">
        <v>74</v>
      </c>
      <c r="I38">
        <v>0</v>
      </c>
      <c r="J38" t="s">
        <v>75</v>
      </c>
      <c r="K38">
        <v>3.14159265358979</v>
      </c>
      <c r="L38">
        <v>0.84931524059618702</v>
      </c>
      <c r="M38">
        <v>0</v>
      </c>
      <c r="N38">
        <v>4.9867601066064603E-2</v>
      </c>
      <c r="O38">
        <v>0</v>
      </c>
      <c r="P38">
        <v>1.6E-2</v>
      </c>
      <c r="Q38">
        <v>0</v>
      </c>
      <c r="R38">
        <v>0</v>
      </c>
      <c r="S38">
        <v>0</v>
      </c>
      <c r="T38">
        <v>0</v>
      </c>
      <c r="U38">
        <v>0.85389058534208595</v>
      </c>
      <c r="V38" t="s">
        <v>78</v>
      </c>
      <c r="W38">
        <v>2265719.5342417001</v>
      </c>
      <c r="X38" t="s">
        <v>76</v>
      </c>
      <c r="Y38">
        <v>-1.5707963267949001</v>
      </c>
      <c r="Z38">
        <v>0.84164035144884897</v>
      </c>
      <c r="AA38">
        <v>0.14197193557420701</v>
      </c>
      <c r="AB38">
        <v>4.5922872592990598E-2</v>
      </c>
      <c r="AC38">
        <v>8.0078345553215493E-3</v>
      </c>
      <c r="AD38">
        <v>2.3533248977932901E-2</v>
      </c>
      <c r="AE38">
        <v>9.4073841781623993E-3</v>
      </c>
      <c r="AF38">
        <v>0</v>
      </c>
      <c r="AG38">
        <v>0.17757346089345799</v>
      </c>
      <c r="AH38">
        <v>3.7716963916586001E-2</v>
      </c>
      <c r="AI38">
        <v>0.73113837627053602</v>
      </c>
      <c r="AJ38" t="s">
        <v>74</v>
      </c>
      <c r="AK38">
        <v>0</v>
      </c>
      <c r="AL38" t="s">
        <v>77</v>
      </c>
      <c r="AM38">
        <v>0</v>
      </c>
      <c r="AN38">
        <v>0.99199999999999999</v>
      </c>
      <c r="AO38">
        <v>0</v>
      </c>
      <c r="AP38">
        <v>5.8245346242475203E-2</v>
      </c>
      <c r="AQ38">
        <v>0</v>
      </c>
      <c r="AR38">
        <v>1.6E-2</v>
      </c>
      <c r="AS38">
        <v>0</v>
      </c>
      <c r="AT38">
        <v>0</v>
      </c>
      <c r="AU38">
        <v>0</v>
      </c>
      <c r="AV38">
        <v>0</v>
      </c>
      <c r="AW38">
        <v>1</v>
      </c>
      <c r="AX38" t="s">
        <v>74</v>
      </c>
      <c r="AY38">
        <v>0</v>
      </c>
      <c r="AZ38" t="s">
        <v>76</v>
      </c>
      <c r="BA38">
        <v>-1.5707963267949001</v>
      </c>
      <c r="BB38">
        <v>0.99199999999999999</v>
      </c>
      <c r="BC38">
        <v>0</v>
      </c>
      <c r="BD38">
        <v>5.8245346242475203E-2</v>
      </c>
      <c r="BE38">
        <v>0</v>
      </c>
      <c r="BF38">
        <v>1.6E-2</v>
      </c>
      <c r="BG38">
        <v>0</v>
      </c>
      <c r="BH38">
        <v>0</v>
      </c>
      <c r="BI38">
        <v>0</v>
      </c>
      <c r="BJ38">
        <v>0</v>
      </c>
      <c r="BK38">
        <v>1</v>
      </c>
      <c r="BL38">
        <v>1.10144500349664E-4</v>
      </c>
      <c r="BM38">
        <v>1.07645212405022E-4</v>
      </c>
      <c r="BN38" s="1">
        <v>4.0158546932601098E-7</v>
      </c>
      <c r="BO38" s="1">
        <v>1.6908870424286499E-6</v>
      </c>
      <c r="BP38">
        <v>0</v>
      </c>
      <c r="BQ38">
        <v>0</v>
      </c>
      <c r="BR38" s="1">
        <v>6.03302034599715E-5</v>
      </c>
      <c r="BS38" s="1">
        <v>5.9343698423502901E-5</v>
      </c>
    </row>
    <row r="39" spans="1:71" x14ac:dyDescent="0.25">
      <c r="A39">
        <v>36</v>
      </c>
      <c r="B39" s="1">
        <v>2.9378335508215701E-5</v>
      </c>
      <c r="C39">
        <v>0.105055231957371</v>
      </c>
      <c r="D39">
        <v>-3.0417783785142299E-4</v>
      </c>
      <c r="E39">
        <v>6.1312499999999995E-4</v>
      </c>
      <c r="F39">
        <v>-1.0505523195737099E-3</v>
      </c>
      <c r="G39" s="1">
        <v>-1.0842021724855E-19</v>
      </c>
      <c r="H39" t="s">
        <v>74</v>
      </c>
      <c r="I39">
        <v>0</v>
      </c>
      <c r="J39" t="s">
        <v>75</v>
      </c>
      <c r="K39">
        <v>3.14159265358979</v>
      </c>
      <c r="L39">
        <v>0.84512291863630495</v>
      </c>
      <c r="M39">
        <v>0</v>
      </c>
      <c r="N39">
        <v>4.96214486022407E-2</v>
      </c>
      <c r="O39">
        <v>0</v>
      </c>
      <c r="P39">
        <v>1.6E-2</v>
      </c>
      <c r="Q39">
        <v>0</v>
      </c>
      <c r="R39">
        <v>0</v>
      </c>
      <c r="S39">
        <v>0</v>
      </c>
      <c r="T39">
        <v>0</v>
      </c>
      <c r="U39">
        <v>0.84928851771837999</v>
      </c>
      <c r="V39" t="s">
        <v>78</v>
      </c>
      <c r="W39">
        <v>2267092.1669903202</v>
      </c>
      <c r="X39" t="s">
        <v>76</v>
      </c>
      <c r="Y39">
        <v>-1.5707963267949001</v>
      </c>
      <c r="Z39">
        <v>0.83742942863497105</v>
      </c>
      <c r="AA39">
        <v>0.146657614582346</v>
      </c>
      <c r="AB39">
        <v>4.56728774242358E-2</v>
      </c>
      <c r="AC39">
        <v>8.2574031626243497E-3</v>
      </c>
      <c r="AD39">
        <v>2.3324053317132699E-2</v>
      </c>
      <c r="AE39">
        <v>9.7129061975616895E-3</v>
      </c>
      <c r="AF39">
        <v>0</v>
      </c>
      <c r="AG39">
        <v>0.18155724664459499</v>
      </c>
      <c r="AH39">
        <v>4.0058778597160602E-2</v>
      </c>
      <c r="AI39">
        <v>0.72361651509482805</v>
      </c>
      <c r="AJ39" t="s">
        <v>74</v>
      </c>
      <c r="AK39">
        <v>0</v>
      </c>
      <c r="AL39" t="s">
        <v>77</v>
      </c>
      <c r="AM39">
        <v>0</v>
      </c>
      <c r="AN39">
        <v>0.99199999999999999</v>
      </c>
      <c r="AO39">
        <v>0</v>
      </c>
      <c r="AP39">
        <v>5.8245346242475203E-2</v>
      </c>
      <c r="AQ39">
        <v>0</v>
      </c>
      <c r="AR39">
        <v>1.6E-2</v>
      </c>
      <c r="AS39">
        <v>0</v>
      </c>
      <c r="AT39">
        <v>0</v>
      </c>
      <c r="AU39">
        <v>0</v>
      </c>
      <c r="AV39">
        <v>0</v>
      </c>
      <c r="AW39">
        <v>1</v>
      </c>
      <c r="AX39" t="s">
        <v>74</v>
      </c>
      <c r="AY39">
        <v>0</v>
      </c>
      <c r="AZ39" t="s">
        <v>76</v>
      </c>
      <c r="BA39">
        <v>-1.5707963267949001</v>
      </c>
      <c r="BB39">
        <v>0.99199999999999999</v>
      </c>
      <c r="BC39">
        <v>0</v>
      </c>
      <c r="BD39">
        <v>5.8245346242475203E-2</v>
      </c>
      <c r="BE39">
        <v>0</v>
      </c>
      <c r="BF39">
        <v>1.6E-2</v>
      </c>
      <c r="BG39">
        <v>0</v>
      </c>
      <c r="BH39">
        <v>0</v>
      </c>
      <c r="BI39">
        <v>0</v>
      </c>
      <c r="BJ39">
        <v>0</v>
      </c>
      <c r="BK39">
        <v>1</v>
      </c>
      <c r="BL39">
        <v>1.10021210837026E-4</v>
      </c>
      <c r="BM39">
        <v>1.10808012620878E-4</v>
      </c>
      <c r="BN39" s="1">
        <v>4.0108928128437499E-7</v>
      </c>
      <c r="BO39" s="1">
        <v>1.74056819204317E-6</v>
      </c>
      <c r="BP39">
        <v>0</v>
      </c>
      <c r="BQ39">
        <v>0</v>
      </c>
      <c r="BR39" s="1">
        <v>6.0252862230176199E-5</v>
      </c>
      <c r="BS39" s="1">
        <v>6.1089205482377205E-5</v>
      </c>
    </row>
    <row r="40" spans="1:71" x14ac:dyDescent="0.25">
      <c r="A40">
        <v>37</v>
      </c>
      <c r="B40" s="1">
        <v>2.8768306783987801E-5</v>
      </c>
      <c r="C40">
        <v>0.105084000264155</v>
      </c>
      <c r="D40">
        <v>-3.04333574671997E-4</v>
      </c>
      <c r="E40">
        <v>6.1312499999999995E-4</v>
      </c>
      <c r="F40">
        <v>-1.0508400026415501E-3</v>
      </c>
      <c r="G40">
        <v>0</v>
      </c>
      <c r="H40" t="s">
        <v>74</v>
      </c>
      <c r="I40">
        <v>0</v>
      </c>
      <c r="J40" t="s">
        <v>75</v>
      </c>
      <c r="K40">
        <v>3.14159265358979</v>
      </c>
      <c r="L40">
        <v>0.84093087254672105</v>
      </c>
      <c r="M40">
        <v>0</v>
      </c>
      <c r="N40">
        <v>4.9375312336159799E-2</v>
      </c>
      <c r="O40">
        <v>0</v>
      </c>
      <c r="P40">
        <v>1.6E-2</v>
      </c>
      <c r="Q40">
        <v>0</v>
      </c>
      <c r="R40">
        <v>0</v>
      </c>
      <c r="S40">
        <v>0</v>
      </c>
      <c r="T40">
        <v>0</v>
      </c>
      <c r="U40">
        <v>0.84466083909676104</v>
      </c>
      <c r="V40" t="s">
        <v>78</v>
      </c>
      <c r="W40">
        <v>2268436.1001582602</v>
      </c>
      <c r="X40" t="s">
        <v>76</v>
      </c>
      <c r="Y40">
        <v>-1.5707963267949001</v>
      </c>
      <c r="Z40">
        <v>0.83322034417012603</v>
      </c>
      <c r="AA40">
        <v>0.14894711120517601</v>
      </c>
      <c r="AB40">
        <v>4.5423604478670297E-2</v>
      </c>
      <c r="AC40">
        <v>8.4316280556750202E-3</v>
      </c>
      <c r="AD40">
        <v>2.31116997416594E-2</v>
      </c>
      <c r="AE40">
        <v>1.0018884656525499E-2</v>
      </c>
      <c r="AF40">
        <v>0</v>
      </c>
      <c r="AG40">
        <v>0.18546383119066001</v>
      </c>
      <c r="AH40">
        <v>4.2477378234892303E-2</v>
      </c>
      <c r="AI40">
        <v>0.71611041812010101</v>
      </c>
      <c r="AJ40" t="s">
        <v>74</v>
      </c>
      <c r="AK40">
        <v>0</v>
      </c>
      <c r="AL40" t="s">
        <v>77</v>
      </c>
      <c r="AM40">
        <v>0</v>
      </c>
      <c r="AN40">
        <v>0.99199999999999999</v>
      </c>
      <c r="AO40">
        <v>0</v>
      </c>
      <c r="AP40">
        <v>5.8245346242475203E-2</v>
      </c>
      <c r="AQ40">
        <v>0</v>
      </c>
      <c r="AR40">
        <v>1.6E-2</v>
      </c>
      <c r="AS40">
        <v>0</v>
      </c>
      <c r="AT40">
        <v>0</v>
      </c>
      <c r="AU40">
        <v>0</v>
      </c>
      <c r="AV40">
        <v>0</v>
      </c>
      <c r="AW40">
        <v>1</v>
      </c>
      <c r="AX40" t="s">
        <v>74</v>
      </c>
      <c r="AY40">
        <v>0</v>
      </c>
      <c r="AZ40" t="s">
        <v>76</v>
      </c>
      <c r="BA40">
        <v>-1.5707963267949001</v>
      </c>
      <c r="BB40">
        <v>0.99199999999999999</v>
      </c>
      <c r="BC40">
        <v>0</v>
      </c>
      <c r="BD40">
        <v>5.8245346242475203E-2</v>
      </c>
      <c r="BE40">
        <v>0</v>
      </c>
      <c r="BF40">
        <v>1.6E-2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1.0986061867772799E-4</v>
      </c>
      <c r="BM40">
        <v>1.13970604712776E-4</v>
      </c>
      <c r="BN40" s="1">
        <v>4.0052040354982298E-7</v>
      </c>
      <c r="BO40" s="1">
        <v>1.79024607245422E-6</v>
      </c>
      <c r="BP40">
        <v>0</v>
      </c>
      <c r="BQ40">
        <v>0</v>
      </c>
      <c r="BR40" s="1">
        <v>6.0154910338443401E-5</v>
      </c>
      <c r="BS40" s="1">
        <v>6.2834665168720995E-5</v>
      </c>
    </row>
    <row r="41" spans="1:71" x14ac:dyDescent="0.25">
      <c r="A41">
        <v>38</v>
      </c>
      <c r="B41" s="1">
        <v>2.8194781696426699E-5</v>
      </c>
      <c r="C41">
        <v>0.105112195045851</v>
      </c>
      <c r="D41">
        <v>-3.0448618476781999E-4</v>
      </c>
      <c r="E41">
        <v>6.1312499999999995E-4</v>
      </c>
      <c r="F41">
        <v>-1.05112195045851E-3</v>
      </c>
      <c r="G41">
        <v>0</v>
      </c>
      <c r="H41" t="s">
        <v>74</v>
      </c>
      <c r="I41">
        <v>0</v>
      </c>
      <c r="J41" t="s">
        <v>75</v>
      </c>
      <c r="K41">
        <v>3.14159265358979</v>
      </c>
      <c r="L41">
        <v>0.83673910879335001</v>
      </c>
      <c r="M41">
        <v>0</v>
      </c>
      <c r="N41">
        <v>4.9129192647468602E-2</v>
      </c>
      <c r="O41">
        <v>0</v>
      </c>
      <c r="P41">
        <v>1.6E-2</v>
      </c>
      <c r="Q41">
        <v>0</v>
      </c>
      <c r="R41">
        <v>0</v>
      </c>
      <c r="S41">
        <v>0</v>
      </c>
      <c r="T41">
        <v>0</v>
      </c>
      <c r="U41">
        <v>0.84000787681484301</v>
      </c>
      <c r="V41" t="s">
        <v>78</v>
      </c>
      <c r="W41">
        <v>2269753.05120929</v>
      </c>
      <c r="X41" t="s">
        <v>76</v>
      </c>
      <c r="Y41">
        <v>-1.5707963267949001</v>
      </c>
      <c r="Z41">
        <v>0.82901302899612905</v>
      </c>
      <c r="AA41">
        <v>0.15354630314336301</v>
      </c>
      <c r="AB41">
        <v>4.5175018410409003E-2</v>
      </c>
      <c r="AC41">
        <v>8.6783563798078708E-3</v>
      </c>
      <c r="AD41">
        <v>2.2896353714689899E-2</v>
      </c>
      <c r="AE41">
        <v>1.0325293605889499E-2</v>
      </c>
      <c r="AF41">
        <v>0</v>
      </c>
      <c r="AG41">
        <v>0.18929255173658199</v>
      </c>
      <c r="AH41">
        <v>4.49734158687317E-2</v>
      </c>
      <c r="AI41">
        <v>0.70862059593453497</v>
      </c>
      <c r="AJ41" t="s">
        <v>74</v>
      </c>
      <c r="AK41">
        <v>0</v>
      </c>
      <c r="AL41" t="s">
        <v>77</v>
      </c>
      <c r="AM41">
        <v>0</v>
      </c>
      <c r="AN41">
        <v>0.99199999999999999</v>
      </c>
      <c r="AO41">
        <v>0</v>
      </c>
      <c r="AP41">
        <v>5.8245346242475203E-2</v>
      </c>
      <c r="AQ41">
        <v>0</v>
      </c>
      <c r="AR41">
        <v>1.6E-2</v>
      </c>
      <c r="AS41">
        <v>0</v>
      </c>
      <c r="AT41">
        <v>0</v>
      </c>
      <c r="AU41">
        <v>0</v>
      </c>
      <c r="AV41">
        <v>0</v>
      </c>
      <c r="AW41">
        <v>1</v>
      </c>
      <c r="AX41" t="s">
        <v>74</v>
      </c>
      <c r="AY41">
        <v>0</v>
      </c>
      <c r="AZ41" t="s">
        <v>76</v>
      </c>
      <c r="BA41">
        <v>-1.5707963267949001</v>
      </c>
      <c r="BB41">
        <v>0.99199999999999999</v>
      </c>
      <c r="BC41">
        <v>0</v>
      </c>
      <c r="BD41">
        <v>5.8245346242475203E-2</v>
      </c>
      <c r="BE41">
        <v>0</v>
      </c>
      <c r="BF41">
        <v>1.6E-2</v>
      </c>
      <c r="BG41">
        <v>0</v>
      </c>
      <c r="BH41">
        <v>0</v>
      </c>
      <c r="BI41">
        <v>0</v>
      </c>
      <c r="BJ41">
        <v>0</v>
      </c>
      <c r="BK41">
        <v>1</v>
      </c>
      <c r="BL41">
        <v>1.09736629961318E-4</v>
      </c>
      <c r="BM41">
        <v>1.17132983802657E-4</v>
      </c>
      <c r="BN41" s="1">
        <v>4.0002655788808299E-7</v>
      </c>
      <c r="BO41" s="1">
        <v>1.8399206070374E-6</v>
      </c>
      <c r="BP41">
        <v>0</v>
      </c>
      <c r="BQ41">
        <v>0</v>
      </c>
      <c r="BR41" s="1">
        <v>6.0077095767038703E-5</v>
      </c>
      <c r="BS41" s="1">
        <v>6.4580073904188604E-5</v>
      </c>
    </row>
    <row r="42" spans="1:71" x14ac:dyDescent="0.25">
      <c r="A42">
        <v>39</v>
      </c>
      <c r="B42" s="1">
        <v>2.7654986585195599E-5</v>
      </c>
      <c r="C42">
        <v>0.10513985003243601</v>
      </c>
      <c r="D42">
        <v>-3.0463585200864602E-4</v>
      </c>
      <c r="E42">
        <v>6.1312499999999995E-4</v>
      </c>
      <c r="F42">
        <v>-1.0513985003243599E-3</v>
      </c>
      <c r="G42" s="1">
        <v>-1.0842021724855E-19</v>
      </c>
      <c r="H42" t="s">
        <v>74</v>
      </c>
      <c r="I42">
        <v>0</v>
      </c>
      <c r="J42" t="s">
        <v>75</v>
      </c>
      <c r="K42">
        <v>3.14159265358979</v>
      </c>
      <c r="L42">
        <v>0.83254763401179899</v>
      </c>
      <c r="M42">
        <v>0</v>
      </c>
      <c r="N42">
        <v>4.8883089925777001E-2</v>
      </c>
      <c r="O42">
        <v>0</v>
      </c>
      <c r="P42">
        <v>1.6E-2</v>
      </c>
      <c r="Q42">
        <v>0</v>
      </c>
      <c r="R42">
        <v>0</v>
      </c>
      <c r="S42">
        <v>0</v>
      </c>
      <c r="T42">
        <v>0</v>
      </c>
      <c r="U42">
        <v>0.83532993026925195</v>
      </c>
      <c r="V42" t="s">
        <v>78</v>
      </c>
      <c r="W42">
        <v>2271044.60685013</v>
      </c>
      <c r="X42" t="s">
        <v>76</v>
      </c>
      <c r="Y42">
        <v>-1.5707963267949001</v>
      </c>
      <c r="Z42">
        <v>0.82480741981954797</v>
      </c>
      <c r="AA42">
        <v>0.16041095811723399</v>
      </c>
      <c r="AB42">
        <v>4.4927086616984899E-2</v>
      </c>
      <c r="AC42">
        <v>8.9961987585466304E-3</v>
      </c>
      <c r="AD42">
        <v>2.26781690638009E-2</v>
      </c>
      <c r="AE42">
        <v>1.06321081087785E-2</v>
      </c>
      <c r="AF42">
        <v>0</v>
      </c>
      <c r="AG42">
        <v>0.19304273165442601</v>
      </c>
      <c r="AH42">
        <v>4.7547558114454401E-2</v>
      </c>
      <c r="AI42">
        <v>0.70114753290167997</v>
      </c>
      <c r="AJ42" t="s">
        <v>74</v>
      </c>
      <c r="AK42">
        <v>0</v>
      </c>
      <c r="AL42" t="s">
        <v>77</v>
      </c>
      <c r="AM42">
        <v>0</v>
      </c>
      <c r="AN42">
        <v>0.99199999999999999</v>
      </c>
      <c r="AO42">
        <v>0</v>
      </c>
      <c r="AP42">
        <v>5.8245346242475203E-2</v>
      </c>
      <c r="AQ42">
        <v>0</v>
      </c>
      <c r="AR42">
        <v>1.6E-2</v>
      </c>
      <c r="AS42">
        <v>0</v>
      </c>
      <c r="AT42">
        <v>0</v>
      </c>
      <c r="AU42">
        <v>0</v>
      </c>
      <c r="AV42">
        <v>0</v>
      </c>
      <c r="AW42">
        <v>1</v>
      </c>
      <c r="AX42" t="s">
        <v>74</v>
      </c>
      <c r="AY42">
        <v>0</v>
      </c>
      <c r="AZ42" t="s">
        <v>76</v>
      </c>
      <c r="BA42">
        <v>-1.5707963267949001</v>
      </c>
      <c r="BB42">
        <v>0.99199999999999999</v>
      </c>
      <c r="BC42">
        <v>0</v>
      </c>
      <c r="BD42">
        <v>5.8245346242475203E-2</v>
      </c>
      <c r="BE42">
        <v>0</v>
      </c>
      <c r="BF42">
        <v>1.6E-2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1.09648533893129E-4</v>
      </c>
      <c r="BM42">
        <v>1.2029514488444E-4</v>
      </c>
      <c r="BN42" s="1">
        <v>3.99606233528116E-7</v>
      </c>
      <c r="BO42" s="1">
        <v>1.8895917171573899E-6</v>
      </c>
      <c r="BP42">
        <v>0</v>
      </c>
      <c r="BQ42">
        <v>0</v>
      </c>
      <c r="BR42" s="1">
        <v>6.0019030671039102E-5</v>
      </c>
      <c r="BS42" s="1">
        <v>6.6325428114281397E-5</v>
      </c>
    </row>
    <row r="43" spans="1:71" x14ac:dyDescent="0.25">
      <c r="A43">
        <v>40</v>
      </c>
      <c r="B43" s="1">
        <v>2.7146437092470502E-5</v>
      </c>
      <c r="C43">
        <v>0.105166996469529</v>
      </c>
      <c r="D43">
        <v>-3.0478274669339502E-4</v>
      </c>
      <c r="E43">
        <v>6.1312499999999995E-4</v>
      </c>
      <c r="F43">
        <v>-1.0516699646952901E-3</v>
      </c>
      <c r="G43">
        <v>0</v>
      </c>
      <c r="H43" t="s">
        <v>74</v>
      </c>
      <c r="I43">
        <v>0</v>
      </c>
      <c r="J43" t="s">
        <v>75</v>
      </c>
      <c r="K43">
        <v>3.14159265358979</v>
      </c>
      <c r="L43">
        <v>0.82835645501900101</v>
      </c>
      <c r="M43">
        <v>0</v>
      </c>
      <c r="N43">
        <v>4.8637004571341798E-2</v>
      </c>
      <c r="O43">
        <v>0</v>
      </c>
      <c r="P43">
        <v>1.6E-2</v>
      </c>
      <c r="Q43">
        <v>0</v>
      </c>
      <c r="R43">
        <v>0</v>
      </c>
      <c r="S43">
        <v>0</v>
      </c>
      <c r="T43">
        <v>0</v>
      </c>
      <c r="U43">
        <v>0.83062727386641</v>
      </c>
      <c r="V43" t="s">
        <v>78</v>
      </c>
      <c r="W43">
        <v>2272312.2366778199</v>
      </c>
      <c r="X43" t="s">
        <v>76</v>
      </c>
      <c r="Y43">
        <v>-1.5707963267949001</v>
      </c>
      <c r="Z43">
        <v>0.82060345856109396</v>
      </c>
      <c r="AA43">
        <v>0.16263396967379301</v>
      </c>
      <c r="AB43">
        <v>4.4679778960628497E-2</v>
      </c>
      <c r="AC43">
        <v>9.1681660640084792E-3</v>
      </c>
      <c r="AD43">
        <v>2.24572891387812E-2</v>
      </c>
      <c r="AE43">
        <v>1.09393041547147E-2</v>
      </c>
      <c r="AF43">
        <v>0</v>
      </c>
      <c r="AG43">
        <v>0.19671368010929399</v>
      </c>
      <c r="AH43">
        <v>5.0200485521203098E-2</v>
      </c>
      <c r="AI43">
        <v>0.69369169011436305</v>
      </c>
      <c r="AJ43" t="s">
        <v>74</v>
      </c>
      <c r="AK43">
        <v>0</v>
      </c>
      <c r="AL43" t="s">
        <v>77</v>
      </c>
      <c r="AM43">
        <v>0</v>
      </c>
      <c r="AN43">
        <v>0.99199999999999999</v>
      </c>
      <c r="AO43">
        <v>0</v>
      </c>
      <c r="AP43">
        <v>5.8245346242475203E-2</v>
      </c>
      <c r="AQ43">
        <v>0</v>
      </c>
      <c r="AR43">
        <v>1.6E-2</v>
      </c>
      <c r="AS43">
        <v>0</v>
      </c>
      <c r="AT43">
        <v>0</v>
      </c>
      <c r="AU43">
        <v>0</v>
      </c>
      <c r="AV43">
        <v>0</v>
      </c>
      <c r="AW43">
        <v>1</v>
      </c>
      <c r="AX43" t="s">
        <v>74</v>
      </c>
      <c r="AY43">
        <v>0</v>
      </c>
      <c r="AZ43" t="s">
        <v>76</v>
      </c>
      <c r="BA43">
        <v>-1.5707963267949001</v>
      </c>
      <c r="BB43">
        <v>0.99199999999999999</v>
      </c>
      <c r="BC43">
        <v>0</v>
      </c>
      <c r="BD43">
        <v>5.8245346242475203E-2</v>
      </c>
      <c r="BE43">
        <v>0</v>
      </c>
      <c r="BF43">
        <v>1.6E-2</v>
      </c>
      <c r="BG43">
        <v>0</v>
      </c>
      <c r="BH43">
        <v>0</v>
      </c>
      <c r="BI43">
        <v>0</v>
      </c>
      <c r="BJ43">
        <v>0</v>
      </c>
      <c r="BK43">
        <v>1</v>
      </c>
      <c r="BL43">
        <v>1.09487821040465E-4</v>
      </c>
      <c r="BM43">
        <v>1.2345708281524901E-4</v>
      </c>
      <c r="BN43" s="1">
        <v>3.9904233293869202E-7</v>
      </c>
      <c r="BO43" s="1">
        <v>1.9392593220300602E-6</v>
      </c>
      <c r="BP43">
        <v>0</v>
      </c>
      <c r="BQ43">
        <v>0</v>
      </c>
      <c r="BR43" s="1">
        <v>5.9920889824498497E-5</v>
      </c>
      <c r="BS43" s="1">
        <v>6.8070724218743695E-5</v>
      </c>
    </row>
    <row r="44" spans="1:71" x14ac:dyDescent="0.25">
      <c r="A44">
        <v>41</v>
      </c>
      <c r="B44" s="1">
        <v>2.6666902140753101E-5</v>
      </c>
      <c r="C44">
        <v>0.10519366337166999</v>
      </c>
      <c r="D44">
        <v>-3.0492702693452598E-4</v>
      </c>
      <c r="E44">
        <v>6.1312499999999995E-4</v>
      </c>
      <c r="F44">
        <v>-1.0519366337167001E-3</v>
      </c>
      <c r="G44" s="1">
        <v>-1.0842021724855E-19</v>
      </c>
      <c r="H44" t="s">
        <v>74</v>
      </c>
      <c r="I44">
        <v>0</v>
      </c>
      <c r="J44" t="s">
        <v>75</v>
      </c>
      <c r="K44">
        <v>3.14159265358979</v>
      </c>
      <c r="L44">
        <v>0.82416557882497299</v>
      </c>
      <c r="M44">
        <v>0</v>
      </c>
      <c r="N44">
        <v>4.8390936995756598E-2</v>
      </c>
      <c r="O44">
        <v>0</v>
      </c>
      <c r="P44">
        <v>1.6E-2</v>
      </c>
      <c r="Q44">
        <v>0</v>
      </c>
      <c r="R44">
        <v>0</v>
      </c>
      <c r="S44">
        <v>0</v>
      </c>
      <c r="T44">
        <v>0</v>
      </c>
      <c r="U44">
        <v>0.82590015961063001</v>
      </c>
      <c r="V44" t="s">
        <v>78</v>
      </c>
      <c r="W44">
        <v>2273557.3051261199</v>
      </c>
      <c r="X44" t="s">
        <v>76</v>
      </c>
      <c r="Y44">
        <v>-1.5707963267949001</v>
      </c>
      <c r="Z44">
        <v>0.81640109187392895</v>
      </c>
      <c r="AA44">
        <v>0.16709910948458201</v>
      </c>
      <c r="AB44">
        <v>4.4433067524268698E-2</v>
      </c>
      <c r="AC44">
        <v>9.4105178708040402E-3</v>
      </c>
      <c r="AD44">
        <v>2.2233847828885E-2</v>
      </c>
      <c r="AE44">
        <v>1.1246858582131401E-2</v>
      </c>
      <c r="AF44">
        <v>0</v>
      </c>
      <c r="AG44">
        <v>0.200304691664275</v>
      </c>
      <c r="AH44">
        <v>5.2932892948799999E-2</v>
      </c>
      <c r="AI44">
        <v>0.68625350798615703</v>
      </c>
      <c r="AJ44" t="s">
        <v>74</v>
      </c>
      <c r="AK44">
        <v>0</v>
      </c>
      <c r="AL44" t="s">
        <v>77</v>
      </c>
      <c r="AM44">
        <v>0</v>
      </c>
      <c r="AN44">
        <v>0.99199999999999999</v>
      </c>
      <c r="AO44">
        <v>0</v>
      </c>
      <c r="AP44">
        <v>5.8245346242475203E-2</v>
      </c>
      <c r="AQ44">
        <v>0</v>
      </c>
      <c r="AR44">
        <v>1.6E-2</v>
      </c>
      <c r="AS44">
        <v>0</v>
      </c>
      <c r="AT44">
        <v>0</v>
      </c>
      <c r="AU44">
        <v>0</v>
      </c>
      <c r="AV44">
        <v>0</v>
      </c>
      <c r="AW44">
        <v>1</v>
      </c>
      <c r="AX44" t="s">
        <v>74</v>
      </c>
      <c r="AY44">
        <v>0</v>
      </c>
      <c r="AZ44" t="s">
        <v>76</v>
      </c>
      <c r="BA44">
        <v>-1.5707963267949001</v>
      </c>
      <c r="BB44">
        <v>0.99199999999999999</v>
      </c>
      <c r="BC44">
        <v>0</v>
      </c>
      <c r="BD44">
        <v>5.8245346242475203E-2</v>
      </c>
      <c r="BE44">
        <v>0</v>
      </c>
      <c r="BF44">
        <v>1.6E-2</v>
      </c>
      <c r="BG44">
        <v>0</v>
      </c>
      <c r="BH44">
        <v>0</v>
      </c>
      <c r="BI44">
        <v>0</v>
      </c>
      <c r="BJ44">
        <v>0</v>
      </c>
      <c r="BK44">
        <v>1</v>
      </c>
      <c r="BL44">
        <v>1.0936260743789E-4</v>
      </c>
      <c r="BM44">
        <v>1.26618792306538E-4</v>
      </c>
      <c r="BN44" s="1">
        <v>3.9855101185470801E-7</v>
      </c>
      <c r="BO44" s="1">
        <v>1.9889233385831499E-6</v>
      </c>
      <c r="BP44">
        <v>0</v>
      </c>
      <c r="BQ44">
        <v>0</v>
      </c>
      <c r="BR44" s="1">
        <v>5.9842285552676903E-5</v>
      </c>
      <c r="BS44" s="1">
        <v>6.9815958622448005E-5</v>
      </c>
    </row>
    <row r="45" spans="1:71" x14ac:dyDescent="0.25">
      <c r="A45">
        <v>42</v>
      </c>
      <c r="B45" s="1">
        <v>2.62143732135894E-5</v>
      </c>
      <c r="C45">
        <v>0.10521987774488301</v>
      </c>
      <c r="D45">
        <v>-3.0506883987434501E-4</v>
      </c>
      <c r="E45">
        <v>6.1312499999999995E-4</v>
      </c>
      <c r="F45">
        <v>-1.05219877744883E-3</v>
      </c>
      <c r="G45">
        <v>0</v>
      </c>
      <c r="H45" t="s">
        <v>74</v>
      </c>
      <c r="I45">
        <v>0</v>
      </c>
      <c r="J45" t="s">
        <v>75</v>
      </c>
      <c r="K45">
        <v>3.14159265358979</v>
      </c>
      <c r="L45">
        <v>0.81997501264478001</v>
      </c>
      <c r="M45">
        <v>0</v>
      </c>
      <c r="N45">
        <v>4.8144887622654398E-2</v>
      </c>
      <c r="O45">
        <v>0</v>
      </c>
      <c r="P45">
        <v>1.6E-2</v>
      </c>
      <c r="Q45">
        <v>0</v>
      </c>
      <c r="R45">
        <v>0</v>
      </c>
      <c r="S45">
        <v>0</v>
      </c>
      <c r="T45">
        <v>0</v>
      </c>
      <c r="U45">
        <v>0.82114881938288597</v>
      </c>
      <c r="V45" t="s">
        <v>78</v>
      </c>
      <c r="W45">
        <v>2274781.08196169</v>
      </c>
      <c r="X45" t="s">
        <v>76</v>
      </c>
      <c r="Y45">
        <v>-1.5707963267949001</v>
      </c>
      <c r="Z45">
        <v>0.81220027072102396</v>
      </c>
      <c r="AA45">
        <v>0.171518526569717</v>
      </c>
      <c r="AB45">
        <v>4.4186926397178403E-2</v>
      </c>
      <c r="AC45">
        <v>9.6513824292128007E-3</v>
      </c>
      <c r="AD45">
        <v>2.2007970459759701E-2</v>
      </c>
      <c r="AE45">
        <v>1.15547490082439E-2</v>
      </c>
      <c r="AF45">
        <v>0</v>
      </c>
      <c r="AG45">
        <v>0.20381504586372301</v>
      </c>
      <c r="AH45">
        <v>5.5745489966414201E-2</v>
      </c>
      <c r="AI45">
        <v>0.67883340853371699</v>
      </c>
      <c r="AJ45" t="s">
        <v>74</v>
      </c>
      <c r="AK45">
        <v>0</v>
      </c>
      <c r="AL45" t="s">
        <v>77</v>
      </c>
      <c r="AM45">
        <v>0</v>
      </c>
      <c r="AN45">
        <v>0.99199999999999999</v>
      </c>
      <c r="AO45">
        <v>0</v>
      </c>
      <c r="AP45">
        <v>5.8245346242475203E-2</v>
      </c>
      <c r="AQ45">
        <v>0</v>
      </c>
      <c r="AR45">
        <v>1.6E-2</v>
      </c>
      <c r="AS45">
        <v>0</v>
      </c>
      <c r="AT45">
        <v>0</v>
      </c>
      <c r="AU45">
        <v>0</v>
      </c>
      <c r="AV45">
        <v>0</v>
      </c>
      <c r="AW45">
        <v>1</v>
      </c>
      <c r="AX45" t="s">
        <v>74</v>
      </c>
      <c r="AY45">
        <v>0</v>
      </c>
      <c r="AZ45" t="s">
        <v>76</v>
      </c>
      <c r="BA45">
        <v>-1.5707963267949001</v>
      </c>
      <c r="BB45">
        <v>0.99199999999999999</v>
      </c>
      <c r="BC45">
        <v>0</v>
      </c>
      <c r="BD45">
        <v>5.8245346242475203E-2</v>
      </c>
      <c r="BE45">
        <v>0</v>
      </c>
      <c r="BF45">
        <v>1.6E-2</v>
      </c>
      <c r="BG45">
        <v>0</v>
      </c>
      <c r="BH45">
        <v>0</v>
      </c>
      <c r="BI45">
        <v>0</v>
      </c>
      <c r="BJ45">
        <v>0</v>
      </c>
      <c r="BK45">
        <v>1</v>
      </c>
      <c r="BL45">
        <v>1.09236944466998E-4</v>
      </c>
      <c r="BM45">
        <v>1.29780267915068E-4</v>
      </c>
      <c r="BN45" s="1">
        <v>3.9806030580477802E-7</v>
      </c>
      <c r="BO45" s="1">
        <v>2.0385836813144701E-6</v>
      </c>
      <c r="BP45">
        <v>0</v>
      </c>
      <c r="BQ45">
        <v>0</v>
      </c>
      <c r="BR45" s="1">
        <v>5.9763399166934197E-5</v>
      </c>
      <c r="BS45" s="1">
        <v>7.1561127706672102E-5</v>
      </c>
    </row>
    <row r="46" spans="1:71" x14ac:dyDescent="0.25">
      <c r="A46">
        <v>43</v>
      </c>
      <c r="B46" s="1">
        <v>2.5787038053021701E-5</v>
      </c>
      <c r="C46">
        <v>0.105245664782936</v>
      </c>
      <c r="D46">
        <v>-3.0520832275743E-4</v>
      </c>
      <c r="E46">
        <v>6.1312499999999995E-4</v>
      </c>
      <c r="F46">
        <v>-1.05245664782936E-3</v>
      </c>
      <c r="G46">
        <v>0</v>
      </c>
      <c r="H46" t="s">
        <v>74</v>
      </c>
      <c r="I46">
        <v>0</v>
      </c>
      <c r="J46" t="s">
        <v>75</v>
      </c>
      <c r="K46">
        <v>3.14159265358979</v>
      </c>
      <c r="L46">
        <v>0.81578476391079402</v>
      </c>
      <c r="M46">
        <v>0</v>
      </c>
      <c r="N46">
        <v>4.7898856888427502E-2</v>
      </c>
      <c r="O46">
        <v>0</v>
      </c>
      <c r="P46">
        <v>1.6E-2</v>
      </c>
      <c r="Q46">
        <v>0</v>
      </c>
      <c r="R46">
        <v>0</v>
      </c>
      <c r="S46">
        <v>0</v>
      </c>
      <c r="T46">
        <v>0</v>
      </c>
      <c r="U46">
        <v>0.81637346695478197</v>
      </c>
      <c r="V46" t="s">
        <v>78</v>
      </c>
      <c r="W46">
        <v>2275984.7515386599</v>
      </c>
      <c r="X46" t="s">
        <v>76</v>
      </c>
      <c r="Y46">
        <v>-1.5707963267949001</v>
      </c>
      <c r="Z46">
        <v>0.80800095000331695</v>
      </c>
      <c r="AA46">
        <v>0.17367269492947601</v>
      </c>
      <c r="AB46">
        <v>4.39413314860344E-2</v>
      </c>
      <c r="AC46">
        <v>9.8210353606671304E-3</v>
      </c>
      <c r="AD46">
        <v>2.17797745869533E-2</v>
      </c>
      <c r="AE46">
        <v>1.18629537653772E-2</v>
      </c>
      <c r="AF46">
        <v>0</v>
      </c>
      <c r="AG46">
        <v>0.207244006794047</v>
      </c>
      <c r="AH46">
        <v>5.8639001273270402E-2</v>
      </c>
      <c r="AI46">
        <v>0.67143179739441206</v>
      </c>
      <c r="AJ46" t="s">
        <v>74</v>
      </c>
      <c r="AK46">
        <v>0</v>
      </c>
      <c r="AL46" t="s">
        <v>77</v>
      </c>
      <c r="AM46">
        <v>0</v>
      </c>
      <c r="AN46">
        <v>0.99199999999999999</v>
      </c>
      <c r="AO46">
        <v>0</v>
      </c>
      <c r="AP46">
        <v>5.8245346242475203E-2</v>
      </c>
      <c r="AQ46">
        <v>0</v>
      </c>
      <c r="AR46">
        <v>1.6E-2</v>
      </c>
      <c r="AS46">
        <v>0</v>
      </c>
      <c r="AT46">
        <v>0</v>
      </c>
      <c r="AU46">
        <v>0</v>
      </c>
      <c r="AV46">
        <v>0</v>
      </c>
      <c r="AW46">
        <v>1</v>
      </c>
      <c r="AX46" t="s">
        <v>74</v>
      </c>
      <c r="AY46">
        <v>0</v>
      </c>
      <c r="AZ46" t="s">
        <v>76</v>
      </c>
      <c r="BA46">
        <v>-1.5707963267949001</v>
      </c>
      <c r="BB46">
        <v>0.99199999999999999</v>
      </c>
      <c r="BC46">
        <v>0</v>
      </c>
      <c r="BD46">
        <v>5.8245346242475203E-2</v>
      </c>
      <c r="BE46">
        <v>0</v>
      </c>
      <c r="BF46">
        <v>1.6E-2</v>
      </c>
      <c r="BG46">
        <v>0</v>
      </c>
      <c r="BH46">
        <v>0</v>
      </c>
      <c r="BI46">
        <v>0</v>
      </c>
      <c r="BJ46">
        <v>0</v>
      </c>
      <c r="BK46">
        <v>1</v>
      </c>
      <c r="BL46">
        <v>1.0907595811004E-4</v>
      </c>
      <c r="BM46">
        <v>1.3294150403365899E-4</v>
      </c>
      <c r="BN46" s="1">
        <v>3.97500405544024E-7</v>
      </c>
      <c r="BO46" s="1">
        <v>2.0882402621466001E-6</v>
      </c>
      <c r="BP46">
        <v>0</v>
      </c>
      <c r="BQ46">
        <v>0</v>
      </c>
      <c r="BR46" s="1">
        <v>5.9665002205779002E-5</v>
      </c>
      <c r="BS46" s="1">
        <v>7.3306227820676894E-5</v>
      </c>
    </row>
    <row r="47" spans="1:71" x14ac:dyDescent="0.25">
      <c r="A47">
        <v>44</v>
      </c>
      <c r="B47" s="1">
        <v>2.5383258053886901E-5</v>
      </c>
      <c r="C47">
        <v>0.10527104804099</v>
      </c>
      <c r="D47">
        <v>-3.0534560387941397E-4</v>
      </c>
      <c r="E47">
        <v>6.1312499999999995E-4</v>
      </c>
      <c r="F47">
        <v>-1.0527104804098999E-3</v>
      </c>
      <c r="G47">
        <v>0</v>
      </c>
      <c r="H47" t="s">
        <v>74</v>
      </c>
      <c r="I47">
        <v>0</v>
      </c>
      <c r="J47" t="s">
        <v>75</v>
      </c>
      <c r="K47">
        <v>3.14159265358979</v>
      </c>
      <c r="L47">
        <v>0.81159484028533402</v>
      </c>
      <c r="M47">
        <v>0</v>
      </c>
      <c r="N47">
        <v>4.7652845242969401E-2</v>
      </c>
      <c r="O47">
        <v>0</v>
      </c>
      <c r="P47">
        <v>1.6E-2</v>
      </c>
      <c r="Q47">
        <v>0</v>
      </c>
      <c r="R47">
        <v>0</v>
      </c>
      <c r="S47">
        <v>0</v>
      </c>
      <c r="T47">
        <v>0</v>
      </c>
      <c r="U47">
        <v>0.81157429977502005</v>
      </c>
      <c r="V47" t="s">
        <v>78</v>
      </c>
      <c r="W47">
        <v>2277169.42098604</v>
      </c>
      <c r="X47" t="s">
        <v>76</v>
      </c>
      <c r="Y47">
        <v>-1.5707963267949001</v>
      </c>
      <c r="Z47">
        <v>0.80380308823178603</v>
      </c>
      <c r="AA47">
        <v>0.17799925775619599</v>
      </c>
      <c r="AB47">
        <v>4.3696260347852699E-2</v>
      </c>
      <c r="AC47">
        <v>1.00588863325109E-2</v>
      </c>
      <c r="AD47">
        <v>2.1549370700189401E-2</v>
      </c>
      <c r="AE47">
        <v>1.2171451842980701E-2</v>
      </c>
      <c r="AF47">
        <v>0</v>
      </c>
      <c r="AG47">
        <v>0.21059082262110401</v>
      </c>
      <c r="AH47">
        <v>6.1614167142199298E-2</v>
      </c>
      <c r="AI47">
        <v>0.66404906561650301</v>
      </c>
      <c r="AJ47" t="s">
        <v>74</v>
      </c>
      <c r="AK47">
        <v>0</v>
      </c>
      <c r="AL47" t="s">
        <v>77</v>
      </c>
      <c r="AM47">
        <v>0</v>
      </c>
      <c r="AN47">
        <v>0.99199999999999999</v>
      </c>
      <c r="AO47">
        <v>0</v>
      </c>
      <c r="AP47">
        <v>5.8245346242475203E-2</v>
      </c>
      <c r="AQ47">
        <v>0</v>
      </c>
      <c r="AR47">
        <v>1.6E-2</v>
      </c>
      <c r="AS47">
        <v>0</v>
      </c>
      <c r="AT47">
        <v>0</v>
      </c>
      <c r="AU47">
        <v>0</v>
      </c>
      <c r="AV47">
        <v>0</v>
      </c>
      <c r="AW47">
        <v>1</v>
      </c>
      <c r="AX47" t="s">
        <v>74</v>
      </c>
      <c r="AY47">
        <v>0</v>
      </c>
      <c r="AZ47" t="s">
        <v>76</v>
      </c>
      <c r="BA47">
        <v>-1.5707963267949001</v>
      </c>
      <c r="BB47">
        <v>0.99199999999999999</v>
      </c>
      <c r="BC47">
        <v>0</v>
      </c>
      <c r="BD47">
        <v>5.8245346242475203E-2</v>
      </c>
      <c r="BE47">
        <v>0</v>
      </c>
      <c r="BF47">
        <v>1.6E-2</v>
      </c>
      <c r="BG47">
        <v>0</v>
      </c>
      <c r="BH47">
        <v>0</v>
      </c>
      <c r="BI47">
        <v>0</v>
      </c>
      <c r="BJ47">
        <v>0</v>
      </c>
      <c r="BK47">
        <v>1</v>
      </c>
      <c r="BL47">
        <v>1.0894934220414201E-4</v>
      </c>
      <c r="BM47">
        <v>1.3610249488165199E-4</v>
      </c>
      <c r="BN47" s="1">
        <v>3.9701063589943502E-7</v>
      </c>
      <c r="BO47" s="1">
        <v>2.1378929902772001E-6</v>
      </c>
      <c r="BP47">
        <v>0</v>
      </c>
      <c r="BQ47">
        <v>0</v>
      </c>
      <c r="BR47" s="1">
        <v>5.9585526095004901E-5</v>
      </c>
      <c r="BS47" s="1">
        <v>7.5051255273505198E-5</v>
      </c>
    </row>
    <row r="48" spans="1:71" x14ac:dyDescent="0.25">
      <c r="A48">
        <v>45</v>
      </c>
      <c r="B48" s="1">
        <v>2.5001548765919299E-5</v>
      </c>
      <c r="C48">
        <v>0.105296049589756</v>
      </c>
      <c r="D48">
        <v>-3.0548080342910797E-4</v>
      </c>
      <c r="E48">
        <v>6.1312499999999995E-4</v>
      </c>
      <c r="F48">
        <v>-1.0529604958975599E-3</v>
      </c>
      <c r="G48">
        <v>0</v>
      </c>
      <c r="H48" t="s">
        <v>74</v>
      </c>
      <c r="I48">
        <v>0</v>
      </c>
      <c r="J48" t="s">
        <v>75</v>
      </c>
      <c r="K48">
        <v>3.14159265358979</v>
      </c>
      <c r="L48">
        <v>0.80740524967371397</v>
      </c>
      <c r="M48">
        <v>0</v>
      </c>
      <c r="N48">
        <v>4.7406853150441103E-2</v>
      </c>
      <c r="O48">
        <v>0</v>
      </c>
      <c r="P48">
        <v>1.6E-2</v>
      </c>
      <c r="Q48">
        <v>0</v>
      </c>
      <c r="R48">
        <v>0</v>
      </c>
      <c r="S48">
        <v>0</v>
      </c>
      <c r="T48">
        <v>0</v>
      </c>
      <c r="U48">
        <v>0.80675150055970302</v>
      </c>
      <c r="V48" t="s">
        <v>78</v>
      </c>
      <c r="W48">
        <v>2278336.1274749399</v>
      </c>
      <c r="X48" t="s">
        <v>76</v>
      </c>
      <c r="Y48">
        <v>-1.5707963267949001</v>
      </c>
      <c r="Z48">
        <v>0.79960664723758501</v>
      </c>
      <c r="AA48">
        <v>0.18227873356976801</v>
      </c>
      <c r="AB48">
        <v>4.3451692041818701E-2</v>
      </c>
      <c r="AC48">
        <v>1.0295215384264599E-2</v>
      </c>
      <c r="AD48">
        <v>2.1316862850372001E-2</v>
      </c>
      <c r="AE48">
        <v>1.2480222834665799E-2</v>
      </c>
      <c r="AF48">
        <v>0</v>
      </c>
      <c r="AG48">
        <v>0.21385472510317</v>
      </c>
      <c r="AH48">
        <v>6.4671743886959204E-2</v>
      </c>
      <c r="AI48">
        <v>0.656685591253101</v>
      </c>
      <c r="AJ48" t="s">
        <v>74</v>
      </c>
      <c r="AK48">
        <v>0</v>
      </c>
      <c r="AL48" t="s">
        <v>77</v>
      </c>
      <c r="AM48">
        <v>0</v>
      </c>
      <c r="AN48">
        <v>0.99199999999999999</v>
      </c>
      <c r="AO48">
        <v>0</v>
      </c>
      <c r="AP48">
        <v>5.8245346242475203E-2</v>
      </c>
      <c r="AQ48">
        <v>0</v>
      </c>
      <c r="AR48">
        <v>1.6E-2</v>
      </c>
      <c r="AS48">
        <v>0</v>
      </c>
      <c r="AT48">
        <v>0</v>
      </c>
      <c r="AU48">
        <v>0</v>
      </c>
      <c r="AV48">
        <v>0</v>
      </c>
      <c r="AW48">
        <v>1</v>
      </c>
      <c r="AX48" t="s">
        <v>74</v>
      </c>
      <c r="AY48">
        <v>0</v>
      </c>
      <c r="AZ48" t="s">
        <v>76</v>
      </c>
      <c r="BA48">
        <v>-1.5707963267949001</v>
      </c>
      <c r="BB48">
        <v>0.99199999999999999</v>
      </c>
      <c r="BC48">
        <v>0</v>
      </c>
      <c r="BD48">
        <v>5.8245346242475203E-2</v>
      </c>
      <c r="BE48">
        <v>0</v>
      </c>
      <c r="BF48">
        <v>1.6E-2</v>
      </c>
      <c r="BG48">
        <v>0</v>
      </c>
      <c r="BH48">
        <v>0</v>
      </c>
      <c r="BI48">
        <v>0</v>
      </c>
      <c r="BJ48">
        <v>0</v>
      </c>
      <c r="BK48">
        <v>1</v>
      </c>
      <c r="BL48">
        <v>1.0882222653073699E-4</v>
      </c>
      <c r="BM48">
        <v>1.3926323449506501E-4</v>
      </c>
      <c r="BN48" s="1">
        <v>3.96521207014785E-7</v>
      </c>
      <c r="BO48" s="1">
        <v>2.1875417720242401E-6</v>
      </c>
      <c r="BP48">
        <v>0</v>
      </c>
      <c r="BQ48">
        <v>0</v>
      </c>
      <c r="BR48" s="1">
        <v>5.9505744778359001E-5</v>
      </c>
      <c r="BS48" s="1">
        <v>7.6796206325942606E-5</v>
      </c>
    </row>
    <row r="49" spans="1:71" x14ac:dyDescent="0.25">
      <c r="A49">
        <v>46</v>
      </c>
      <c r="B49" s="1">
        <v>2.4640563020230499E-5</v>
      </c>
      <c r="C49">
        <v>0.10532069015277599</v>
      </c>
      <c r="D49">
        <v>-3.0561403423835998E-4</v>
      </c>
      <c r="E49">
        <v>6.1312499999999995E-4</v>
      </c>
      <c r="F49">
        <v>-1.0532069015277601E-3</v>
      </c>
      <c r="G49">
        <v>0</v>
      </c>
      <c r="H49" t="s">
        <v>74</v>
      </c>
      <c r="I49">
        <v>0</v>
      </c>
      <c r="J49" t="s">
        <v>75</v>
      </c>
      <c r="K49">
        <v>3.14159265358979</v>
      </c>
      <c r="L49">
        <v>0.80321600023783202</v>
      </c>
      <c r="M49">
        <v>0</v>
      </c>
      <c r="N49">
        <v>4.71608810900691E-2</v>
      </c>
      <c r="O49">
        <v>0</v>
      </c>
      <c r="P49">
        <v>1.6E-2</v>
      </c>
      <c r="Q49">
        <v>0</v>
      </c>
      <c r="R49">
        <v>0</v>
      </c>
      <c r="S49">
        <v>0</v>
      </c>
      <c r="T49">
        <v>0</v>
      </c>
      <c r="U49">
        <v>0.80190523871305996</v>
      </c>
      <c r="V49" t="s">
        <v>78</v>
      </c>
      <c r="W49">
        <v>2279485.8446894302</v>
      </c>
      <c r="X49" t="s">
        <v>76</v>
      </c>
      <c r="Y49">
        <v>-1.5707963267949001</v>
      </c>
      <c r="Z49">
        <v>0.79541159191539601</v>
      </c>
      <c r="AA49">
        <v>0.188659390142636</v>
      </c>
      <c r="AB49">
        <v>4.3207606997501299E-2</v>
      </c>
      <c r="AC49">
        <v>1.0597511068522299E-2</v>
      </c>
      <c r="AD49">
        <v>2.10823492094468E-2</v>
      </c>
      <c r="AE49">
        <v>1.2789246889689E-2</v>
      </c>
      <c r="AF49">
        <v>0</v>
      </c>
      <c r="AG49">
        <v>0.217034929078357</v>
      </c>
      <c r="AH49">
        <v>6.7812504354328396E-2</v>
      </c>
      <c r="AI49">
        <v>0.64934174078642504</v>
      </c>
      <c r="AJ49" t="s">
        <v>74</v>
      </c>
      <c r="AK49">
        <v>0</v>
      </c>
      <c r="AL49" t="s">
        <v>77</v>
      </c>
      <c r="AM49">
        <v>0</v>
      </c>
      <c r="AN49">
        <v>0.99199999999999999</v>
      </c>
      <c r="AO49">
        <v>0</v>
      </c>
      <c r="AP49">
        <v>5.8245346242475203E-2</v>
      </c>
      <c r="AQ49">
        <v>0</v>
      </c>
      <c r="AR49">
        <v>1.6E-2</v>
      </c>
      <c r="AS49">
        <v>0</v>
      </c>
      <c r="AT49">
        <v>0</v>
      </c>
      <c r="AU49">
        <v>0</v>
      </c>
      <c r="AV49">
        <v>0</v>
      </c>
      <c r="AW49">
        <v>1</v>
      </c>
      <c r="AX49" t="s">
        <v>74</v>
      </c>
      <c r="AY49">
        <v>0</v>
      </c>
      <c r="AZ49" t="s">
        <v>76</v>
      </c>
      <c r="BA49">
        <v>-1.5707963267949001</v>
      </c>
      <c r="BB49">
        <v>0.99199999999999999</v>
      </c>
      <c r="BC49">
        <v>0</v>
      </c>
      <c r="BD49">
        <v>5.8245346242475203E-2</v>
      </c>
      <c r="BE49">
        <v>0</v>
      </c>
      <c r="BF49">
        <v>1.6E-2</v>
      </c>
      <c r="BG49">
        <v>0</v>
      </c>
      <c r="BH49">
        <v>0</v>
      </c>
      <c r="BI49">
        <v>0</v>
      </c>
      <c r="BJ49">
        <v>0</v>
      </c>
      <c r="BK49">
        <v>1</v>
      </c>
      <c r="BL49">
        <v>1.0872834582052201E-4</v>
      </c>
      <c r="BM49">
        <v>1.4242371671634299E-4</v>
      </c>
      <c r="BN49" s="1">
        <v>3.9609953534009899E-7</v>
      </c>
      <c r="BO49" s="1">
        <v>2.23718651066508E-6</v>
      </c>
      <c r="BP49">
        <v>0</v>
      </c>
      <c r="BQ49">
        <v>0</v>
      </c>
      <c r="BR49" s="1">
        <v>5.9444263002398697E-5</v>
      </c>
      <c r="BS49" s="1">
        <v>7.85410771825622E-5</v>
      </c>
    </row>
    <row r="50" spans="1:71" x14ac:dyDescent="0.25">
      <c r="A50">
        <v>47</v>
      </c>
      <c r="B50" s="1">
        <v>2.4299076281216199E-5</v>
      </c>
      <c r="C50">
        <v>0.10534498922905799</v>
      </c>
      <c r="D50">
        <v>-3.0574540245179499E-4</v>
      </c>
      <c r="E50">
        <v>6.1312499999999995E-4</v>
      </c>
      <c r="F50">
        <v>-1.0534498922905801E-3</v>
      </c>
      <c r="G50">
        <v>0</v>
      </c>
      <c r="H50" t="s">
        <v>74</v>
      </c>
      <c r="I50">
        <v>0</v>
      </c>
      <c r="J50" t="s">
        <v>75</v>
      </c>
      <c r="K50">
        <v>3.14159265358979</v>
      </c>
      <c r="L50">
        <v>0.79902710041032898</v>
      </c>
      <c r="M50">
        <v>0</v>
      </c>
      <c r="N50">
        <v>4.6914929556976397E-2</v>
      </c>
      <c r="O50">
        <v>0</v>
      </c>
      <c r="P50">
        <v>1.6E-2</v>
      </c>
      <c r="Q50">
        <v>0</v>
      </c>
      <c r="R50">
        <v>0</v>
      </c>
      <c r="S50">
        <v>0</v>
      </c>
      <c r="T50">
        <v>0</v>
      </c>
      <c r="U50">
        <v>0.79703567160106303</v>
      </c>
      <c r="V50" t="s">
        <v>78</v>
      </c>
      <c r="W50">
        <v>2280619.48860612</v>
      </c>
      <c r="X50" t="s">
        <v>76</v>
      </c>
      <c r="Y50">
        <v>-1.5707963267949001</v>
      </c>
      <c r="Z50">
        <v>0.79121788999579401</v>
      </c>
      <c r="AA50">
        <v>0.19071866024092199</v>
      </c>
      <c r="AB50">
        <v>4.2963986897316599E-2</v>
      </c>
      <c r="AC50">
        <v>1.0764005909358E-2</v>
      </c>
      <c r="AD50">
        <v>2.0845922571730902E-2</v>
      </c>
      <c r="AE50">
        <v>1.30985046683818E-2</v>
      </c>
      <c r="AF50">
        <v>0</v>
      </c>
      <c r="AG50">
        <v>0.220130631925232</v>
      </c>
      <c r="AH50">
        <v>7.1037238442120704E-2</v>
      </c>
      <c r="AI50">
        <v>0.64201787040477198</v>
      </c>
      <c r="AJ50" t="s">
        <v>74</v>
      </c>
      <c r="AK50">
        <v>0</v>
      </c>
      <c r="AL50" t="s">
        <v>77</v>
      </c>
      <c r="AM50">
        <v>0</v>
      </c>
      <c r="AN50">
        <v>0.99199999999999999</v>
      </c>
      <c r="AO50">
        <v>0</v>
      </c>
      <c r="AP50">
        <v>5.8245346242475203E-2</v>
      </c>
      <c r="AQ50">
        <v>0</v>
      </c>
      <c r="AR50">
        <v>1.6E-2</v>
      </c>
      <c r="AS50">
        <v>0</v>
      </c>
      <c r="AT50">
        <v>0</v>
      </c>
      <c r="AU50">
        <v>0</v>
      </c>
      <c r="AV50">
        <v>0</v>
      </c>
      <c r="AW50">
        <v>1</v>
      </c>
      <c r="AX50" t="s">
        <v>74</v>
      </c>
      <c r="AY50">
        <v>0</v>
      </c>
      <c r="AZ50" t="s">
        <v>76</v>
      </c>
      <c r="BA50">
        <v>-1.5707963267949001</v>
      </c>
      <c r="BB50">
        <v>0.99199999999999999</v>
      </c>
      <c r="BC50">
        <v>0</v>
      </c>
      <c r="BD50">
        <v>5.8245346242475203E-2</v>
      </c>
      <c r="BE50">
        <v>0</v>
      </c>
      <c r="BF50">
        <v>1.6E-2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1.0856680742430099E-4</v>
      </c>
      <c r="BM50">
        <v>1.4558393518367599E-4</v>
      </c>
      <c r="BN50" s="1">
        <v>3.9554379040562401E-7</v>
      </c>
      <c r="BO50" s="1">
        <v>2.2868271062686502E-6</v>
      </c>
      <c r="BP50">
        <v>0</v>
      </c>
      <c r="BQ50">
        <v>0</v>
      </c>
      <c r="BR50" s="1">
        <v>5.9345443731984203E-5</v>
      </c>
      <c r="BS50" s="1">
        <v>8.0285863983805799E-5</v>
      </c>
    </row>
    <row r="51" spans="1:71" x14ac:dyDescent="0.25">
      <c r="A51">
        <v>48</v>
      </c>
      <c r="B51" s="1">
        <v>2.3975973892779301E-5</v>
      </c>
      <c r="C51">
        <v>0.10536896520295</v>
      </c>
      <c r="D51">
        <v>-3.0587500812682202E-4</v>
      </c>
      <c r="E51">
        <v>6.1312499999999995E-4</v>
      </c>
      <c r="F51">
        <v>-1.0536896520295001E-3</v>
      </c>
      <c r="G51" s="1">
        <v>-1.0842021724855E-19</v>
      </c>
      <c r="H51" t="s">
        <v>74</v>
      </c>
      <c r="I51">
        <v>0</v>
      </c>
      <c r="J51" t="s">
        <v>75</v>
      </c>
      <c r="K51">
        <v>3.14159265358979</v>
      </c>
      <c r="L51">
        <v>0.79483855890941602</v>
      </c>
      <c r="M51">
        <v>0</v>
      </c>
      <c r="N51">
        <v>4.6668999063053399E-2</v>
      </c>
      <c r="O51">
        <v>0</v>
      </c>
      <c r="P51">
        <v>1.6E-2</v>
      </c>
      <c r="Q51">
        <v>0</v>
      </c>
      <c r="R51">
        <v>0</v>
      </c>
      <c r="S51">
        <v>0</v>
      </c>
      <c r="T51">
        <v>0</v>
      </c>
      <c r="U51">
        <v>0.79214294569719501</v>
      </c>
      <c r="V51" t="s">
        <v>78</v>
      </c>
      <c r="W51">
        <v>2281737.9226718801</v>
      </c>
      <c r="X51" t="s">
        <v>76</v>
      </c>
      <c r="Y51">
        <v>-1.5707963267949001</v>
      </c>
      <c r="Z51">
        <v>0.78702551184313396</v>
      </c>
      <c r="AA51">
        <v>0.194854476608567</v>
      </c>
      <c r="AB51">
        <v>4.2720814571429698E-2</v>
      </c>
      <c r="AC51">
        <v>1.09956984815366E-2</v>
      </c>
      <c r="AD51">
        <v>2.0607670804057801E-2</v>
      </c>
      <c r="AE51">
        <v>1.34079773010898E-2</v>
      </c>
      <c r="AF51">
        <v>0</v>
      </c>
      <c r="AG51">
        <v>0.223141012995272</v>
      </c>
      <c r="AH51">
        <v>7.4346753644351601E-2</v>
      </c>
      <c r="AI51">
        <v>0.63471432715133902</v>
      </c>
      <c r="AJ51" t="s">
        <v>74</v>
      </c>
      <c r="AK51">
        <v>0</v>
      </c>
      <c r="AL51" t="s">
        <v>77</v>
      </c>
      <c r="AM51">
        <v>0</v>
      </c>
      <c r="AN51">
        <v>0.99199999999999999</v>
      </c>
      <c r="AO51">
        <v>0</v>
      </c>
      <c r="AP51">
        <v>5.8245346242475203E-2</v>
      </c>
      <c r="AQ51">
        <v>0</v>
      </c>
      <c r="AR51">
        <v>1.6E-2</v>
      </c>
      <c r="AS51">
        <v>0</v>
      </c>
      <c r="AT51">
        <v>0</v>
      </c>
      <c r="AU51">
        <v>0</v>
      </c>
      <c r="AV51">
        <v>0</v>
      </c>
      <c r="AW51">
        <v>1</v>
      </c>
      <c r="AX51" t="s">
        <v>74</v>
      </c>
      <c r="AY51">
        <v>0</v>
      </c>
      <c r="AZ51" t="s">
        <v>76</v>
      </c>
      <c r="BA51">
        <v>-1.5707963267949001</v>
      </c>
      <c r="BB51">
        <v>0.99199999999999999</v>
      </c>
      <c r="BC51">
        <v>0</v>
      </c>
      <c r="BD51">
        <v>5.8245346242475203E-2</v>
      </c>
      <c r="BE51">
        <v>0</v>
      </c>
      <c r="BF51">
        <v>1.6E-2</v>
      </c>
      <c r="BG51">
        <v>0</v>
      </c>
      <c r="BH51">
        <v>0</v>
      </c>
      <c r="BI51">
        <v>0</v>
      </c>
      <c r="BJ51">
        <v>0</v>
      </c>
      <c r="BK51">
        <v>1</v>
      </c>
      <c r="BL51">
        <v>1.08438102300485E-4</v>
      </c>
      <c r="BM51">
        <v>1.48743883319812E-4</v>
      </c>
      <c r="BN51" s="1">
        <v>3.9505491062155098E-7</v>
      </c>
      <c r="BO51" s="1">
        <v>2.33646345551969E-6</v>
      </c>
      <c r="BP51">
        <v>0</v>
      </c>
      <c r="BQ51">
        <v>0</v>
      </c>
      <c r="BR51" s="1">
        <v>5.92647049835278E-5</v>
      </c>
      <c r="BS51" s="1">
        <v>8.20305627980333E-5</v>
      </c>
    </row>
    <row r="52" spans="1:71" x14ac:dyDescent="0.25">
      <c r="A52">
        <v>49</v>
      </c>
      <c r="B52" s="1">
        <v>2.3670239944022102E-5</v>
      </c>
      <c r="C52">
        <v>0.105392635442894</v>
      </c>
      <c r="D52">
        <v>-3.06002945772758E-4</v>
      </c>
      <c r="E52">
        <v>6.1312499999999995E-4</v>
      </c>
      <c r="F52">
        <v>-1.0539263544289399E-3</v>
      </c>
      <c r="G52">
        <v>0</v>
      </c>
      <c r="H52" t="s">
        <v>74</v>
      </c>
      <c r="I52">
        <v>0</v>
      </c>
      <c r="J52" t="s">
        <v>75</v>
      </c>
      <c r="K52">
        <v>3.14159265358979</v>
      </c>
      <c r="L52">
        <v>0.79065038475440996</v>
      </c>
      <c r="M52">
        <v>0</v>
      </c>
      <c r="N52">
        <v>4.6423090137869799E-2</v>
      </c>
      <c r="O52">
        <v>0</v>
      </c>
      <c r="P52">
        <v>1.6E-2</v>
      </c>
      <c r="Q52">
        <v>0</v>
      </c>
      <c r="R52">
        <v>0</v>
      </c>
      <c r="S52">
        <v>0</v>
      </c>
      <c r="T52">
        <v>0</v>
      </c>
      <c r="U52">
        <v>0.78867288473985298</v>
      </c>
      <c r="V52" t="s">
        <v>78</v>
      </c>
      <c r="W52">
        <v>2282841.9624562198</v>
      </c>
      <c r="X52" t="s">
        <v>76</v>
      </c>
      <c r="Y52">
        <v>-1.5707963267949001</v>
      </c>
      <c r="Z52">
        <v>0.78283443027589605</v>
      </c>
      <c r="AA52">
        <v>0.19894166774923</v>
      </c>
      <c r="AB52">
        <v>4.2478073903541101E-2</v>
      </c>
      <c r="AC52">
        <v>1.12258243558153E-2</v>
      </c>
      <c r="AD52">
        <v>2.0367677251028699E-2</v>
      </c>
      <c r="AE52">
        <v>1.3717646350242601E-2</v>
      </c>
      <c r="AF52">
        <v>0</v>
      </c>
      <c r="AG52">
        <v>0.226065233015698</v>
      </c>
      <c r="AH52">
        <v>7.7741875624971202E-2</v>
      </c>
      <c r="AI52">
        <v>0.62743144996118005</v>
      </c>
      <c r="AJ52" t="s">
        <v>74</v>
      </c>
      <c r="AK52">
        <v>0</v>
      </c>
      <c r="AL52" t="s">
        <v>77</v>
      </c>
      <c r="AM52">
        <v>0</v>
      </c>
      <c r="AN52">
        <v>0.99199999999999999</v>
      </c>
      <c r="AO52">
        <v>0</v>
      </c>
      <c r="AP52">
        <v>5.8245346242475203E-2</v>
      </c>
      <c r="AQ52">
        <v>0</v>
      </c>
      <c r="AR52">
        <v>1.6E-2</v>
      </c>
      <c r="AS52">
        <v>0</v>
      </c>
      <c r="AT52">
        <v>0</v>
      </c>
      <c r="AU52">
        <v>0</v>
      </c>
      <c r="AV52">
        <v>0</v>
      </c>
      <c r="AW52">
        <v>1</v>
      </c>
      <c r="AX52" t="s">
        <v>74</v>
      </c>
      <c r="AY52">
        <v>0</v>
      </c>
      <c r="AZ52" t="s">
        <v>76</v>
      </c>
      <c r="BA52">
        <v>-1.5707963267949001</v>
      </c>
      <c r="BB52">
        <v>0.99199999999999999</v>
      </c>
      <c r="BC52">
        <v>0</v>
      </c>
      <c r="BD52">
        <v>5.8245346242475203E-2</v>
      </c>
      <c r="BE52">
        <v>0</v>
      </c>
      <c r="BF52">
        <v>1.6E-2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1.08308840441088E-4</v>
      </c>
      <c r="BM52">
        <v>1.5190355432033399E-4</v>
      </c>
      <c r="BN52" s="1">
        <v>3.9456607390250499E-7</v>
      </c>
      <c r="BO52" s="1">
        <v>2.3860954515347002E-6</v>
      </c>
      <c r="BP52">
        <v>0</v>
      </c>
      <c r="BQ52">
        <v>0</v>
      </c>
      <c r="BR52" s="1">
        <v>5.9183634623372502E-5</v>
      </c>
      <c r="BS52" s="1">
        <v>8.3775169613510903E-5</v>
      </c>
    </row>
    <row r="53" spans="1:71" x14ac:dyDescent="0.25">
      <c r="A53">
        <v>50</v>
      </c>
      <c r="B53" s="1">
        <v>2.3380947523821201E-5</v>
      </c>
      <c r="C53">
        <v>0.105416016390418</v>
      </c>
      <c r="D53">
        <v>-3.0612930483665698E-4</v>
      </c>
      <c r="E53">
        <v>6.1312499999999995E-4</v>
      </c>
      <c r="F53">
        <v>-1.0541601639041801E-3</v>
      </c>
      <c r="G53">
        <v>0</v>
      </c>
      <c r="H53" t="s">
        <v>74</v>
      </c>
      <c r="I53">
        <v>0</v>
      </c>
      <c r="J53" t="s">
        <v>75</v>
      </c>
      <c r="K53">
        <v>3.14159265358979</v>
      </c>
      <c r="L53">
        <v>0.78646258728209495</v>
      </c>
      <c r="M53">
        <v>0</v>
      </c>
      <c r="N53">
        <v>4.6177203329635597E-2</v>
      </c>
      <c r="O53">
        <v>0</v>
      </c>
      <c r="P53">
        <v>1.6E-2</v>
      </c>
      <c r="Q53">
        <v>0</v>
      </c>
      <c r="R53">
        <v>0</v>
      </c>
      <c r="S53">
        <v>0</v>
      </c>
      <c r="T53">
        <v>0</v>
      </c>
      <c r="U53">
        <v>0.78228855505353101</v>
      </c>
      <c r="V53" t="s">
        <v>78</v>
      </c>
      <c r="W53">
        <v>2283932.3798438199</v>
      </c>
      <c r="X53" t="s">
        <v>76</v>
      </c>
      <c r="Y53">
        <v>-1.5707963267949001</v>
      </c>
      <c r="Z53">
        <v>0.77864462040696403</v>
      </c>
      <c r="AA53">
        <v>0.202979892321976</v>
      </c>
      <c r="AB53">
        <v>4.2235749746232197E-2</v>
      </c>
      <c r="AC53">
        <v>1.14543770315118E-2</v>
      </c>
      <c r="AD53">
        <v>2.0126021100785398E-2</v>
      </c>
      <c r="AE53">
        <v>1.40274937752161E-2</v>
      </c>
      <c r="AF53">
        <v>0</v>
      </c>
      <c r="AG53">
        <v>0.228902433461037</v>
      </c>
      <c r="AH53">
        <v>8.1223448821613004E-2</v>
      </c>
      <c r="AI53">
        <v>0.62016957060040701</v>
      </c>
      <c r="AJ53" t="s">
        <v>74</v>
      </c>
      <c r="AK53">
        <v>0</v>
      </c>
      <c r="AL53" t="s">
        <v>77</v>
      </c>
      <c r="AM53">
        <v>0</v>
      </c>
      <c r="AN53">
        <v>0.99199999999999999</v>
      </c>
      <c r="AO53">
        <v>0</v>
      </c>
      <c r="AP53">
        <v>5.8245346242475203E-2</v>
      </c>
      <c r="AQ53">
        <v>0</v>
      </c>
      <c r="AR53">
        <v>1.6E-2</v>
      </c>
      <c r="AS53">
        <v>0</v>
      </c>
      <c r="AT53">
        <v>0</v>
      </c>
      <c r="AU53">
        <v>0</v>
      </c>
      <c r="AV53">
        <v>0</v>
      </c>
      <c r="AW53">
        <v>1</v>
      </c>
      <c r="AX53" t="s">
        <v>74</v>
      </c>
      <c r="AY53">
        <v>0</v>
      </c>
      <c r="AZ53" t="s">
        <v>76</v>
      </c>
      <c r="BA53">
        <v>-1.5707963267949001</v>
      </c>
      <c r="BB53">
        <v>0.99199999999999999</v>
      </c>
      <c r="BC53">
        <v>0</v>
      </c>
      <c r="BD53">
        <v>5.8245346242475203E-2</v>
      </c>
      <c r="BE53">
        <v>0</v>
      </c>
      <c r="BF53">
        <v>1.6E-2</v>
      </c>
      <c r="BG53">
        <v>0</v>
      </c>
      <c r="BH53">
        <v>0</v>
      </c>
      <c r="BI53">
        <v>0</v>
      </c>
      <c r="BJ53">
        <v>0</v>
      </c>
      <c r="BK53">
        <v>1</v>
      </c>
      <c r="BL53">
        <v>1.0817901129616499E-4</v>
      </c>
      <c r="BM53">
        <v>1.55062941141325E-4</v>
      </c>
      <c r="BN53" s="1">
        <v>3.9407722386899601E-7</v>
      </c>
      <c r="BO53" s="1">
        <v>2.43572298366807E-6</v>
      </c>
      <c r="BP53">
        <v>0</v>
      </c>
      <c r="BQ53">
        <v>0</v>
      </c>
      <c r="BR53" s="1">
        <v>5.9102227912937198E-5</v>
      </c>
      <c r="BS53" s="1">
        <v>8.5519680330262306E-5</v>
      </c>
    </row>
    <row r="54" spans="1:71" x14ac:dyDescent="0.25">
      <c r="A54">
        <v>51</v>
      </c>
      <c r="B54" s="1">
        <v>2.3107250171627599E-5</v>
      </c>
      <c r="C54">
        <v>0.10543912364058999</v>
      </c>
      <c r="D54">
        <v>-3.0625417014240797E-4</v>
      </c>
      <c r="E54">
        <v>6.1312499999999995E-4</v>
      </c>
      <c r="F54">
        <v>-1.0543912364059001E-3</v>
      </c>
      <c r="G54">
        <v>0</v>
      </c>
      <c r="H54" t="s">
        <v>74</v>
      </c>
      <c r="I54">
        <v>0</v>
      </c>
      <c r="J54" t="s">
        <v>75</v>
      </c>
      <c r="K54">
        <v>3.14159265358979</v>
      </c>
      <c r="L54">
        <v>0.78227517616395803</v>
      </c>
      <c r="M54">
        <v>0</v>
      </c>
      <c r="N54">
        <v>4.5931339206212798E-2</v>
      </c>
      <c r="O54">
        <v>0</v>
      </c>
      <c r="P54">
        <v>1.6E-2</v>
      </c>
      <c r="Q54">
        <v>0</v>
      </c>
      <c r="R54">
        <v>0</v>
      </c>
      <c r="S54">
        <v>0</v>
      </c>
      <c r="T54">
        <v>0</v>
      </c>
      <c r="U54">
        <v>0.77732713763210204</v>
      </c>
      <c r="V54" t="s">
        <v>78</v>
      </c>
      <c r="W54">
        <v>2285009.9068236598</v>
      </c>
      <c r="X54" t="s">
        <v>76</v>
      </c>
      <c r="Y54">
        <v>-1.5707963267949001</v>
      </c>
      <c r="Z54">
        <v>0.77445605950159702</v>
      </c>
      <c r="AA54">
        <v>0.208996363526639</v>
      </c>
      <c r="AB54">
        <v>4.1993827844725398E-2</v>
      </c>
      <c r="AC54">
        <v>1.1745043188171799E-2</v>
      </c>
      <c r="AD54">
        <v>1.9882777715967099E-2</v>
      </c>
      <c r="AE54">
        <v>1.4337501899692901E-2</v>
      </c>
      <c r="AF54">
        <v>0</v>
      </c>
      <c r="AG54">
        <v>0.23165173589167901</v>
      </c>
      <c r="AH54">
        <v>8.4792337081025307E-2</v>
      </c>
      <c r="AI54">
        <v>0.61292901451966997</v>
      </c>
      <c r="AJ54" t="s">
        <v>74</v>
      </c>
      <c r="AK54">
        <v>0</v>
      </c>
      <c r="AL54" t="s">
        <v>77</v>
      </c>
      <c r="AM54">
        <v>0</v>
      </c>
      <c r="AN54">
        <v>0.99199999999999999</v>
      </c>
      <c r="AO54">
        <v>0</v>
      </c>
      <c r="AP54">
        <v>5.8245346242475203E-2</v>
      </c>
      <c r="AQ54">
        <v>0</v>
      </c>
      <c r="AR54">
        <v>1.6E-2</v>
      </c>
      <c r="AS54">
        <v>0</v>
      </c>
      <c r="AT54">
        <v>0</v>
      </c>
      <c r="AU54">
        <v>0</v>
      </c>
      <c r="AV54">
        <v>0</v>
      </c>
      <c r="AW54">
        <v>1</v>
      </c>
      <c r="AX54" t="s">
        <v>74</v>
      </c>
      <c r="AY54">
        <v>0</v>
      </c>
      <c r="AZ54" t="s">
        <v>76</v>
      </c>
      <c r="BA54">
        <v>-1.5707963267949001</v>
      </c>
      <c r="BB54">
        <v>0.99199999999999999</v>
      </c>
      <c r="BC54">
        <v>0</v>
      </c>
      <c r="BD54">
        <v>5.8245346242475203E-2</v>
      </c>
      <c r="BE54">
        <v>0</v>
      </c>
      <c r="BF54">
        <v>1.6E-2</v>
      </c>
      <c r="BG54">
        <v>0</v>
      </c>
      <c r="BH54">
        <v>0</v>
      </c>
      <c r="BI54">
        <v>0</v>
      </c>
      <c r="BJ54">
        <v>0</v>
      </c>
      <c r="BK54">
        <v>1</v>
      </c>
      <c r="BL54">
        <v>1.0808045136203E-4</v>
      </c>
      <c r="BM54">
        <v>1.5822203648635199E-4</v>
      </c>
      <c r="BN54" s="1">
        <v>3.9365199693853302E-7</v>
      </c>
      <c r="BO54" s="1">
        <v>2.4853459373076998E-6</v>
      </c>
      <c r="BP54">
        <v>0</v>
      </c>
      <c r="BQ54">
        <v>0</v>
      </c>
      <c r="BR54" s="1">
        <v>5.9038044635441298E-5</v>
      </c>
      <c r="BS54" s="1">
        <v>8.7264090751750295E-5</v>
      </c>
    </row>
    <row r="55" spans="1:71" x14ac:dyDescent="0.25">
      <c r="A55">
        <v>52</v>
      </c>
      <c r="B55" s="1">
        <v>2.28483743619347E-5</v>
      </c>
      <c r="C55">
        <v>0.105461972014952</v>
      </c>
      <c r="D55">
        <v>-3.0637762228872699E-4</v>
      </c>
      <c r="E55">
        <v>6.1312499999999995E-4</v>
      </c>
      <c r="F55">
        <v>-1.05461972014952E-3</v>
      </c>
      <c r="G55" s="1">
        <v>-1.0842021724855E-19</v>
      </c>
      <c r="H55" t="s">
        <v>74</v>
      </c>
      <c r="I55">
        <v>0</v>
      </c>
      <c r="J55" t="s">
        <v>75</v>
      </c>
      <c r="K55">
        <v>3.14159265358979</v>
      </c>
      <c r="L55">
        <v>0.77808816142440296</v>
      </c>
      <c r="M55">
        <v>0</v>
      </c>
      <c r="N55">
        <v>4.5685498356184698E-2</v>
      </c>
      <c r="O55">
        <v>0</v>
      </c>
      <c r="P55">
        <v>1.6E-2</v>
      </c>
      <c r="Q55">
        <v>0</v>
      </c>
      <c r="R55">
        <v>0</v>
      </c>
      <c r="S55">
        <v>0</v>
      </c>
      <c r="T55">
        <v>0</v>
      </c>
      <c r="U55">
        <v>0.78369729297434398</v>
      </c>
      <c r="V55" t="s">
        <v>78</v>
      </c>
      <c r="W55">
        <v>2286075.2389235501</v>
      </c>
      <c r="X55" t="s">
        <v>76</v>
      </c>
      <c r="Y55">
        <v>-1.5707963267949001</v>
      </c>
      <c r="Z55">
        <v>0.77026872685120396</v>
      </c>
      <c r="AA55">
        <v>0.21293569251864999</v>
      </c>
      <c r="AB55">
        <v>4.1752294768072101E-2</v>
      </c>
      <c r="AC55">
        <v>1.19704207747281E-2</v>
      </c>
      <c r="AD55">
        <v>1.9638018933892099E-2</v>
      </c>
      <c r="AE55">
        <v>1.46476533812626E-2</v>
      </c>
      <c r="AF55">
        <v>0</v>
      </c>
      <c r="AG55">
        <v>0.23431224125752201</v>
      </c>
      <c r="AH55">
        <v>8.8449424327955994E-2</v>
      </c>
      <c r="AI55">
        <v>0.60571010163235794</v>
      </c>
      <c r="AJ55" t="s">
        <v>74</v>
      </c>
      <c r="AK55">
        <v>0</v>
      </c>
      <c r="AL55" t="s">
        <v>77</v>
      </c>
      <c r="AM55">
        <v>0</v>
      </c>
      <c r="AN55">
        <v>0.99199999999999999</v>
      </c>
      <c r="AO55">
        <v>0</v>
      </c>
      <c r="AP55">
        <v>5.8245346242475203E-2</v>
      </c>
      <c r="AQ55">
        <v>0</v>
      </c>
      <c r="AR55">
        <v>1.6E-2</v>
      </c>
      <c r="AS55">
        <v>0</v>
      </c>
      <c r="AT55">
        <v>0</v>
      </c>
      <c r="AU55">
        <v>0</v>
      </c>
      <c r="AV55">
        <v>0</v>
      </c>
      <c r="AW55">
        <v>1</v>
      </c>
      <c r="AX55" t="s">
        <v>74</v>
      </c>
      <c r="AY55">
        <v>0</v>
      </c>
      <c r="AZ55" t="s">
        <v>76</v>
      </c>
      <c r="BA55">
        <v>-1.5707963267949001</v>
      </c>
      <c r="BB55">
        <v>0.99199999999999999</v>
      </c>
      <c r="BC55">
        <v>0</v>
      </c>
      <c r="BD55">
        <v>5.8245346242475203E-2</v>
      </c>
      <c r="BE55">
        <v>0</v>
      </c>
      <c r="BF55">
        <v>1.6E-2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1.0794945319196799E-4</v>
      </c>
      <c r="BM55">
        <v>1.6138083279273899E-4</v>
      </c>
      <c r="BN55" s="1">
        <v>3.9316294570963001E-7</v>
      </c>
      <c r="BO55" s="1">
        <v>2.53496419365936E-6</v>
      </c>
      <c r="BP55">
        <v>0</v>
      </c>
      <c r="BQ55">
        <v>0</v>
      </c>
      <c r="BR55" s="1">
        <v>5.8955949657856497E-5</v>
      </c>
      <c r="BS55" s="1">
        <v>8.9008396576338106E-5</v>
      </c>
    </row>
    <row r="56" spans="1:71" x14ac:dyDescent="0.25">
      <c r="A56">
        <v>53</v>
      </c>
      <c r="B56" s="1">
        <v>2.26036128851881E-5</v>
      </c>
      <c r="C56">
        <v>0.105484575627837</v>
      </c>
      <c r="D56">
        <v>-3.0649973801097298E-4</v>
      </c>
      <c r="E56">
        <v>6.1312499999999995E-4</v>
      </c>
      <c r="F56">
        <v>-1.05484575627837E-3</v>
      </c>
      <c r="G56" s="1">
        <v>-1.0842021724855E-19</v>
      </c>
      <c r="H56" t="s">
        <v>74</v>
      </c>
      <c r="I56">
        <v>0</v>
      </c>
      <c r="J56" t="s">
        <v>75</v>
      </c>
      <c r="K56">
        <v>3.14159265358979</v>
      </c>
      <c r="L56">
        <v>0.77390155346001999</v>
      </c>
      <c r="M56">
        <v>0</v>
      </c>
      <c r="N56">
        <v>4.5439681389988197E-2</v>
      </c>
      <c r="O56">
        <v>0</v>
      </c>
      <c r="P56">
        <v>1.6E-2</v>
      </c>
      <c r="Q56">
        <v>0</v>
      </c>
      <c r="R56">
        <v>0</v>
      </c>
      <c r="S56">
        <v>0</v>
      </c>
      <c r="T56">
        <v>0</v>
      </c>
      <c r="U56">
        <v>0.77847309048793001</v>
      </c>
      <c r="V56" t="s">
        <v>78</v>
      </c>
      <c r="W56">
        <v>2287129.0383323799</v>
      </c>
      <c r="X56" t="s">
        <v>76</v>
      </c>
      <c r="Y56">
        <v>-1.5707963267949001</v>
      </c>
      <c r="Z56">
        <v>0.76608260366131697</v>
      </c>
      <c r="AA56">
        <v>0.216825121506245</v>
      </c>
      <c r="AB56">
        <v>4.1511137846917102E-2</v>
      </c>
      <c r="AC56">
        <v>1.2194200954331699E-2</v>
      </c>
      <c r="AD56">
        <v>1.93918133394709E-2</v>
      </c>
      <c r="AE56">
        <v>1.4957931183025601E-2</v>
      </c>
      <c r="AF56">
        <v>0</v>
      </c>
      <c r="AG56">
        <v>0.236883029164629</v>
      </c>
      <c r="AH56">
        <v>9.2195615269404702E-2</v>
      </c>
      <c r="AI56">
        <v>0.59851314702662495</v>
      </c>
      <c r="AJ56" t="s">
        <v>74</v>
      </c>
      <c r="AK56">
        <v>0</v>
      </c>
      <c r="AL56" t="s">
        <v>77</v>
      </c>
      <c r="AM56">
        <v>0</v>
      </c>
      <c r="AN56">
        <v>0.99199999999999999</v>
      </c>
      <c r="AO56">
        <v>0</v>
      </c>
      <c r="AP56">
        <v>5.8245346242475203E-2</v>
      </c>
      <c r="AQ56">
        <v>0</v>
      </c>
      <c r="AR56">
        <v>1.6E-2</v>
      </c>
      <c r="AS56">
        <v>0</v>
      </c>
      <c r="AT56">
        <v>0</v>
      </c>
      <c r="AU56">
        <v>0</v>
      </c>
      <c r="AV56">
        <v>0</v>
      </c>
      <c r="AW56">
        <v>1</v>
      </c>
      <c r="AX56" t="s">
        <v>74</v>
      </c>
      <c r="AY56">
        <v>0</v>
      </c>
      <c r="AZ56" t="s">
        <v>76</v>
      </c>
      <c r="BA56">
        <v>-1.5707963267949001</v>
      </c>
      <c r="BB56">
        <v>0.99199999999999999</v>
      </c>
      <c r="BC56">
        <v>0</v>
      </c>
      <c r="BD56">
        <v>5.8245346242475203E-2</v>
      </c>
      <c r="BE56">
        <v>0</v>
      </c>
      <c r="BF56">
        <v>1.6E-2</v>
      </c>
      <c r="BG56">
        <v>0</v>
      </c>
      <c r="BH56">
        <v>0</v>
      </c>
      <c r="BI56">
        <v>0</v>
      </c>
      <c r="BJ56">
        <v>0</v>
      </c>
      <c r="BK56">
        <v>1</v>
      </c>
      <c r="BL56">
        <v>1.07817856338094E-4</v>
      </c>
      <c r="BM56">
        <v>1.6453932221701699E-4</v>
      </c>
      <c r="BN56" s="1">
        <v>3.9267372055878698E-7</v>
      </c>
      <c r="BO56" s="1">
        <v>2.5845776295181202E-6</v>
      </c>
      <c r="BP56">
        <v>0</v>
      </c>
      <c r="BQ56">
        <v>0</v>
      </c>
      <c r="BR56" s="1">
        <v>5.8873503921067197E-5</v>
      </c>
      <c r="BS56" s="1">
        <v>9.0752593388473396E-5</v>
      </c>
    </row>
    <row r="57" spans="1:71" x14ac:dyDescent="0.25">
      <c r="A57">
        <v>54</v>
      </c>
      <c r="B57" s="1">
        <v>2.23723190090546E-5</v>
      </c>
      <c r="C57">
        <v>0.10550694794684599</v>
      </c>
      <c r="D57">
        <v>-3.0662059051102697E-4</v>
      </c>
      <c r="E57">
        <v>6.1312499999999995E-4</v>
      </c>
      <c r="F57">
        <v>-1.05506947946846E-3</v>
      </c>
      <c r="G57">
        <v>0</v>
      </c>
      <c r="H57" t="s">
        <v>74</v>
      </c>
      <c r="I57">
        <v>0</v>
      </c>
      <c r="J57" t="s">
        <v>75</v>
      </c>
      <c r="K57">
        <v>3.14159265358979</v>
      </c>
      <c r="L57">
        <v>0.76971536306001498</v>
      </c>
      <c r="M57">
        <v>0</v>
      </c>
      <c r="N57">
        <v>4.5193888941112002E-2</v>
      </c>
      <c r="O57">
        <v>0</v>
      </c>
      <c r="P57">
        <v>1.6E-2</v>
      </c>
      <c r="Q57">
        <v>0</v>
      </c>
      <c r="R57">
        <v>0</v>
      </c>
      <c r="S57">
        <v>0</v>
      </c>
      <c r="T57">
        <v>0</v>
      </c>
      <c r="U57">
        <v>0.77562890398637896</v>
      </c>
      <c r="V57" t="s">
        <v>78</v>
      </c>
      <c r="W57">
        <v>2288171.9367468399</v>
      </c>
      <c r="X57" t="s">
        <v>76</v>
      </c>
      <c r="Y57">
        <v>-1.5707963267949001</v>
      </c>
      <c r="Z57">
        <v>0.76189767295231203</v>
      </c>
      <c r="AA57">
        <v>0.22066436727531699</v>
      </c>
      <c r="AB57">
        <v>4.1270345117094903E-2</v>
      </c>
      <c r="AC57">
        <v>1.2416372886034701E-2</v>
      </c>
      <c r="AD57">
        <v>1.9144226513902001E-2</v>
      </c>
      <c r="AE57">
        <v>1.5268318547000099E-2</v>
      </c>
      <c r="AF57">
        <v>0</v>
      </c>
      <c r="AG57">
        <v>0.23936315710268</v>
      </c>
      <c r="AH57">
        <v>9.6031836136358795E-2</v>
      </c>
      <c r="AI57">
        <v>0.591338461619073</v>
      </c>
      <c r="AJ57" t="s">
        <v>74</v>
      </c>
      <c r="AK57">
        <v>0</v>
      </c>
      <c r="AL57" t="s">
        <v>77</v>
      </c>
      <c r="AM57">
        <v>0</v>
      </c>
      <c r="AN57">
        <v>0.99199999999999999</v>
      </c>
      <c r="AO57">
        <v>0</v>
      </c>
      <c r="AP57">
        <v>5.8245346242475203E-2</v>
      </c>
      <c r="AQ57">
        <v>0</v>
      </c>
      <c r="AR57">
        <v>1.6E-2</v>
      </c>
      <c r="AS57">
        <v>0</v>
      </c>
      <c r="AT57">
        <v>0</v>
      </c>
      <c r="AU57">
        <v>0</v>
      </c>
      <c r="AV57">
        <v>0</v>
      </c>
      <c r="AW57">
        <v>1</v>
      </c>
      <c r="AX57" t="s">
        <v>74</v>
      </c>
      <c r="AY57">
        <v>0</v>
      </c>
      <c r="AZ57" t="s">
        <v>76</v>
      </c>
      <c r="BA57">
        <v>-1.5707963267949001</v>
      </c>
      <c r="BB57">
        <v>0.99199999999999999</v>
      </c>
      <c r="BC57">
        <v>0</v>
      </c>
      <c r="BD57">
        <v>5.8245346242475203E-2</v>
      </c>
      <c r="BE57">
        <v>0</v>
      </c>
      <c r="BF57">
        <v>1.6E-2</v>
      </c>
      <c r="BG57">
        <v>0</v>
      </c>
      <c r="BH57">
        <v>0</v>
      </c>
      <c r="BI57">
        <v>0</v>
      </c>
      <c r="BJ57">
        <v>0</v>
      </c>
      <c r="BK57">
        <v>1</v>
      </c>
      <c r="BL57">
        <v>1.07685649714596E-4</v>
      </c>
      <c r="BM57">
        <v>1.6769749661951899E-4</v>
      </c>
      <c r="BN57" s="1">
        <v>3.9218426779119699E-7</v>
      </c>
      <c r="BO57" s="1">
        <v>2.6341861170264101E-6</v>
      </c>
      <c r="BP57">
        <v>0</v>
      </c>
      <c r="BQ57">
        <v>0</v>
      </c>
      <c r="BR57" s="1">
        <v>5.8790702187551199E-5</v>
      </c>
      <c r="BS57" s="1">
        <v>9.2496676649559006E-5</v>
      </c>
    </row>
    <row r="58" spans="1:71" x14ac:dyDescent="0.25">
      <c r="A58">
        <v>55</v>
      </c>
      <c r="B58" s="1">
        <v>2.21539013211596E-5</v>
      </c>
      <c r="C58">
        <v>0.105529101848167</v>
      </c>
      <c r="D58">
        <v>-3.0674024975897501E-4</v>
      </c>
      <c r="E58">
        <v>6.1312499999999995E-4</v>
      </c>
      <c r="F58">
        <v>-1.0552910184816701E-3</v>
      </c>
      <c r="G58">
        <v>0</v>
      </c>
      <c r="H58" t="s">
        <v>74</v>
      </c>
      <c r="I58">
        <v>0</v>
      </c>
      <c r="J58" t="s">
        <v>75</v>
      </c>
      <c r="K58">
        <v>3.14159265358979</v>
      </c>
      <c r="L58">
        <v>0.76552960142790405</v>
      </c>
      <c r="M58">
        <v>0</v>
      </c>
      <c r="N58">
        <v>4.4948121667371298E-2</v>
      </c>
      <c r="O58">
        <v>0</v>
      </c>
      <c r="P58">
        <v>1.6E-2</v>
      </c>
      <c r="Q58">
        <v>0</v>
      </c>
      <c r="R58">
        <v>0</v>
      </c>
      <c r="S58">
        <v>0</v>
      </c>
      <c r="T58">
        <v>0</v>
      </c>
      <c r="U58">
        <v>0.77124882481587698</v>
      </c>
      <c r="V58" t="s">
        <v>78</v>
      </c>
      <c r="W58">
        <v>2289204.5379748298</v>
      </c>
      <c r="X58" t="s">
        <v>76</v>
      </c>
      <c r="Y58">
        <v>-1.5707963267949001</v>
      </c>
      <c r="Z58">
        <v>0.75771391947173505</v>
      </c>
      <c r="AA58">
        <v>0.22445315957454101</v>
      </c>
      <c r="AB58">
        <v>4.10299052684171E-2</v>
      </c>
      <c r="AC58">
        <v>1.2636932504087499E-2</v>
      </c>
      <c r="AD58">
        <v>1.88953212618224E-2</v>
      </c>
      <c r="AE58">
        <v>1.5578798969143E-2</v>
      </c>
      <c r="AF58">
        <v>0</v>
      </c>
      <c r="AG58">
        <v>0.241751659630774</v>
      </c>
      <c r="AH58">
        <v>9.9959035465255003E-2</v>
      </c>
      <c r="AI58">
        <v>0.58418635275703301</v>
      </c>
      <c r="AJ58" t="s">
        <v>74</v>
      </c>
      <c r="AK58">
        <v>0</v>
      </c>
      <c r="AL58" t="s">
        <v>77</v>
      </c>
      <c r="AM58">
        <v>0</v>
      </c>
      <c r="AN58">
        <v>0.99199999999999999</v>
      </c>
      <c r="AO58">
        <v>0</v>
      </c>
      <c r="AP58">
        <v>5.8245346242475203E-2</v>
      </c>
      <c r="AQ58">
        <v>0</v>
      </c>
      <c r="AR58">
        <v>1.6E-2</v>
      </c>
      <c r="AS58">
        <v>0</v>
      </c>
      <c r="AT58">
        <v>0</v>
      </c>
      <c r="AU58">
        <v>0</v>
      </c>
      <c r="AV58">
        <v>0</v>
      </c>
      <c r="AW58">
        <v>1</v>
      </c>
      <c r="AX58" t="s">
        <v>74</v>
      </c>
      <c r="AY58">
        <v>0</v>
      </c>
      <c r="AZ58" t="s">
        <v>76</v>
      </c>
      <c r="BA58">
        <v>-1.5707963267949001</v>
      </c>
      <c r="BB58">
        <v>0.99199999999999999</v>
      </c>
      <c r="BC58">
        <v>0</v>
      </c>
      <c r="BD58">
        <v>5.8245346242475203E-2</v>
      </c>
      <c r="BE58">
        <v>0</v>
      </c>
      <c r="BF58">
        <v>1.6E-2</v>
      </c>
      <c r="BG58">
        <v>0</v>
      </c>
      <c r="BH58">
        <v>0</v>
      </c>
      <c r="BI58">
        <v>0</v>
      </c>
      <c r="BJ58">
        <v>0</v>
      </c>
      <c r="BK58">
        <v>1</v>
      </c>
      <c r="BL58">
        <v>1.07552825962413E-4</v>
      </c>
      <c r="BM58">
        <v>1.70855347548015E-4</v>
      </c>
      <c r="BN58" s="1">
        <v>3.9169454882887999E-7</v>
      </c>
      <c r="BO58" s="1">
        <v>2.6837895234168701E-6</v>
      </c>
      <c r="BP58">
        <v>0</v>
      </c>
      <c r="BQ58">
        <v>0</v>
      </c>
      <c r="BR58" s="1">
        <v>5.87075412344341E-5</v>
      </c>
      <c r="BS58" s="1">
        <v>9.4240641688446403E-5</v>
      </c>
    </row>
    <row r="59" spans="1:71" x14ac:dyDescent="0.25">
      <c r="A59">
        <v>56</v>
      </c>
      <c r="B59" s="1">
        <v>2.1947819169636598E-5</v>
      </c>
      <c r="C59">
        <v>0.105551049667337</v>
      </c>
      <c r="D59">
        <v>-3.0685878276986002E-4</v>
      </c>
      <c r="E59">
        <v>6.1312499999999995E-4</v>
      </c>
      <c r="F59">
        <v>-1.0555104966733699E-3</v>
      </c>
      <c r="G59">
        <v>0</v>
      </c>
      <c r="H59" t="s">
        <v>74</v>
      </c>
      <c r="I59">
        <v>0</v>
      </c>
      <c r="J59" t="s">
        <v>75</v>
      </c>
      <c r="K59">
        <v>3.14159265358979</v>
      </c>
      <c r="L59">
        <v>0.76134428020455902</v>
      </c>
      <c r="M59">
        <v>0</v>
      </c>
      <c r="N59">
        <v>4.4702380252260698E-2</v>
      </c>
      <c r="O59">
        <v>0</v>
      </c>
      <c r="P59">
        <v>1.6E-2</v>
      </c>
      <c r="Q59">
        <v>0</v>
      </c>
      <c r="R59">
        <v>0</v>
      </c>
      <c r="S59">
        <v>0</v>
      </c>
      <c r="T59">
        <v>0</v>
      </c>
      <c r="U59">
        <v>0.76727204419649897</v>
      </c>
      <c r="V59" t="s">
        <v>78</v>
      </c>
      <c r="W59">
        <v>2290227.4203236401</v>
      </c>
      <c r="X59" t="s">
        <v>76</v>
      </c>
      <c r="Y59">
        <v>-1.5707963267949001</v>
      </c>
      <c r="Z59">
        <v>0.75353132961713198</v>
      </c>
      <c r="AA59">
        <v>0.23009369119841799</v>
      </c>
      <c r="AB59">
        <v>4.0789807598081797E-2</v>
      </c>
      <c r="AC59">
        <v>1.2915640270313E-2</v>
      </c>
      <c r="AD59">
        <v>1.86451578192437E-2</v>
      </c>
      <c r="AE59">
        <v>1.5889356175825702E-2</v>
      </c>
      <c r="AF59">
        <v>0</v>
      </c>
      <c r="AG59">
        <v>0.24404754751897501</v>
      </c>
      <c r="AH59">
        <v>0.103978184921654</v>
      </c>
      <c r="AI59">
        <v>0.57705712477543103</v>
      </c>
      <c r="AJ59" t="s">
        <v>74</v>
      </c>
      <c r="AK59">
        <v>0</v>
      </c>
      <c r="AL59" t="s">
        <v>77</v>
      </c>
      <c r="AM59">
        <v>0</v>
      </c>
      <c r="AN59">
        <v>0.99199999999999999</v>
      </c>
      <c r="AO59">
        <v>0</v>
      </c>
      <c r="AP59">
        <v>5.8245346242475203E-2</v>
      </c>
      <c r="AQ59">
        <v>0</v>
      </c>
      <c r="AR59">
        <v>1.6E-2</v>
      </c>
      <c r="AS59">
        <v>0</v>
      </c>
      <c r="AT59">
        <v>0</v>
      </c>
      <c r="AU59">
        <v>0</v>
      </c>
      <c r="AV59">
        <v>0</v>
      </c>
      <c r="AW59">
        <v>1</v>
      </c>
      <c r="AX59" t="s">
        <v>74</v>
      </c>
      <c r="AY59">
        <v>0</v>
      </c>
      <c r="AZ59" t="s">
        <v>76</v>
      </c>
      <c r="BA59">
        <v>-1.5707963267949001</v>
      </c>
      <c r="BB59">
        <v>0.99199999999999999</v>
      </c>
      <c r="BC59">
        <v>0</v>
      </c>
      <c r="BD59">
        <v>5.8245346242475203E-2</v>
      </c>
      <c r="BE59">
        <v>0</v>
      </c>
      <c r="BF59">
        <v>1.6E-2</v>
      </c>
      <c r="BG59">
        <v>0</v>
      </c>
      <c r="BH59">
        <v>0</v>
      </c>
      <c r="BI59">
        <v>0</v>
      </c>
      <c r="BJ59">
        <v>0</v>
      </c>
      <c r="BK59">
        <v>1</v>
      </c>
      <c r="BL59">
        <v>1.07449260302803E-4</v>
      </c>
      <c r="BM59">
        <v>1.7401286622031499E-4</v>
      </c>
      <c r="BN59" s="1">
        <v>3.9126428926284498E-7</v>
      </c>
      <c r="BO59" s="1">
        <v>2.7333877107392201E-6</v>
      </c>
      <c r="BP59">
        <v>0</v>
      </c>
      <c r="BQ59">
        <v>0</v>
      </c>
      <c r="BR59" s="1">
        <v>5.8640500858694099E-5</v>
      </c>
      <c r="BS59" s="1">
        <v>9.5984483691513106E-5</v>
      </c>
    </row>
    <row r="60" spans="1:71" x14ac:dyDescent="0.25">
      <c r="A60">
        <v>57</v>
      </c>
      <c r="B60" s="1">
        <v>2.1753578629238599E-5</v>
      </c>
      <c r="C60">
        <v>0.105572803245966</v>
      </c>
      <c r="D60">
        <v>-3.0697625385837202E-4</v>
      </c>
      <c r="E60">
        <v>6.1312499999999995E-4</v>
      </c>
      <c r="F60">
        <v>-1.0557280324596601E-3</v>
      </c>
      <c r="G60">
        <v>0</v>
      </c>
      <c r="H60" t="s">
        <v>74</v>
      </c>
      <c r="I60">
        <v>0</v>
      </c>
      <c r="J60" t="s">
        <v>75</v>
      </c>
      <c r="K60">
        <v>3.14159265358979</v>
      </c>
      <c r="L60">
        <v>0.75715941149277599</v>
      </c>
      <c r="M60">
        <v>0</v>
      </c>
      <c r="N60">
        <v>4.44566654063967E-2</v>
      </c>
      <c r="O60">
        <v>0</v>
      </c>
      <c r="P60">
        <v>1.6E-2</v>
      </c>
      <c r="Q60">
        <v>0</v>
      </c>
      <c r="R60">
        <v>0</v>
      </c>
      <c r="S60">
        <v>0</v>
      </c>
      <c r="T60">
        <v>0</v>
      </c>
      <c r="U60">
        <v>0.76310697078919998</v>
      </c>
      <c r="V60" t="s">
        <v>78</v>
      </c>
      <c r="W60">
        <v>2291241.1387978201</v>
      </c>
      <c r="X60" t="s">
        <v>76</v>
      </c>
      <c r="Y60">
        <v>-1.5707963267949001</v>
      </c>
      <c r="Z60">
        <v>0.74934989136854802</v>
      </c>
      <c r="AA60">
        <v>0.23378081502754799</v>
      </c>
      <c r="AB60">
        <v>4.0550041968218702E-2</v>
      </c>
      <c r="AC60">
        <v>1.3132954529222101E-2</v>
      </c>
      <c r="AD60">
        <v>1.83937940443335E-2</v>
      </c>
      <c r="AE60">
        <v>1.6199974101611201E-2</v>
      </c>
      <c r="AF60">
        <v>0</v>
      </c>
      <c r="AG60">
        <v>0.24624980684273801</v>
      </c>
      <c r="AH60">
        <v>0.10809028016875501</v>
      </c>
      <c r="AI60">
        <v>0.56995107951362101</v>
      </c>
      <c r="AJ60" t="s">
        <v>74</v>
      </c>
      <c r="AK60">
        <v>0</v>
      </c>
      <c r="AL60" t="s">
        <v>77</v>
      </c>
      <c r="AM60">
        <v>0</v>
      </c>
      <c r="AN60">
        <v>0.99199999999999999</v>
      </c>
      <c r="AO60">
        <v>0</v>
      </c>
      <c r="AP60">
        <v>5.8245346242475203E-2</v>
      </c>
      <c r="AQ60">
        <v>0</v>
      </c>
      <c r="AR60">
        <v>1.6E-2</v>
      </c>
      <c r="AS60">
        <v>0</v>
      </c>
      <c r="AT60">
        <v>0</v>
      </c>
      <c r="AU60">
        <v>0</v>
      </c>
      <c r="AV60">
        <v>0</v>
      </c>
      <c r="AW60">
        <v>1</v>
      </c>
      <c r="AX60" t="s">
        <v>74</v>
      </c>
      <c r="AY60">
        <v>0</v>
      </c>
      <c r="AZ60" t="s">
        <v>76</v>
      </c>
      <c r="BA60">
        <v>-1.5707963267949001</v>
      </c>
      <c r="BB60">
        <v>0.99199999999999999</v>
      </c>
      <c r="BC60">
        <v>0</v>
      </c>
      <c r="BD60">
        <v>5.8245346242475203E-2</v>
      </c>
      <c r="BE60">
        <v>0</v>
      </c>
      <c r="BF60">
        <v>1.6E-2</v>
      </c>
      <c r="BG60">
        <v>0</v>
      </c>
      <c r="BH60">
        <v>0</v>
      </c>
      <c r="BI60">
        <v>0</v>
      </c>
      <c r="BJ60">
        <v>0</v>
      </c>
      <c r="BK60">
        <v>1</v>
      </c>
      <c r="BL60">
        <v>1.07315177194394E-4</v>
      </c>
      <c r="BM60">
        <v>1.77170043505746E-4</v>
      </c>
      <c r="BN60" s="1">
        <v>3.90773914180296E-7</v>
      </c>
      <c r="BO60" s="1">
        <v>2.78298053556918E-6</v>
      </c>
      <c r="BP60">
        <v>0</v>
      </c>
      <c r="BQ60">
        <v>0</v>
      </c>
      <c r="BR60" s="1">
        <v>5.8556610360977797E-5</v>
      </c>
      <c r="BS60" s="1">
        <v>9.7728197692253894E-5</v>
      </c>
    </row>
    <row r="61" spans="1:71" x14ac:dyDescent="0.25">
      <c r="A61">
        <v>58</v>
      </c>
      <c r="B61" s="1">
        <v>2.15707289322823E-5</v>
      </c>
      <c r="C61">
        <v>0.105594373974898</v>
      </c>
      <c r="D61">
        <v>-3.0709272487400898E-4</v>
      </c>
      <c r="E61">
        <v>6.1312499999999995E-4</v>
      </c>
      <c r="F61">
        <v>-1.0559437397489799E-3</v>
      </c>
      <c r="G61" s="1">
        <v>-1.0842021724855E-19</v>
      </c>
      <c r="H61" t="s">
        <v>74</v>
      </c>
      <c r="I61">
        <v>0</v>
      </c>
      <c r="J61" t="s">
        <v>75</v>
      </c>
      <c r="K61">
        <v>3.14159265358979</v>
      </c>
      <c r="L61">
        <v>0.75297500788344396</v>
      </c>
      <c r="M61">
        <v>0</v>
      </c>
      <c r="N61">
        <v>4.4210977869054098E-2</v>
      </c>
      <c r="O61">
        <v>0</v>
      </c>
      <c r="P61">
        <v>1.6E-2</v>
      </c>
      <c r="Q61">
        <v>0</v>
      </c>
      <c r="R61">
        <v>0</v>
      </c>
      <c r="S61">
        <v>0</v>
      </c>
      <c r="T61">
        <v>0</v>
      </c>
      <c r="U61">
        <v>0.75894550880339995</v>
      </c>
      <c r="V61" t="s">
        <v>78</v>
      </c>
      <c r="W61">
        <v>2292246.2271285001</v>
      </c>
      <c r="X61" t="s">
        <v>76</v>
      </c>
      <c r="Y61">
        <v>-1.5707963267949001</v>
      </c>
      <c r="Z61">
        <v>0.74516959422990403</v>
      </c>
      <c r="AA61">
        <v>0.237416747271742</v>
      </c>
      <c r="AB61">
        <v>4.0310598767131098E-2</v>
      </c>
      <c r="AC61">
        <v>1.3348636094322399E-2</v>
      </c>
      <c r="AD61">
        <v>1.8141285592847198E-2</v>
      </c>
      <c r="AE61">
        <v>1.65106368682022E-2</v>
      </c>
      <c r="AF61">
        <v>0</v>
      </c>
      <c r="AG61">
        <v>0.24835739802714801</v>
      </c>
      <c r="AH61">
        <v>0.112296341783663</v>
      </c>
      <c r="AI61">
        <v>0.56286851679680205</v>
      </c>
      <c r="AJ61" t="s">
        <v>74</v>
      </c>
      <c r="AK61">
        <v>0</v>
      </c>
      <c r="AL61" t="s">
        <v>77</v>
      </c>
      <c r="AM61">
        <v>0</v>
      </c>
      <c r="AN61">
        <v>0.99199999999999999</v>
      </c>
      <c r="AO61">
        <v>0</v>
      </c>
      <c r="AP61">
        <v>5.8245346242475203E-2</v>
      </c>
      <c r="AQ61">
        <v>0</v>
      </c>
      <c r="AR61">
        <v>1.6E-2</v>
      </c>
      <c r="AS61">
        <v>0</v>
      </c>
      <c r="AT61">
        <v>0</v>
      </c>
      <c r="AU61">
        <v>0</v>
      </c>
      <c r="AV61">
        <v>0</v>
      </c>
      <c r="AW61">
        <v>1</v>
      </c>
      <c r="AX61" t="s">
        <v>74</v>
      </c>
      <c r="AY61">
        <v>0</v>
      </c>
      <c r="AZ61" t="s">
        <v>76</v>
      </c>
      <c r="BA61">
        <v>-1.5707963267949001</v>
      </c>
      <c r="BB61">
        <v>0.99199999999999999</v>
      </c>
      <c r="BC61">
        <v>0</v>
      </c>
      <c r="BD61">
        <v>5.8245346242475203E-2</v>
      </c>
      <c r="BE61">
        <v>0</v>
      </c>
      <c r="BF61">
        <v>1.6E-2</v>
      </c>
      <c r="BG61">
        <v>0</v>
      </c>
      <c r="BH61">
        <v>0</v>
      </c>
      <c r="BI61">
        <v>0</v>
      </c>
      <c r="BJ61">
        <v>0</v>
      </c>
      <c r="BK61">
        <v>1</v>
      </c>
      <c r="BL61">
        <v>1.0718045260772901E-4</v>
      </c>
      <c r="BM61">
        <v>1.80326869905405E-4</v>
      </c>
      <c r="BN61" s="1">
        <v>3.9028315360724001E-7</v>
      </c>
      <c r="BO61" s="1">
        <v>2.8325678486983198E-6</v>
      </c>
      <c r="BP61">
        <v>0</v>
      </c>
      <c r="BQ61">
        <v>0</v>
      </c>
      <c r="BR61" s="1">
        <v>5.8472349505651002E-5</v>
      </c>
      <c r="BS61" s="1">
        <v>9.9471778560341302E-5</v>
      </c>
    </row>
    <row r="62" spans="1:71" x14ac:dyDescent="0.25">
      <c r="A62">
        <v>59</v>
      </c>
      <c r="B62" s="1">
        <v>2.1398859311629798E-5</v>
      </c>
      <c r="C62">
        <v>0.10561577283421</v>
      </c>
      <c r="D62">
        <v>-3.07208255418972E-4</v>
      </c>
      <c r="E62">
        <v>6.1312499999999995E-4</v>
      </c>
      <c r="F62">
        <v>-1.0561577283421E-3</v>
      </c>
      <c r="G62">
        <v>0</v>
      </c>
      <c r="H62" t="s">
        <v>74</v>
      </c>
      <c r="I62">
        <v>0</v>
      </c>
      <c r="J62" t="s">
        <v>75</v>
      </c>
      <c r="K62">
        <v>3.14159265358979</v>
      </c>
      <c r="L62">
        <v>0.74879108248348702</v>
      </c>
      <c r="M62">
        <v>0</v>
      </c>
      <c r="N62">
        <v>4.39653184098069E-2</v>
      </c>
      <c r="O62">
        <v>0</v>
      </c>
      <c r="P62">
        <v>1.6E-2</v>
      </c>
      <c r="Q62">
        <v>0</v>
      </c>
      <c r="R62">
        <v>0</v>
      </c>
      <c r="S62">
        <v>0</v>
      </c>
      <c r="T62">
        <v>0</v>
      </c>
      <c r="U62">
        <v>0.754761806277082</v>
      </c>
      <c r="V62" t="s">
        <v>78</v>
      </c>
      <c r="W62">
        <v>2293243.1996537801</v>
      </c>
      <c r="X62" t="s">
        <v>76</v>
      </c>
      <c r="Y62">
        <v>-1.5707963267949001</v>
      </c>
      <c r="Z62">
        <v>0.74099042917860503</v>
      </c>
      <c r="AA62">
        <v>0.24100126458129201</v>
      </c>
      <c r="AB62">
        <v>4.0071468873858998E-2</v>
      </c>
      <c r="AC62">
        <v>1.35626813650241E-2</v>
      </c>
      <c r="AD62">
        <v>1.78876860798107E-2</v>
      </c>
      <c r="AE62">
        <v>1.6821328764439598E-2</v>
      </c>
      <c r="AF62">
        <v>0</v>
      </c>
      <c r="AG62">
        <v>0.25036925483762401</v>
      </c>
      <c r="AH62">
        <v>0.116597416224526</v>
      </c>
      <c r="AI62">
        <v>0.55580973488623597</v>
      </c>
      <c r="AJ62" t="s">
        <v>74</v>
      </c>
      <c r="AK62">
        <v>0</v>
      </c>
      <c r="AL62" t="s">
        <v>77</v>
      </c>
      <c r="AM62">
        <v>0</v>
      </c>
      <c r="AN62">
        <v>0.99199999999999999</v>
      </c>
      <c r="AO62">
        <v>0</v>
      </c>
      <c r="AP62">
        <v>5.8245346242475203E-2</v>
      </c>
      <c r="AQ62">
        <v>0</v>
      </c>
      <c r="AR62">
        <v>1.6E-2</v>
      </c>
      <c r="AS62">
        <v>0</v>
      </c>
      <c r="AT62">
        <v>0</v>
      </c>
      <c r="AU62">
        <v>0</v>
      </c>
      <c r="AV62">
        <v>0</v>
      </c>
      <c r="AW62">
        <v>1</v>
      </c>
      <c r="AX62" t="s">
        <v>74</v>
      </c>
      <c r="AY62">
        <v>0</v>
      </c>
      <c r="AZ62" t="s">
        <v>76</v>
      </c>
      <c r="BA62">
        <v>-1.5707963267949001</v>
      </c>
      <c r="BB62">
        <v>0.99199999999999999</v>
      </c>
      <c r="BC62">
        <v>0</v>
      </c>
      <c r="BD62">
        <v>5.8245346242475203E-2</v>
      </c>
      <c r="BE62">
        <v>0</v>
      </c>
      <c r="BF62">
        <v>1.6E-2</v>
      </c>
      <c r="BG62">
        <v>0</v>
      </c>
      <c r="BH62">
        <v>0</v>
      </c>
      <c r="BI62">
        <v>0</v>
      </c>
      <c r="BJ62">
        <v>0</v>
      </c>
      <c r="BK62">
        <v>1</v>
      </c>
      <c r="BL62">
        <v>1.0704508056682E-4</v>
      </c>
      <c r="BM62">
        <v>1.83483335531075E-4</v>
      </c>
      <c r="BN62" s="1">
        <v>3.8979197741080603E-7</v>
      </c>
      <c r="BO62" s="1">
        <v>2.8821494948028802E-6</v>
      </c>
      <c r="BP62">
        <v>0</v>
      </c>
      <c r="BQ62">
        <v>0</v>
      </c>
      <c r="BR62" s="1">
        <v>5.8387715700558702E-5</v>
      </c>
      <c r="BS62">
        <v>1.01215220990086E-4</v>
      </c>
    </row>
    <row r="63" spans="1:71" x14ac:dyDescent="0.25">
      <c r="A63">
        <v>60</v>
      </c>
      <c r="B63" s="1">
        <v>2.1237596210905299E-5</v>
      </c>
      <c r="C63">
        <v>0.10563701043042099</v>
      </c>
      <c r="D63">
        <v>-3.07322903050791E-4</v>
      </c>
      <c r="E63">
        <v>6.1312499999999995E-4</v>
      </c>
      <c r="F63">
        <v>-1.0563701043042101E-3</v>
      </c>
      <c r="G63">
        <v>0</v>
      </c>
      <c r="H63" t="s">
        <v>74</v>
      </c>
      <c r="I63">
        <v>0</v>
      </c>
      <c r="J63" t="s">
        <v>75</v>
      </c>
      <c r="K63">
        <v>3.14159265358979</v>
      </c>
      <c r="L63">
        <v>0.74460764894574105</v>
      </c>
      <c r="M63">
        <v>0</v>
      </c>
      <c r="N63">
        <v>4.3719687830282399E-2</v>
      </c>
      <c r="O63">
        <v>0</v>
      </c>
      <c r="P63">
        <v>1.6E-2</v>
      </c>
      <c r="Q63">
        <v>0</v>
      </c>
      <c r="R63">
        <v>0</v>
      </c>
      <c r="S63">
        <v>0</v>
      </c>
      <c r="T63">
        <v>0</v>
      </c>
      <c r="U63">
        <v>0.75056743784292901</v>
      </c>
      <c r="V63" t="s">
        <v>78</v>
      </c>
      <c r="W63">
        <v>2294232.5530671799</v>
      </c>
      <c r="X63" t="s">
        <v>76</v>
      </c>
      <c r="Y63">
        <v>-1.5707963267949001</v>
      </c>
      <c r="Z63">
        <v>0.73681238862286103</v>
      </c>
      <c r="AA63">
        <v>0.244534154272631</v>
      </c>
      <c r="AB63">
        <v>3.9832643625724397E-2</v>
      </c>
      <c r="AC63">
        <v>1.37750850664015E-2</v>
      </c>
      <c r="AD63">
        <v>1.7633047228872299E-2</v>
      </c>
      <c r="AE63">
        <v>1.7132034227237299E-2</v>
      </c>
      <c r="AF63">
        <v>0</v>
      </c>
      <c r="AG63">
        <v>0.25228428331346298</v>
      </c>
      <c r="AH63">
        <v>0.120994576851918</v>
      </c>
      <c r="AI63">
        <v>0.54877503090194502</v>
      </c>
      <c r="AJ63" t="s">
        <v>74</v>
      </c>
      <c r="AK63">
        <v>0</v>
      </c>
      <c r="AL63" t="s">
        <v>77</v>
      </c>
      <c r="AM63">
        <v>0</v>
      </c>
      <c r="AN63">
        <v>0.99199999999999999</v>
      </c>
      <c r="AO63">
        <v>0</v>
      </c>
      <c r="AP63">
        <v>5.8245346242475203E-2</v>
      </c>
      <c r="AQ63">
        <v>0</v>
      </c>
      <c r="AR63">
        <v>1.6E-2</v>
      </c>
      <c r="AS63">
        <v>0</v>
      </c>
      <c r="AT63">
        <v>0</v>
      </c>
      <c r="AU63">
        <v>0</v>
      </c>
      <c r="AV63">
        <v>0</v>
      </c>
      <c r="AW63">
        <v>1</v>
      </c>
      <c r="AX63" t="s">
        <v>74</v>
      </c>
      <c r="AY63">
        <v>0</v>
      </c>
      <c r="AZ63" t="s">
        <v>76</v>
      </c>
      <c r="BA63">
        <v>-1.5707963267949001</v>
      </c>
      <c r="BB63">
        <v>0.99199999999999999</v>
      </c>
      <c r="BC63">
        <v>0</v>
      </c>
      <c r="BD63">
        <v>5.8245346242475203E-2</v>
      </c>
      <c r="BE63">
        <v>0</v>
      </c>
      <c r="BF63">
        <v>1.6E-2</v>
      </c>
      <c r="BG63">
        <v>0</v>
      </c>
      <c r="BH63">
        <v>0</v>
      </c>
      <c r="BI63">
        <v>0</v>
      </c>
      <c r="BJ63">
        <v>0</v>
      </c>
      <c r="BK63">
        <v>1</v>
      </c>
      <c r="BL63">
        <v>1.06909054503679E-4</v>
      </c>
      <c r="BM63">
        <v>1.86639430082691E-4</v>
      </c>
      <c r="BN63" s="1">
        <v>3.8930035387956699E-7</v>
      </c>
      <c r="BO63" s="1">
        <v>2.9317253120898301E-6</v>
      </c>
      <c r="BP63">
        <v>0</v>
      </c>
      <c r="BQ63">
        <v>0</v>
      </c>
      <c r="BR63" s="1">
        <v>5.8302706000504997E-5</v>
      </c>
      <c r="BS63">
        <v>1.02958519488231E-4</v>
      </c>
    </row>
    <row r="64" spans="1:71" x14ac:dyDescent="0.25">
      <c r="A64">
        <v>61</v>
      </c>
      <c r="B64" s="1">
        <v>2.1086600823511898E-5</v>
      </c>
      <c r="C64">
        <v>0.105658097031244</v>
      </c>
      <c r="D64">
        <v>-3.0743672347147301E-4</v>
      </c>
      <c r="E64">
        <v>6.1312499999999995E-4</v>
      </c>
      <c r="F64">
        <v>-1.0565809703124401E-3</v>
      </c>
      <c r="G64" s="1">
        <v>-1.0842021724855E-19</v>
      </c>
      <c r="H64" t="s">
        <v>74</v>
      </c>
      <c r="I64">
        <v>0</v>
      </c>
      <c r="J64" t="s">
        <v>75</v>
      </c>
      <c r="K64">
        <v>3.14159265358979</v>
      </c>
      <c r="L64">
        <v>0.74042472150090899</v>
      </c>
      <c r="M64">
        <v>0</v>
      </c>
      <c r="N64">
        <v>4.3474086966037002E-2</v>
      </c>
      <c r="O64">
        <v>0</v>
      </c>
      <c r="P64">
        <v>1.6E-2</v>
      </c>
      <c r="Q64">
        <v>0</v>
      </c>
      <c r="R64">
        <v>0</v>
      </c>
      <c r="S64">
        <v>0</v>
      </c>
      <c r="T64">
        <v>0</v>
      </c>
      <c r="U64">
        <v>0.746365816800176</v>
      </c>
      <c r="V64" t="s">
        <v>78</v>
      </c>
      <c r="W64">
        <v>2295214.7680500001</v>
      </c>
      <c r="X64" t="s">
        <v>76</v>
      </c>
      <c r="Y64">
        <v>-1.5707963267949001</v>
      </c>
      <c r="Z64">
        <v>0.73263546636621502</v>
      </c>
      <c r="AA64">
        <v>0.24978945049504001</v>
      </c>
      <c r="AB64">
        <v>3.9594114788564602E-2</v>
      </c>
      <c r="AC64">
        <v>1.40415806410775E-2</v>
      </c>
      <c r="AD64">
        <v>1.7377419010581902E-2</v>
      </c>
      <c r="AE64">
        <v>1.7442737823358399E-2</v>
      </c>
      <c r="AF64">
        <v>0</v>
      </c>
      <c r="AG64">
        <v>0.25410136064029099</v>
      </c>
      <c r="AH64">
        <v>0.125488925008163</v>
      </c>
      <c r="AI64">
        <v>0.54176470122118703</v>
      </c>
      <c r="AJ64" t="s">
        <v>74</v>
      </c>
      <c r="AK64">
        <v>0</v>
      </c>
      <c r="AL64" t="s">
        <v>77</v>
      </c>
      <c r="AM64">
        <v>0</v>
      </c>
      <c r="AN64">
        <v>0.99199999999999999</v>
      </c>
      <c r="AO64">
        <v>0</v>
      </c>
      <c r="AP64">
        <v>5.8245346242475203E-2</v>
      </c>
      <c r="AQ64">
        <v>0</v>
      </c>
      <c r="AR64">
        <v>1.6E-2</v>
      </c>
      <c r="AS64">
        <v>0</v>
      </c>
      <c r="AT64">
        <v>0</v>
      </c>
      <c r="AU64">
        <v>0</v>
      </c>
      <c r="AV64">
        <v>0</v>
      </c>
      <c r="AW64">
        <v>1</v>
      </c>
      <c r="AX64" t="s">
        <v>74</v>
      </c>
      <c r="AY64">
        <v>0</v>
      </c>
      <c r="AZ64" t="s">
        <v>76</v>
      </c>
      <c r="BA64">
        <v>-1.5707963267949001</v>
      </c>
      <c r="BB64">
        <v>0.99199999999999999</v>
      </c>
      <c r="BC64">
        <v>0</v>
      </c>
      <c r="BD64">
        <v>5.8245346242475203E-2</v>
      </c>
      <c r="BE64">
        <v>0</v>
      </c>
      <c r="BF64">
        <v>1.6E-2</v>
      </c>
      <c r="BG64">
        <v>0</v>
      </c>
      <c r="BH64">
        <v>0</v>
      </c>
      <c r="BI64">
        <v>0</v>
      </c>
      <c r="BJ64">
        <v>0</v>
      </c>
      <c r="BK64">
        <v>1</v>
      </c>
      <c r="BL64">
        <v>1.06800237440315E-4</v>
      </c>
      <c r="BM64">
        <v>1.8979514282422701E-4</v>
      </c>
      <c r="BN64" s="1">
        <v>3.8886399101450398E-7</v>
      </c>
      <c r="BO64" s="1">
        <v>2.9812951319180901E-6</v>
      </c>
      <c r="BP64">
        <v>0</v>
      </c>
      <c r="BQ64">
        <v>0</v>
      </c>
      <c r="BR64" s="1">
        <v>5.8232691868326899E-5</v>
      </c>
      <c r="BS64">
        <v>1.04701668361016E-4</v>
      </c>
    </row>
    <row r="65" spans="1:71" x14ac:dyDescent="0.25">
      <c r="A65">
        <v>62</v>
      </c>
      <c r="B65" s="1">
        <v>2.094556692749E-5</v>
      </c>
      <c r="C65">
        <v>0.105679042598172</v>
      </c>
      <c r="D65">
        <v>-3.0754977070479898E-4</v>
      </c>
      <c r="E65">
        <v>6.1312499999999995E-4</v>
      </c>
      <c r="F65">
        <v>-1.0567904259817199E-3</v>
      </c>
      <c r="G65">
        <v>0</v>
      </c>
      <c r="H65" t="s">
        <v>74</v>
      </c>
      <c r="I65">
        <v>0</v>
      </c>
      <c r="J65" t="s">
        <v>75</v>
      </c>
      <c r="K65">
        <v>3.14159265358979</v>
      </c>
      <c r="L65">
        <v>0.73624231499181603</v>
      </c>
      <c r="M65">
        <v>0</v>
      </c>
      <c r="N65">
        <v>4.3228516688568398E-2</v>
      </c>
      <c r="O65">
        <v>0</v>
      </c>
      <c r="P65">
        <v>1.6E-2</v>
      </c>
      <c r="Q65">
        <v>0</v>
      </c>
      <c r="R65">
        <v>0</v>
      </c>
      <c r="S65">
        <v>0</v>
      </c>
      <c r="T65">
        <v>0</v>
      </c>
      <c r="U65">
        <v>0.74215964577728299</v>
      </c>
      <c r="V65" t="s">
        <v>78</v>
      </c>
      <c r="W65">
        <v>2296190.3108012201</v>
      </c>
      <c r="X65" t="s">
        <v>76</v>
      </c>
      <c r="Y65">
        <v>-1.5707963267949001</v>
      </c>
      <c r="Z65">
        <v>0.72845965757896602</v>
      </c>
      <c r="AA65">
        <v>0.25321848778193301</v>
      </c>
      <c r="AB65">
        <v>3.9355874529390003E-2</v>
      </c>
      <c r="AC65">
        <v>1.42506862466571E-2</v>
      </c>
      <c r="AD65">
        <v>1.71208497707219E-2</v>
      </c>
      <c r="AE65">
        <v>1.77534242319345E-2</v>
      </c>
      <c r="AF65">
        <v>0</v>
      </c>
      <c r="AG65">
        <v>0.25581933395714601</v>
      </c>
      <c r="AH65">
        <v>0.13008159115857401</v>
      </c>
      <c r="AI65">
        <v>0.53477904185570002</v>
      </c>
      <c r="AJ65" t="s">
        <v>74</v>
      </c>
      <c r="AK65">
        <v>0</v>
      </c>
      <c r="AL65" t="s">
        <v>77</v>
      </c>
      <c r="AM65">
        <v>0</v>
      </c>
      <c r="AN65">
        <v>0.99199999999999999</v>
      </c>
      <c r="AO65">
        <v>0</v>
      </c>
      <c r="AP65">
        <v>5.8245346242475203E-2</v>
      </c>
      <c r="AQ65">
        <v>0</v>
      </c>
      <c r="AR65">
        <v>1.6E-2</v>
      </c>
      <c r="AS65">
        <v>0</v>
      </c>
      <c r="AT65">
        <v>0</v>
      </c>
      <c r="AU65">
        <v>0</v>
      </c>
      <c r="AV65">
        <v>0</v>
      </c>
      <c r="AW65">
        <v>1</v>
      </c>
      <c r="AX65" t="s">
        <v>74</v>
      </c>
      <c r="AY65">
        <v>0</v>
      </c>
      <c r="AZ65" t="s">
        <v>76</v>
      </c>
      <c r="BA65">
        <v>-1.5707963267949001</v>
      </c>
      <c r="BB65">
        <v>0.99199999999999999</v>
      </c>
      <c r="BC65">
        <v>0</v>
      </c>
      <c r="BD65">
        <v>5.8245346242475203E-2</v>
      </c>
      <c r="BE65">
        <v>0</v>
      </c>
      <c r="BF65">
        <v>1.6E-2</v>
      </c>
      <c r="BG65">
        <v>0</v>
      </c>
      <c r="BH65">
        <v>0</v>
      </c>
      <c r="BI65">
        <v>0</v>
      </c>
      <c r="BJ65">
        <v>0</v>
      </c>
      <c r="BK65">
        <v>1</v>
      </c>
      <c r="BL65">
        <v>1.0666288497478301E-4</v>
      </c>
      <c r="BM65">
        <v>1.9295046255785999E-4</v>
      </c>
      <c r="BN65" s="1">
        <v>3.8837138526582702E-7</v>
      </c>
      <c r="BO65" s="1">
        <v>3.0308587783926301E-6</v>
      </c>
      <c r="BP65">
        <v>0</v>
      </c>
      <c r="BQ65">
        <v>0</v>
      </c>
      <c r="BR65" s="1">
        <v>5.8146922528700501E-5</v>
      </c>
      <c r="BS65">
        <v>1.0644466170041701E-4</v>
      </c>
    </row>
    <row r="66" spans="1:71" x14ac:dyDescent="0.25">
      <c r="A66">
        <v>63</v>
      </c>
      <c r="B66" s="1">
        <v>2.0814218988107901E-5</v>
      </c>
      <c r="C66">
        <v>0.10569985681716</v>
      </c>
      <c r="D66">
        <v>-3.0766209726320898E-4</v>
      </c>
      <c r="E66">
        <v>6.1312499999999995E-4</v>
      </c>
      <c r="F66">
        <v>-1.0569985681716E-3</v>
      </c>
      <c r="G66" s="1">
        <v>-1.0842021724855E-19</v>
      </c>
      <c r="H66" t="s">
        <v>74</v>
      </c>
      <c r="I66">
        <v>0</v>
      </c>
      <c r="J66" t="s">
        <v>75</v>
      </c>
      <c r="K66">
        <v>3.14159265358979</v>
      </c>
      <c r="L66">
        <v>0.732060444910134</v>
      </c>
      <c r="M66">
        <v>0</v>
      </c>
      <c r="N66">
        <v>4.2982977907471E-2</v>
      </c>
      <c r="O66">
        <v>0</v>
      </c>
      <c r="P66">
        <v>1.6E-2</v>
      </c>
      <c r="Q66">
        <v>0</v>
      </c>
      <c r="R66">
        <v>0</v>
      </c>
      <c r="S66">
        <v>0</v>
      </c>
      <c r="T66">
        <v>0</v>
      </c>
      <c r="U66">
        <v>0.73795066940722798</v>
      </c>
      <c r="V66" t="s">
        <v>78</v>
      </c>
      <c r="W66">
        <v>2297159.6344777402</v>
      </c>
      <c r="X66" t="s">
        <v>76</v>
      </c>
      <c r="Y66">
        <v>-1.5707963267949001</v>
      </c>
      <c r="Z66">
        <v>0.72428495877611798</v>
      </c>
      <c r="AA66">
        <v>0.25831755008284601</v>
      </c>
      <c r="AB66">
        <v>3.9117915391232799E-2</v>
      </c>
      <c r="AC66">
        <v>1.45122405594399E-2</v>
      </c>
      <c r="AD66">
        <v>1.6863386349693799E-2</v>
      </c>
      <c r="AE66">
        <v>1.8064078227648401E-2</v>
      </c>
      <c r="AF66">
        <v>0</v>
      </c>
      <c r="AG66">
        <v>0.25743701909356498</v>
      </c>
      <c r="AH66">
        <v>0.134773736098945</v>
      </c>
      <c r="AI66">
        <v>0.52781834881037104</v>
      </c>
      <c r="AJ66" t="s">
        <v>74</v>
      </c>
      <c r="AK66">
        <v>0</v>
      </c>
      <c r="AL66" t="s">
        <v>77</v>
      </c>
      <c r="AM66">
        <v>0</v>
      </c>
      <c r="AN66">
        <v>0.99199999999999999</v>
      </c>
      <c r="AO66">
        <v>0</v>
      </c>
      <c r="AP66">
        <v>5.8245346242475203E-2</v>
      </c>
      <c r="AQ66">
        <v>0</v>
      </c>
      <c r="AR66">
        <v>1.6E-2</v>
      </c>
      <c r="AS66">
        <v>0</v>
      </c>
      <c r="AT66">
        <v>0</v>
      </c>
      <c r="AU66">
        <v>0</v>
      </c>
      <c r="AV66">
        <v>0</v>
      </c>
      <c r="AW66">
        <v>1</v>
      </c>
      <c r="AX66" t="s">
        <v>74</v>
      </c>
      <c r="AY66">
        <v>0</v>
      </c>
      <c r="AZ66" t="s">
        <v>76</v>
      </c>
      <c r="BA66">
        <v>-1.5707963267949001</v>
      </c>
      <c r="BB66">
        <v>0.99199999999999999</v>
      </c>
      <c r="BC66">
        <v>0</v>
      </c>
      <c r="BD66">
        <v>5.8245346242475203E-2</v>
      </c>
      <c r="BE66">
        <v>0</v>
      </c>
      <c r="BF66">
        <v>1.6E-2</v>
      </c>
      <c r="BG66">
        <v>0</v>
      </c>
      <c r="BH66">
        <v>0</v>
      </c>
      <c r="BI66">
        <v>0</v>
      </c>
      <c r="BJ66">
        <v>0</v>
      </c>
      <c r="BK66">
        <v>1</v>
      </c>
      <c r="BL66">
        <v>1.06551913171547E-4</v>
      </c>
      <c r="BM66">
        <v>1.9610537759625501E-4</v>
      </c>
      <c r="BN66" s="1">
        <v>3.8793235243491401E-7</v>
      </c>
      <c r="BO66" s="1">
        <v>3.0804160679292402E-6</v>
      </c>
      <c r="BP66">
        <v>0</v>
      </c>
      <c r="BQ66">
        <v>0</v>
      </c>
      <c r="BR66" s="1">
        <v>5.8075693695193101E-5</v>
      </c>
      <c r="BS66">
        <v>1.0818749336950799E-4</v>
      </c>
    </row>
    <row r="67" spans="1:71" x14ac:dyDescent="0.25">
      <c r="A67">
        <v>64</v>
      </c>
      <c r="B67" s="1">
        <v>2.0692310504315599E-5</v>
      </c>
      <c r="C67">
        <v>0.105720549127664</v>
      </c>
      <c r="D67">
        <v>-3.0777375430562698E-4</v>
      </c>
      <c r="E67">
        <v>6.1312499999999995E-4</v>
      </c>
      <c r="F67">
        <v>-1.0572054912766399E-3</v>
      </c>
      <c r="G67">
        <v>0</v>
      </c>
      <c r="H67" t="s">
        <v>74</v>
      </c>
      <c r="I67">
        <v>0</v>
      </c>
      <c r="J67" t="s">
        <v>75</v>
      </c>
      <c r="K67">
        <v>3.14159265358979</v>
      </c>
      <c r="L67">
        <v>0.72787912743585703</v>
      </c>
      <c r="M67">
        <v>0</v>
      </c>
      <c r="N67">
        <v>4.2737471572754301E-2</v>
      </c>
      <c r="O67">
        <v>0</v>
      </c>
      <c r="P67">
        <v>1.6E-2</v>
      </c>
      <c r="Q67">
        <v>0</v>
      </c>
      <c r="R67">
        <v>0</v>
      </c>
      <c r="S67">
        <v>0</v>
      </c>
      <c r="T67">
        <v>0</v>
      </c>
      <c r="U67">
        <v>0.73374004169695095</v>
      </c>
      <c r="V67" t="s">
        <v>78</v>
      </c>
      <c r="W67">
        <v>2298123.1805562298</v>
      </c>
      <c r="X67" t="s">
        <v>76</v>
      </c>
      <c r="Y67">
        <v>-1.5707963267949001</v>
      </c>
      <c r="Z67">
        <v>0.72011136780169904</v>
      </c>
      <c r="AA67">
        <v>0.26164200368108098</v>
      </c>
      <c r="AB67">
        <v>3.88802302699814E-2</v>
      </c>
      <c r="AC67">
        <v>1.4718031047164E-2</v>
      </c>
      <c r="AD67">
        <v>1.6605074193862802E-2</v>
      </c>
      <c r="AE67">
        <v>1.8374684664495801E-2</v>
      </c>
      <c r="AF67">
        <v>0</v>
      </c>
      <c r="AG67">
        <v>0.25895319923159199</v>
      </c>
      <c r="AH67">
        <v>0.13956655223398901</v>
      </c>
      <c r="AI67">
        <v>0.52088291842581402</v>
      </c>
      <c r="AJ67" t="s">
        <v>74</v>
      </c>
      <c r="AK67">
        <v>0</v>
      </c>
      <c r="AL67" t="s">
        <v>77</v>
      </c>
      <c r="AM67">
        <v>0</v>
      </c>
      <c r="AN67">
        <v>0.99199999999999999</v>
      </c>
      <c r="AO67">
        <v>0</v>
      </c>
      <c r="AP67">
        <v>5.8245346242475203E-2</v>
      </c>
      <c r="AQ67">
        <v>0</v>
      </c>
      <c r="AR67">
        <v>1.6E-2</v>
      </c>
      <c r="AS67">
        <v>0</v>
      </c>
      <c r="AT67">
        <v>0</v>
      </c>
      <c r="AU67">
        <v>0</v>
      </c>
      <c r="AV67">
        <v>0</v>
      </c>
      <c r="AW67">
        <v>1</v>
      </c>
      <c r="AX67" t="s">
        <v>74</v>
      </c>
      <c r="AY67">
        <v>0</v>
      </c>
      <c r="AZ67" t="s">
        <v>76</v>
      </c>
      <c r="BA67">
        <v>-1.5707963267949001</v>
      </c>
      <c r="BB67">
        <v>0.99199999999999999</v>
      </c>
      <c r="BC67">
        <v>0</v>
      </c>
      <c r="BD67">
        <v>5.8245346242475203E-2</v>
      </c>
      <c r="BE67">
        <v>0</v>
      </c>
      <c r="BF67">
        <v>1.6E-2</v>
      </c>
      <c r="BG67">
        <v>0</v>
      </c>
      <c r="BH67">
        <v>0</v>
      </c>
      <c r="BI67">
        <v>0</v>
      </c>
      <c r="BJ67">
        <v>0</v>
      </c>
      <c r="BK67">
        <v>1</v>
      </c>
      <c r="BL67">
        <v>1.06413212687425E-4</v>
      </c>
      <c r="BM67">
        <v>1.9925987573278999E-4</v>
      </c>
      <c r="BN67" s="1">
        <v>3.8743866239598499E-7</v>
      </c>
      <c r="BO67" s="1">
        <v>3.12996680878675E-6</v>
      </c>
      <c r="BP67">
        <v>0</v>
      </c>
      <c r="BQ67">
        <v>0</v>
      </c>
      <c r="BR67" s="1">
        <v>5.7989155221657803E-5</v>
      </c>
      <c r="BS67">
        <v>1.0993015698681701E-4</v>
      </c>
    </row>
    <row r="68" spans="1:71" x14ac:dyDescent="0.25">
      <c r="A68">
        <v>65</v>
      </c>
      <c r="B68" s="1">
        <v>2.0579622578818201E-5</v>
      </c>
      <c r="C68">
        <v>0.105741128750243</v>
      </c>
      <c r="D68">
        <v>-3.07884791787431E-4</v>
      </c>
      <c r="E68">
        <v>6.1312499999999995E-4</v>
      </c>
      <c r="F68">
        <v>-1.0574112875024299E-3</v>
      </c>
      <c r="G68">
        <v>0</v>
      </c>
      <c r="H68" t="s">
        <v>74</v>
      </c>
      <c r="I68">
        <v>0</v>
      </c>
      <c r="J68" t="s">
        <v>75</v>
      </c>
      <c r="K68">
        <v>3.14159265358979</v>
      </c>
      <c r="L68">
        <v>0.72369837947972804</v>
      </c>
      <c r="M68">
        <v>0</v>
      </c>
      <c r="N68">
        <v>4.2491998677333699E-2</v>
      </c>
      <c r="O68">
        <v>0</v>
      </c>
      <c r="P68">
        <v>1.6E-2</v>
      </c>
      <c r="Q68">
        <v>0</v>
      </c>
      <c r="R68">
        <v>0</v>
      </c>
      <c r="S68">
        <v>0</v>
      </c>
      <c r="T68">
        <v>0</v>
      </c>
      <c r="U68">
        <v>0.72952852686344005</v>
      </c>
      <c r="V68" t="s">
        <v>78</v>
      </c>
      <c r="W68">
        <v>2299081.3801273401</v>
      </c>
      <c r="X68" t="s">
        <v>76</v>
      </c>
      <c r="Y68">
        <v>-1.5707963267949001</v>
      </c>
      <c r="Z68">
        <v>0.71593888381922199</v>
      </c>
      <c r="AA68">
        <v>0.264913914481682</v>
      </c>
      <c r="AB68">
        <v>3.8642812393013898E-2</v>
      </c>
      <c r="AC68">
        <v>1.4922158661774499E-2</v>
      </c>
      <c r="AD68">
        <v>1.6345957459671E-2</v>
      </c>
      <c r="AE68">
        <v>1.86852284600557E-2</v>
      </c>
      <c r="AF68">
        <v>0</v>
      </c>
      <c r="AG68">
        <v>0.26036662348724998</v>
      </c>
      <c r="AH68">
        <v>0.14446126493184699</v>
      </c>
      <c r="AI68">
        <v>0.51397304770700403</v>
      </c>
      <c r="AJ68" t="s">
        <v>74</v>
      </c>
      <c r="AK68">
        <v>0</v>
      </c>
      <c r="AL68" t="s">
        <v>77</v>
      </c>
      <c r="AM68">
        <v>0</v>
      </c>
      <c r="AN68">
        <v>0.99199999999999999</v>
      </c>
      <c r="AO68">
        <v>0</v>
      </c>
      <c r="AP68">
        <v>5.8245346242475203E-2</v>
      </c>
      <c r="AQ68">
        <v>0</v>
      </c>
      <c r="AR68">
        <v>1.6E-2</v>
      </c>
      <c r="AS68">
        <v>0</v>
      </c>
      <c r="AT68">
        <v>0</v>
      </c>
      <c r="AU68">
        <v>0</v>
      </c>
      <c r="AV68">
        <v>0</v>
      </c>
      <c r="AW68">
        <v>1</v>
      </c>
      <c r="AX68" t="s">
        <v>74</v>
      </c>
      <c r="AY68">
        <v>0</v>
      </c>
      <c r="AZ68" t="s">
        <v>76</v>
      </c>
      <c r="BA68">
        <v>-1.5707963267949001</v>
      </c>
      <c r="BB68">
        <v>0.99199999999999999</v>
      </c>
      <c r="BC68">
        <v>0</v>
      </c>
      <c r="BD68">
        <v>5.8245346242475203E-2</v>
      </c>
      <c r="BE68">
        <v>0</v>
      </c>
      <c r="BF68">
        <v>1.6E-2</v>
      </c>
      <c r="BG68">
        <v>0</v>
      </c>
      <c r="BH68">
        <v>0</v>
      </c>
      <c r="BI68">
        <v>0</v>
      </c>
      <c r="BJ68">
        <v>0</v>
      </c>
      <c r="BK68">
        <v>1</v>
      </c>
      <c r="BL68">
        <v>1.06273831108536E-4</v>
      </c>
      <c r="BM68">
        <v>2.0241394420954901E-4</v>
      </c>
      <c r="BN68" s="1">
        <v>3.8694439712598002E-7</v>
      </c>
      <c r="BO68" s="1">
        <v>3.1795108005642599E-6</v>
      </c>
      <c r="BP68">
        <v>0</v>
      </c>
      <c r="BQ68">
        <v>0</v>
      </c>
      <c r="BR68" s="1">
        <v>5.7902228982424502E-5</v>
      </c>
      <c r="BS68">
        <v>1.1167264590959799E-4</v>
      </c>
    </row>
    <row r="69" spans="1:71" x14ac:dyDescent="0.25">
      <c r="A69">
        <v>66</v>
      </c>
      <c r="B69" s="1">
        <v>2.04759626948697E-5</v>
      </c>
      <c r="C69">
        <v>0.105761604712938</v>
      </c>
      <c r="D69">
        <v>-3.0799525860368798E-4</v>
      </c>
      <c r="E69">
        <v>6.1312499999999995E-4</v>
      </c>
      <c r="F69">
        <v>-1.05761604712938E-3</v>
      </c>
      <c r="G69">
        <v>0</v>
      </c>
      <c r="H69" t="s">
        <v>74</v>
      </c>
      <c r="I69">
        <v>0</v>
      </c>
      <c r="J69" t="s">
        <v>75</v>
      </c>
      <c r="K69">
        <v>3.14159265358979</v>
      </c>
      <c r="L69">
        <v>0.71951821872890498</v>
      </c>
      <c r="M69">
        <v>0</v>
      </c>
      <c r="N69">
        <v>4.2246560259711803E-2</v>
      </c>
      <c r="O69">
        <v>0</v>
      </c>
      <c r="P69">
        <v>1.6E-2</v>
      </c>
      <c r="Q69">
        <v>0</v>
      </c>
      <c r="R69">
        <v>0</v>
      </c>
      <c r="S69">
        <v>0</v>
      </c>
      <c r="T69">
        <v>0</v>
      </c>
      <c r="U69">
        <v>0.72531663407332603</v>
      </c>
      <c r="V69" t="s">
        <v>78</v>
      </c>
      <c r="W69">
        <v>2300034.6551317801</v>
      </c>
      <c r="X69" t="s">
        <v>76</v>
      </c>
      <c r="Y69">
        <v>-1.5707963267949001</v>
      </c>
      <c r="Z69">
        <v>0.71176750730820004</v>
      </c>
      <c r="AA69">
        <v>0.27142026580725698</v>
      </c>
      <c r="AB69">
        <v>3.84056552994659E-2</v>
      </c>
      <c r="AC69">
        <v>1.52278885853048E-2</v>
      </c>
      <c r="AD69">
        <v>1.6086079111252399E-2</v>
      </c>
      <c r="AE69">
        <v>1.8995694580200301E-2</v>
      </c>
      <c r="AF69">
        <v>0</v>
      </c>
      <c r="AG69">
        <v>0.26167600540546598</v>
      </c>
      <c r="AH69">
        <v>0.14945913396025901</v>
      </c>
      <c r="AI69">
        <v>0.50708903464004995</v>
      </c>
      <c r="AJ69" t="s">
        <v>74</v>
      </c>
      <c r="AK69">
        <v>0</v>
      </c>
      <c r="AL69" t="s">
        <v>77</v>
      </c>
      <c r="AM69">
        <v>0</v>
      </c>
      <c r="AN69">
        <v>0.99199999999999999</v>
      </c>
      <c r="AO69">
        <v>0</v>
      </c>
      <c r="AP69">
        <v>5.8245346242475203E-2</v>
      </c>
      <c r="AQ69">
        <v>0</v>
      </c>
      <c r="AR69">
        <v>1.6E-2</v>
      </c>
      <c r="AS69">
        <v>0</v>
      </c>
      <c r="AT69">
        <v>0</v>
      </c>
      <c r="AU69">
        <v>0</v>
      </c>
      <c r="AV69">
        <v>0</v>
      </c>
      <c r="AW69">
        <v>1</v>
      </c>
      <c r="AX69" t="s">
        <v>74</v>
      </c>
      <c r="AY69">
        <v>0</v>
      </c>
      <c r="AZ69" t="s">
        <v>76</v>
      </c>
      <c r="BA69">
        <v>-1.5707963267949001</v>
      </c>
      <c r="BB69">
        <v>0.99199999999999999</v>
      </c>
      <c r="BC69">
        <v>0</v>
      </c>
      <c r="BD69">
        <v>5.8245346242475203E-2</v>
      </c>
      <c r="BE69">
        <v>0</v>
      </c>
      <c r="BF69">
        <v>1.6E-2</v>
      </c>
      <c r="BG69">
        <v>0</v>
      </c>
      <c r="BH69">
        <v>0</v>
      </c>
      <c r="BI69">
        <v>0</v>
      </c>
      <c r="BJ69">
        <v>0</v>
      </c>
      <c r="BK69">
        <v>1</v>
      </c>
      <c r="BL69">
        <v>1.06185398314716E-4</v>
      </c>
      <c r="BM69">
        <v>2.0556756968286201E-4</v>
      </c>
      <c r="BN69" s="1">
        <v>3.86552805056545E-7</v>
      </c>
      <c r="BO69" s="1">
        <v>3.22904783365994E-6</v>
      </c>
      <c r="BP69">
        <v>0</v>
      </c>
      <c r="BQ69">
        <v>0</v>
      </c>
      <c r="BR69" s="1">
        <v>5.7843400580136399E-5</v>
      </c>
      <c r="BS69">
        <v>1.13414953215916E-4</v>
      </c>
    </row>
    <row r="70" spans="1:71" x14ac:dyDescent="0.25">
      <c r="A70">
        <v>67</v>
      </c>
      <c r="B70" s="1">
        <v>2.03811636855899E-5</v>
      </c>
      <c r="C70">
        <v>0.105781985876624</v>
      </c>
      <c r="D70">
        <v>-3.0810520272671999E-4</v>
      </c>
      <c r="E70">
        <v>6.1312499999999995E-4</v>
      </c>
      <c r="F70">
        <v>-1.05781985876623E-3</v>
      </c>
      <c r="G70" s="1">
        <v>-1.0842021724855E-19</v>
      </c>
      <c r="H70" t="s">
        <v>74</v>
      </c>
      <c r="I70">
        <v>0</v>
      </c>
      <c r="J70" t="s">
        <v>75</v>
      </c>
      <c r="K70">
        <v>3.14159265358979</v>
      </c>
      <c r="L70">
        <v>0.71533866369623</v>
      </c>
      <c r="M70">
        <v>0</v>
      </c>
      <c r="N70">
        <v>4.2001157406871402E-2</v>
      </c>
      <c r="O70">
        <v>0</v>
      </c>
      <c r="P70">
        <v>1.6E-2</v>
      </c>
      <c r="Q70">
        <v>0</v>
      </c>
      <c r="R70">
        <v>0</v>
      </c>
      <c r="S70">
        <v>0</v>
      </c>
      <c r="T70">
        <v>0</v>
      </c>
      <c r="U70">
        <v>0.72110470579177199</v>
      </c>
      <c r="V70" t="s">
        <v>78</v>
      </c>
      <c r="W70">
        <v>2300983.4195474102</v>
      </c>
      <c r="X70" t="s">
        <v>76</v>
      </c>
      <c r="Y70">
        <v>-1.5707963267949001</v>
      </c>
      <c r="Z70">
        <v>0.70759724006672398</v>
      </c>
      <c r="AA70">
        <v>0.27458663345862599</v>
      </c>
      <c r="AB70">
        <v>3.81687528219882E-2</v>
      </c>
      <c r="AC70">
        <v>1.5428681515978799E-2</v>
      </c>
      <c r="AD70">
        <v>1.5825481012218399E-2</v>
      </c>
      <c r="AE70">
        <v>1.9306068024173201E-2</v>
      </c>
      <c r="AF70">
        <v>0</v>
      </c>
      <c r="AG70">
        <v>0.26288002136190303</v>
      </c>
      <c r="AH70">
        <v>0.15456145501038901</v>
      </c>
      <c r="AI70">
        <v>0.50023117849903798</v>
      </c>
      <c r="AJ70" t="s">
        <v>74</v>
      </c>
      <c r="AK70">
        <v>0</v>
      </c>
      <c r="AL70" t="s">
        <v>77</v>
      </c>
      <c r="AM70">
        <v>0</v>
      </c>
      <c r="AN70">
        <v>0.99199999999999999</v>
      </c>
      <c r="AO70">
        <v>0</v>
      </c>
      <c r="AP70">
        <v>5.8245346242475203E-2</v>
      </c>
      <c r="AQ70">
        <v>0</v>
      </c>
      <c r="AR70">
        <v>1.6E-2</v>
      </c>
      <c r="AS70">
        <v>0</v>
      </c>
      <c r="AT70">
        <v>0</v>
      </c>
      <c r="AU70">
        <v>0</v>
      </c>
      <c r="AV70">
        <v>0</v>
      </c>
      <c r="AW70">
        <v>1</v>
      </c>
      <c r="AX70" t="s">
        <v>74</v>
      </c>
      <c r="AY70">
        <v>0</v>
      </c>
      <c r="AZ70" t="s">
        <v>76</v>
      </c>
      <c r="BA70">
        <v>-1.5707963267949001</v>
      </c>
      <c r="BB70">
        <v>0.99199999999999999</v>
      </c>
      <c r="BC70">
        <v>0</v>
      </c>
      <c r="BD70">
        <v>5.8245346242475203E-2</v>
      </c>
      <c r="BE70">
        <v>0</v>
      </c>
      <c r="BF70">
        <v>1.6E-2</v>
      </c>
      <c r="BG70">
        <v>0</v>
      </c>
      <c r="BH70">
        <v>0</v>
      </c>
      <c r="BI70">
        <v>0</v>
      </c>
      <c r="BJ70">
        <v>0</v>
      </c>
      <c r="BK70">
        <v>1</v>
      </c>
      <c r="BL70">
        <v>1.06044642114894E-4</v>
      </c>
      <c r="BM70">
        <v>2.0872073818614599E-4</v>
      </c>
      <c r="BN70" s="1">
        <v>3.8605733218594E-7</v>
      </c>
      <c r="BO70" s="1">
        <v>3.2785776886871798E-6</v>
      </c>
      <c r="BP70">
        <v>0</v>
      </c>
      <c r="BQ70">
        <v>0</v>
      </c>
      <c r="BR70" s="1">
        <v>5.7755694235950498E-5</v>
      </c>
      <c r="BS70">
        <v>1.1515707168538799E-4</v>
      </c>
    </row>
    <row r="71" spans="1:71" x14ac:dyDescent="0.25">
      <c r="A71">
        <v>68</v>
      </c>
      <c r="B71" s="1">
        <v>2.02950828847103E-5</v>
      </c>
      <c r="C71">
        <v>0.105802280959508</v>
      </c>
      <c r="D71">
        <v>-3.0821467133896599E-4</v>
      </c>
      <c r="E71">
        <v>6.1312499999999995E-4</v>
      </c>
      <c r="F71">
        <v>-1.05802280959508E-3</v>
      </c>
      <c r="G71" s="1">
        <v>-1.0842021724855E-19</v>
      </c>
      <c r="H71" t="s">
        <v>74</v>
      </c>
      <c r="I71">
        <v>0</v>
      </c>
      <c r="J71" t="s">
        <v>75</v>
      </c>
      <c r="K71">
        <v>3.14159265358979</v>
      </c>
      <c r="L71">
        <v>0.71115973377335895</v>
      </c>
      <c r="M71">
        <v>0</v>
      </c>
      <c r="N71">
        <v>4.1755791257395002E-2</v>
      </c>
      <c r="O71">
        <v>0</v>
      </c>
      <c r="P71">
        <v>1.6E-2</v>
      </c>
      <c r="Q71">
        <v>0</v>
      </c>
      <c r="R71">
        <v>0</v>
      </c>
      <c r="S71">
        <v>0</v>
      </c>
      <c r="T71">
        <v>0</v>
      </c>
      <c r="U71">
        <v>0.71689297560340903</v>
      </c>
      <c r="V71" t="s">
        <v>78</v>
      </c>
      <c r="W71">
        <v>2301928.0805357499</v>
      </c>
      <c r="X71" t="s">
        <v>76</v>
      </c>
      <c r="Y71">
        <v>-1.5707963267949001</v>
      </c>
      <c r="Z71">
        <v>0.70342808522002498</v>
      </c>
      <c r="AA71">
        <v>0.27770001783846299</v>
      </c>
      <c r="AB71">
        <v>3.7932099069858102E-2</v>
      </c>
      <c r="AC71">
        <v>1.5627802690382199E-2</v>
      </c>
      <c r="AD71">
        <v>1.5564204012216001E-2</v>
      </c>
      <c r="AE71">
        <v>1.9616333809981502E-2</v>
      </c>
      <c r="AF71">
        <v>0</v>
      </c>
      <c r="AG71">
        <v>0.26397730886461401</v>
      </c>
      <c r="AH71">
        <v>0.15976956131501699</v>
      </c>
      <c r="AI71">
        <v>0.49339978014459901</v>
      </c>
      <c r="AJ71" t="s">
        <v>74</v>
      </c>
      <c r="AK71">
        <v>0</v>
      </c>
      <c r="AL71" t="s">
        <v>77</v>
      </c>
      <c r="AM71">
        <v>0</v>
      </c>
      <c r="AN71">
        <v>0.99199999999999999</v>
      </c>
      <c r="AO71">
        <v>0</v>
      </c>
      <c r="AP71">
        <v>5.8245346242475203E-2</v>
      </c>
      <c r="AQ71">
        <v>0</v>
      </c>
      <c r="AR71">
        <v>1.6E-2</v>
      </c>
      <c r="AS71">
        <v>0</v>
      </c>
      <c r="AT71">
        <v>0</v>
      </c>
      <c r="AU71">
        <v>0</v>
      </c>
      <c r="AV71">
        <v>0</v>
      </c>
      <c r="AW71">
        <v>1</v>
      </c>
      <c r="AX71" t="s">
        <v>74</v>
      </c>
      <c r="AY71">
        <v>0</v>
      </c>
      <c r="AZ71" t="s">
        <v>76</v>
      </c>
      <c r="BA71">
        <v>-1.5707963267949001</v>
      </c>
      <c r="BB71">
        <v>0.99199999999999999</v>
      </c>
      <c r="BC71">
        <v>0</v>
      </c>
      <c r="BD71">
        <v>5.8245346242475203E-2</v>
      </c>
      <c r="BE71">
        <v>0</v>
      </c>
      <c r="BF71">
        <v>1.6E-2</v>
      </c>
      <c r="BG71">
        <v>0</v>
      </c>
      <c r="BH71">
        <v>0</v>
      </c>
      <c r="BI71">
        <v>0</v>
      </c>
      <c r="BJ71">
        <v>0</v>
      </c>
      <c r="BK71">
        <v>1</v>
      </c>
      <c r="BL71">
        <v>1.05903192751293E-4</v>
      </c>
      <c r="BM71">
        <v>2.1187343508981499E-4</v>
      </c>
      <c r="BN71" s="1">
        <v>3.85561229238192E-7</v>
      </c>
      <c r="BO71" s="1">
        <v>3.32810013584499E-6</v>
      </c>
      <c r="BP71">
        <v>0</v>
      </c>
      <c r="BQ71">
        <v>0</v>
      </c>
      <c r="BR71" s="1">
        <v>5.76675951155528E-5</v>
      </c>
      <c r="BS71">
        <v>1.16898993778497E-4</v>
      </c>
    </row>
    <row r="72" spans="1:71" x14ac:dyDescent="0.25">
      <c r="A72">
        <v>69</v>
      </c>
      <c r="B72" s="1">
        <v>2.0217601449515602E-5</v>
      </c>
      <c r="C72">
        <v>0.105822498560958</v>
      </c>
      <c r="D72">
        <v>-3.0832371096208803E-4</v>
      </c>
      <c r="E72">
        <v>6.1312499999999995E-4</v>
      </c>
      <c r="F72">
        <v>-1.05822498560958E-3</v>
      </c>
      <c r="G72">
        <v>0</v>
      </c>
      <c r="H72" t="s">
        <v>74</v>
      </c>
      <c r="I72">
        <v>0</v>
      </c>
      <c r="J72" t="s">
        <v>75</v>
      </c>
      <c r="K72">
        <v>3.14159265358979</v>
      </c>
      <c r="L72">
        <v>0.70698144928820195</v>
      </c>
      <c r="M72">
        <v>0</v>
      </c>
      <c r="N72">
        <v>4.1510463004837003E-2</v>
      </c>
      <c r="O72">
        <v>0</v>
      </c>
      <c r="P72">
        <v>1.6E-2</v>
      </c>
      <c r="Q72">
        <v>0</v>
      </c>
      <c r="R72">
        <v>0</v>
      </c>
      <c r="S72">
        <v>0</v>
      </c>
      <c r="T72">
        <v>0</v>
      </c>
      <c r="U72">
        <v>0.71268160599126495</v>
      </c>
      <c r="V72" t="s">
        <v>78</v>
      </c>
      <c r="W72">
        <v>2302869.0395561899</v>
      </c>
      <c r="X72" t="s">
        <v>76</v>
      </c>
      <c r="Y72">
        <v>-1.5707963267949001</v>
      </c>
      <c r="Z72">
        <v>0.69926004723517898</v>
      </c>
      <c r="AA72">
        <v>0.28232452130938601</v>
      </c>
      <c r="AB72">
        <v>3.7695688413329001E-2</v>
      </c>
      <c r="AC72">
        <v>1.5874391525724299E-2</v>
      </c>
      <c r="AD72">
        <v>1.53022880288188E-2</v>
      </c>
      <c r="AE72">
        <v>1.9926476960033301E-2</v>
      </c>
      <c r="AF72">
        <v>0</v>
      </c>
      <c r="AG72">
        <v>0.26496646474767199</v>
      </c>
      <c r="AH72">
        <v>0.165084825368224</v>
      </c>
      <c r="AI72">
        <v>0.486595142315978</v>
      </c>
      <c r="AJ72" t="s">
        <v>74</v>
      </c>
      <c r="AK72">
        <v>0</v>
      </c>
      <c r="AL72" t="s">
        <v>77</v>
      </c>
      <c r="AM72">
        <v>0</v>
      </c>
      <c r="AN72">
        <v>0.99199999999999999</v>
      </c>
      <c r="AO72">
        <v>0</v>
      </c>
      <c r="AP72">
        <v>5.8245346242475203E-2</v>
      </c>
      <c r="AQ72">
        <v>0</v>
      </c>
      <c r="AR72">
        <v>1.6E-2</v>
      </c>
      <c r="AS72">
        <v>0</v>
      </c>
      <c r="AT72">
        <v>0</v>
      </c>
      <c r="AU72">
        <v>0</v>
      </c>
      <c r="AV72">
        <v>0</v>
      </c>
      <c r="AW72">
        <v>1</v>
      </c>
      <c r="AX72" t="s">
        <v>74</v>
      </c>
      <c r="AY72">
        <v>0</v>
      </c>
      <c r="AZ72" t="s">
        <v>76</v>
      </c>
      <c r="BA72">
        <v>-1.5707963267949001</v>
      </c>
      <c r="BB72">
        <v>0.99199999999999999</v>
      </c>
      <c r="BC72">
        <v>0</v>
      </c>
      <c r="BD72">
        <v>5.8245346242475203E-2</v>
      </c>
      <c r="BE72">
        <v>0</v>
      </c>
      <c r="BF72">
        <v>1.6E-2</v>
      </c>
      <c r="BG72">
        <v>0</v>
      </c>
      <c r="BH72">
        <v>0</v>
      </c>
      <c r="BI72">
        <v>0</v>
      </c>
      <c r="BJ72">
        <v>0</v>
      </c>
      <c r="BK72">
        <v>1</v>
      </c>
      <c r="BL72">
        <v>1.0578561771442E-4</v>
      </c>
      <c r="BM72">
        <v>2.1502564505794801E-4</v>
      </c>
      <c r="BN72" s="1">
        <v>3.8511362294291501E-7</v>
      </c>
      <c r="BO72" s="1">
        <v>3.37761493423728E-6</v>
      </c>
      <c r="BP72">
        <v>0</v>
      </c>
      <c r="BQ72">
        <v>0</v>
      </c>
      <c r="BR72" s="1">
        <v>5.7592658896014898E-5</v>
      </c>
      <c r="BS72">
        <v>1.18640711614278E-4</v>
      </c>
    </row>
    <row r="73" spans="1:71" x14ac:dyDescent="0.25">
      <c r="A73">
        <v>70</v>
      </c>
      <c r="B73" s="1">
        <v>2.0148623849583901E-5</v>
      </c>
      <c r="C73">
        <v>0.105842647184807</v>
      </c>
      <c r="D73">
        <v>-3.0843236758321401E-4</v>
      </c>
      <c r="E73">
        <v>6.1312499999999995E-4</v>
      </c>
      <c r="F73">
        <v>-1.0584264718480701E-3</v>
      </c>
      <c r="G73" s="1">
        <v>-1.0842021724855E-19</v>
      </c>
      <c r="H73" t="s">
        <v>74</v>
      </c>
      <c r="I73">
        <v>0</v>
      </c>
      <c r="J73" t="s">
        <v>75</v>
      </c>
      <c r="K73">
        <v>3.14159265358979</v>
      </c>
      <c r="L73">
        <v>0.70280383156708104</v>
      </c>
      <c r="M73">
        <v>0</v>
      </c>
      <c r="N73">
        <v>4.1265173901373901E-2</v>
      </c>
      <c r="O73">
        <v>0</v>
      </c>
      <c r="P73">
        <v>1.6E-2</v>
      </c>
      <c r="Q73">
        <v>0</v>
      </c>
      <c r="R73">
        <v>0</v>
      </c>
      <c r="S73">
        <v>0</v>
      </c>
      <c r="T73">
        <v>0</v>
      </c>
      <c r="U73">
        <v>0.70847071302601194</v>
      </c>
      <c r="V73" t="s">
        <v>78</v>
      </c>
      <c r="W73">
        <v>2303806.6934553101</v>
      </c>
      <c r="X73" t="s">
        <v>76</v>
      </c>
      <c r="Y73">
        <v>-1.5707963267949001</v>
      </c>
      <c r="Z73">
        <v>0.69509313194205702</v>
      </c>
      <c r="AA73">
        <v>0.28686921290504602</v>
      </c>
      <c r="AB73">
        <v>3.7459515469110902E-2</v>
      </c>
      <c r="AC73">
        <v>1.6118471483561801E-2</v>
      </c>
      <c r="AD73">
        <v>1.50397721252608E-2</v>
      </c>
      <c r="AE73">
        <v>2.0236482486965399E-2</v>
      </c>
      <c r="AF73">
        <v>0</v>
      </c>
      <c r="AG73">
        <v>0.26584604324829902</v>
      </c>
      <c r="AH73">
        <v>0.170508660754491</v>
      </c>
      <c r="AI73">
        <v>0.47981756991812702</v>
      </c>
      <c r="AJ73" t="s">
        <v>74</v>
      </c>
      <c r="AK73">
        <v>0</v>
      </c>
      <c r="AL73" t="s">
        <v>77</v>
      </c>
      <c r="AM73">
        <v>0</v>
      </c>
      <c r="AN73">
        <v>0.99199999999999999</v>
      </c>
      <c r="AO73">
        <v>0</v>
      </c>
      <c r="AP73">
        <v>5.8245346242475203E-2</v>
      </c>
      <c r="AQ73">
        <v>0</v>
      </c>
      <c r="AR73">
        <v>1.6E-2</v>
      </c>
      <c r="AS73">
        <v>0</v>
      </c>
      <c r="AT73">
        <v>0</v>
      </c>
      <c r="AU73">
        <v>0</v>
      </c>
      <c r="AV73">
        <v>0</v>
      </c>
      <c r="AW73">
        <v>1</v>
      </c>
      <c r="AX73" t="s">
        <v>74</v>
      </c>
      <c r="AY73">
        <v>0</v>
      </c>
      <c r="AZ73" t="s">
        <v>76</v>
      </c>
      <c r="BA73">
        <v>-1.5707963267949001</v>
      </c>
      <c r="BB73">
        <v>0.99199999999999999</v>
      </c>
      <c r="BC73">
        <v>0</v>
      </c>
      <c r="BD73">
        <v>5.8245346242475203E-2</v>
      </c>
      <c r="BE73">
        <v>0</v>
      </c>
      <c r="BF73">
        <v>1.6E-2</v>
      </c>
      <c r="BG73">
        <v>0</v>
      </c>
      <c r="BH73">
        <v>0</v>
      </c>
      <c r="BI73">
        <v>0</v>
      </c>
      <c r="BJ73">
        <v>0</v>
      </c>
      <c r="BK73">
        <v>1</v>
      </c>
      <c r="BL73">
        <v>1.05666926669498E-4</v>
      </c>
      <c r="BM73">
        <v>2.18177352001395E-4</v>
      </c>
      <c r="BN73" s="1">
        <v>3.8466452741244402E-7</v>
      </c>
      <c r="BO73" s="1">
        <v>3.4271218311362798E-6</v>
      </c>
      <c r="BP73">
        <v>0</v>
      </c>
      <c r="BQ73">
        <v>0</v>
      </c>
      <c r="BR73" s="1">
        <v>5.7517098212552001E-5</v>
      </c>
      <c r="BS73">
        <v>1.2038221694625E-4</v>
      </c>
    </row>
    <row r="74" spans="1:71" x14ac:dyDescent="0.25">
      <c r="A74">
        <v>71</v>
      </c>
      <c r="B74" s="1">
        <v>2.0088077516673701E-5</v>
      </c>
      <c r="C74">
        <v>0.105862735262324</v>
      </c>
      <c r="D74">
        <v>-3.08540686779201E-4</v>
      </c>
      <c r="E74">
        <v>6.1312499999999995E-4</v>
      </c>
      <c r="F74">
        <v>-1.05862735262324E-3</v>
      </c>
      <c r="G74">
        <v>0</v>
      </c>
      <c r="H74" t="s">
        <v>74</v>
      </c>
      <c r="I74">
        <v>0</v>
      </c>
      <c r="J74" t="s">
        <v>75</v>
      </c>
      <c r="K74">
        <v>3.14159265358979</v>
      </c>
      <c r="L74">
        <v>0.69862690300206598</v>
      </c>
      <c r="M74">
        <v>0</v>
      </c>
      <c r="N74">
        <v>4.1019925261757503E-2</v>
      </c>
      <c r="O74">
        <v>0</v>
      </c>
      <c r="P74">
        <v>1.6E-2</v>
      </c>
      <c r="Q74">
        <v>0</v>
      </c>
      <c r="R74">
        <v>0</v>
      </c>
      <c r="S74">
        <v>0</v>
      </c>
      <c r="T74">
        <v>0</v>
      </c>
      <c r="U74">
        <v>0.70426038253248202</v>
      </c>
      <c r="V74" t="s">
        <v>78</v>
      </c>
      <c r="W74">
        <v>2304741.4355392498</v>
      </c>
      <c r="X74" t="s">
        <v>76</v>
      </c>
      <c r="Y74">
        <v>-1.5707963267949001</v>
      </c>
      <c r="Z74">
        <v>0.69092734656070798</v>
      </c>
      <c r="AA74">
        <v>0.291333919709302</v>
      </c>
      <c r="AB74">
        <v>3.7223575086885403E-2</v>
      </c>
      <c r="AC74">
        <v>1.6360036015791699E-2</v>
      </c>
      <c r="AD74">
        <v>1.4776694584487901E-2</v>
      </c>
      <c r="AE74">
        <v>2.0546335379603702E-2</v>
      </c>
      <c r="AF74">
        <v>0</v>
      </c>
      <c r="AG74">
        <v>0.26661455395813</v>
      </c>
      <c r="AH74">
        <v>0.17604252409582599</v>
      </c>
      <c r="AI74">
        <v>0.47306737030534102</v>
      </c>
      <c r="AJ74" t="s">
        <v>74</v>
      </c>
      <c r="AK74">
        <v>0</v>
      </c>
      <c r="AL74" t="s">
        <v>77</v>
      </c>
      <c r="AM74">
        <v>0</v>
      </c>
      <c r="AN74">
        <v>0.99199999999999999</v>
      </c>
      <c r="AO74">
        <v>0</v>
      </c>
      <c r="AP74">
        <v>5.8245346242475203E-2</v>
      </c>
      <c r="AQ74">
        <v>0</v>
      </c>
      <c r="AR74">
        <v>1.6E-2</v>
      </c>
      <c r="AS74">
        <v>0</v>
      </c>
      <c r="AT74">
        <v>0</v>
      </c>
      <c r="AU74">
        <v>0</v>
      </c>
      <c r="AV74">
        <v>0</v>
      </c>
      <c r="AW74">
        <v>1</v>
      </c>
      <c r="AX74" t="s">
        <v>74</v>
      </c>
      <c r="AY74">
        <v>0</v>
      </c>
      <c r="AZ74" t="s">
        <v>76</v>
      </c>
      <c r="BA74">
        <v>-1.5707963267949001</v>
      </c>
      <c r="BB74">
        <v>0.99199999999999999</v>
      </c>
      <c r="BC74">
        <v>0</v>
      </c>
      <c r="BD74">
        <v>5.8245346242475203E-2</v>
      </c>
      <c r="BE74">
        <v>0</v>
      </c>
      <c r="BF74">
        <v>1.6E-2</v>
      </c>
      <c r="BG74">
        <v>0</v>
      </c>
      <c r="BH74">
        <v>0</v>
      </c>
      <c r="BI74">
        <v>0</v>
      </c>
      <c r="BJ74">
        <v>0</v>
      </c>
      <c r="BK74">
        <v>1</v>
      </c>
      <c r="BL74">
        <v>1.05547114424693E-4</v>
      </c>
      <c r="BM74">
        <v>2.2132853902697799E-4</v>
      </c>
      <c r="BN74" s="1">
        <v>3.84213923323608E-7</v>
      </c>
      <c r="BO74" s="1">
        <v>3.4766205611845802E-6</v>
      </c>
      <c r="BP74">
        <v>0</v>
      </c>
      <c r="BQ74">
        <v>0</v>
      </c>
      <c r="BR74" s="1">
        <v>5.7440910696243703E-5</v>
      </c>
      <c r="BS74">
        <v>1.2212350113638201E-4</v>
      </c>
    </row>
    <row r="75" spans="1:71" x14ac:dyDescent="0.25">
      <c r="A75">
        <v>72</v>
      </c>
      <c r="B75" s="1">
        <v>2.00359126535683E-5</v>
      </c>
      <c r="C75">
        <v>0.105882771174978</v>
      </c>
      <c r="D75">
        <v>-3.0864871383975599E-4</v>
      </c>
      <c r="E75">
        <v>6.1312499999999995E-4</v>
      </c>
      <c r="F75">
        <v>-1.05882771174978E-3</v>
      </c>
      <c r="G75" s="1">
        <v>-1.0842021724855E-19</v>
      </c>
      <c r="H75" t="s">
        <v>74</v>
      </c>
      <c r="I75">
        <v>0</v>
      </c>
      <c r="J75" t="s">
        <v>75</v>
      </c>
      <c r="K75">
        <v>3.14159265358979</v>
      </c>
      <c r="L75">
        <v>0.69445068712403302</v>
      </c>
      <c r="M75">
        <v>0</v>
      </c>
      <c r="N75">
        <v>4.0774718467604998E-2</v>
      </c>
      <c r="O75">
        <v>0</v>
      </c>
      <c r="P75">
        <v>1.6E-2</v>
      </c>
      <c r="Q75">
        <v>0</v>
      </c>
      <c r="R75">
        <v>0</v>
      </c>
      <c r="S75">
        <v>0</v>
      </c>
      <c r="T75">
        <v>0</v>
      </c>
      <c r="U75">
        <v>0.70005068071333598</v>
      </c>
      <c r="V75" t="s">
        <v>78</v>
      </c>
      <c r="W75">
        <v>2305673.6566362302</v>
      </c>
      <c r="X75" t="s">
        <v>76</v>
      </c>
      <c r="Y75">
        <v>-1.5707963267949001</v>
      </c>
      <c r="Z75">
        <v>0.68676269973545201</v>
      </c>
      <c r="AA75">
        <v>0.29423415032614603</v>
      </c>
      <c r="AB75">
        <v>3.6987862336769102E-2</v>
      </c>
      <c r="AC75">
        <v>1.65524522217926E-2</v>
      </c>
      <c r="AD75">
        <v>1.4513092979969999E-2</v>
      </c>
      <c r="AE75">
        <v>2.0856020588996899E-2</v>
      </c>
      <c r="AF75">
        <v>0</v>
      </c>
      <c r="AG75">
        <v>0.26727045963840701</v>
      </c>
      <c r="AH75">
        <v>0.181687917126335</v>
      </c>
      <c r="AI75">
        <v>0.46634485356292799</v>
      </c>
      <c r="AJ75" t="s">
        <v>74</v>
      </c>
      <c r="AK75">
        <v>0</v>
      </c>
      <c r="AL75" t="s">
        <v>77</v>
      </c>
      <c r="AM75">
        <v>0</v>
      </c>
      <c r="AN75">
        <v>0.99199999999999999</v>
      </c>
      <c r="AO75">
        <v>0</v>
      </c>
      <c r="AP75">
        <v>5.8245346242475203E-2</v>
      </c>
      <c r="AQ75">
        <v>0</v>
      </c>
      <c r="AR75">
        <v>1.6E-2</v>
      </c>
      <c r="AS75">
        <v>0</v>
      </c>
      <c r="AT75">
        <v>0</v>
      </c>
      <c r="AU75">
        <v>0</v>
      </c>
      <c r="AV75">
        <v>0</v>
      </c>
      <c r="AW75">
        <v>1</v>
      </c>
      <c r="AX75" t="s">
        <v>74</v>
      </c>
      <c r="AY75">
        <v>0</v>
      </c>
      <c r="AZ75" t="s">
        <v>76</v>
      </c>
      <c r="BA75">
        <v>-1.5707963267949001</v>
      </c>
      <c r="BB75">
        <v>0.99199999999999999</v>
      </c>
      <c r="BC75">
        <v>0</v>
      </c>
      <c r="BD75">
        <v>5.8245346242475203E-2</v>
      </c>
      <c r="BE75">
        <v>0</v>
      </c>
      <c r="BF75">
        <v>1.6E-2</v>
      </c>
      <c r="BG75">
        <v>0</v>
      </c>
      <c r="BH75">
        <v>0</v>
      </c>
      <c r="BI75">
        <v>0</v>
      </c>
      <c r="BJ75">
        <v>0</v>
      </c>
      <c r="BK75">
        <v>1</v>
      </c>
      <c r="BL75">
        <v>1.05402862755559E-4</v>
      </c>
      <c r="BM75">
        <v>2.2447918838237101E-4</v>
      </c>
      <c r="BN75" s="1">
        <v>3.8371517057479899E-7</v>
      </c>
      <c r="BO75" s="1">
        <v>3.5261108455292798E-6</v>
      </c>
      <c r="BP75">
        <v>0</v>
      </c>
      <c r="BQ75">
        <v>0</v>
      </c>
      <c r="BR75" s="1">
        <v>5.7351230159430902E-5</v>
      </c>
      <c r="BS75">
        <v>1.2386455512690999E-4</v>
      </c>
    </row>
    <row r="76" spans="1:71" x14ac:dyDescent="0.25">
      <c r="A76">
        <v>73</v>
      </c>
      <c r="B76" s="1">
        <v>1.9992102201266301E-5</v>
      </c>
      <c r="C76">
        <v>0.105902763277179</v>
      </c>
      <c r="D76">
        <v>-3.0875649389030098E-4</v>
      </c>
      <c r="E76">
        <v>6.1312499999999995E-4</v>
      </c>
      <c r="F76">
        <v>-1.05902763277179E-3</v>
      </c>
      <c r="G76" s="1">
        <v>-1.0842021724855E-19</v>
      </c>
      <c r="H76" t="s">
        <v>74</v>
      </c>
      <c r="I76">
        <v>0</v>
      </c>
      <c r="J76" t="s">
        <v>75</v>
      </c>
      <c r="K76">
        <v>3.14159265358979</v>
      </c>
      <c r="L76">
        <v>0.69027520868205405</v>
      </c>
      <c r="M76">
        <v>0</v>
      </c>
      <c r="N76">
        <v>4.0529554972059498E-2</v>
      </c>
      <c r="O76">
        <v>0</v>
      </c>
      <c r="P76">
        <v>1.6E-2</v>
      </c>
      <c r="Q76">
        <v>0</v>
      </c>
      <c r="R76">
        <v>0</v>
      </c>
      <c r="S76">
        <v>0</v>
      </c>
      <c r="T76">
        <v>0</v>
      </c>
      <c r="U76">
        <v>0.69584166116619395</v>
      </c>
      <c r="V76" t="s">
        <v>78</v>
      </c>
      <c r="W76">
        <v>2306603.74615672</v>
      </c>
      <c r="X76" t="s">
        <v>76</v>
      </c>
      <c r="Y76">
        <v>-1.5707963267949001</v>
      </c>
      <c r="Z76">
        <v>0.68259920157602405</v>
      </c>
      <c r="AA76">
        <v>0.29853841511149898</v>
      </c>
      <c r="AB76">
        <v>3.6752372497647699E-2</v>
      </c>
      <c r="AC76">
        <v>1.67889807164282E-2</v>
      </c>
      <c r="AD76">
        <v>1.42490042436909E-2</v>
      </c>
      <c r="AE76">
        <v>2.1165523014466298E-2</v>
      </c>
      <c r="AF76">
        <v>0</v>
      </c>
      <c r="AG76">
        <v>0.267812173887852</v>
      </c>
      <c r="AH76">
        <v>0.18744638890457099</v>
      </c>
      <c r="AI76">
        <v>0.45965033278836998</v>
      </c>
      <c r="AJ76" t="s">
        <v>74</v>
      </c>
      <c r="AK76">
        <v>0</v>
      </c>
      <c r="AL76" t="s">
        <v>77</v>
      </c>
      <c r="AM76">
        <v>0</v>
      </c>
      <c r="AN76">
        <v>0.99199999999999999</v>
      </c>
      <c r="AO76">
        <v>0</v>
      </c>
      <c r="AP76">
        <v>5.8245346242475203E-2</v>
      </c>
      <c r="AQ76">
        <v>0</v>
      </c>
      <c r="AR76">
        <v>1.6E-2</v>
      </c>
      <c r="AS76">
        <v>0</v>
      </c>
      <c r="AT76">
        <v>0</v>
      </c>
      <c r="AU76">
        <v>0</v>
      </c>
      <c r="AV76">
        <v>0</v>
      </c>
      <c r="AW76">
        <v>1</v>
      </c>
      <c r="AX76" t="s">
        <v>74</v>
      </c>
      <c r="AY76">
        <v>0</v>
      </c>
      <c r="AZ76" t="s">
        <v>76</v>
      </c>
      <c r="BA76">
        <v>-1.5707963267949001</v>
      </c>
      <c r="BB76">
        <v>0.99199999999999999</v>
      </c>
      <c r="BC76">
        <v>0</v>
      </c>
      <c r="BD76">
        <v>5.8245346242475203E-2</v>
      </c>
      <c r="BE76">
        <v>0</v>
      </c>
      <c r="BF76">
        <v>1.6E-2</v>
      </c>
      <c r="BG76">
        <v>0</v>
      </c>
      <c r="BH76">
        <v>0</v>
      </c>
      <c r="BI76">
        <v>0</v>
      </c>
      <c r="BJ76">
        <v>0</v>
      </c>
      <c r="BK76">
        <v>1</v>
      </c>
      <c r="BL76">
        <v>1.05280800335543E-4</v>
      </c>
      <c r="BM76">
        <v>2.2762928139621099E-4</v>
      </c>
      <c r="BN76" s="1">
        <v>3.8326152224598702E-7</v>
      </c>
      <c r="BO76" s="1">
        <v>3.5755923908812999E-6</v>
      </c>
      <c r="BP76">
        <v>0</v>
      </c>
      <c r="BQ76">
        <v>0</v>
      </c>
      <c r="BR76" s="1">
        <v>5.7273785885173797E-5</v>
      </c>
      <c r="BS76">
        <v>1.25605369409755E-4</v>
      </c>
    </row>
    <row r="77" spans="1:71" x14ac:dyDescent="0.25">
      <c r="A77">
        <v>74</v>
      </c>
      <c r="B77" s="1">
        <v>1.9956641966749701E-5</v>
      </c>
      <c r="C77">
        <v>0.10592271991914599</v>
      </c>
      <c r="D77">
        <v>-3.08864072015422E-4</v>
      </c>
      <c r="E77">
        <v>6.1312499999999995E-4</v>
      </c>
      <c r="F77">
        <v>-1.05922719919146E-3</v>
      </c>
      <c r="G77" s="1">
        <v>-1.0842021724855E-19</v>
      </c>
      <c r="H77" t="s">
        <v>74</v>
      </c>
      <c r="I77">
        <v>0</v>
      </c>
      <c r="J77" t="s">
        <v>75</v>
      </c>
      <c r="K77">
        <v>3.14159265358979</v>
      </c>
      <c r="L77">
        <v>0.686100493729768</v>
      </c>
      <c r="M77">
        <v>0</v>
      </c>
      <c r="N77">
        <v>4.0284436304862399E-2</v>
      </c>
      <c r="O77">
        <v>0</v>
      </c>
      <c r="P77">
        <v>1.6E-2</v>
      </c>
      <c r="Q77">
        <v>0</v>
      </c>
      <c r="R77">
        <v>0</v>
      </c>
      <c r="S77">
        <v>0</v>
      </c>
      <c r="T77">
        <v>0</v>
      </c>
      <c r="U77">
        <v>0.69163336955024002</v>
      </c>
      <c r="V77" t="s">
        <v>78</v>
      </c>
      <c r="W77">
        <v>2307532.0931588002</v>
      </c>
      <c r="X77" t="s">
        <v>76</v>
      </c>
      <c r="Y77">
        <v>-1.5707963267949001</v>
      </c>
      <c r="Z77">
        <v>0.67843686370616996</v>
      </c>
      <c r="AA77">
        <v>0.30419304471373199</v>
      </c>
      <c r="AB77">
        <v>3.6517101046310001E-2</v>
      </c>
      <c r="AC77">
        <v>1.7067936740245902E-2</v>
      </c>
      <c r="AD77">
        <v>1.39844647317116E-2</v>
      </c>
      <c r="AE77">
        <v>2.1474827489612498E-2</v>
      </c>
      <c r="AF77">
        <v>0</v>
      </c>
      <c r="AG77">
        <v>0.26823805865089201</v>
      </c>
      <c r="AH77">
        <v>0.19331953817497499</v>
      </c>
      <c r="AI77">
        <v>0.452984124373431</v>
      </c>
      <c r="AJ77" t="s">
        <v>74</v>
      </c>
      <c r="AK77">
        <v>0</v>
      </c>
      <c r="AL77" t="s">
        <v>77</v>
      </c>
      <c r="AM77">
        <v>0</v>
      </c>
      <c r="AN77">
        <v>0.99199999999999999</v>
      </c>
      <c r="AO77">
        <v>0</v>
      </c>
      <c r="AP77">
        <v>5.8245346242475203E-2</v>
      </c>
      <c r="AQ77">
        <v>0</v>
      </c>
      <c r="AR77">
        <v>1.6E-2</v>
      </c>
      <c r="AS77">
        <v>0</v>
      </c>
      <c r="AT77">
        <v>0</v>
      </c>
      <c r="AU77">
        <v>0</v>
      </c>
      <c r="AV77">
        <v>0</v>
      </c>
      <c r="AW77">
        <v>1</v>
      </c>
      <c r="AX77" t="s">
        <v>74</v>
      </c>
      <c r="AY77">
        <v>0</v>
      </c>
      <c r="AZ77" t="s">
        <v>76</v>
      </c>
      <c r="BA77">
        <v>-1.5707963267949001</v>
      </c>
      <c r="BB77">
        <v>0.99199999999999999</v>
      </c>
      <c r="BC77">
        <v>0</v>
      </c>
      <c r="BD77">
        <v>5.8245346242475203E-2</v>
      </c>
      <c r="BE77">
        <v>0</v>
      </c>
      <c r="BF77">
        <v>1.6E-2</v>
      </c>
      <c r="BG77">
        <v>0</v>
      </c>
      <c r="BH77">
        <v>0</v>
      </c>
      <c r="BI77">
        <v>0</v>
      </c>
      <c r="BJ77">
        <v>0</v>
      </c>
      <c r="BK77">
        <v>1</v>
      </c>
      <c r="BL77">
        <v>1.05180083288184E-4</v>
      </c>
      <c r="BM77">
        <v>2.3077879841293299E-4</v>
      </c>
      <c r="BN77" s="1">
        <v>3.82851286467824E-7</v>
      </c>
      <c r="BO77" s="1">
        <v>3.6250648884917602E-6</v>
      </c>
      <c r="BP77">
        <v>0</v>
      </c>
      <c r="BQ77">
        <v>0</v>
      </c>
      <c r="BR77" s="1">
        <v>5.7208113508974699E-5</v>
      </c>
      <c r="BS77">
        <v>1.2734593399329501E-4</v>
      </c>
    </row>
    <row r="78" spans="1:71" x14ac:dyDescent="0.25">
      <c r="A78">
        <v>75</v>
      </c>
      <c r="B78" s="1">
        <v>1.9929550914969099E-5</v>
      </c>
      <c r="C78">
        <v>0.105942649470061</v>
      </c>
      <c r="D78">
        <v>-3.0897149338380197E-4</v>
      </c>
      <c r="E78">
        <v>6.1312499999999995E-4</v>
      </c>
      <c r="F78">
        <v>-1.0594264947006099E-3</v>
      </c>
      <c r="G78">
        <v>0</v>
      </c>
      <c r="H78" t="s">
        <v>74</v>
      </c>
      <c r="I78">
        <v>0</v>
      </c>
      <c r="J78" t="s">
        <v>75</v>
      </c>
      <c r="K78">
        <v>3.14159265358979</v>
      </c>
      <c r="L78">
        <v>0.68192656971949195</v>
      </c>
      <c r="M78">
        <v>0</v>
      </c>
      <c r="N78">
        <v>4.0039364077878302E-2</v>
      </c>
      <c r="O78">
        <v>0</v>
      </c>
      <c r="P78">
        <v>1.6E-2</v>
      </c>
      <c r="Q78">
        <v>0</v>
      </c>
      <c r="R78">
        <v>0</v>
      </c>
      <c r="S78">
        <v>0</v>
      </c>
      <c r="T78">
        <v>0</v>
      </c>
      <c r="U78">
        <v>0.68742584671740004</v>
      </c>
      <c r="V78" t="s">
        <v>78</v>
      </c>
      <c r="W78">
        <v>2308459.0874263099</v>
      </c>
      <c r="X78" t="s">
        <v>76</v>
      </c>
      <c r="Y78">
        <v>-1.5707963267949001</v>
      </c>
      <c r="Z78">
        <v>0.67427569932016695</v>
      </c>
      <c r="AA78">
        <v>0.30693234657885499</v>
      </c>
      <c r="AB78">
        <v>3.6282043647316901E-2</v>
      </c>
      <c r="AC78">
        <v>1.7255311752530401E-2</v>
      </c>
      <c r="AD78">
        <v>1.37195102876845E-2</v>
      </c>
      <c r="AE78">
        <v>2.1783918768220601E-2</v>
      </c>
      <c r="AF78">
        <v>0</v>
      </c>
      <c r="AG78">
        <v>0.268546421552671</v>
      </c>
      <c r="AH78">
        <v>0.19930901589087599</v>
      </c>
      <c r="AI78">
        <v>0.44634654828863901</v>
      </c>
      <c r="AJ78" t="s">
        <v>74</v>
      </c>
      <c r="AK78">
        <v>0</v>
      </c>
      <c r="AL78" t="s">
        <v>77</v>
      </c>
      <c r="AM78">
        <v>0</v>
      </c>
      <c r="AN78">
        <v>0.99199999999999999</v>
      </c>
      <c r="AO78">
        <v>0</v>
      </c>
      <c r="AP78">
        <v>5.8245346242475203E-2</v>
      </c>
      <c r="AQ78">
        <v>0</v>
      </c>
      <c r="AR78">
        <v>1.6E-2</v>
      </c>
      <c r="AS78">
        <v>0</v>
      </c>
      <c r="AT78">
        <v>0</v>
      </c>
      <c r="AU78">
        <v>0</v>
      </c>
      <c r="AV78">
        <v>0</v>
      </c>
      <c r="AW78">
        <v>1</v>
      </c>
      <c r="AX78" t="s">
        <v>74</v>
      </c>
      <c r="AY78">
        <v>0</v>
      </c>
      <c r="AZ78" t="s">
        <v>76</v>
      </c>
      <c r="BA78">
        <v>-1.5707963267949001</v>
      </c>
      <c r="BB78">
        <v>0.99199999999999999</v>
      </c>
      <c r="BC78">
        <v>0</v>
      </c>
      <c r="BD78">
        <v>5.8245346242475203E-2</v>
      </c>
      <c r="BE78">
        <v>0</v>
      </c>
      <c r="BF78">
        <v>1.6E-2</v>
      </c>
      <c r="BG78">
        <v>0</v>
      </c>
      <c r="BH78">
        <v>0</v>
      </c>
      <c r="BI78">
        <v>0</v>
      </c>
      <c r="BJ78">
        <v>0</v>
      </c>
      <c r="BK78">
        <v>1</v>
      </c>
      <c r="BL78">
        <v>1.05033705981338E-4</v>
      </c>
      <c r="BM78">
        <v>2.33927718721773E-4</v>
      </c>
      <c r="BN78" s="1">
        <v>3.8235044947268099E-7</v>
      </c>
      <c r="BO78" s="1">
        <v>3.67452801303671E-6</v>
      </c>
      <c r="BP78">
        <v>0</v>
      </c>
      <c r="BQ78">
        <v>0</v>
      </c>
      <c r="BR78" s="1">
        <v>5.7117239174628801E-5</v>
      </c>
      <c r="BS78">
        <v>1.2908623836619399E-4</v>
      </c>
    </row>
    <row r="79" spans="1:71" x14ac:dyDescent="0.25">
      <c r="A79">
        <v>76</v>
      </c>
      <c r="B79" s="1">
        <v>1.9910871631524201E-5</v>
      </c>
      <c r="C79">
        <v>0.10596256034169201</v>
      </c>
      <c r="D79">
        <v>-3.0907880337555999E-4</v>
      </c>
      <c r="E79">
        <v>6.1312499999999995E-4</v>
      </c>
      <c r="F79">
        <v>-1.05962560341692E-3</v>
      </c>
      <c r="G79">
        <v>0</v>
      </c>
      <c r="H79" t="s">
        <v>74</v>
      </c>
      <c r="I79">
        <v>0</v>
      </c>
      <c r="J79" t="s">
        <v>75</v>
      </c>
      <c r="K79">
        <v>3.14159265358979</v>
      </c>
      <c r="L79">
        <v>0.677753465604925</v>
      </c>
      <c r="M79">
        <v>0</v>
      </c>
      <c r="N79">
        <v>3.9794339991125402E-2</v>
      </c>
      <c r="O79">
        <v>0</v>
      </c>
      <c r="P79">
        <v>1.6E-2</v>
      </c>
      <c r="Q79">
        <v>0</v>
      </c>
      <c r="R79">
        <v>0</v>
      </c>
      <c r="S79">
        <v>0</v>
      </c>
      <c r="T79">
        <v>0</v>
      </c>
      <c r="U79">
        <v>0.68321913083810004</v>
      </c>
      <c r="V79" t="s">
        <v>78</v>
      </c>
      <c r="W79">
        <v>2309385.1205676198</v>
      </c>
      <c r="X79" t="s">
        <v>76</v>
      </c>
      <c r="Y79">
        <v>-1.5707963267949001</v>
      </c>
      <c r="Z79">
        <v>0.67011572324789304</v>
      </c>
      <c r="AA79">
        <v>0.31099493627075397</v>
      </c>
      <c r="AB79">
        <v>3.6047196143548697E-2</v>
      </c>
      <c r="AC79">
        <v>1.7484269401038401E-2</v>
      </c>
      <c r="AD79">
        <v>1.3454176304685799E-2</v>
      </c>
      <c r="AE79">
        <v>2.2092781509997599E-2</v>
      </c>
      <c r="AF79">
        <v>0</v>
      </c>
      <c r="AG79">
        <v>0.268735513045887</v>
      </c>
      <c r="AH79">
        <v>0.205416527912678</v>
      </c>
      <c r="AI79">
        <v>0.43973792837167303</v>
      </c>
      <c r="AJ79" t="s">
        <v>74</v>
      </c>
      <c r="AK79">
        <v>0</v>
      </c>
      <c r="AL79" t="s">
        <v>77</v>
      </c>
      <c r="AM79">
        <v>0</v>
      </c>
      <c r="AN79">
        <v>0.99199999999999999</v>
      </c>
      <c r="AO79">
        <v>0</v>
      </c>
      <c r="AP79">
        <v>5.8245346242475203E-2</v>
      </c>
      <c r="AQ79">
        <v>0</v>
      </c>
      <c r="AR79">
        <v>1.6E-2</v>
      </c>
      <c r="AS79">
        <v>0</v>
      </c>
      <c r="AT79">
        <v>0</v>
      </c>
      <c r="AU79">
        <v>0</v>
      </c>
      <c r="AV79">
        <v>0</v>
      </c>
      <c r="AW79">
        <v>1</v>
      </c>
      <c r="AX79" t="s">
        <v>74</v>
      </c>
      <c r="AY79">
        <v>0</v>
      </c>
      <c r="AZ79" t="s">
        <v>76</v>
      </c>
      <c r="BA79">
        <v>-1.5707963267949001</v>
      </c>
      <c r="BB79">
        <v>0.99199999999999999</v>
      </c>
      <c r="BC79">
        <v>0</v>
      </c>
      <c r="BD79">
        <v>5.8245346242475203E-2</v>
      </c>
      <c r="BE79">
        <v>0</v>
      </c>
      <c r="BF79">
        <v>1.6E-2</v>
      </c>
      <c r="BG79">
        <v>0</v>
      </c>
      <c r="BH79">
        <v>0</v>
      </c>
      <c r="BI79">
        <v>0</v>
      </c>
      <c r="BJ79">
        <v>0</v>
      </c>
      <c r="BK79">
        <v>1</v>
      </c>
      <c r="BL79">
        <v>1.04908249010331E-4</v>
      </c>
      <c r="BM79">
        <v>2.37076020479283E-4</v>
      </c>
      <c r="BN79" s="1">
        <v>3.8189217213336902E-7</v>
      </c>
      <c r="BO79" s="1">
        <v>3.7239814214000902E-6</v>
      </c>
      <c r="BP79">
        <v>0</v>
      </c>
      <c r="BQ79">
        <v>0</v>
      </c>
      <c r="BR79" s="1">
        <v>5.70379031664407E-5</v>
      </c>
      <c r="BS79">
        <v>1.30826271457973E-4</v>
      </c>
    </row>
    <row r="80" spans="1:71" x14ac:dyDescent="0.25">
      <c r="A80">
        <v>77</v>
      </c>
      <c r="B80" s="1">
        <v>1.9900670964672802E-5</v>
      </c>
      <c r="C80">
        <v>0.105982461012657</v>
      </c>
      <c r="D80">
        <v>-3.0918604771294002E-4</v>
      </c>
      <c r="E80">
        <v>6.1312499999999995E-4</v>
      </c>
      <c r="F80">
        <v>-1.0598246101265699E-3</v>
      </c>
      <c r="G80" s="1">
        <v>-1.0842021724855E-19</v>
      </c>
      <c r="H80" t="s">
        <v>74</v>
      </c>
      <c r="I80">
        <v>0</v>
      </c>
      <c r="J80" t="s">
        <v>75</v>
      </c>
      <c r="K80">
        <v>3.14159265358979</v>
      </c>
      <c r="L80">
        <v>0.67358121195341003</v>
      </c>
      <c r="M80">
        <v>0</v>
      </c>
      <c r="N80">
        <v>3.9549365839367398E-2</v>
      </c>
      <c r="O80">
        <v>0</v>
      </c>
      <c r="P80">
        <v>1.6E-2</v>
      </c>
      <c r="Q80">
        <v>0</v>
      </c>
      <c r="R80">
        <v>0</v>
      </c>
      <c r="S80">
        <v>0</v>
      </c>
      <c r="T80">
        <v>0</v>
      </c>
      <c r="U80">
        <v>0.67901325886743202</v>
      </c>
      <c r="V80" t="s">
        <v>78</v>
      </c>
      <c r="W80">
        <v>2310310.5871435301</v>
      </c>
      <c r="X80" t="s">
        <v>76</v>
      </c>
      <c r="Y80">
        <v>-1.5707963267949001</v>
      </c>
      <c r="Z80">
        <v>0.665956952029094</v>
      </c>
      <c r="AA80">
        <v>0.314976741778146</v>
      </c>
      <c r="AB80">
        <v>3.58125545473768E-2</v>
      </c>
      <c r="AC80">
        <v>1.7710701064832499E-2</v>
      </c>
      <c r="AD80">
        <v>1.31884977857268E-2</v>
      </c>
      <c r="AE80">
        <v>2.24014002660788E-2</v>
      </c>
      <c r="AF80">
        <v>0</v>
      </c>
      <c r="AG80">
        <v>0.26880352335297297</v>
      </c>
      <c r="AH80">
        <v>0.21164383789630201</v>
      </c>
      <c r="AI80">
        <v>0.43315859262119999</v>
      </c>
      <c r="AJ80" t="s">
        <v>74</v>
      </c>
      <c r="AK80">
        <v>0</v>
      </c>
      <c r="AL80" t="s">
        <v>77</v>
      </c>
      <c r="AM80">
        <v>0</v>
      </c>
      <c r="AN80">
        <v>0.99199999999999999</v>
      </c>
      <c r="AO80">
        <v>0</v>
      </c>
      <c r="AP80">
        <v>5.8245346242475203E-2</v>
      </c>
      <c r="AQ80">
        <v>0</v>
      </c>
      <c r="AR80">
        <v>1.6E-2</v>
      </c>
      <c r="AS80">
        <v>0</v>
      </c>
      <c r="AT80">
        <v>0</v>
      </c>
      <c r="AU80">
        <v>0</v>
      </c>
      <c r="AV80">
        <v>0</v>
      </c>
      <c r="AW80">
        <v>1</v>
      </c>
      <c r="AX80" t="s">
        <v>74</v>
      </c>
      <c r="AY80">
        <v>0</v>
      </c>
      <c r="AZ80" t="s">
        <v>76</v>
      </c>
      <c r="BA80">
        <v>-1.5707963267949001</v>
      </c>
      <c r="BB80">
        <v>0.99199999999999999</v>
      </c>
      <c r="BC80">
        <v>0</v>
      </c>
      <c r="BD80">
        <v>5.8245346242475203E-2</v>
      </c>
      <c r="BE80">
        <v>0</v>
      </c>
      <c r="BF80">
        <v>1.6E-2</v>
      </c>
      <c r="BG80">
        <v>0</v>
      </c>
      <c r="BH80">
        <v>0</v>
      </c>
      <c r="BI80">
        <v>0</v>
      </c>
      <c r="BJ80">
        <v>0</v>
      </c>
      <c r="BK80">
        <v>1</v>
      </c>
      <c r="BL80">
        <v>1.04781656968264E-4</v>
      </c>
      <c r="BM80">
        <v>2.40223680624638E-4</v>
      </c>
      <c r="BN80" s="1">
        <v>3.8143234237761398E-7</v>
      </c>
      <c r="BO80" s="1">
        <v>3.7734247513433099E-6</v>
      </c>
      <c r="BP80">
        <v>0</v>
      </c>
      <c r="BQ80">
        <v>0</v>
      </c>
      <c r="BR80" s="1">
        <v>5.6957935587215099E-5</v>
      </c>
      <c r="BS80">
        <v>1.3256602159592999E-4</v>
      </c>
    </row>
    <row r="81" spans="1:71" x14ac:dyDescent="0.25">
      <c r="A81">
        <v>78</v>
      </c>
      <c r="B81" s="1">
        <v>1.98990408582291E-5</v>
      </c>
      <c r="C81">
        <v>0.106002360053515</v>
      </c>
      <c r="D81">
        <v>-3.0929327259540998E-4</v>
      </c>
      <c r="E81">
        <v>6.1312499999999995E-4</v>
      </c>
      <c r="F81">
        <v>-1.06002360053515E-3</v>
      </c>
      <c r="G81" s="1">
        <v>-1.0842021724855E-19</v>
      </c>
      <c r="H81" t="s">
        <v>74</v>
      </c>
      <c r="I81">
        <v>0</v>
      </c>
      <c r="J81" t="s">
        <v>75</v>
      </c>
      <c r="K81">
        <v>3.14159265358979</v>
      </c>
      <c r="L81">
        <v>0.66940984106882895</v>
      </c>
      <c r="M81">
        <v>0</v>
      </c>
      <c r="N81">
        <v>3.9304443519328901E-2</v>
      </c>
      <c r="O81">
        <v>0</v>
      </c>
      <c r="P81">
        <v>1.6E-2</v>
      </c>
      <c r="Q81">
        <v>0</v>
      </c>
      <c r="R81">
        <v>0</v>
      </c>
      <c r="S81">
        <v>0</v>
      </c>
      <c r="T81">
        <v>0</v>
      </c>
      <c r="U81">
        <v>0.67480826757837098</v>
      </c>
      <c r="V81" t="s">
        <v>78</v>
      </c>
      <c r="W81">
        <v>2311235.8858329998</v>
      </c>
      <c r="X81" t="s">
        <v>76</v>
      </c>
      <c r="Y81">
        <v>-1.5707963267949001</v>
      </c>
      <c r="Z81">
        <v>0.66179940399766901</v>
      </c>
      <c r="AA81">
        <v>0.320200908386231</v>
      </c>
      <c r="AB81">
        <v>3.5578115032412899E-2</v>
      </c>
      <c r="AC81">
        <v>1.7976176562082499E-2</v>
      </c>
      <c r="AD81">
        <v>1.2922509403298E-2</v>
      </c>
      <c r="AE81">
        <v>2.2709759464231101E-2</v>
      </c>
      <c r="AF81">
        <v>0</v>
      </c>
      <c r="AG81">
        <v>0.268748579185426</v>
      </c>
      <c r="AH81">
        <v>0.21799277038841999</v>
      </c>
      <c r="AI81">
        <v>0.42660887349777199</v>
      </c>
      <c r="AJ81" t="s">
        <v>74</v>
      </c>
      <c r="AK81">
        <v>0</v>
      </c>
      <c r="AL81" t="s">
        <v>77</v>
      </c>
      <c r="AM81">
        <v>0</v>
      </c>
      <c r="AN81">
        <v>0.99199999999999999</v>
      </c>
      <c r="AO81">
        <v>0</v>
      </c>
      <c r="AP81">
        <v>5.8245346242475203E-2</v>
      </c>
      <c r="AQ81">
        <v>0</v>
      </c>
      <c r="AR81">
        <v>1.6E-2</v>
      </c>
      <c r="AS81">
        <v>0</v>
      </c>
      <c r="AT81">
        <v>0</v>
      </c>
      <c r="AU81">
        <v>0</v>
      </c>
      <c r="AV81">
        <v>0</v>
      </c>
      <c r="AW81">
        <v>1</v>
      </c>
      <c r="AX81" t="s">
        <v>74</v>
      </c>
      <c r="AY81">
        <v>0</v>
      </c>
      <c r="AZ81" t="s">
        <v>76</v>
      </c>
      <c r="BA81">
        <v>-1.5707963267949001</v>
      </c>
      <c r="BB81">
        <v>0.99199999999999999</v>
      </c>
      <c r="BC81">
        <v>0</v>
      </c>
      <c r="BD81">
        <v>5.8245346242475203E-2</v>
      </c>
      <c r="BE81">
        <v>0</v>
      </c>
      <c r="BF81">
        <v>1.6E-2</v>
      </c>
      <c r="BG81">
        <v>0</v>
      </c>
      <c r="BH81">
        <v>0</v>
      </c>
      <c r="BI81">
        <v>0</v>
      </c>
      <c r="BJ81">
        <v>0</v>
      </c>
      <c r="BK81">
        <v>1</v>
      </c>
      <c r="BL81">
        <v>1.04674713799387E-4</v>
      </c>
      <c r="BM81">
        <v>2.43370674786923E-4</v>
      </c>
      <c r="BN81" s="1">
        <v>3.8101252805452802E-7</v>
      </c>
      <c r="BO81" s="1">
        <v>3.8228576200489402E-6</v>
      </c>
      <c r="BP81">
        <v>0</v>
      </c>
      <c r="BQ81">
        <v>0</v>
      </c>
      <c r="BR81" s="1">
        <v>5.6888806662990197E-5</v>
      </c>
      <c r="BS81">
        <v>1.3430547645801601E-4</v>
      </c>
    </row>
    <row r="82" spans="1:71" x14ac:dyDescent="0.25">
      <c r="A82">
        <v>79</v>
      </c>
      <c r="B82" s="1">
        <v>1.9906099389672201E-5</v>
      </c>
      <c r="C82">
        <v>0.106022266152905</v>
      </c>
      <c r="D82">
        <v>-3.0940052484024102E-4</v>
      </c>
      <c r="E82">
        <v>6.1312499999999995E-4</v>
      </c>
      <c r="F82">
        <v>-1.0602226615290501E-3</v>
      </c>
      <c r="G82" s="1">
        <v>-1.0842021724855E-19</v>
      </c>
      <c r="H82" t="s">
        <v>74</v>
      </c>
      <c r="I82">
        <v>0</v>
      </c>
      <c r="J82" t="s">
        <v>75</v>
      </c>
      <c r="K82">
        <v>3.14159265358979</v>
      </c>
      <c r="L82">
        <v>0.66523938712636899</v>
      </c>
      <c r="M82">
        <v>0</v>
      </c>
      <c r="N82">
        <v>3.90595750376082E-2</v>
      </c>
      <c r="O82">
        <v>0</v>
      </c>
      <c r="P82">
        <v>1.6E-2</v>
      </c>
      <c r="Q82">
        <v>0</v>
      </c>
      <c r="R82">
        <v>0</v>
      </c>
      <c r="S82">
        <v>0</v>
      </c>
      <c r="T82">
        <v>0</v>
      </c>
      <c r="U82">
        <v>0.67060419431145701</v>
      </c>
      <c r="V82" t="s">
        <v>78</v>
      </c>
      <c r="W82">
        <v>2312161.4206463699</v>
      </c>
      <c r="X82" t="s">
        <v>76</v>
      </c>
      <c r="Y82">
        <v>-1.5707963267949001</v>
      </c>
      <c r="Z82">
        <v>0.65764309937689502</v>
      </c>
      <c r="AA82">
        <v>0.32402087158942999</v>
      </c>
      <c r="AB82">
        <v>3.5343873925790803E-2</v>
      </c>
      <c r="AC82">
        <v>1.8197553797984101E-2</v>
      </c>
      <c r="AD82">
        <v>1.26562455583057E-2</v>
      </c>
      <c r="AE82">
        <v>2.30178433936781E-2</v>
      </c>
      <c r="AF82">
        <v>0</v>
      </c>
      <c r="AG82">
        <v>0.26856874022014499</v>
      </c>
      <c r="AH82">
        <v>0.22446521414677401</v>
      </c>
      <c r="AI82">
        <v>0.42008910823350998</v>
      </c>
      <c r="AJ82" t="s">
        <v>74</v>
      </c>
      <c r="AK82">
        <v>0</v>
      </c>
      <c r="AL82" t="s">
        <v>77</v>
      </c>
      <c r="AM82">
        <v>0</v>
      </c>
      <c r="AN82">
        <v>0.99199999999999999</v>
      </c>
      <c r="AO82">
        <v>0</v>
      </c>
      <c r="AP82">
        <v>5.8245346242475203E-2</v>
      </c>
      <c r="AQ82">
        <v>0</v>
      </c>
      <c r="AR82">
        <v>1.6E-2</v>
      </c>
      <c r="AS82">
        <v>0</v>
      </c>
      <c r="AT82">
        <v>0</v>
      </c>
      <c r="AU82">
        <v>0</v>
      </c>
      <c r="AV82">
        <v>0</v>
      </c>
      <c r="AW82">
        <v>1</v>
      </c>
      <c r="AX82" t="s">
        <v>74</v>
      </c>
      <c r="AY82">
        <v>0</v>
      </c>
      <c r="AZ82" t="s">
        <v>76</v>
      </c>
      <c r="BA82">
        <v>-1.5707963267949001</v>
      </c>
      <c r="BB82">
        <v>0.99199999999999999</v>
      </c>
      <c r="BC82">
        <v>0</v>
      </c>
      <c r="BD82">
        <v>5.8245346242475203E-2</v>
      </c>
      <c r="BE82">
        <v>0</v>
      </c>
      <c r="BF82">
        <v>1.6E-2</v>
      </c>
      <c r="BG82">
        <v>0</v>
      </c>
      <c r="BH82">
        <v>0</v>
      </c>
      <c r="BI82">
        <v>0</v>
      </c>
      <c r="BJ82">
        <v>0</v>
      </c>
      <c r="BK82">
        <v>1</v>
      </c>
      <c r="BL82">
        <v>1.04545847623167E-4</v>
      </c>
      <c r="BM82">
        <v>2.46516977183459E-4</v>
      </c>
      <c r="BN82" s="1">
        <v>3.8054958642790801E-7</v>
      </c>
      <c r="BO82" s="1">
        <v>3.8722796225235902E-6</v>
      </c>
      <c r="BP82">
        <v>0</v>
      </c>
      <c r="BQ82">
        <v>0</v>
      </c>
      <c r="BR82" s="1">
        <v>5.68075754516132E-5</v>
      </c>
      <c r="BS82">
        <v>1.3604462302117801E-4</v>
      </c>
    </row>
    <row r="83" spans="1:71" x14ac:dyDescent="0.25">
      <c r="A83">
        <v>80</v>
      </c>
      <c r="B83" s="1">
        <v>1.9921992031296598E-5</v>
      </c>
      <c r="C83">
        <v>0.106042188144936</v>
      </c>
      <c r="D83">
        <v>-3.0950785202978097E-4</v>
      </c>
      <c r="E83">
        <v>6.1312499999999995E-4</v>
      </c>
      <c r="F83">
        <v>-1.0604218814493601E-3</v>
      </c>
      <c r="G83" s="1">
        <v>-1.0842021724855E-19</v>
      </c>
      <c r="H83" t="s">
        <v>74</v>
      </c>
      <c r="I83">
        <v>0</v>
      </c>
      <c r="J83" t="s">
        <v>75</v>
      </c>
      <c r="K83">
        <v>3.14159265358979</v>
      </c>
      <c r="L83">
        <v>0.66106988632055796</v>
      </c>
      <c r="M83">
        <v>0</v>
      </c>
      <c r="N83">
        <v>3.8814762519369599E-2</v>
      </c>
      <c r="O83">
        <v>0</v>
      </c>
      <c r="P83">
        <v>1.6E-2</v>
      </c>
      <c r="Q83">
        <v>0</v>
      </c>
      <c r="R83">
        <v>0</v>
      </c>
      <c r="S83">
        <v>0</v>
      </c>
      <c r="T83">
        <v>0</v>
      </c>
      <c r="U83">
        <v>0.66640107754009204</v>
      </c>
      <c r="V83" t="s">
        <v>78</v>
      </c>
      <c r="W83">
        <v>2313087.6021961998</v>
      </c>
      <c r="X83" t="s">
        <v>76</v>
      </c>
      <c r="Y83">
        <v>-1.5707963267949001</v>
      </c>
      <c r="Z83">
        <v>0.65348806038665597</v>
      </c>
      <c r="AA83">
        <v>0.32775979801500998</v>
      </c>
      <c r="AB83">
        <v>3.5109827700941197E-2</v>
      </c>
      <c r="AC83">
        <v>1.8416405766208101E-2</v>
      </c>
      <c r="AD83">
        <v>1.2389740438763799E-2</v>
      </c>
      <c r="AE83">
        <v>2.33256361894651E-2</v>
      </c>
      <c r="AF83">
        <v>0</v>
      </c>
      <c r="AG83">
        <v>0.26826199531051498</v>
      </c>
      <c r="AH83">
        <v>0.23106312570573401</v>
      </c>
      <c r="AI83">
        <v>0.41359963915241799</v>
      </c>
      <c r="AJ83" t="s">
        <v>74</v>
      </c>
      <c r="AK83">
        <v>0</v>
      </c>
      <c r="AL83" t="s">
        <v>77</v>
      </c>
      <c r="AM83">
        <v>0</v>
      </c>
      <c r="AN83">
        <v>0.99199999999999999</v>
      </c>
      <c r="AO83">
        <v>0</v>
      </c>
      <c r="AP83">
        <v>5.8245346242475203E-2</v>
      </c>
      <c r="AQ83">
        <v>0</v>
      </c>
      <c r="AR83">
        <v>1.6E-2</v>
      </c>
      <c r="AS83">
        <v>0</v>
      </c>
      <c r="AT83">
        <v>0</v>
      </c>
      <c r="AU83">
        <v>0</v>
      </c>
      <c r="AV83">
        <v>0</v>
      </c>
      <c r="AW83">
        <v>1</v>
      </c>
      <c r="AX83" t="s">
        <v>74</v>
      </c>
      <c r="AY83">
        <v>0</v>
      </c>
      <c r="AZ83" t="s">
        <v>76</v>
      </c>
      <c r="BA83">
        <v>-1.5707963267949001</v>
      </c>
      <c r="BB83">
        <v>0.99199999999999999</v>
      </c>
      <c r="BC83">
        <v>0</v>
      </c>
      <c r="BD83">
        <v>5.8245346242475203E-2</v>
      </c>
      <c r="BE83">
        <v>0</v>
      </c>
      <c r="BF83">
        <v>1.6E-2</v>
      </c>
      <c r="BG83">
        <v>0</v>
      </c>
      <c r="BH83">
        <v>0</v>
      </c>
      <c r="BI83">
        <v>0</v>
      </c>
      <c r="BJ83">
        <v>0</v>
      </c>
      <c r="BK83">
        <v>1</v>
      </c>
      <c r="BL83">
        <v>1.04415844235735E-4</v>
      </c>
      <c r="BM83">
        <v>2.4966256050812401E-4</v>
      </c>
      <c r="BN83" s="1">
        <v>3.8008509309721699E-7</v>
      </c>
      <c r="BO83" s="1">
        <v>3.9216903298437101E-6</v>
      </c>
      <c r="BP83">
        <v>0</v>
      </c>
      <c r="BQ83">
        <v>0</v>
      </c>
      <c r="BR83" s="1">
        <v>5.6725712973356098E-5</v>
      </c>
      <c r="BS83">
        <v>1.3778344750463401E-4</v>
      </c>
    </row>
    <row r="84" spans="1:71" x14ac:dyDescent="0.25">
      <c r="A84">
        <v>81</v>
      </c>
      <c r="B84" s="1">
        <v>1.9946893156063501E-5</v>
      </c>
      <c r="C84">
        <v>0.106062135038092</v>
      </c>
      <c r="D84">
        <v>-3.0961530266673299E-4</v>
      </c>
      <c r="E84">
        <v>6.1312499999999995E-4</v>
      </c>
      <c r="F84">
        <v>-1.0606213503809199E-3</v>
      </c>
      <c r="G84">
        <v>0</v>
      </c>
      <c r="H84" t="s">
        <v>74</v>
      </c>
      <c r="I84">
        <v>0</v>
      </c>
      <c r="J84" t="s">
        <v>75</v>
      </c>
      <c r="K84">
        <v>3.14159265358979</v>
      </c>
      <c r="L84">
        <v>0.65690137702817797</v>
      </c>
      <c r="M84">
        <v>0</v>
      </c>
      <c r="N84">
        <v>3.8570008217908298E-2</v>
      </c>
      <c r="O84">
        <v>0</v>
      </c>
      <c r="P84">
        <v>1.6E-2</v>
      </c>
      <c r="Q84">
        <v>0</v>
      </c>
      <c r="R84">
        <v>0</v>
      </c>
      <c r="S84">
        <v>0</v>
      </c>
      <c r="T84">
        <v>0</v>
      </c>
      <c r="U84">
        <v>0.662198957317916</v>
      </c>
      <c r="V84" t="s">
        <v>78</v>
      </c>
      <c r="W84">
        <v>2314014.8490372701</v>
      </c>
      <c r="X84" t="s">
        <v>76</v>
      </c>
      <c r="Y84">
        <v>-1.5707963267949001</v>
      </c>
      <c r="Z84">
        <v>0.64933431136395303</v>
      </c>
      <c r="AA84">
        <v>0.33265987174991102</v>
      </c>
      <c r="AB84">
        <v>3.4875972970823697E-2</v>
      </c>
      <c r="AC84">
        <v>1.86717587861467E-2</v>
      </c>
      <c r="AD84">
        <v>1.212302807862E-2</v>
      </c>
      <c r="AE84">
        <v>2.3633121816272799E-2</v>
      </c>
      <c r="AF84">
        <v>0</v>
      </c>
      <c r="AG84">
        <v>0.26782625840753199</v>
      </c>
      <c r="AH84">
        <v>0.237788533209352</v>
      </c>
      <c r="AI84">
        <v>0.407140814003359</v>
      </c>
      <c r="AJ84" t="s">
        <v>74</v>
      </c>
      <c r="AK84">
        <v>0</v>
      </c>
      <c r="AL84" t="s">
        <v>77</v>
      </c>
      <c r="AM84">
        <v>0</v>
      </c>
      <c r="AN84">
        <v>0.99199999999999999</v>
      </c>
      <c r="AO84">
        <v>0</v>
      </c>
      <c r="AP84">
        <v>5.8245346242475203E-2</v>
      </c>
      <c r="AQ84">
        <v>0</v>
      </c>
      <c r="AR84">
        <v>1.6E-2</v>
      </c>
      <c r="AS84">
        <v>0</v>
      </c>
      <c r="AT84">
        <v>0</v>
      </c>
      <c r="AU84">
        <v>0</v>
      </c>
      <c r="AV84">
        <v>0</v>
      </c>
      <c r="AW84">
        <v>1</v>
      </c>
      <c r="AX84" t="s">
        <v>74</v>
      </c>
      <c r="AY84">
        <v>0</v>
      </c>
      <c r="AZ84" t="s">
        <v>76</v>
      </c>
      <c r="BA84">
        <v>-1.5707963267949001</v>
      </c>
      <c r="BB84">
        <v>0.99199999999999999</v>
      </c>
      <c r="BC84">
        <v>0</v>
      </c>
      <c r="BD84">
        <v>5.8245346242475203E-2</v>
      </c>
      <c r="BE84">
        <v>0</v>
      </c>
      <c r="BF84">
        <v>1.6E-2</v>
      </c>
      <c r="BG84">
        <v>0</v>
      </c>
      <c r="BH84">
        <v>0</v>
      </c>
      <c r="BI84">
        <v>0</v>
      </c>
      <c r="BJ84">
        <v>0</v>
      </c>
      <c r="BK84">
        <v>1</v>
      </c>
      <c r="BL84">
        <v>1.0430421622991501E-4</v>
      </c>
      <c r="BM84">
        <v>2.5280739580844198E-4</v>
      </c>
      <c r="BN84" s="1">
        <v>3.79658075901323E-7</v>
      </c>
      <c r="BO84" s="1">
        <v>3.9710892872248497E-6</v>
      </c>
      <c r="BP84">
        <v>0</v>
      </c>
      <c r="BQ84">
        <v>0</v>
      </c>
      <c r="BR84" s="1">
        <v>5.6653988547488599E-5</v>
      </c>
      <c r="BS84">
        <v>1.39521935307456E-4</v>
      </c>
    </row>
    <row r="85" spans="1:71" x14ac:dyDescent="0.25">
      <c r="A85">
        <v>82</v>
      </c>
      <c r="B85" s="1">
        <v>1.99810078142788E-5</v>
      </c>
      <c r="C85">
        <v>0.10608211604590601</v>
      </c>
      <c r="D85">
        <v>-3.0972292633888501E-4</v>
      </c>
      <c r="E85">
        <v>6.1312499999999995E-4</v>
      </c>
      <c r="F85">
        <v>-1.0608211604590601E-3</v>
      </c>
      <c r="G85">
        <v>0</v>
      </c>
      <c r="H85" t="s">
        <v>74</v>
      </c>
      <c r="I85">
        <v>0</v>
      </c>
      <c r="J85" t="s">
        <v>75</v>
      </c>
      <c r="K85">
        <v>3.14159265358979</v>
      </c>
      <c r="L85">
        <v>0.65273389998787101</v>
      </c>
      <c r="M85">
        <v>0</v>
      </c>
      <c r="N85">
        <v>3.8325314525196302E-2</v>
      </c>
      <c r="O85">
        <v>0</v>
      </c>
      <c r="P85">
        <v>1.6E-2</v>
      </c>
      <c r="Q85">
        <v>0</v>
      </c>
      <c r="R85">
        <v>0</v>
      </c>
      <c r="S85">
        <v>0</v>
      </c>
      <c r="T85">
        <v>0</v>
      </c>
      <c r="U85">
        <v>0.65799787565323198</v>
      </c>
      <c r="V85" t="s">
        <v>78</v>
      </c>
      <c r="W85">
        <v>2314943.5890881298</v>
      </c>
      <c r="X85" t="s">
        <v>76</v>
      </c>
      <c r="Y85">
        <v>-1.5707963267949001</v>
      </c>
      <c r="Z85">
        <v>0.64518187889809897</v>
      </c>
      <c r="AA85">
        <v>0.336236546440638</v>
      </c>
      <c r="AB85">
        <v>3.4642306481581397E-2</v>
      </c>
      <c r="AC85">
        <v>1.8885561617019798E-2</v>
      </c>
      <c r="AD85">
        <v>1.1856142417106599E-2</v>
      </c>
      <c r="AE85">
        <v>2.39402840515806E-2</v>
      </c>
      <c r="AF85">
        <v>0</v>
      </c>
      <c r="AG85">
        <v>0.267259364163557</v>
      </c>
      <c r="AH85">
        <v>0.24464354053662299</v>
      </c>
      <c r="AI85">
        <v>0.40071298630784802</v>
      </c>
      <c r="AJ85" t="s">
        <v>74</v>
      </c>
      <c r="AK85">
        <v>0</v>
      </c>
      <c r="AL85" t="s">
        <v>77</v>
      </c>
      <c r="AM85">
        <v>0</v>
      </c>
      <c r="AN85">
        <v>0.99199999999999999</v>
      </c>
      <c r="AO85">
        <v>0</v>
      </c>
      <c r="AP85">
        <v>5.8245346242475203E-2</v>
      </c>
      <c r="AQ85">
        <v>0</v>
      </c>
      <c r="AR85">
        <v>1.6E-2</v>
      </c>
      <c r="AS85">
        <v>0</v>
      </c>
      <c r="AT85">
        <v>0</v>
      </c>
      <c r="AU85">
        <v>0</v>
      </c>
      <c r="AV85">
        <v>0</v>
      </c>
      <c r="AW85">
        <v>1</v>
      </c>
      <c r="AX85" t="s">
        <v>74</v>
      </c>
      <c r="AY85">
        <v>0</v>
      </c>
      <c r="AZ85" t="s">
        <v>76</v>
      </c>
      <c r="BA85">
        <v>-1.5707963267949001</v>
      </c>
      <c r="BB85">
        <v>0.99199999999999999</v>
      </c>
      <c r="BC85">
        <v>0</v>
      </c>
      <c r="BD85">
        <v>5.8245346242475203E-2</v>
      </c>
      <c r="BE85">
        <v>0</v>
      </c>
      <c r="BF85">
        <v>1.6E-2</v>
      </c>
      <c r="BG85">
        <v>0</v>
      </c>
      <c r="BH85">
        <v>0</v>
      </c>
      <c r="BI85">
        <v>0</v>
      </c>
      <c r="BJ85">
        <v>0</v>
      </c>
      <c r="BK85">
        <v>1</v>
      </c>
      <c r="BL85">
        <v>1.04171937554374E-4</v>
      </c>
      <c r="BM85">
        <v>2.5595145235008998E-4</v>
      </c>
      <c r="BN85" s="1">
        <v>3.79190487360574E-7</v>
      </c>
      <c r="BO85" s="1">
        <v>4.0204760118933997E-6</v>
      </c>
      <c r="BP85">
        <v>0</v>
      </c>
      <c r="BQ85">
        <v>0</v>
      </c>
      <c r="BR85" s="1">
        <v>5.65708648226736E-5</v>
      </c>
      <c r="BS85">
        <v>1.4126007093978599E-4</v>
      </c>
    </row>
    <row r="86" spans="1:71" x14ac:dyDescent="0.25">
      <c r="A86">
        <v>83</v>
      </c>
      <c r="B86" s="1">
        <v>2.0024573812110799E-5</v>
      </c>
      <c r="C86">
        <v>0.106102140619718</v>
      </c>
      <c r="D86">
        <v>-3.0983077389491498E-4</v>
      </c>
      <c r="E86">
        <v>6.1312499999999995E-4</v>
      </c>
      <c r="F86">
        <v>-1.0610214061971799E-3</v>
      </c>
      <c r="G86" s="1">
        <v>-1.0842021724855E-19</v>
      </c>
      <c r="H86" t="s">
        <v>74</v>
      </c>
      <c r="I86">
        <v>0</v>
      </c>
      <c r="J86" t="s">
        <v>75</v>
      </c>
      <c r="K86">
        <v>3.14159265358979</v>
      </c>
      <c r="L86">
        <v>0.64856749849851503</v>
      </c>
      <c r="M86">
        <v>0</v>
      </c>
      <c r="N86">
        <v>3.8080683983530303E-2</v>
      </c>
      <c r="O86">
        <v>0</v>
      </c>
      <c r="P86">
        <v>1.6E-2</v>
      </c>
      <c r="Q86">
        <v>0</v>
      </c>
      <c r="R86">
        <v>0</v>
      </c>
      <c r="S86">
        <v>0</v>
      </c>
      <c r="T86">
        <v>0</v>
      </c>
      <c r="U86">
        <v>0.65379787684149604</v>
      </c>
      <c r="V86" t="s">
        <v>78</v>
      </c>
      <c r="W86">
        <v>2315874.2611481799</v>
      </c>
      <c r="X86" t="s">
        <v>76</v>
      </c>
      <c r="Y86">
        <v>-1.5707963267949001</v>
      </c>
      <c r="Z86">
        <v>0.64103079198227497</v>
      </c>
      <c r="AA86">
        <v>0.33973202737373498</v>
      </c>
      <c r="AB86">
        <v>3.4408825106586903E-2</v>
      </c>
      <c r="AC86">
        <v>1.9096843203600899E-2</v>
      </c>
      <c r="AD86">
        <v>1.1589117359035899E-2</v>
      </c>
      <c r="AE86">
        <v>2.42471064680683E-2</v>
      </c>
      <c r="AF86">
        <v>0</v>
      </c>
      <c r="AG86">
        <v>0.26655906318823902</v>
      </c>
      <c r="AH86">
        <v>0.25163033174622002</v>
      </c>
      <c r="AI86">
        <v>0.39431651572510301</v>
      </c>
      <c r="AJ86" t="s">
        <v>74</v>
      </c>
      <c r="AK86">
        <v>0</v>
      </c>
      <c r="AL86" t="s">
        <v>77</v>
      </c>
      <c r="AM86">
        <v>0</v>
      </c>
      <c r="AN86">
        <v>0.99199999999999999</v>
      </c>
      <c r="AO86">
        <v>0</v>
      </c>
      <c r="AP86">
        <v>5.8245346242475203E-2</v>
      </c>
      <c r="AQ86">
        <v>0</v>
      </c>
      <c r="AR86">
        <v>1.6E-2</v>
      </c>
      <c r="AS86">
        <v>0</v>
      </c>
      <c r="AT86">
        <v>0</v>
      </c>
      <c r="AU86">
        <v>0</v>
      </c>
      <c r="AV86">
        <v>0</v>
      </c>
      <c r="AW86">
        <v>1</v>
      </c>
      <c r="AX86" t="s">
        <v>74</v>
      </c>
      <c r="AY86">
        <v>0</v>
      </c>
      <c r="AZ86" t="s">
        <v>76</v>
      </c>
      <c r="BA86">
        <v>-1.5707963267949001</v>
      </c>
      <c r="BB86">
        <v>0.99199999999999999</v>
      </c>
      <c r="BC86">
        <v>0</v>
      </c>
      <c r="BD86">
        <v>5.8245346242475203E-2</v>
      </c>
      <c r="BE86">
        <v>0</v>
      </c>
      <c r="BF86">
        <v>1.6E-2</v>
      </c>
      <c r="BG86">
        <v>0</v>
      </c>
      <c r="BH86">
        <v>0</v>
      </c>
      <c r="BI86">
        <v>0</v>
      </c>
      <c r="BJ86">
        <v>0</v>
      </c>
      <c r="BK86">
        <v>1</v>
      </c>
      <c r="BL86">
        <v>1.04038522389334E-4</v>
      </c>
      <c r="BM86">
        <v>2.5909469746722999E-4</v>
      </c>
      <c r="BN86" s="1">
        <v>3.7872136219203699E-7</v>
      </c>
      <c r="BO86" s="1">
        <v>4.0698499907355904E-6</v>
      </c>
      <c r="BP86">
        <v>0</v>
      </c>
      <c r="BQ86">
        <v>0</v>
      </c>
      <c r="BR86" s="1">
        <v>5.6487111791359301E-5</v>
      </c>
      <c r="BS86">
        <v>1.42997837946843E-4</v>
      </c>
    </row>
    <row r="87" spans="1:71" x14ac:dyDescent="0.25">
      <c r="A87">
        <v>84</v>
      </c>
      <c r="B87" s="1">
        <v>2.0077864129407601E-5</v>
      </c>
      <c r="C87">
        <v>0.10612221848384799</v>
      </c>
      <c r="D87">
        <v>-3.0993889763308001E-4</v>
      </c>
      <c r="E87">
        <v>6.1312499999999995E-4</v>
      </c>
      <c r="F87">
        <v>-1.0612221848384799E-3</v>
      </c>
      <c r="G87">
        <v>0</v>
      </c>
      <c r="H87" t="s">
        <v>74</v>
      </c>
      <c r="I87">
        <v>0</v>
      </c>
      <c r="J87" t="s">
        <v>75</v>
      </c>
      <c r="K87">
        <v>3.14159265358979</v>
      </c>
      <c r="L87">
        <v>0.64440221863880798</v>
      </c>
      <c r="M87">
        <v>0</v>
      </c>
      <c r="N87">
        <v>3.7836119298424002E-2</v>
      </c>
      <c r="O87">
        <v>0</v>
      </c>
      <c r="P87">
        <v>1.6E-2</v>
      </c>
      <c r="Q87">
        <v>0</v>
      </c>
      <c r="R87">
        <v>0</v>
      </c>
      <c r="S87">
        <v>0</v>
      </c>
      <c r="T87">
        <v>0</v>
      </c>
      <c r="U87">
        <v>0.64959900777772495</v>
      </c>
      <c r="V87" t="s">
        <v>78</v>
      </c>
      <c r="W87">
        <v>2316807.3165260102</v>
      </c>
      <c r="X87" t="s">
        <v>76</v>
      </c>
      <c r="Y87">
        <v>-1.5707963267949001</v>
      </c>
      <c r="Z87">
        <v>0.63688108218338402</v>
      </c>
      <c r="AA87">
        <v>0.34546844432040302</v>
      </c>
      <c r="AB87">
        <v>3.4175525840852601E-2</v>
      </c>
      <c r="AC87">
        <v>1.9378557761881299E-2</v>
      </c>
      <c r="AD87">
        <v>1.1321986836489099E-2</v>
      </c>
      <c r="AE87">
        <v>2.4553572415130301E-2</v>
      </c>
      <c r="AF87">
        <v>0</v>
      </c>
      <c r="AG87">
        <v>0.265723016922703</v>
      </c>
      <c r="AH87">
        <v>0.25875117587100899</v>
      </c>
      <c r="AI87">
        <v>0.38795176843706503</v>
      </c>
      <c r="AJ87" t="s">
        <v>74</v>
      </c>
      <c r="AK87">
        <v>0</v>
      </c>
      <c r="AL87" t="s">
        <v>77</v>
      </c>
      <c r="AM87">
        <v>0</v>
      </c>
      <c r="AN87">
        <v>0.99199999999999999</v>
      </c>
      <c r="AO87">
        <v>0</v>
      </c>
      <c r="AP87">
        <v>5.8245346242475203E-2</v>
      </c>
      <c r="AQ87">
        <v>0</v>
      </c>
      <c r="AR87">
        <v>1.6E-2</v>
      </c>
      <c r="AS87">
        <v>0</v>
      </c>
      <c r="AT87">
        <v>0</v>
      </c>
      <c r="AU87">
        <v>0</v>
      </c>
      <c r="AV87">
        <v>0</v>
      </c>
      <c r="AW87">
        <v>1</v>
      </c>
      <c r="AX87" t="s">
        <v>74</v>
      </c>
      <c r="AY87">
        <v>0</v>
      </c>
      <c r="AZ87" t="s">
        <v>76</v>
      </c>
      <c r="BA87">
        <v>-1.5707963267949001</v>
      </c>
      <c r="BB87">
        <v>0.99199999999999999</v>
      </c>
      <c r="BC87">
        <v>0</v>
      </c>
      <c r="BD87">
        <v>5.8245346242475203E-2</v>
      </c>
      <c r="BE87">
        <v>0</v>
      </c>
      <c r="BF87">
        <v>1.6E-2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1.03940447693054E-4</v>
      </c>
      <c r="BM87">
        <v>2.6223709639685601E-4</v>
      </c>
      <c r="BN87" s="1">
        <v>3.7832366029213002E-7</v>
      </c>
      <c r="BO87" s="1">
        <v>4.1192106776954098E-6</v>
      </c>
      <c r="BP87">
        <v>0</v>
      </c>
      <c r="BQ87">
        <v>0</v>
      </c>
      <c r="BR87" s="1">
        <v>5.6422862546458103E-5</v>
      </c>
      <c r="BS87">
        <v>1.4473521882482699E-4</v>
      </c>
    </row>
    <row r="88" spans="1:71" x14ac:dyDescent="0.25">
      <c r="A88">
        <v>85</v>
      </c>
      <c r="B88" s="1">
        <v>2.0141189720912899E-5</v>
      </c>
      <c r="C88">
        <v>0.106142359673569</v>
      </c>
      <c r="D88">
        <v>-3.1004735150485602E-4</v>
      </c>
      <c r="E88">
        <v>6.1312499999999995E-4</v>
      </c>
      <c r="F88">
        <v>-1.0614235967356901E-3</v>
      </c>
      <c r="G88">
        <v>0</v>
      </c>
      <c r="H88" t="s">
        <v>74</v>
      </c>
      <c r="I88">
        <v>0</v>
      </c>
      <c r="J88" t="s">
        <v>75</v>
      </c>
      <c r="K88">
        <v>3.14159265358979</v>
      </c>
      <c r="L88">
        <v>0.64023810951079096</v>
      </c>
      <c r="M88">
        <v>0</v>
      </c>
      <c r="N88">
        <v>3.7591623352907E-2</v>
      </c>
      <c r="O88">
        <v>0</v>
      </c>
      <c r="P88">
        <v>1.6E-2</v>
      </c>
      <c r="Q88">
        <v>0</v>
      </c>
      <c r="R88">
        <v>0</v>
      </c>
      <c r="S88">
        <v>0</v>
      </c>
      <c r="T88">
        <v>0</v>
      </c>
      <c r="U88">
        <v>0.64540131826473202</v>
      </c>
      <c r="V88" t="s">
        <v>78</v>
      </c>
      <c r="W88">
        <v>2317743.22079664</v>
      </c>
      <c r="X88" t="s">
        <v>76</v>
      </c>
      <c r="Y88">
        <v>-1.5707963267949001</v>
      </c>
      <c r="Z88">
        <v>0.63273278383241705</v>
      </c>
      <c r="AA88">
        <v>0.34880145513597299</v>
      </c>
      <c r="AB88">
        <v>3.3942405795778202E-2</v>
      </c>
      <c r="AC88">
        <v>1.95848023980702E-2</v>
      </c>
      <c r="AD88">
        <v>1.10547848723865E-2</v>
      </c>
      <c r="AE88">
        <v>2.4859664999360001E-2</v>
      </c>
      <c r="AF88">
        <v>0</v>
      </c>
      <c r="AG88">
        <v>0.26474879209421798</v>
      </c>
      <c r="AH88">
        <v>0.26600843209592401</v>
      </c>
      <c r="AI88">
        <v>0.38161911755641897</v>
      </c>
      <c r="AJ88" t="s">
        <v>74</v>
      </c>
      <c r="AK88">
        <v>0</v>
      </c>
      <c r="AL88" t="s">
        <v>77</v>
      </c>
      <c r="AM88">
        <v>0</v>
      </c>
      <c r="AN88">
        <v>0.99199999999999999</v>
      </c>
      <c r="AO88">
        <v>0</v>
      </c>
      <c r="AP88">
        <v>5.8245346242475203E-2</v>
      </c>
      <c r="AQ88">
        <v>0</v>
      </c>
      <c r="AR88">
        <v>1.6E-2</v>
      </c>
      <c r="AS88">
        <v>0</v>
      </c>
      <c r="AT88">
        <v>0</v>
      </c>
      <c r="AU88">
        <v>0</v>
      </c>
      <c r="AV88">
        <v>0</v>
      </c>
      <c r="AW88">
        <v>1</v>
      </c>
      <c r="AX88" t="s">
        <v>74</v>
      </c>
      <c r="AY88">
        <v>0</v>
      </c>
      <c r="AZ88" t="s">
        <v>76</v>
      </c>
      <c r="BA88">
        <v>-1.5707963267949001</v>
      </c>
      <c r="BB88">
        <v>0.99199999999999999</v>
      </c>
      <c r="BC88">
        <v>0</v>
      </c>
      <c r="BD88">
        <v>5.8245346242475203E-2</v>
      </c>
      <c r="BE88">
        <v>0</v>
      </c>
      <c r="BF88">
        <v>1.6E-2</v>
      </c>
      <c r="BG88">
        <v>0</v>
      </c>
      <c r="BH88">
        <v>0</v>
      </c>
      <c r="BI88">
        <v>0</v>
      </c>
      <c r="BJ88">
        <v>0</v>
      </c>
      <c r="BK88">
        <v>1</v>
      </c>
      <c r="BL88">
        <v>1.03804762015853E-4</v>
      </c>
      <c r="BM88">
        <v>2.6537861209507101E-4</v>
      </c>
      <c r="BN88" s="1">
        <v>3.778514867656E-7</v>
      </c>
      <c r="BO88" s="1">
        <v>4.1685574908886502E-6</v>
      </c>
      <c r="BP88">
        <v>0</v>
      </c>
      <c r="BQ88">
        <v>0</v>
      </c>
      <c r="BR88" s="1">
        <v>5.63378543448245E-5</v>
      </c>
      <c r="BS88">
        <v>1.4647219492764101E-4</v>
      </c>
    </row>
    <row r="89" spans="1:71" x14ac:dyDescent="0.25">
      <c r="A89">
        <v>86</v>
      </c>
      <c r="B89" s="1">
        <v>2.0214902753816399E-5</v>
      </c>
      <c r="C89">
        <v>0.106162574576323</v>
      </c>
      <c r="D89">
        <v>-3.1015619133583998E-4</v>
      </c>
      <c r="E89">
        <v>6.1312499999999995E-4</v>
      </c>
      <c r="F89">
        <v>-1.0616257457632301E-3</v>
      </c>
      <c r="G89">
        <v>0</v>
      </c>
      <c r="H89" t="s">
        <v>74</v>
      </c>
      <c r="I89">
        <v>0</v>
      </c>
      <c r="J89" t="s">
        <v>75</v>
      </c>
      <c r="K89">
        <v>3.14159265358979</v>
      </c>
      <c r="L89">
        <v>0.63607522351051904</v>
      </c>
      <c r="M89">
        <v>0</v>
      </c>
      <c r="N89">
        <v>3.7347199223417303E-2</v>
      </c>
      <c r="O89">
        <v>0</v>
      </c>
      <c r="P89">
        <v>1.6E-2</v>
      </c>
      <c r="Q89">
        <v>0</v>
      </c>
      <c r="R89">
        <v>0</v>
      </c>
      <c r="S89">
        <v>0</v>
      </c>
      <c r="T89">
        <v>0</v>
      </c>
      <c r="U89">
        <v>0.641204861329295</v>
      </c>
      <c r="V89" t="s">
        <v>78</v>
      </c>
      <c r="W89">
        <v>2318682.45570791</v>
      </c>
      <c r="X89" t="s">
        <v>76</v>
      </c>
      <c r="Y89">
        <v>-1.5707963267949001</v>
      </c>
      <c r="Z89">
        <v>0.62858593423792297</v>
      </c>
      <c r="AA89">
        <v>0.35316012996563101</v>
      </c>
      <c r="AB89">
        <v>3.3709462194210803E-2</v>
      </c>
      <c r="AC89">
        <v>1.98233086532007E-2</v>
      </c>
      <c r="AD89">
        <v>1.07875456464771E-2</v>
      </c>
      <c r="AE89">
        <v>2.5165367063842401E-2</v>
      </c>
      <c r="AF89">
        <v>0</v>
      </c>
      <c r="AG89">
        <v>0.26363385470919698</v>
      </c>
      <c r="AH89">
        <v>0.27340455535656999</v>
      </c>
      <c r="AI89">
        <v>0.37531894356103102</v>
      </c>
      <c r="AJ89" t="s">
        <v>74</v>
      </c>
      <c r="AK89">
        <v>0</v>
      </c>
      <c r="AL89" t="s">
        <v>77</v>
      </c>
      <c r="AM89">
        <v>0</v>
      </c>
      <c r="AN89">
        <v>0.99199999999999999</v>
      </c>
      <c r="AO89">
        <v>0</v>
      </c>
      <c r="AP89">
        <v>5.8245346242475203E-2</v>
      </c>
      <c r="AQ89">
        <v>0</v>
      </c>
      <c r="AR89">
        <v>1.6E-2</v>
      </c>
      <c r="AS89">
        <v>0</v>
      </c>
      <c r="AT89">
        <v>0</v>
      </c>
      <c r="AU89">
        <v>0</v>
      </c>
      <c r="AV89">
        <v>0</v>
      </c>
      <c r="AW89">
        <v>1</v>
      </c>
      <c r="AX89" t="s">
        <v>74</v>
      </c>
      <c r="AY89">
        <v>0</v>
      </c>
      <c r="AZ89" t="s">
        <v>76</v>
      </c>
      <c r="BA89">
        <v>-1.5707963267949001</v>
      </c>
      <c r="BB89">
        <v>0.99199999999999999</v>
      </c>
      <c r="BC89">
        <v>0</v>
      </c>
      <c r="BD89">
        <v>5.8245346242475203E-2</v>
      </c>
      <c r="BE89">
        <v>0</v>
      </c>
      <c r="BF89">
        <v>1.6E-2</v>
      </c>
      <c r="BG89">
        <v>0</v>
      </c>
      <c r="BH89">
        <v>0</v>
      </c>
      <c r="BI89">
        <v>0</v>
      </c>
      <c r="BJ89">
        <v>0</v>
      </c>
      <c r="BK89">
        <v>1</v>
      </c>
      <c r="BL89">
        <v>1.0368533127789E-4</v>
      </c>
      <c r="BM89">
        <v>2.68519205032884E-4</v>
      </c>
      <c r="BN89" s="1">
        <v>3.7741258321961297E-7</v>
      </c>
      <c r="BO89" s="1">
        <v>4.2178898093953904E-6</v>
      </c>
      <c r="BP89">
        <v>0</v>
      </c>
      <c r="BQ89">
        <v>0</v>
      </c>
      <c r="BR89" s="1">
        <v>5.6261817700732797E-5</v>
      </c>
      <c r="BS89">
        <v>1.4820874636320501E-4</v>
      </c>
    </row>
    <row r="90" spans="1:71" x14ac:dyDescent="0.25">
      <c r="A90">
        <v>87</v>
      </c>
      <c r="B90" s="1">
        <v>2.02994003443178E-5</v>
      </c>
      <c r="C90">
        <v>0.10618287397666699</v>
      </c>
      <c r="D90">
        <v>-3.1026547506661701E-4</v>
      </c>
      <c r="E90">
        <v>6.1312499999999995E-4</v>
      </c>
      <c r="F90">
        <v>-1.0618287397666699E-3</v>
      </c>
      <c r="G90">
        <v>0</v>
      </c>
      <c r="H90" t="s">
        <v>74</v>
      </c>
      <c r="I90">
        <v>0</v>
      </c>
      <c r="J90" t="s">
        <v>75</v>
      </c>
      <c r="K90">
        <v>3.14159265358979</v>
      </c>
      <c r="L90">
        <v>0.63191361662958501</v>
      </c>
      <c r="M90">
        <v>0</v>
      </c>
      <c r="N90">
        <v>3.7102850197504998E-2</v>
      </c>
      <c r="O90">
        <v>0</v>
      </c>
      <c r="P90">
        <v>1.6E-2</v>
      </c>
      <c r="Q90">
        <v>0</v>
      </c>
      <c r="R90">
        <v>0</v>
      </c>
      <c r="S90">
        <v>0</v>
      </c>
      <c r="T90">
        <v>0</v>
      </c>
      <c r="U90">
        <v>0.63700969355606896</v>
      </c>
      <c r="V90" t="s">
        <v>78</v>
      </c>
      <c r="W90">
        <v>2319625.52125892</v>
      </c>
      <c r="X90" t="s">
        <v>76</v>
      </c>
      <c r="Y90">
        <v>-1.5707963267949001</v>
      </c>
      <c r="Z90">
        <v>0.62444057392559804</v>
      </c>
      <c r="AA90">
        <v>0.35741046556587203</v>
      </c>
      <c r="AB90">
        <v>3.3476692365793703E-2</v>
      </c>
      <c r="AC90">
        <v>2.0058455240054899E-2</v>
      </c>
      <c r="AD90">
        <v>1.05203035643471E-2</v>
      </c>
      <c r="AE90">
        <v>2.54706611660694E-2</v>
      </c>
      <c r="AF90">
        <v>0</v>
      </c>
      <c r="AG90">
        <v>0.26237556353741698</v>
      </c>
      <c r="AH90">
        <v>0.28094210240005202</v>
      </c>
      <c r="AI90">
        <v>0.36905163475873698</v>
      </c>
      <c r="AJ90" t="s">
        <v>74</v>
      </c>
      <c r="AK90">
        <v>0</v>
      </c>
      <c r="AL90" t="s">
        <v>77</v>
      </c>
      <c r="AM90">
        <v>0</v>
      </c>
      <c r="AN90">
        <v>0.99199999999999999</v>
      </c>
      <c r="AO90">
        <v>0</v>
      </c>
      <c r="AP90">
        <v>5.8245346242475203E-2</v>
      </c>
      <c r="AQ90">
        <v>0</v>
      </c>
      <c r="AR90">
        <v>1.6E-2</v>
      </c>
      <c r="AS90">
        <v>0</v>
      </c>
      <c r="AT90">
        <v>0</v>
      </c>
      <c r="AU90">
        <v>0</v>
      </c>
      <c r="AV90">
        <v>0</v>
      </c>
      <c r="AW90">
        <v>1</v>
      </c>
      <c r="AX90" t="s">
        <v>74</v>
      </c>
      <c r="AY90">
        <v>0</v>
      </c>
      <c r="AZ90" t="s">
        <v>76</v>
      </c>
      <c r="BA90">
        <v>-1.5707963267949001</v>
      </c>
      <c r="BB90">
        <v>0.99199999999999999</v>
      </c>
      <c r="BC90">
        <v>0</v>
      </c>
      <c r="BD90">
        <v>5.8245346242475203E-2</v>
      </c>
      <c r="BE90">
        <v>0</v>
      </c>
      <c r="BF90">
        <v>1.6E-2</v>
      </c>
      <c r="BG90">
        <v>0</v>
      </c>
      <c r="BH90">
        <v>0</v>
      </c>
      <c r="BI90">
        <v>0</v>
      </c>
      <c r="BJ90">
        <v>0</v>
      </c>
      <c r="BK90">
        <v>1</v>
      </c>
      <c r="BL90">
        <v>1.03564345144152E-4</v>
      </c>
      <c r="BM90">
        <v>2.7165883296873401E-4</v>
      </c>
      <c r="BN90" s="1">
        <v>3.7697134024999501E-7</v>
      </c>
      <c r="BO90" s="1">
        <v>4.2672069696867597E-6</v>
      </c>
      <c r="BP90">
        <v>0</v>
      </c>
      <c r="BQ90">
        <v>0</v>
      </c>
      <c r="BR90" s="1">
        <v>5.6184923235702999E-5</v>
      </c>
      <c r="BS90">
        <v>1.4994485187793901E-4</v>
      </c>
    </row>
    <row r="91" spans="1:71" x14ac:dyDescent="0.25">
      <c r="A91">
        <v>88</v>
      </c>
      <c r="B91" s="1">
        <v>2.03951288681862E-5</v>
      </c>
      <c r="C91">
        <v>0.106203269105535</v>
      </c>
      <c r="D91">
        <v>-3.10375263016626E-4</v>
      </c>
      <c r="E91">
        <v>6.1312499999999995E-4</v>
      </c>
      <c r="F91">
        <v>-1.06203269105535E-3</v>
      </c>
      <c r="G91">
        <v>0</v>
      </c>
      <c r="H91" t="s">
        <v>74</v>
      </c>
      <c r="I91">
        <v>0</v>
      </c>
      <c r="J91" t="s">
        <v>75</v>
      </c>
      <c r="K91">
        <v>3.14159265358979</v>
      </c>
      <c r="L91">
        <v>0.62775334879176903</v>
      </c>
      <c r="M91">
        <v>0</v>
      </c>
      <c r="N91">
        <v>3.6858579793598703E-2</v>
      </c>
      <c r="O91">
        <v>0</v>
      </c>
      <c r="P91">
        <v>1.6E-2</v>
      </c>
      <c r="Q91">
        <v>0</v>
      </c>
      <c r="R91">
        <v>0</v>
      </c>
      <c r="S91">
        <v>0</v>
      </c>
      <c r="T91">
        <v>0</v>
      </c>
      <c r="U91">
        <v>0.63281587544769302</v>
      </c>
      <c r="V91" t="s">
        <v>78</v>
      </c>
      <c r="W91">
        <v>2320572.9379771599</v>
      </c>
      <c r="X91" t="s">
        <v>76</v>
      </c>
      <c r="Y91">
        <v>-1.5707963267949001</v>
      </c>
      <c r="Z91">
        <v>0.62029674690747305</v>
      </c>
      <c r="AA91">
        <v>0.36155247560204701</v>
      </c>
      <c r="AB91">
        <v>3.3244093742583698E-2</v>
      </c>
      <c r="AC91">
        <v>2.0290245810460499E-2</v>
      </c>
      <c r="AD91">
        <v>1.02530933301168E-2</v>
      </c>
      <c r="AE91">
        <v>2.57755295542616E-2</v>
      </c>
      <c r="AF91">
        <v>0</v>
      </c>
      <c r="AG91">
        <v>0.26097116303477902</v>
      </c>
      <c r="AH91">
        <v>0.28862373835424998</v>
      </c>
      <c r="AI91">
        <v>0.36281758778692802</v>
      </c>
      <c r="AJ91" t="s">
        <v>74</v>
      </c>
      <c r="AK91">
        <v>0</v>
      </c>
      <c r="AL91" t="s">
        <v>77</v>
      </c>
      <c r="AM91">
        <v>0</v>
      </c>
      <c r="AN91">
        <v>0.99199999999999999</v>
      </c>
      <c r="AO91">
        <v>0</v>
      </c>
      <c r="AP91">
        <v>5.8245346242475203E-2</v>
      </c>
      <c r="AQ91">
        <v>0</v>
      </c>
      <c r="AR91">
        <v>1.6E-2</v>
      </c>
      <c r="AS91">
        <v>0</v>
      </c>
      <c r="AT91">
        <v>0</v>
      </c>
      <c r="AU91">
        <v>0</v>
      </c>
      <c r="AV91">
        <v>0</v>
      </c>
      <c r="AW91">
        <v>1</v>
      </c>
      <c r="AX91" t="s">
        <v>74</v>
      </c>
      <c r="AY91">
        <v>0</v>
      </c>
      <c r="AZ91" t="s">
        <v>76</v>
      </c>
      <c r="BA91">
        <v>-1.5707963267949001</v>
      </c>
      <c r="BB91">
        <v>0.99199999999999999</v>
      </c>
      <c r="BC91">
        <v>0</v>
      </c>
      <c r="BD91">
        <v>5.8245346242475203E-2</v>
      </c>
      <c r="BE91">
        <v>0</v>
      </c>
      <c r="BF91">
        <v>1.6E-2</v>
      </c>
      <c r="BG91">
        <v>0</v>
      </c>
      <c r="BH91">
        <v>0</v>
      </c>
      <c r="BI91">
        <v>0</v>
      </c>
      <c r="BJ91">
        <v>0</v>
      </c>
      <c r="BK91">
        <v>1</v>
      </c>
      <c r="BL91">
        <v>1.03441805915797E-4</v>
      </c>
      <c r="BM91">
        <v>2.7479745069451498E-4</v>
      </c>
      <c r="BN91" s="1">
        <v>3.7652777385682398E-7</v>
      </c>
      <c r="BO91" s="1">
        <v>4.3165082616354504E-6</v>
      </c>
      <c r="BP91">
        <v>0</v>
      </c>
      <c r="BQ91">
        <v>0</v>
      </c>
      <c r="BR91" s="1">
        <v>5.6107172836013103E-5</v>
      </c>
      <c r="BS91">
        <v>1.51680488727765E-4</v>
      </c>
    </row>
    <row r="92" spans="1:71" x14ac:dyDescent="0.25">
      <c r="A92">
        <v>89</v>
      </c>
      <c r="B92" s="1">
        <v>2.0502588934783599E-5</v>
      </c>
      <c r="C92">
        <v>0.10622377169447</v>
      </c>
      <c r="D92">
        <v>-3.10485618174604E-4</v>
      </c>
      <c r="E92">
        <v>6.1312499999999995E-4</v>
      </c>
      <c r="F92">
        <v>-1.0622377169447E-3</v>
      </c>
      <c r="G92" s="1">
        <v>-1.0842021724855E-19</v>
      </c>
      <c r="H92" t="s">
        <v>74</v>
      </c>
      <c r="I92">
        <v>0</v>
      </c>
      <c r="J92" t="s">
        <v>75</v>
      </c>
      <c r="K92">
        <v>3.14159265358979</v>
      </c>
      <c r="L92">
        <v>0.62359448422985497</v>
      </c>
      <c r="M92">
        <v>0</v>
      </c>
      <c r="N92">
        <v>3.6614391783130702E-2</v>
      </c>
      <c r="O92">
        <v>0</v>
      </c>
      <c r="P92">
        <v>1.6E-2</v>
      </c>
      <c r="Q92">
        <v>0</v>
      </c>
      <c r="R92">
        <v>0</v>
      </c>
      <c r="S92">
        <v>0</v>
      </c>
      <c r="T92">
        <v>0</v>
      </c>
      <c r="U92">
        <v>0.62862347181901401</v>
      </c>
      <c r="V92" t="s">
        <v>78</v>
      </c>
      <c r="W92">
        <v>2321525.2494248599</v>
      </c>
      <c r="X92" t="s">
        <v>76</v>
      </c>
      <c r="Y92">
        <v>-1.5707963267949001</v>
      </c>
      <c r="Z92">
        <v>0.61615450098482805</v>
      </c>
      <c r="AA92">
        <v>0.36456051794718503</v>
      </c>
      <c r="AB92">
        <v>3.3011663854914899E-2</v>
      </c>
      <c r="AC92">
        <v>2.04864636915436E-2</v>
      </c>
      <c r="AD92">
        <v>9.9859500235929492E-3</v>
      </c>
      <c r="AE92">
        <v>2.6079954141846599E-2</v>
      </c>
      <c r="AF92">
        <v>0</v>
      </c>
      <c r="AG92">
        <v>0.25941777564560098</v>
      </c>
      <c r="AH92">
        <v>0.296452243856975</v>
      </c>
      <c r="AI92">
        <v>0.35661720815210701</v>
      </c>
      <c r="AJ92" t="s">
        <v>74</v>
      </c>
      <c r="AK92">
        <v>0</v>
      </c>
      <c r="AL92" t="s">
        <v>77</v>
      </c>
      <c r="AM92">
        <v>0</v>
      </c>
      <c r="AN92">
        <v>0.99199999999999999</v>
      </c>
      <c r="AO92">
        <v>0</v>
      </c>
      <c r="AP92">
        <v>5.8245346242475203E-2</v>
      </c>
      <c r="AQ92">
        <v>0</v>
      </c>
      <c r="AR92">
        <v>1.6E-2</v>
      </c>
      <c r="AS92">
        <v>0</v>
      </c>
      <c r="AT92">
        <v>0</v>
      </c>
      <c r="AU92">
        <v>0</v>
      </c>
      <c r="AV92">
        <v>0</v>
      </c>
      <c r="AW92">
        <v>1</v>
      </c>
      <c r="AX92" t="s">
        <v>74</v>
      </c>
      <c r="AY92">
        <v>0</v>
      </c>
      <c r="AZ92" t="s">
        <v>76</v>
      </c>
      <c r="BA92">
        <v>-1.5707963267949001</v>
      </c>
      <c r="BB92">
        <v>0.99199999999999999</v>
      </c>
      <c r="BC92">
        <v>0</v>
      </c>
      <c r="BD92">
        <v>5.8245346242475203E-2</v>
      </c>
      <c r="BE92">
        <v>0</v>
      </c>
      <c r="BF92">
        <v>1.6E-2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1.0330160590727E-4</v>
      </c>
      <c r="BM92">
        <v>2.7793500975128798E-4</v>
      </c>
      <c r="BN92" s="1">
        <v>3.7604968284565E-7</v>
      </c>
      <c r="BO92" s="1">
        <v>4.3657929240502697E-6</v>
      </c>
      <c r="BP92">
        <v>0</v>
      </c>
      <c r="BQ92">
        <v>0</v>
      </c>
      <c r="BR92" s="1">
        <v>5.6019675963797998E-5</v>
      </c>
      <c r="BS92">
        <v>1.53415632533685E-4</v>
      </c>
    </row>
    <row r="93" spans="1:71" x14ac:dyDescent="0.25">
      <c r="A93">
        <v>90</v>
      </c>
      <c r="B93" s="1">
        <v>2.0622341131723001E-5</v>
      </c>
      <c r="C93">
        <v>0.106244394035602</v>
      </c>
      <c r="D93">
        <v>-3.10596606519717E-4</v>
      </c>
      <c r="E93">
        <v>6.1312499999999995E-4</v>
      </c>
      <c r="F93">
        <v>-1.06244394035602E-3</v>
      </c>
      <c r="G93" s="1">
        <v>-1.0842021724855E-19</v>
      </c>
      <c r="H93" t="s">
        <v>74</v>
      </c>
      <c r="I93">
        <v>0</v>
      </c>
      <c r="J93" t="s">
        <v>75</v>
      </c>
      <c r="K93">
        <v>3.14159265358979</v>
      </c>
      <c r="L93">
        <v>0.61943709190843799</v>
      </c>
      <c r="M93">
        <v>0</v>
      </c>
      <c r="N93">
        <v>3.6370290215361797E-2</v>
      </c>
      <c r="O93">
        <v>0</v>
      </c>
      <c r="P93">
        <v>1.6E-2</v>
      </c>
      <c r="Q93">
        <v>0</v>
      </c>
      <c r="R93">
        <v>0</v>
      </c>
      <c r="S93">
        <v>0</v>
      </c>
      <c r="T93">
        <v>0</v>
      </c>
      <c r="U93">
        <v>0.624432552233253</v>
      </c>
      <c r="V93" t="s">
        <v>78</v>
      </c>
      <c r="W93">
        <v>2322483.0249701799</v>
      </c>
      <c r="X93" t="s">
        <v>76</v>
      </c>
      <c r="Y93">
        <v>-1.5707963267949001</v>
      </c>
      <c r="Z93">
        <v>0.61201388808957602</v>
      </c>
      <c r="AA93">
        <v>0.36948457684250702</v>
      </c>
      <c r="AB93">
        <v>3.27794003274876E-2</v>
      </c>
      <c r="AC93">
        <v>2.0742933463337301E-2</v>
      </c>
      <c r="AD93">
        <v>9.7189091827452907E-3</v>
      </c>
      <c r="AE93">
        <v>2.63839164798036E-2</v>
      </c>
      <c r="AF93">
        <v>0</v>
      </c>
      <c r="AG93">
        <v>0.25771239341826102</v>
      </c>
      <c r="AH93">
        <v>0.30443052280236499</v>
      </c>
      <c r="AI93">
        <v>0.350450910815373</v>
      </c>
      <c r="AJ93" t="s">
        <v>74</v>
      </c>
      <c r="AK93">
        <v>0</v>
      </c>
      <c r="AL93" t="s">
        <v>77</v>
      </c>
      <c r="AM93">
        <v>0</v>
      </c>
      <c r="AN93">
        <v>0.99199999999999999</v>
      </c>
      <c r="AO93">
        <v>0</v>
      </c>
      <c r="AP93">
        <v>5.8245346242475203E-2</v>
      </c>
      <c r="AQ93">
        <v>0</v>
      </c>
      <c r="AR93">
        <v>1.6E-2</v>
      </c>
      <c r="AS93">
        <v>0</v>
      </c>
      <c r="AT93">
        <v>0</v>
      </c>
      <c r="AU93">
        <v>0</v>
      </c>
      <c r="AV93">
        <v>0</v>
      </c>
      <c r="AW93">
        <v>1</v>
      </c>
      <c r="AX93" t="s">
        <v>74</v>
      </c>
      <c r="AY93">
        <v>0</v>
      </c>
      <c r="AZ93" t="s">
        <v>76</v>
      </c>
      <c r="BA93">
        <v>-1.5707963267949001</v>
      </c>
      <c r="BB93">
        <v>0.99199999999999999</v>
      </c>
      <c r="BC93">
        <v>0</v>
      </c>
      <c r="BD93">
        <v>5.8245346242475203E-2</v>
      </c>
      <c r="BE93">
        <v>0</v>
      </c>
      <c r="BF93">
        <v>1.6E-2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1.03191658245569E-4</v>
      </c>
      <c r="BM93">
        <v>2.8107145811031301E-4</v>
      </c>
      <c r="BN93" s="1">
        <v>3.7563291058724001E-7</v>
      </c>
      <c r="BO93" s="1">
        <v>4.41506013966565E-6</v>
      </c>
      <c r="BP93">
        <v>0</v>
      </c>
      <c r="BQ93">
        <v>0</v>
      </c>
      <c r="BR93" s="1">
        <v>5.5948880561457999E-5</v>
      </c>
      <c r="BS93">
        <v>1.55150257119704E-4</v>
      </c>
    </row>
    <row r="94" spans="1:71" x14ac:dyDescent="0.25">
      <c r="A94">
        <v>91</v>
      </c>
      <c r="B94" s="1">
        <v>2.0755012668984599E-5</v>
      </c>
      <c r="C94">
        <v>0.106265149048271</v>
      </c>
      <c r="D94">
        <v>-3.10708297378178E-4</v>
      </c>
      <c r="E94">
        <v>6.1312499999999995E-4</v>
      </c>
      <c r="F94">
        <v>-1.06265149048271E-3</v>
      </c>
      <c r="G94" s="1">
        <v>-1.0842021724855E-19</v>
      </c>
      <c r="H94" t="s">
        <v>74</v>
      </c>
      <c r="I94">
        <v>0</v>
      </c>
      <c r="J94" t="s">
        <v>75</v>
      </c>
      <c r="K94">
        <v>3.14159265358979</v>
      </c>
      <c r="L94">
        <v>0.61528124599962597</v>
      </c>
      <c r="M94">
        <v>0</v>
      </c>
      <c r="N94">
        <v>3.6126279445312298E-2</v>
      </c>
      <c r="O94">
        <v>0</v>
      </c>
      <c r="P94">
        <v>1.6E-2</v>
      </c>
      <c r="Q94">
        <v>0</v>
      </c>
      <c r="R94">
        <v>0</v>
      </c>
      <c r="S94">
        <v>0</v>
      </c>
      <c r="T94">
        <v>0</v>
      </c>
      <c r="U94">
        <v>0.62024319148843599</v>
      </c>
      <c r="V94" t="s">
        <v>78</v>
      </c>
      <c r="W94">
        <v>2323446.8628646899</v>
      </c>
      <c r="X94" t="s">
        <v>76</v>
      </c>
      <c r="Y94">
        <v>-1.5707963267949001</v>
      </c>
      <c r="Z94">
        <v>0.60787496466979796</v>
      </c>
      <c r="AA94">
        <v>0.37330184001385702</v>
      </c>
      <c r="AB94">
        <v>3.2547300875664702E-2</v>
      </c>
      <c r="AC94">
        <v>2.0964693605016599E-2</v>
      </c>
      <c r="AD94">
        <v>9.4520068925158102E-3</v>
      </c>
      <c r="AE94">
        <v>2.6687397726526702E-2</v>
      </c>
      <c r="AF94">
        <v>0</v>
      </c>
      <c r="AG94">
        <v>0.25585186885994299</v>
      </c>
      <c r="AH94">
        <v>0.31256161076837802</v>
      </c>
      <c r="AI94">
        <v>0.34431912083081101</v>
      </c>
      <c r="AJ94" t="s">
        <v>74</v>
      </c>
      <c r="AK94">
        <v>0</v>
      </c>
      <c r="AL94" t="s">
        <v>77</v>
      </c>
      <c r="AM94">
        <v>0</v>
      </c>
      <c r="AN94">
        <v>0.99199999999999999</v>
      </c>
      <c r="AO94">
        <v>0</v>
      </c>
      <c r="AP94">
        <v>5.8245346242475203E-2</v>
      </c>
      <c r="AQ94">
        <v>0</v>
      </c>
      <c r="AR94">
        <v>1.6E-2</v>
      </c>
      <c r="AS94">
        <v>0</v>
      </c>
      <c r="AT94">
        <v>0</v>
      </c>
      <c r="AU94">
        <v>0</v>
      </c>
      <c r="AV94">
        <v>0</v>
      </c>
      <c r="AW94">
        <v>1</v>
      </c>
      <c r="AX94" t="s">
        <v>74</v>
      </c>
      <c r="AY94">
        <v>0</v>
      </c>
      <c r="AZ94" t="s">
        <v>76</v>
      </c>
      <c r="BA94">
        <v>-1.5707963267949001</v>
      </c>
      <c r="BB94">
        <v>0.99199999999999999</v>
      </c>
      <c r="BC94">
        <v>0</v>
      </c>
      <c r="BD94">
        <v>5.8245346242475203E-2</v>
      </c>
      <c r="BE94">
        <v>0</v>
      </c>
      <c r="BF94">
        <v>1.6E-2</v>
      </c>
      <c r="BG94">
        <v>0</v>
      </c>
      <c r="BH94">
        <v>0</v>
      </c>
      <c r="BI94">
        <v>0</v>
      </c>
      <c r="BJ94">
        <v>0</v>
      </c>
      <c r="BK94">
        <v>1</v>
      </c>
      <c r="BL94">
        <v>1.03064483205472E-4</v>
      </c>
      <c r="BM94">
        <v>2.8420673981415998E-4</v>
      </c>
      <c r="BN94" s="1">
        <v>3.75182513072898E-7</v>
      </c>
      <c r="BO94" s="1">
        <v>4.4643090295043601E-6</v>
      </c>
      <c r="BP94">
        <v>0</v>
      </c>
      <c r="BQ94">
        <v>0</v>
      </c>
      <c r="BR94" s="1">
        <v>5.5868579304797703E-5</v>
      </c>
      <c r="BS94">
        <v>1.56884334330422E-4</v>
      </c>
    </row>
    <row r="95" spans="1:71" x14ac:dyDescent="0.25">
      <c r="A95">
        <v>92</v>
      </c>
      <c r="B95" s="1">
        <v>2.0901305077686101E-5</v>
      </c>
      <c r="C95">
        <v>0.106286050353348</v>
      </c>
      <c r="D95">
        <v>-3.10820763821007E-4</v>
      </c>
      <c r="E95">
        <v>6.1312499999999995E-4</v>
      </c>
      <c r="F95">
        <v>-1.06286050353348E-3</v>
      </c>
      <c r="G95">
        <v>0</v>
      </c>
      <c r="H95" t="s">
        <v>74</v>
      </c>
      <c r="I95">
        <v>0</v>
      </c>
      <c r="J95" t="s">
        <v>75</v>
      </c>
      <c r="K95">
        <v>3.14159265358979</v>
      </c>
      <c r="L95">
        <v>0.61112702641970895</v>
      </c>
      <c r="M95">
        <v>0</v>
      </c>
      <c r="N95">
        <v>3.58823641652724E-2</v>
      </c>
      <c r="O95">
        <v>0</v>
      </c>
      <c r="P95">
        <v>1.6E-2</v>
      </c>
      <c r="Q95">
        <v>0</v>
      </c>
      <c r="R95">
        <v>0</v>
      </c>
      <c r="S95">
        <v>0</v>
      </c>
      <c r="T95">
        <v>0</v>
      </c>
      <c r="U95">
        <v>0.61605547016315199</v>
      </c>
      <c r="V95" t="s">
        <v>78</v>
      </c>
      <c r="W95">
        <v>2324417.3936758498</v>
      </c>
      <c r="X95" t="s">
        <v>76</v>
      </c>
      <c r="Y95">
        <v>-1.5707963267949001</v>
      </c>
      <c r="Z95">
        <v>0.60373779212602796</v>
      </c>
      <c r="AA95">
        <v>0.377955481216671</v>
      </c>
      <c r="AB95">
        <v>3.2315363301952497E-2</v>
      </c>
      <c r="AC95">
        <v>2.12127968084798E-2</v>
      </c>
      <c r="AD95">
        <v>9.1852798811285098E-3</v>
      </c>
      <c r="AE95">
        <v>2.69903786148054E-2</v>
      </c>
      <c r="AF95">
        <v>0</v>
      </c>
      <c r="AG95">
        <v>0.25383290494703697</v>
      </c>
      <c r="AH95">
        <v>0.32084868419663298</v>
      </c>
      <c r="AI95">
        <v>0.33822227404490601</v>
      </c>
      <c r="AJ95" t="s">
        <v>74</v>
      </c>
      <c r="AK95">
        <v>0</v>
      </c>
      <c r="AL95" t="s">
        <v>77</v>
      </c>
      <c r="AM95">
        <v>0</v>
      </c>
      <c r="AN95">
        <v>0.99199999999999999</v>
      </c>
      <c r="AO95">
        <v>0</v>
      </c>
      <c r="AP95">
        <v>5.8245346242475203E-2</v>
      </c>
      <c r="AQ95">
        <v>0</v>
      </c>
      <c r="AR95">
        <v>1.6E-2</v>
      </c>
      <c r="AS95">
        <v>0</v>
      </c>
      <c r="AT95">
        <v>0</v>
      </c>
      <c r="AU95">
        <v>0</v>
      </c>
      <c r="AV95">
        <v>0</v>
      </c>
      <c r="AW95">
        <v>1</v>
      </c>
      <c r="AX95" t="s">
        <v>74</v>
      </c>
      <c r="AY95">
        <v>0</v>
      </c>
      <c r="AZ95" t="s">
        <v>76</v>
      </c>
      <c r="BA95">
        <v>-1.5707963267949001</v>
      </c>
      <c r="BB95">
        <v>0.99199999999999999</v>
      </c>
      <c r="BC95">
        <v>0</v>
      </c>
      <c r="BD95">
        <v>5.8245346242475203E-2</v>
      </c>
      <c r="BE95">
        <v>0</v>
      </c>
      <c r="BF95">
        <v>1.6E-2</v>
      </c>
      <c r="BG95">
        <v>0</v>
      </c>
      <c r="BH95">
        <v>0</v>
      </c>
      <c r="BI95">
        <v>0</v>
      </c>
      <c r="BJ95">
        <v>0</v>
      </c>
      <c r="BK95">
        <v>1</v>
      </c>
      <c r="BL95">
        <v>1.02950608380328E-4</v>
      </c>
      <c r="BM95">
        <v>2.87340794571835E-4</v>
      </c>
      <c r="BN95" s="1">
        <v>3.7475956543826698E-7</v>
      </c>
      <c r="BO95" s="1">
        <v>4.5135386465176496E-6</v>
      </c>
      <c r="BP95">
        <v>0</v>
      </c>
      <c r="BQ95">
        <v>0</v>
      </c>
      <c r="BR95" s="1">
        <v>5.5795624218463997E-5</v>
      </c>
      <c r="BS95">
        <v>1.5861783382520599E-4</v>
      </c>
    </row>
    <row r="96" spans="1:71" x14ac:dyDescent="0.25">
      <c r="A96">
        <v>93</v>
      </c>
      <c r="B96" s="1">
        <v>2.1062003151484102E-5</v>
      </c>
      <c r="C96">
        <v>0.10630711235650001</v>
      </c>
      <c r="D96">
        <v>-3.1093408310957501E-4</v>
      </c>
      <c r="E96">
        <v>6.1312499999999995E-4</v>
      </c>
      <c r="F96">
        <v>-1.0630711235650001E-3</v>
      </c>
      <c r="G96">
        <v>0</v>
      </c>
      <c r="H96" t="s">
        <v>74</v>
      </c>
      <c r="I96">
        <v>0</v>
      </c>
      <c r="J96" t="s">
        <v>75</v>
      </c>
      <c r="K96">
        <v>3.14159265358979</v>
      </c>
      <c r="L96">
        <v>0.60697451943637404</v>
      </c>
      <c r="M96">
        <v>0</v>
      </c>
      <c r="N96">
        <v>3.5638549440455303E-2</v>
      </c>
      <c r="O96">
        <v>0</v>
      </c>
      <c r="P96">
        <v>1.6E-2</v>
      </c>
      <c r="Q96">
        <v>0</v>
      </c>
      <c r="R96">
        <v>0</v>
      </c>
      <c r="S96">
        <v>0</v>
      </c>
      <c r="T96">
        <v>0</v>
      </c>
      <c r="U96">
        <v>0.61186947523193602</v>
      </c>
      <c r="V96" t="s">
        <v>78</v>
      </c>
      <c r="W96">
        <v>2325395.2841317598</v>
      </c>
      <c r="X96" t="s">
        <v>76</v>
      </c>
      <c r="Y96">
        <v>-1.5707963267949001</v>
      </c>
      <c r="Z96">
        <v>0.59960243730614804</v>
      </c>
      <c r="AA96">
        <v>0.38155659053122998</v>
      </c>
      <c r="AB96">
        <v>3.2083585492645499E-2</v>
      </c>
      <c r="AC96">
        <v>2.1427907986536699E-2</v>
      </c>
      <c r="AD96">
        <v>8.9187656252653E-3</v>
      </c>
      <c r="AE96">
        <v>2.72928394154376E-2</v>
      </c>
      <c r="AF96">
        <v>0</v>
      </c>
      <c r="AG96">
        <v>0.25165204419739301</v>
      </c>
      <c r="AH96">
        <v>0.32929507040396699</v>
      </c>
      <c r="AI96">
        <v>0.33216081786657098</v>
      </c>
      <c r="AJ96" t="s">
        <v>74</v>
      </c>
      <c r="AK96">
        <v>0</v>
      </c>
      <c r="AL96" t="s">
        <v>77</v>
      </c>
      <c r="AM96">
        <v>0</v>
      </c>
      <c r="AN96">
        <v>0.99199999999999999</v>
      </c>
      <c r="AO96">
        <v>0</v>
      </c>
      <c r="AP96">
        <v>5.8245346242475203E-2</v>
      </c>
      <c r="AQ96">
        <v>0</v>
      </c>
      <c r="AR96">
        <v>1.6E-2</v>
      </c>
      <c r="AS96">
        <v>0</v>
      </c>
      <c r="AT96">
        <v>0</v>
      </c>
      <c r="AU96">
        <v>0</v>
      </c>
      <c r="AV96">
        <v>0</v>
      </c>
      <c r="AW96">
        <v>1</v>
      </c>
      <c r="AX96" t="s">
        <v>74</v>
      </c>
      <c r="AY96">
        <v>0</v>
      </c>
      <c r="AZ96" t="s">
        <v>76</v>
      </c>
      <c r="BA96">
        <v>-1.5707963267949001</v>
      </c>
      <c r="BB96">
        <v>0.99199999999999999</v>
      </c>
      <c r="BC96">
        <v>0</v>
      </c>
      <c r="BD96">
        <v>5.8245346242475203E-2</v>
      </c>
      <c r="BE96">
        <v>0</v>
      </c>
      <c r="BF96">
        <v>1.6E-2</v>
      </c>
      <c r="BG96">
        <v>0</v>
      </c>
      <c r="BH96">
        <v>0</v>
      </c>
      <c r="BI96">
        <v>0</v>
      </c>
      <c r="BJ96">
        <v>0</v>
      </c>
      <c r="BK96">
        <v>1</v>
      </c>
      <c r="BL96">
        <v>1.02820367702294E-4</v>
      </c>
      <c r="BM96">
        <v>2.9047355730068002E-4</v>
      </c>
      <c r="BN96" s="1">
        <v>3.7430475790996602E-7</v>
      </c>
      <c r="BO96" s="1">
        <v>4.5627479683895503E-6</v>
      </c>
      <c r="BP96">
        <v>0</v>
      </c>
      <c r="BQ96">
        <v>0</v>
      </c>
      <c r="BR96" s="1">
        <v>5.5713640020421203E-5</v>
      </c>
      <c r="BS96">
        <v>1.6035072284523001E-4</v>
      </c>
    </row>
    <row r="97" spans="1:71" x14ac:dyDescent="0.25">
      <c r="A97">
        <v>94</v>
      </c>
      <c r="B97" s="1">
        <v>2.1237985358786E-5</v>
      </c>
      <c r="C97">
        <v>0.106328350341859</v>
      </c>
      <c r="D97">
        <v>-3.11048337196774E-4</v>
      </c>
      <c r="E97">
        <v>6.1312499999999995E-4</v>
      </c>
      <c r="F97">
        <v>-1.06328350341858E-3</v>
      </c>
      <c r="G97" s="1">
        <v>-1.0842021724855E-19</v>
      </c>
      <c r="H97" t="s">
        <v>74</v>
      </c>
      <c r="I97">
        <v>0</v>
      </c>
      <c r="J97" t="s">
        <v>75</v>
      </c>
      <c r="K97">
        <v>3.14159265358979</v>
      </c>
      <c r="L97">
        <v>0.60282381835780396</v>
      </c>
      <c r="M97">
        <v>0</v>
      </c>
      <c r="N97">
        <v>3.5394840749456903E-2</v>
      </c>
      <c r="O97">
        <v>0</v>
      </c>
      <c r="P97">
        <v>1.6E-2</v>
      </c>
      <c r="Q97">
        <v>0</v>
      </c>
      <c r="R97">
        <v>0</v>
      </c>
      <c r="S97">
        <v>0</v>
      </c>
      <c r="T97">
        <v>0</v>
      </c>
      <c r="U97">
        <v>0.60768530076218896</v>
      </c>
      <c r="V97" t="s">
        <v>78</v>
      </c>
      <c r="W97">
        <v>2326381.2414461202</v>
      </c>
      <c r="X97" t="s">
        <v>76</v>
      </c>
      <c r="Y97">
        <v>-1.5707963267949001</v>
      </c>
      <c r="Z97">
        <v>0.59546897306819702</v>
      </c>
      <c r="AA97">
        <v>0.38594025208808802</v>
      </c>
      <c r="AB97">
        <v>3.18519654146113E-2</v>
      </c>
      <c r="AC97">
        <v>2.1667684303304801E-2</v>
      </c>
      <c r="AD97">
        <v>8.6525024657165793E-3</v>
      </c>
      <c r="AE97">
        <v>2.7594759896902101E-2</v>
      </c>
      <c r="AF97">
        <v>0</v>
      </c>
      <c r="AG97">
        <v>0.24930565669890301</v>
      </c>
      <c r="AH97">
        <v>0.33790425851409001</v>
      </c>
      <c r="AI97">
        <v>0.326135212119116</v>
      </c>
      <c r="AJ97" t="s">
        <v>74</v>
      </c>
      <c r="AK97">
        <v>0</v>
      </c>
      <c r="AL97" t="s">
        <v>77</v>
      </c>
      <c r="AM97">
        <v>0</v>
      </c>
      <c r="AN97">
        <v>0.99199999999999999</v>
      </c>
      <c r="AO97">
        <v>0</v>
      </c>
      <c r="AP97">
        <v>5.8245346242475203E-2</v>
      </c>
      <c r="AQ97">
        <v>0</v>
      </c>
      <c r="AR97">
        <v>1.6E-2</v>
      </c>
      <c r="AS97">
        <v>0</v>
      </c>
      <c r="AT97">
        <v>0</v>
      </c>
      <c r="AU97">
        <v>0</v>
      </c>
      <c r="AV97">
        <v>0</v>
      </c>
      <c r="AW97">
        <v>1</v>
      </c>
      <c r="AX97" t="s">
        <v>74</v>
      </c>
      <c r="AY97">
        <v>0</v>
      </c>
      <c r="AZ97" t="s">
        <v>76</v>
      </c>
      <c r="BA97">
        <v>-1.5707963267949001</v>
      </c>
      <c r="BB97">
        <v>0.99199999999999999</v>
      </c>
      <c r="BC97">
        <v>0</v>
      </c>
      <c r="BD97">
        <v>5.8245346242475203E-2</v>
      </c>
      <c r="BE97">
        <v>0</v>
      </c>
      <c r="BF97">
        <v>1.6E-2</v>
      </c>
      <c r="BG97">
        <v>0</v>
      </c>
      <c r="BH97">
        <v>0</v>
      </c>
      <c r="BI97">
        <v>0</v>
      </c>
      <c r="BJ97">
        <v>0</v>
      </c>
      <c r="BK97">
        <v>1</v>
      </c>
      <c r="BL97">
        <v>1.02702591476162E-4</v>
      </c>
      <c r="BM97">
        <v>2.9360495760649702E-4</v>
      </c>
      <c r="BN97" s="1">
        <v>3.7387577499963502E-7</v>
      </c>
      <c r="BO97" s="1">
        <v>4.6119358893705599E-6</v>
      </c>
      <c r="BP97">
        <v>0</v>
      </c>
      <c r="BQ97">
        <v>0</v>
      </c>
      <c r="BR97" s="1">
        <v>5.5638542622755402E-5</v>
      </c>
      <c r="BS97">
        <v>1.62082965949035E-4</v>
      </c>
    </row>
    <row r="98" spans="1:71" x14ac:dyDescent="0.25">
      <c r="A98">
        <v>95</v>
      </c>
      <c r="B98" s="1">
        <v>2.1430236004399999E-5</v>
      </c>
      <c r="C98">
        <v>0.106349780577863</v>
      </c>
      <c r="D98">
        <v>-3.1116361329319302E-4</v>
      </c>
      <c r="E98">
        <v>6.1312499999999995E-4</v>
      </c>
      <c r="F98">
        <v>-1.0634978057786301E-3</v>
      </c>
      <c r="G98">
        <v>0</v>
      </c>
      <c r="H98" t="s">
        <v>74</v>
      </c>
      <c r="I98">
        <v>0</v>
      </c>
      <c r="J98" t="s">
        <v>75</v>
      </c>
      <c r="K98">
        <v>3.14159265358979</v>
      </c>
      <c r="L98">
        <v>0.59867502431721098</v>
      </c>
      <c r="M98">
        <v>0</v>
      </c>
      <c r="N98">
        <v>3.51512440303208E-2</v>
      </c>
      <c r="O98">
        <v>0</v>
      </c>
      <c r="P98">
        <v>1.6E-2</v>
      </c>
      <c r="Q98">
        <v>0</v>
      </c>
      <c r="R98">
        <v>0</v>
      </c>
      <c r="S98">
        <v>0</v>
      </c>
      <c r="T98">
        <v>0</v>
      </c>
      <c r="U98">
        <v>0.60350304870657501</v>
      </c>
      <c r="V98" t="s">
        <v>78</v>
      </c>
      <c r="W98">
        <v>2327376.0182039598</v>
      </c>
      <c r="X98" t="s">
        <v>76</v>
      </c>
      <c r="Y98">
        <v>-1.5707963267949001</v>
      </c>
      <c r="Z98">
        <v>0.591337478922217</v>
      </c>
      <c r="AA98">
        <v>0.39018913871920102</v>
      </c>
      <c r="AB98">
        <v>3.1620501112190898E-2</v>
      </c>
      <c r="AC98">
        <v>2.1903313389039902E-2</v>
      </c>
      <c r="AD98">
        <v>8.3865297354107794E-3</v>
      </c>
      <c r="AE98">
        <v>2.7896119280398798E-2</v>
      </c>
      <c r="AF98">
        <v>0</v>
      </c>
      <c r="AG98">
        <v>0.24678992697569399</v>
      </c>
      <c r="AH98">
        <v>0.34667991140765497</v>
      </c>
      <c r="AI98">
        <v>0.32014592998760799</v>
      </c>
      <c r="AJ98" t="s">
        <v>74</v>
      </c>
      <c r="AK98">
        <v>0</v>
      </c>
      <c r="AL98" t="s">
        <v>77</v>
      </c>
      <c r="AM98">
        <v>0</v>
      </c>
      <c r="AN98">
        <v>0.99199999999999999</v>
      </c>
      <c r="AO98">
        <v>0</v>
      </c>
      <c r="AP98">
        <v>5.8245346242475203E-2</v>
      </c>
      <c r="AQ98">
        <v>0</v>
      </c>
      <c r="AR98">
        <v>1.6E-2</v>
      </c>
      <c r="AS98">
        <v>0</v>
      </c>
      <c r="AT98">
        <v>0</v>
      </c>
      <c r="AU98">
        <v>0</v>
      </c>
      <c r="AV98">
        <v>0</v>
      </c>
      <c r="AW98">
        <v>1</v>
      </c>
      <c r="AX98" t="s">
        <v>74</v>
      </c>
      <c r="AY98">
        <v>0</v>
      </c>
      <c r="AZ98" t="s">
        <v>76</v>
      </c>
      <c r="BA98">
        <v>-1.5707963267949001</v>
      </c>
      <c r="BB98">
        <v>0.99199999999999999</v>
      </c>
      <c r="BC98">
        <v>0</v>
      </c>
      <c r="BD98">
        <v>5.8245346242475203E-2</v>
      </c>
      <c r="BE98">
        <v>0</v>
      </c>
      <c r="BF98">
        <v>1.6E-2</v>
      </c>
      <c r="BG98">
        <v>0</v>
      </c>
      <c r="BH98">
        <v>0</v>
      </c>
      <c r="BI98">
        <v>0</v>
      </c>
      <c r="BJ98">
        <v>0</v>
      </c>
      <c r="BK98">
        <v>1</v>
      </c>
      <c r="BL98">
        <v>1.02582875508251E-4</v>
      </c>
      <c r="BM98">
        <v>2.96734919191674E-4</v>
      </c>
      <c r="BN98" s="1">
        <v>3.7344383438597198E-7</v>
      </c>
      <c r="BO98" s="1">
        <v>4.6611012109806296E-6</v>
      </c>
      <c r="BP98">
        <v>0</v>
      </c>
      <c r="BQ98">
        <v>0</v>
      </c>
      <c r="BR98" s="1">
        <v>5.5562381517396703E-5</v>
      </c>
      <c r="BS98">
        <v>1.6381452471137E-4</v>
      </c>
    </row>
    <row r="99" spans="1:71" x14ac:dyDescent="0.25">
      <c r="A99">
        <v>96</v>
      </c>
      <c r="B99" s="1">
        <v>2.16398594824318E-5</v>
      </c>
      <c r="C99">
        <v>0.106371420437345</v>
      </c>
      <c r="D99">
        <v>-3.1128000450945302E-4</v>
      </c>
      <c r="E99">
        <v>6.1312499999999995E-4</v>
      </c>
      <c r="F99">
        <v>-1.0637142043734499E-3</v>
      </c>
      <c r="G99" s="1">
        <v>-1.0842021724855E-19</v>
      </c>
      <c r="H99" t="s">
        <v>74</v>
      </c>
      <c r="I99">
        <v>0</v>
      </c>
      <c r="J99" t="s">
        <v>75</v>
      </c>
      <c r="K99">
        <v>3.14159265358979</v>
      </c>
      <c r="L99">
        <v>0.59452824716897501</v>
      </c>
      <c r="M99">
        <v>0</v>
      </c>
      <c r="N99">
        <v>3.49077657331541E-2</v>
      </c>
      <c r="O99">
        <v>0</v>
      </c>
      <c r="P99">
        <v>1.6E-2</v>
      </c>
      <c r="Q99">
        <v>0</v>
      </c>
      <c r="R99">
        <v>0</v>
      </c>
      <c r="S99">
        <v>0</v>
      </c>
      <c r="T99">
        <v>0</v>
      </c>
      <c r="U99">
        <v>0.59932282980741902</v>
      </c>
      <c r="V99" t="s">
        <v>78</v>
      </c>
      <c r="W99">
        <v>2328380.4179047602</v>
      </c>
      <c r="X99" t="s">
        <v>76</v>
      </c>
      <c r="Y99">
        <v>-1.5707963267949001</v>
      </c>
      <c r="Z99">
        <v>0.58720804176437802</v>
      </c>
      <c r="AA99">
        <v>0.394303421910911</v>
      </c>
      <c r="AB99">
        <v>3.1389190704181502E-2</v>
      </c>
      <c r="AC99">
        <v>2.21348088089907E-2</v>
      </c>
      <c r="AD99">
        <v>8.1208879020912093E-3</v>
      </c>
      <c r="AE99">
        <v>2.8196896189426199E-2</v>
      </c>
      <c r="AF99">
        <v>0</v>
      </c>
      <c r="AG99">
        <v>0.244100839558341</v>
      </c>
      <c r="AH99">
        <v>0.35562587879990198</v>
      </c>
      <c r="AI99">
        <v>0.31419345907770202</v>
      </c>
      <c r="AJ99" t="s">
        <v>74</v>
      </c>
      <c r="AK99">
        <v>0</v>
      </c>
      <c r="AL99" t="s">
        <v>77</v>
      </c>
      <c r="AM99">
        <v>0</v>
      </c>
      <c r="AN99">
        <v>0.99199999999999999</v>
      </c>
      <c r="AO99">
        <v>0</v>
      </c>
      <c r="AP99">
        <v>5.8245346242475203E-2</v>
      </c>
      <c r="AQ99">
        <v>0</v>
      </c>
      <c r="AR99">
        <v>1.6E-2</v>
      </c>
      <c r="AS99">
        <v>0</v>
      </c>
      <c r="AT99">
        <v>0</v>
      </c>
      <c r="AU99">
        <v>0</v>
      </c>
      <c r="AV99">
        <v>0</v>
      </c>
      <c r="AW99">
        <v>1</v>
      </c>
      <c r="AX99" t="s">
        <v>74</v>
      </c>
      <c r="AY99">
        <v>0</v>
      </c>
      <c r="AZ99" t="s">
        <v>76</v>
      </c>
      <c r="BA99">
        <v>-1.5707963267949001</v>
      </c>
      <c r="BB99">
        <v>0.99199999999999999</v>
      </c>
      <c r="BC99">
        <v>0</v>
      </c>
      <c r="BD99">
        <v>5.8245346242475203E-2</v>
      </c>
      <c r="BE99">
        <v>0</v>
      </c>
      <c r="BF99">
        <v>1.6E-2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1.02461228865638E-4</v>
      </c>
      <c r="BM99">
        <v>2.9986335917912198E-4</v>
      </c>
      <c r="BN99" s="1">
        <v>3.7300898430726602E-7</v>
      </c>
      <c r="BO99" s="1">
        <v>4.7102426313894297E-6</v>
      </c>
      <c r="BP99">
        <v>0</v>
      </c>
      <c r="BQ99">
        <v>0</v>
      </c>
      <c r="BR99" s="1">
        <v>5.5485162667466297E-5</v>
      </c>
      <c r="BS99">
        <v>1.65545357379103E-4</v>
      </c>
    </row>
    <row r="100" spans="1:71" x14ac:dyDescent="0.25">
      <c r="A100">
        <v>97</v>
      </c>
      <c r="B100" s="1">
        <v>2.1868097041297301E-5</v>
      </c>
      <c r="C100">
        <v>0.106393288534387</v>
      </c>
      <c r="D100">
        <v>-3.1139761058814503E-4</v>
      </c>
      <c r="E100">
        <v>6.1312499999999995E-4</v>
      </c>
      <c r="F100">
        <v>-1.0639328853438699E-3</v>
      </c>
      <c r="G100" s="1">
        <v>-1.0842021724855E-19</v>
      </c>
      <c r="H100" t="s">
        <v>74</v>
      </c>
      <c r="I100">
        <v>0</v>
      </c>
      <c r="J100" t="s">
        <v>75</v>
      </c>
      <c r="K100">
        <v>3.14159265358979</v>
      </c>
      <c r="L100">
        <v>0.59038360651586197</v>
      </c>
      <c r="M100">
        <v>0</v>
      </c>
      <c r="N100">
        <v>3.4664412880441101E-2</v>
      </c>
      <c r="O100">
        <v>0</v>
      </c>
      <c r="P100">
        <v>1.6E-2</v>
      </c>
      <c r="Q100">
        <v>0</v>
      </c>
      <c r="R100">
        <v>0</v>
      </c>
      <c r="S100">
        <v>0</v>
      </c>
      <c r="T100">
        <v>0</v>
      </c>
      <c r="U100">
        <v>0.59514476463292498</v>
      </c>
      <c r="V100" t="s">
        <v>78</v>
      </c>
      <c r="W100">
        <v>2329395.3012786801</v>
      </c>
      <c r="X100" t="s">
        <v>76</v>
      </c>
      <c r="Y100">
        <v>-1.5707963267949001</v>
      </c>
      <c r="Z100">
        <v>0.58308075671938797</v>
      </c>
      <c r="AA100">
        <v>0.39828329523376099</v>
      </c>
      <c r="AB100">
        <v>3.11580323808693E-2</v>
      </c>
      <c r="AC100">
        <v>2.2362184271981701E-2</v>
      </c>
      <c r="AD100">
        <v>7.8556187283612307E-3</v>
      </c>
      <c r="AE100">
        <v>2.8497068592885401E-2</v>
      </c>
      <c r="AF100">
        <v>0</v>
      </c>
      <c r="AG100">
        <v>0.24123416310795401</v>
      </c>
      <c r="AH100">
        <v>0.36474621156664799</v>
      </c>
      <c r="AI100">
        <v>0.30827830260526101</v>
      </c>
      <c r="AJ100" t="s">
        <v>74</v>
      </c>
      <c r="AK100">
        <v>0</v>
      </c>
      <c r="AL100" t="s">
        <v>77</v>
      </c>
      <c r="AM100">
        <v>0</v>
      </c>
      <c r="AN100">
        <v>0.99199999999999999</v>
      </c>
      <c r="AO100">
        <v>0</v>
      </c>
      <c r="AP100">
        <v>5.8245346242475203E-2</v>
      </c>
      <c r="AQ100">
        <v>0</v>
      </c>
      <c r="AR100">
        <v>1.6E-2</v>
      </c>
      <c r="AS100">
        <v>0</v>
      </c>
      <c r="AT100">
        <v>0</v>
      </c>
      <c r="AU100">
        <v>0</v>
      </c>
      <c r="AV100">
        <v>0</v>
      </c>
      <c r="AW100">
        <v>1</v>
      </c>
      <c r="AX100" t="s">
        <v>74</v>
      </c>
      <c r="AY100">
        <v>0</v>
      </c>
      <c r="AZ100" t="s">
        <v>76</v>
      </c>
      <c r="BA100">
        <v>-1.5707963267949001</v>
      </c>
      <c r="BB100">
        <v>0.99199999999999999</v>
      </c>
      <c r="BC100">
        <v>0</v>
      </c>
      <c r="BD100">
        <v>5.8245346242475203E-2</v>
      </c>
      <c r="BE100">
        <v>0</v>
      </c>
      <c r="BF100">
        <v>1.6E-2</v>
      </c>
      <c r="BG100">
        <v>0</v>
      </c>
      <c r="BH100">
        <v>0</v>
      </c>
      <c r="BI100">
        <v>0</v>
      </c>
      <c r="BJ100">
        <v>0</v>
      </c>
      <c r="BK100">
        <v>1</v>
      </c>
      <c r="BL100">
        <v>1.0233766100912099E-4</v>
      </c>
      <c r="BM100">
        <v>3.02990187337301E-4</v>
      </c>
      <c r="BN100" s="1">
        <v>3.72571275900577E-7</v>
      </c>
      <c r="BO100" s="1">
        <v>4.7593587332432897E-6</v>
      </c>
      <c r="BP100">
        <v>0</v>
      </c>
      <c r="BQ100">
        <v>0</v>
      </c>
      <c r="BR100" s="1">
        <v>5.5406892326212301E-5</v>
      </c>
      <c r="BS100">
        <v>1.6727541847667301E-4</v>
      </c>
    </row>
    <row r="101" spans="1:71" x14ac:dyDescent="0.25">
      <c r="A101">
        <v>98</v>
      </c>
      <c r="B101" s="1">
        <v>2.21163465831216E-5</v>
      </c>
      <c r="C101">
        <v>0.10641540488097</v>
      </c>
      <c r="D101">
        <v>-3.11516538741578E-4</v>
      </c>
      <c r="E101">
        <v>6.1312499999999995E-4</v>
      </c>
      <c r="F101">
        <v>-1.0641540488097001E-3</v>
      </c>
      <c r="G101">
        <v>0</v>
      </c>
      <c r="H101" t="s">
        <v>74</v>
      </c>
      <c r="I101">
        <v>0</v>
      </c>
      <c r="J101" t="s">
        <v>75</v>
      </c>
      <c r="K101">
        <v>3.14159265358979</v>
      </c>
      <c r="L101">
        <v>0.58624123289082997</v>
      </c>
      <c r="M101">
        <v>0</v>
      </c>
      <c r="N101">
        <v>3.4421193136433402E-2</v>
      </c>
      <c r="O101">
        <v>0</v>
      </c>
      <c r="P101">
        <v>1.6E-2</v>
      </c>
      <c r="Q101">
        <v>0</v>
      </c>
      <c r="R101">
        <v>0</v>
      </c>
      <c r="S101">
        <v>0</v>
      </c>
      <c r="T101">
        <v>0</v>
      </c>
      <c r="U101">
        <v>0.59096898476896798</v>
      </c>
      <c r="V101" t="s">
        <v>78</v>
      </c>
      <c r="W101">
        <v>2330421.5935158702</v>
      </c>
      <c r="X101" t="s">
        <v>76</v>
      </c>
      <c r="Y101">
        <v>-1.5707963267949001</v>
      </c>
      <c r="Z101">
        <v>0.57895572811042495</v>
      </c>
      <c r="AA101">
        <v>0.40212897520333002</v>
      </c>
      <c r="AB101">
        <v>3.09270244010648E-2</v>
      </c>
      <c r="AC101">
        <v>2.25854557246691E-2</v>
      </c>
      <c r="AD101">
        <v>7.5907654523760196E-3</v>
      </c>
      <c r="AE101">
        <v>2.8796613740480301E-2</v>
      </c>
      <c r="AF101">
        <v>0</v>
      </c>
      <c r="AG101">
        <v>0.238185432925478</v>
      </c>
      <c r="AH101">
        <v>0.37404517745181098</v>
      </c>
      <c r="AI101">
        <v>0.30240098074003702</v>
      </c>
      <c r="AJ101" t="s">
        <v>74</v>
      </c>
      <c r="AK101">
        <v>0</v>
      </c>
      <c r="AL101" t="s">
        <v>77</v>
      </c>
      <c r="AM101">
        <v>0</v>
      </c>
      <c r="AN101">
        <v>0.99199999999999999</v>
      </c>
      <c r="AO101">
        <v>0</v>
      </c>
      <c r="AP101">
        <v>5.8245346242475203E-2</v>
      </c>
      <c r="AQ101">
        <v>0</v>
      </c>
      <c r="AR101">
        <v>1.6E-2</v>
      </c>
      <c r="AS101">
        <v>0</v>
      </c>
      <c r="AT101">
        <v>0</v>
      </c>
      <c r="AU101">
        <v>0</v>
      </c>
      <c r="AV101">
        <v>0</v>
      </c>
      <c r="AW101">
        <v>1</v>
      </c>
      <c r="AX101" t="s">
        <v>74</v>
      </c>
      <c r="AY101">
        <v>0</v>
      </c>
      <c r="AZ101" t="s">
        <v>76</v>
      </c>
      <c r="BA101">
        <v>-1.5707963267949001</v>
      </c>
      <c r="BB101">
        <v>0.99199999999999999</v>
      </c>
      <c r="BC101">
        <v>0</v>
      </c>
      <c r="BD101">
        <v>5.8245346242475203E-2</v>
      </c>
      <c r="BE101">
        <v>0</v>
      </c>
      <c r="BF101">
        <v>1.6E-2</v>
      </c>
      <c r="BG101">
        <v>0</v>
      </c>
      <c r="BH101">
        <v>0</v>
      </c>
      <c r="BI101">
        <v>0</v>
      </c>
      <c r="BJ101">
        <v>0</v>
      </c>
      <c r="BK101">
        <v>1</v>
      </c>
      <c r="BL101">
        <v>1.02212182873559E-4</v>
      </c>
      <c r="BM101">
        <v>3.0611530518864397E-4</v>
      </c>
      <c r="BN101" s="1">
        <v>3.7213076750524802E-7</v>
      </c>
      <c r="BO101" s="1">
        <v>4.8084479696602099E-6</v>
      </c>
      <c r="BP101">
        <v>0</v>
      </c>
      <c r="BQ101">
        <v>0</v>
      </c>
      <c r="BR101" s="1">
        <v>5.5327577642875299E-5</v>
      </c>
      <c r="BS101">
        <v>1.69004658352047E-4</v>
      </c>
    </row>
    <row r="102" spans="1:71" x14ac:dyDescent="0.25">
      <c r="A102">
        <v>99</v>
      </c>
      <c r="B102" s="1">
        <v>2.2386186147757299E-5</v>
      </c>
      <c r="C102">
        <v>0.106437791067118</v>
      </c>
      <c r="D102">
        <v>-3.1163690461502499E-4</v>
      </c>
      <c r="E102">
        <v>6.1312499999999995E-4</v>
      </c>
      <c r="F102">
        <v>-1.06437791067118E-3</v>
      </c>
      <c r="G102" s="1">
        <v>-1.0842021724855E-19</v>
      </c>
      <c r="H102" t="s">
        <v>74</v>
      </c>
      <c r="I102">
        <v>0</v>
      </c>
      <c r="J102" t="s">
        <v>75</v>
      </c>
      <c r="K102">
        <v>3.14159265358979</v>
      </c>
      <c r="L102">
        <v>0.58210126912195204</v>
      </c>
      <c r="M102">
        <v>0</v>
      </c>
      <c r="N102">
        <v>3.4178114887290702E-2</v>
      </c>
      <c r="O102">
        <v>0</v>
      </c>
      <c r="P102">
        <v>1.6E-2</v>
      </c>
      <c r="Q102">
        <v>0</v>
      </c>
      <c r="R102">
        <v>0</v>
      </c>
      <c r="S102">
        <v>0</v>
      </c>
      <c r="T102">
        <v>0</v>
      </c>
      <c r="U102">
        <v>0.58679563419532998</v>
      </c>
      <c r="V102" t="s">
        <v>78</v>
      </c>
      <c r="W102">
        <v>2331460.2925789198</v>
      </c>
      <c r="X102" t="s">
        <v>76</v>
      </c>
      <c r="Y102">
        <v>-1.5707963267949001</v>
      </c>
      <c r="Z102">
        <v>0.57483307057998301</v>
      </c>
      <c r="AA102">
        <v>0.406596681164201</v>
      </c>
      <c r="AB102">
        <v>3.0696165089085702E-2</v>
      </c>
      <c r="AC102">
        <v>2.28283905063545E-2</v>
      </c>
      <c r="AD102">
        <v>7.3263729931593597E-3</v>
      </c>
      <c r="AE102">
        <v>2.9095508088906801E-2</v>
      </c>
      <c r="AF102">
        <v>0</v>
      </c>
      <c r="AG102">
        <v>0.23494993165729999</v>
      </c>
      <c r="AH102">
        <v>0.38352727830234101</v>
      </c>
      <c r="AI102">
        <v>0.29656203213169302</v>
      </c>
      <c r="AJ102" t="s">
        <v>74</v>
      </c>
      <c r="AK102">
        <v>0</v>
      </c>
      <c r="AL102" t="s">
        <v>77</v>
      </c>
      <c r="AM102">
        <v>0</v>
      </c>
      <c r="AN102">
        <v>0.99199999999999999</v>
      </c>
      <c r="AO102">
        <v>0</v>
      </c>
      <c r="AP102">
        <v>5.8245346242475203E-2</v>
      </c>
      <c r="AQ102">
        <v>0</v>
      </c>
      <c r="AR102">
        <v>1.6E-2</v>
      </c>
      <c r="AS102">
        <v>0</v>
      </c>
      <c r="AT102">
        <v>0</v>
      </c>
      <c r="AU102">
        <v>0</v>
      </c>
      <c r="AV102">
        <v>0</v>
      </c>
      <c r="AW102">
        <v>1</v>
      </c>
      <c r="AX102" t="s">
        <v>74</v>
      </c>
      <c r="AY102">
        <v>0</v>
      </c>
      <c r="AZ102" t="s">
        <v>76</v>
      </c>
      <c r="BA102">
        <v>-1.5707963267949001</v>
      </c>
      <c r="BB102">
        <v>0.99199999999999999</v>
      </c>
      <c r="BC102">
        <v>0</v>
      </c>
      <c r="BD102">
        <v>5.8245346242475203E-2</v>
      </c>
      <c r="BE102">
        <v>0</v>
      </c>
      <c r="BF102">
        <v>1.6E-2</v>
      </c>
      <c r="BG102">
        <v>0</v>
      </c>
      <c r="BH102">
        <v>0</v>
      </c>
      <c r="BI102">
        <v>0</v>
      </c>
      <c r="BJ102">
        <v>0</v>
      </c>
      <c r="BK102">
        <v>1</v>
      </c>
      <c r="BL102">
        <v>1.02096681483841E-4</v>
      </c>
      <c r="BM102">
        <v>3.0923860497982002E-4</v>
      </c>
      <c r="BN102" s="1">
        <v>3.71711273634638E-7</v>
      </c>
      <c r="BO102" s="1">
        <v>4.8575086480548002E-6</v>
      </c>
      <c r="BP102">
        <v>0</v>
      </c>
      <c r="BQ102">
        <v>0</v>
      </c>
      <c r="BR102" s="1">
        <v>5.52537827408062E-5</v>
      </c>
      <c r="BS102">
        <v>1.70733022652163E-4</v>
      </c>
    </row>
    <row r="103" spans="1:71" x14ac:dyDescent="0.25">
      <c r="A103">
        <v>100</v>
      </c>
      <c r="B103" s="1">
        <v>2.2679401897498501E-5</v>
      </c>
      <c r="C103">
        <v>0.10646047046901499</v>
      </c>
      <c r="D103">
        <v>-3.1175883339952802E-4</v>
      </c>
      <c r="E103">
        <v>6.1312499999999995E-4</v>
      </c>
      <c r="F103">
        <v>-1.06460470469015E-3</v>
      </c>
      <c r="G103" s="1">
        <v>-1.0842021724855E-19</v>
      </c>
      <c r="H103" t="s">
        <v>74</v>
      </c>
      <c r="I103">
        <v>0</v>
      </c>
      <c r="J103" t="s">
        <v>75</v>
      </c>
      <c r="K103">
        <v>3.14159265358979</v>
      </c>
      <c r="L103">
        <v>0.57796387191528997</v>
      </c>
      <c r="M103">
        <v>0</v>
      </c>
      <c r="N103">
        <v>3.3935187334019797E-2</v>
      </c>
      <c r="O103">
        <v>0</v>
      </c>
      <c r="P103">
        <v>1.6E-2</v>
      </c>
      <c r="Q103">
        <v>0</v>
      </c>
      <c r="R103">
        <v>0</v>
      </c>
      <c r="S103">
        <v>0</v>
      </c>
      <c r="T103">
        <v>0</v>
      </c>
      <c r="U103">
        <v>0.58262487088153303</v>
      </c>
      <c r="V103" t="s">
        <v>78</v>
      </c>
      <c r="W103">
        <v>2332512.4788057599</v>
      </c>
      <c r="X103" t="s">
        <v>76</v>
      </c>
      <c r="Y103">
        <v>-1.5707963267949001</v>
      </c>
      <c r="Z103">
        <v>0.57071291039014804</v>
      </c>
      <c r="AA103">
        <v>0.41017472081442502</v>
      </c>
      <c r="AB103">
        <v>3.04654528316139E-2</v>
      </c>
      <c r="AC103">
        <v>2.3043507572155401E-2</v>
      </c>
      <c r="AD103">
        <v>7.0624881854000898E-3</v>
      </c>
      <c r="AE103">
        <v>2.93937272169673E-2</v>
      </c>
      <c r="AF103">
        <v>0</v>
      </c>
      <c r="AG103">
        <v>0.23152266798615201</v>
      </c>
      <c r="AH103">
        <v>0.39319726898898799</v>
      </c>
      <c r="AI103">
        <v>0.29076201565267401</v>
      </c>
      <c r="AJ103" t="s">
        <v>74</v>
      </c>
      <c r="AK103">
        <v>0</v>
      </c>
      <c r="AL103" t="s">
        <v>77</v>
      </c>
      <c r="AM103">
        <v>0</v>
      </c>
      <c r="AN103">
        <v>0.99199999999999999</v>
      </c>
      <c r="AO103">
        <v>0</v>
      </c>
      <c r="AP103">
        <v>5.8245346242475203E-2</v>
      </c>
      <c r="AQ103">
        <v>0</v>
      </c>
      <c r="AR103">
        <v>1.6E-2</v>
      </c>
      <c r="AS103">
        <v>0</v>
      </c>
      <c r="AT103">
        <v>0</v>
      </c>
      <c r="AU103">
        <v>0</v>
      </c>
      <c r="AV103">
        <v>0</v>
      </c>
      <c r="AW103">
        <v>1</v>
      </c>
      <c r="AX103" t="s">
        <v>74</v>
      </c>
      <c r="AY103">
        <v>0</v>
      </c>
      <c r="AZ103" t="s">
        <v>76</v>
      </c>
      <c r="BA103">
        <v>-1.5707963267949001</v>
      </c>
      <c r="BB103">
        <v>0.99199999999999999</v>
      </c>
      <c r="BC103">
        <v>0</v>
      </c>
      <c r="BD103">
        <v>5.8245346242475203E-2</v>
      </c>
      <c r="BE103">
        <v>0</v>
      </c>
      <c r="BF103">
        <v>1.6E-2</v>
      </c>
      <c r="BG103">
        <v>0</v>
      </c>
      <c r="BH103">
        <v>0</v>
      </c>
      <c r="BI103">
        <v>0</v>
      </c>
      <c r="BJ103">
        <v>0</v>
      </c>
      <c r="BK103">
        <v>1</v>
      </c>
      <c r="BL103">
        <v>1.0196742011137E-4</v>
      </c>
      <c r="BM103">
        <v>3.1235996848756999E-4</v>
      </c>
      <c r="BN103" s="1">
        <v>3.7126536503973298E-7</v>
      </c>
      <c r="BO103" s="1">
        <v>4.9065389113804404E-6</v>
      </c>
      <c r="BP103">
        <v>0</v>
      </c>
      <c r="BQ103">
        <v>0</v>
      </c>
      <c r="BR103" s="1">
        <v>5.5172403855398802E-5</v>
      </c>
      <c r="BS103">
        <v>1.7246045171446199E-4</v>
      </c>
    </row>
    <row r="104" spans="1:71" x14ac:dyDescent="0.25">
      <c r="A104">
        <v>101</v>
      </c>
      <c r="B104" s="1">
        <v>2.2998021632034799E-5</v>
      </c>
      <c r="C104">
        <v>0.10648346849064701</v>
      </c>
      <c r="D104">
        <v>-3.1188246112381001E-4</v>
      </c>
      <c r="E104">
        <v>6.1312499999999995E-4</v>
      </c>
      <c r="F104">
        <v>-1.06483468490647E-3</v>
      </c>
      <c r="G104">
        <v>0</v>
      </c>
      <c r="H104" t="s">
        <v>74</v>
      </c>
      <c r="I104">
        <v>0</v>
      </c>
      <c r="J104" t="s">
        <v>75</v>
      </c>
      <c r="K104">
        <v>3.14159265358979</v>
      </c>
      <c r="L104">
        <v>0.57382921369842199</v>
      </c>
      <c r="M104">
        <v>0</v>
      </c>
      <c r="N104">
        <v>3.3692420600717601E-2</v>
      </c>
      <c r="O104">
        <v>0</v>
      </c>
      <c r="P104">
        <v>1.6E-2</v>
      </c>
      <c r="Q104">
        <v>0</v>
      </c>
      <c r="R104">
        <v>0</v>
      </c>
      <c r="S104">
        <v>0</v>
      </c>
      <c r="T104">
        <v>0</v>
      </c>
      <c r="U104">
        <v>0.57845686864535195</v>
      </c>
      <c r="V104" t="s">
        <v>78</v>
      </c>
      <c r="W104">
        <v>2333579.3260582499</v>
      </c>
      <c r="X104" t="s">
        <v>76</v>
      </c>
      <c r="Y104">
        <v>-1.5707963267949001</v>
      </c>
      <c r="Z104">
        <v>0.566595386937228</v>
      </c>
      <c r="AA104">
        <v>0.415024348475106</v>
      </c>
      <c r="AB104">
        <v>3.0234886074329899E-2</v>
      </c>
      <c r="AC104">
        <v>2.32987168415341E-2</v>
      </c>
      <c r="AD104">
        <v>6.7991600496888601E-3</v>
      </c>
      <c r="AE104">
        <v>2.96912457273051E-2</v>
      </c>
      <c r="AF104">
        <v>0</v>
      </c>
      <c r="AG104">
        <v>0.22789835307293299</v>
      </c>
      <c r="AH104">
        <v>0.40306017818286599</v>
      </c>
      <c r="AI104">
        <v>0.28500151240023203</v>
      </c>
      <c r="AJ104" t="s">
        <v>74</v>
      </c>
      <c r="AK104">
        <v>0</v>
      </c>
      <c r="AL104" t="s">
        <v>77</v>
      </c>
      <c r="AM104">
        <v>0</v>
      </c>
      <c r="AN104">
        <v>0.99199999999999999</v>
      </c>
      <c r="AO104">
        <v>0</v>
      </c>
      <c r="AP104">
        <v>5.8245346242475203E-2</v>
      </c>
      <c r="AQ104">
        <v>0</v>
      </c>
      <c r="AR104">
        <v>1.6E-2</v>
      </c>
      <c r="AS104">
        <v>0</v>
      </c>
      <c r="AT104">
        <v>0</v>
      </c>
      <c r="AU104">
        <v>0</v>
      </c>
      <c r="AV104">
        <v>0</v>
      </c>
      <c r="AW104">
        <v>1</v>
      </c>
      <c r="AX104" t="s">
        <v>74</v>
      </c>
      <c r="AY104">
        <v>0</v>
      </c>
      <c r="AZ104" t="s">
        <v>76</v>
      </c>
      <c r="BA104">
        <v>-1.5707963267949001</v>
      </c>
      <c r="BB104">
        <v>0.99199999999999999</v>
      </c>
      <c r="BC104">
        <v>0</v>
      </c>
      <c r="BD104">
        <v>5.8245346242475203E-2</v>
      </c>
      <c r="BE104">
        <v>0</v>
      </c>
      <c r="BF104">
        <v>1.6E-2</v>
      </c>
      <c r="BG104">
        <v>0</v>
      </c>
      <c r="BH104">
        <v>0</v>
      </c>
      <c r="BI104">
        <v>0</v>
      </c>
      <c r="BJ104">
        <v>0</v>
      </c>
      <c r="BK104">
        <v>1</v>
      </c>
      <c r="BL104">
        <v>1.0185835800076599E-4</v>
      </c>
      <c r="BM104">
        <v>3.1547926562789898E-4</v>
      </c>
      <c r="BN104" s="1">
        <v>3.7086101021295799E-7</v>
      </c>
      <c r="BO104" s="1">
        <v>4.95553671628256E-6</v>
      </c>
      <c r="BP104">
        <v>0</v>
      </c>
      <c r="BQ104">
        <v>0</v>
      </c>
      <c r="BR104" s="1">
        <v>5.5102192008743102E-5</v>
      </c>
      <c r="BS104">
        <v>1.7418687985801999E-4</v>
      </c>
    </row>
    <row r="105" spans="1:71" x14ac:dyDescent="0.25">
      <c r="A105">
        <v>102</v>
      </c>
      <c r="B105" s="1">
        <v>2.3344355142566199E-5</v>
      </c>
      <c r="C105">
        <v>0.10650681284579</v>
      </c>
      <c r="D105">
        <v>-3.1200793616182601E-4</v>
      </c>
      <c r="E105">
        <v>6.1312499999999995E-4</v>
      </c>
      <c r="F105">
        <v>-1.0650681284579001E-3</v>
      </c>
      <c r="G105">
        <v>0</v>
      </c>
      <c r="H105" t="s">
        <v>74</v>
      </c>
      <c r="I105">
        <v>0</v>
      </c>
      <c r="J105" t="s">
        <v>75</v>
      </c>
      <c r="K105">
        <v>3.14159265358979</v>
      </c>
      <c r="L105">
        <v>0.56969748477736604</v>
      </c>
      <c r="M105">
        <v>0</v>
      </c>
      <c r="N105">
        <v>3.3449825861214699E-2</v>
      </c>
      <c r="O105">
        <v>0</v>
      </c>
      <c r="P105">
        <v>1.6E-2</v>
      </c>
      <c r="Q105">
        <v>0</v>
      </c>
      <c r="R105">
        <v>0</v>
      </c>
      <c r="S105">
        <v>0</v>
      </c>
      <c r="T105">
        <v>0</v>
      </c>
      <c r="U105">
        <v>0.57429181932720397</v>
      </c>
      <c r="V105" t="s">
        <v>78</v>
      </c>
      <c r="W105">
        <v>2334662.1147315698</v>
      </c>
      <c r="X105" t="s">
        <v>76</v>
      </c>
      <c r="Y105">
        <v>-1.5707963267949001</v>
      </c>
      <c r="Z105">
        <v>0.56248065452384099</v>
      </c>
      <c r="AA105">
        <v>0.41833591665435399</v>
      </c>
      <c r="AB105">
        <v>3.0004463318194698E-2</v>
      </c>
      <c r="AC105">
        <v>2.3505763119227099E-2</v>
      </c>
      <c r="AD105">
        <v>6.5364401055628997E-3</v>
      </c>
      <c r="AE105">
        <v>2.99880371318728E-2</v>
      </c>
      <c r="AF105">
        <v>0</v>
      </c>
      <c r="AG105">
        <v>0.22407137449095901</v>
      </c>
      <c r="AH105">
        <v>0.41312133116672201</v>
      </c>
      <c r="AI105">
        <v>0.27928112800993499</v>
      </c>
      <c r="AJ105" t="s">
        <v>74</v>
      </c>
      <c r="AK105">
        <v>0</v>
      </c>
      <c r="AL105" t="s">
        <v>77</v>
      </c>
      <c r="AM105">
        <v>0</v>
      </c>
      <c r="AN105">
        <v>0.99199999999999999</v>
      </c>
      <c r="AO105">
        <v>0</v>
      </c>
      <c r="AP105">
        <v>5.8245346242475203E-2</v>
      </c>
      <c r="AQ105">
        <v>0</v>
      </c>
      <c r="AR105">
        <v>1.6E-2</v>
      </c>
      <c r="AS105">
        <v>0</v>
      </c>
      <c r="AT105">
        <v>0</v>
      </c>
      <c r="AU105">
        <v>0</v>
      </c>
      <c r="AV105">
        <v>0</v>
      </c>
      <c r="AW105">
        <v>1</v>
      </c>
      <c r="AX105" t="s">
        <v>74</v>
      </c>
      <c r="AY105">
        <v>0</v>
      </c>
      <c r="AZ105" t="s">
        <v>76</v>
      </c>
      <c r="BA105">
        <v>-1.5707963267949001</v>
      </c>
      <c r="BB105">
        <v>0.99199999999999999</v>
      </c>
      <c r="BC105">
        <v>0</v>
      </c>
      <c r="BD105">
        <v>5.8245346242475203E-2</v>
      </c>
      <c r="BE105">
        <v>0</v>
      </c>
      <c r="BF105">
        <v>1.6E-2</v>
      </c>
      <c r="BG105">
        <v>0</v>
      </c>
      <c r="BH105">
        <v>0</v>
      </c>
      <c r="BI105">
        <v>0</v>
      </c>
      <c r="BJ105">
        <v>0</v>
      </c>
      <c r="BK105">
        <v>1</v>
      </c>
      <c r="BL105">
        <v>1.01725372391793E-4</v>
      </c>
      <c r="BM105">
        <v>3.18596352828841E-4</v>
      </c>
      <c r="BN105" s="1">
        <v>3.7041001853922298E-7</v>
      </c>
      <c r="BO105" s="1">
        <v>5.0044998075379404E-6</v>
      </c>
      <c r="BP105">
        <v>0</v>
      </c>
      <c r="BQ105">
        <v>0</v>
      </c>
      <c r="BR105" s="1">
        <v>5.5018787384010803E-5</v>
      </c>
      <c r="BS105">
        <v>1.75912234553982E-4</v>
      </c>
    </row>
    <row r="106" spans="1:71" x14ac:dyDescent="0.25">
      <c r="A106">
        <v>103</v>
      </c>
      <c r="B106" s="1">
        <v>2.3721043080485501E-5</v>
      </c>
      <c r="C106">
        <v>0.10653053388887</v>
      </c>
      <c r="D106">
        <v>-3.12135421001462E-4</v>
      </c>
      <c r="E106">
        <v>6.1312499999999995E-4</v>
      </c>
      <c r="F106">
        <v>-1.0653053388887E-3</v>
      </c>
      <c r="G106">
        <v>0</v>
      </c>
      <c r="H106" t="s">
        <v>74</v>
      </c>
      <c r="I106">
        <v>0</v>
      </c>
      <c r="J106" t="s">
        <v>75</v>
      </c>
      <c r="K106">
        <v>3.14159265358979</v>
      </c>
      <c r="L106">
        <v>0.56556889587236403</v>
      </c>
      <c r="M106">
        <v>0</v>
      </c>
      <c r="N106">
        <v>3.3207415487963902E-2</v>
      </c>
      <c r="O106">
        <v>0</v>
      </c>
      <c r="P106">
        <v>1.6E-2</v>
      </c>
      <c r="Q106">
        <v>0</v>
      </c>
      <c r="R106">
        <v>0</v>
      </c>
      <c r="S106">
        <v>0</v>
      </c>
      <c r="T106">
        <v>0</v>
      </c>
      <c r="U106">
        <v>0.57012993534641299</v>
      </c>
      <c r="V106" t="s">
        <v>78</v>
      </c>
      <c r="W106">
        <v>2335762.2470173398</v>
      </c>
      <c r="X106" t="s">
        <v>76</v>
      </c>
      <c r="Y106">
        <v>-1.5707963267949001</v>
      </c>
      <c r="Z106">
        <v>0.55836888444190302</v>
      </c>
      <c r="AA106">
        <v>0.42281324096081802</v>
      </c>
      <c r="AB106">
        <v>2.97741831152032E-2</v>
      </c>
      <c r="AC106">
        <v>2.3749603735399499E-2</v>
      </c>
      <c r="AD106">
        <v>6.2743827365247702E-3</v>
      </c>
      <c r="AE106">
        <v>3.0284073717513699E-2</v>
      </c>
      <c r="AF106">
        <v>0</v>
      </c>
      <c r="AG106">
        <v>0.22003576737078301</v>
      </c>
      <c r="AH106">
        <v>0.423386374863993</v>
      </c>
      <c r="AI106">
        <v>0.27360149534560402</v>
      </c>
      <c r="AJ106" t="s">
        <v>74</v>
      </c>
      <c r="AK106">
        <v>0</v>
      </c>
      <c r="AL106" t="s">
        <v>77</v>
      </c>
      <c r="AM106">
        <v>0</v>
      </c>
      <c r="AN106">
        <v>0.99199999999999999</v>
      </c>
      <c r="AO106">
        <v>0</v>
      </c>
      <c r="AP106">
        <v>5.8245346242475203E-2</v>
      </c>
      <c r="AQ106">
        <v>0</v>
      </c>
      <c r="AR106">
        <v>1.6E-2</v>
      </c>
      <c r="AS106">
        <v>0</v>
      </c>
      <c r="AT106">
        <v>0</v>
      </c>
      <c r="AU106">
        <v>0</v>
      </c>
      <c r="AV106">
        <v>0</v>
      </c>
      <c r="AW106">
        <v>1</v>
      </c>
      <c r="AX106" t="s">
        <v>74</v>
      </c>
      <c r="AY106">
        <v>0</v>
      </c>
      <c r="AZ106" t="s">
        <v>76</v>
      </c>
      <c r="BA106">
        <v>-1.5707963267949001</v>
      </c>
      <c r="BB106">
        <v>0.99199999999999999</v>
      </c>
      <c r="BC106">
        <v>0</v>
      </c>
      <c r="BD106">
        <v>5.8245346242475203E-2</v>
      </c>
      <c r="BE106">
        <v>0</v>
      </c>
      <c r="BF106">
        <v>1.6E-2</v>
      </c>
      <c r="BG106">
        <v>0</v>
      </c>
      <c r="BH106">
        <v>0</v>
      </c>
      <c r="BI106">
        <v>0</v>
      </c>
      <c r="BJ106">
        <v>0</v>
      </c>
      <c r="BK106">
        <v>1</v>
      </c>
      <c r="BL106">
        <v>1.01610947411759E-4</v>
      </c>
      <c r="BM106">
        <v>3.2171107111738799E-4</v>
      </c>
      <c r="BN106" s="1">
        <v>3.6999742014285398E-7</v>
      </c>
      <c r="BO106" s="1">
        <v>5.0534256880044501E-6</v>
      </c>
      <c r="BP106">
        <v>0</v>
      </c>
      <c r="BQ106">
        <v>0</v>
      </c>
      <c r="BR106" s="1">
        <v>5.494564890718E-5</v>
      </c>
      <c r="BS106">
        <v>1.7763643545005701E-4</v>
      </c>
    </row>
    <row r="107" spans="1:71" x14ac:dyDescent="0.25">
      <c r="A107">
        <v>104</v>
      </c>
      <c r="B107" s="1">
        <v>2.4131116502617202E-5</v>
      </c>
      <c r="C107">
        <v>0.106554665005373</v>
      </c>
      <c r="D107">
        <v>-3.1226509433141501E-4</v>
      </c>
      <c r="E107">
        <v>6.1312499999999995E-4</v>
      </c>
      <c r="F107">
        <v>-1.0655466500537299E-3</v>
      </c>
      <c r="G107">
        <v>0</v>
      </c>
      <c r="H107" t="s">
        <v>74</v>
      </c>
      <c r="I107">
        <v>0</v>
      </c>
      <c r="J107" t="s">
        <v>75</v>
      </c>
      <c r="K107">
        <v>3.14159265358979</v>
      </c>
      <c r="L107">
        <v>0.56144368111429699</v>
      </c>
      <c r="M107">
        <v>0</v>
      </c>
      <c r="N107">
        <v>3.2965203227975901E-2</v>
      </c>
      <c r="O107">
        <v>0</v>
      </c>
      <c r="P107">
        <v>1.6E-2</v>
      </c>
      <c r="Q107">
        <v>0</v>
      </c>
      <c r="R107">
        <v>0</v>
      </c>
      <c r="S107">
        <v>0</v>
      </c>
      <c r="T107">
        <v>0</v>
      </c>
      <c r="U107">
        <v>0.56597145272181604</v>
      </c>
      <c r="V107" t="s">
        <v>78</v>
      </c>
      <c r="W107">
        <v>2336881.26491227</v>
      </c>
      <c r="X107" t="s">
        <v>76</v>
      </c>
      <c r="Y107">
        <v>-1.5707963267949001</v>
      </c>
      <c r="Z107">
        <v>0.55426026743316803</v>
      </c>
      <c r="AA107">
        <v>0.42648245508624</v>
      </c>
      <c r="AB107">
        <v>2.9544044063362501E-2</v>
      </c>
      <c r="AC107">
        <v>2.39682438138181E-2</v>
      </c>
      <c r="AD107">
        <v>6.0130456185144999E-3</v>
      </c>
      <c r="AE107">
        <v>3.0579326387072999E-2</v>
      </c>
      <c r="AF107">
        <v>0</v>
      </c>
      <c r="AG107">
        <v>0.215785182453201</v>
      </c>
      <c r="AH107">
        <v>0.43386130526463701</v>
      </c>
      <c r="AI107">
        <v>0.26796327764693401</v>
      </c>
      <c r="AJ107" t="s">
        <v>74</v>
      </c>
      <c r="AK107">
        <v>0</v>
      </c>
      <c r="AL107" t="s">
        <v>77</v>
      </c>
      <c r="AM107">
        <v>0</v>
      </c>
      <c r="AN107">
        <v>0.99199999999999999</v>
      </c>
      <c r="AO107">
        <v>0</v>
      </c>
      <c r="AP107">
        <v>5.8245346242475203E-2</v>
      </c>
      <c r="AQ107">
        <v>0</v>
      </c>
      <c r="AR107">
        <v>1.6E-2</v>
      </c>
      <c r="AS107">
        <v>0</v>
      </c>
      <c r="AT107">
        <v>0</v>
      </c>
      <c r="AU107">
        <v>0</v>
      </c>
      <c r="AV107">
        <v>0</v>
      </c>
      <c r="AW107">
        <v>1</v>
      </c>
      <c r="AX107" t="s">
        <v>74</v>
      </c>
      <c r="AY107">
        <v>0</v>
      </c>
      <c r="AZ107" t="s">
        <v>76</v>
      </c>
      <c r="BA107">
        <v>-1.5707963267949001</v>
      </c>
      <c r="BB107">
        <v>0.99199999999999999</v>
      </c>
      <c r="BC107">
        <v>0</v>
      </c>
      <c r="BD107">
        <v>5.8245346242475203E-2</v>
      </c>
      <c r="BE107">
        <v>0</v>
      </c>
      <c r="BF107">
        <v>1.6E-2</v>
      </c>
      <c r="BG107">
        <v>0</v>
      </c>
      <c r="BH107">
        <v>0</v>
      </c>
      <c r="BI107">
        <v>0</v>
      </c>
      <c r="BJ107">
        <v>0</v>
      </c>
      <c r="BK107">
        <v>1</v>
      </c>
      <c r="BL107">
        <v>1.01484091795053E-4</v>
      </c>
      <c r="BM107">
        <v>3.2482324385891902E-4</v>
      </c>
      <c r="BN107" s="1">
        <v>3.6956130163303297E-7</v>
      </c>
      <c r="BO107" s="1">
        <v>5.1023115831119299E-6</v>
      </c>
      <c r="BP107">
        <v>0</v>
      </c>
      <c r="BQ107">
        <v>0</v>
      </c>
      <c r="BR107" s="1">
        <v>5.4865666726010797E-5</v>
      </c>
      <c r="BS107">
        <v>1.7935939321758E-4</v>
      </c>
    </row>
    <row r="108" spans="1:71" x14ac:dyDescent="0.25">
      <c r="A108">
        <v>105</v>
      </c>
      <c r="B108" s="1">
        <v>2.45780699055458E-5</v>
      </c>
      <c r="C108">
        <v>0.106579243075278</v>
      </c>
      <c r="D108">
        <v>-3.1239715351832897E-4</v>
      </c>
      <c r="E108">
        <v>6.1312499999999995E-4</v>
      </c>
      <c r="F108">
        <v>-1.0657924307527801E-3</v>
      </c>
      <c r="G108" s="1">
        <v>-1.0842021724855E-19</v>
      </c>
      <c r="H108" t="s">
        <v>74</v>
      </c>
      <c r="I108">
        <v>0</v>
      </c>
      <c r="J108" t="s">
        <v>75</v>
      </c>
      <c r="K108">
        <v>3.14159265358979</v>
      </c>
      <c r="L108">
        <v>0.55732210160469098</v>
      </c>
      <c r="M108">
        <v>0</v>
      </c>
      <c r="N108">
        <v>3.2723204411843898E-2</v>
      </c>
      <c r="O108">
        <v>0</v>
      </c>
      <c r="P108">
        <v>1.6E-2</v>
      </c>
      <c r="Q108">
        <v>0</v>
      </c>
      <c r="R108">
        <v>0</v>
      </c>
      <c r="S108">
        <v>0</v>
      </c>
      <c r="T108">
        <v>0</v>
      </c>
      <c r="U108">
        <v>0.56181663466046905</v>
      </c>
      <c r="V108" t="s">
        <v>78</v>
      </c>
      <c r="W108">
        <v>2338020.8715946898</v>
      </c>
      <c r="X108" t="s">
        <v>76</v>
      </c>
      <c r="Y108">
        <v>-1.5707963267949001</v>
      </c>
      <c r="Z108">
        <v>0.55015501661112698</v>
      </c>
      <c r="AA108">
        <v>0.43118583546693801</v>
      </c>
      <c r="AB108">
        <v>2.9314044800554301E-2</v>
      </c>
      <c r="AC108">
        <v>2.4219577659782401E-2</v>
      </c>
      <c r="AD108">
        <v>5.7524902263250098E-3</v>
      </c>
      <c r="AE108">
        <v>3.0873764470194201E-2</v>
      </c>
      <c r="AF108">
        <v>0</v>
      </c>
      <c r="AG108">
        <v>0.211312850734407</v>
      </c>
      <c r="AH108">
        <v>0.44455249740846198</v>
      </c>
      <c r="AI108">
        <v>0.26236717223719502</v>
      </c>
      <c r="AJ108" t="s">
        <v>74</v>
      </c>
      <c r="AK108">
        <v>0</v>
      </c>
      <c r="AL108" t="s">
        <v>77</v>
      </c>
      <c r="AM108">
        <v>0</v>
      </c>
      <c r="AN108">
        <v>0.99199999999999999</v>
      </c>
      <c r="AO108">
        <v>0</v>
      </c>
      <c r="AP108">
        <v>5.8245346242475203E-2</v>
      </c>
      <c r="AQ108">
        <v>0</v>
      </c>
      <c r="AR108">
        <v>1.6E-2</v>
      </c>
      <c r="AS108">
        <v>0</v>
      </c>
      <c r="AT108">
        <v>0</v>
      </c>
      <c r="AU108">
        <v>0</v>
      </c>
      <c r="AV108">
        <v>0</v>
      </c>
      <c r="AW108">
        <v>1</v>
      </c>
      <c r="AX108" t="s">
        <v>74</v>
      </c>
      <c r="AY108">
        <v>0</v>
      </c>
      <c r="AZ108" t="s">
        <v>76</v>
      </c>
      <c r="BA108">
        <v>-1.5707963267949001</v>
      </c>
      <c r="BB108">
        <v>0.99199999999999999</v>
      </c>
      <c r="BC108">
        <v>0</v>
      </c>
      <c r="BD108">
        <v>5.8245346242475203E-2</v>
      </c>
      <c r="BE108">
        <v>0</v>
      </c>
      <c r="BF108">
        <v>1.6E-2</v>
      </c>
      <c r="BG108">
        <v>0</v>
      </c>
      <c r="BH108">
        <v>0</v>
      </c>
      <c r="BI108">
        <v>0</v>
      </c>
      <c r="BJ108">
        <v>0</v>
      </c>
      <c r="BK108">
        <v>1</v>
      </c>
      <c r="BL108">
        <v>1.01373759678566E-4</v>
      </c>
      <c r="BM108">
        <v>3.27932674071434E-4</v>
      </c>
      <c r="BN108" s="1">
        <v>3.6915964858132797E-7</v>
      </c>
      <c r="BO108" s="1">
        <v>5.1511543986743702E-6</v>
      </c>
      <c r="BP108">
        <v>0</v>
      </c>
      <c r="BQ108">
        <v>0</v>
      </c>
      <c r="BR108" s="1">
        <v>5.4794830692129298E-5</v>
      </c>
      <c r="BS108">
        <v>1.8108100818147599E-4</v>
      </c>
    </row>
    <row r="109" spans="1:71" x14ac:dyDescent="0.25">
      <c r="A109">
        <v>106</v>
      </c>
      <c r="B109" s="1">
        <v>2.5065951440464301E-5</v>
      </c>
      <c r="C109">
        <v>0.106604309026719</v>
      </c>
      <c r="D109">
        <v>-3.12531817565948E-4</v>
      </c>
      <c r="E109">
        <v>6.1312499999999995E-4</v>
      </c>
      <c r="F109">
        <v>-1.06604309026719E-3</v>
      </c>
      <c r="G109" s="1">
        <v>-1.0842021724855E-19</v>
      </c>
      <c r="H109" t="s">
        <v>74</v>
      </c>
      <c r="I109">
        <v>0</v>
      </c>
      <c r="J109" t="s">
        <v>75</v>
      </c>
      <c r="K109">
        <v>3.14159265358979</v>
      </c>
      <c r="L109">
        <v>0.55320444966971904</v>
      </c>
      <c r="M109">
        <v>0</v>
      </c>
      <c r="N109">
        <v>3.2481436203518899E-2</v>
      </c>
      <c r="O109">
        <v>0</v>
      </c>
      <c r="P109">
        <v>1.6E-2</v>
      </c>
      <c r="Q109">
        <v>0</v>
      </c>
      <c r="R109">
        <v>0</v>
      </c>
      <c r="S109">
        <v>0</v>
      </c>
      <c r="T109">
        <v>0</v>
      </c>
      <c r="U109">
        <v>0.55766577584596499</v>
      </c>
      <c r="V109" t="s">
        <v>78</v>
      </c>
      <c r="W109">
        <v>2339182.9569606101</v>
      </c>
      <c r="X109" t="s">
        <v>76</v>
      </c>
      <c r="Y109">
        <v>-1.5707963267949001</v>
      </c>
      <c r="Z109">
        <v>0.54605337095024498</v>
      </c>
      <c r="AA109">
        <v>0.43510873550764301</v>
      </c>
      <c r="AB109">
        <v>2.9084183996798799E-2</v>
      </c>
      <c r="AC109">
        <v>2.44466161395142E-2</v>
      </c>
      <c r="AD109">
        <v>5.4927824363815202E-3</v>
      </c>
      <c r="AE109">
        <v>3.1167355496298201E-2</v>
      </c>
      <c r="AF109">
        <v>0</v>
      </c>
      <c r="AG109">
        <v>0.206611544386469</v>
      </c>
      <c r="AH109">
        <v>0.45546673804597598</v>
      </c>
      <c r="AI109">
        <v>0.25681391492087402</v>
      </c>
      <c r="AJ109" t="s">
        <v>74</v>
      </c>
      <c r="AK109">
        <v>0</v>
      </c>
      <c r="AL109" t="s">
        <v>77</v>
      </c>
      <c r="AM109">
        <v>0</v>
      </c>
      <c r="AN109">
        <v>0.99199999999999999</v>
      </c>
      <c r="AO109">
        <v>0</v>
      </c>
      <c r="AP109">
        <v>5.8245346242475203E-2</v>
      </c>
      <c r="AQ109">
        <v>0</v>
      </c>
      <c r="AR109">
        <v>1.6E-2</v>
      </c>
      <c r="AS109">
        <v>0</v>
      </c>
      <c r="AT109">
        <v>0</v>
      </c>
      <c r="AU109">
        <v>0</v>
      </c>
      <c r="AV109">
        <v>0</v>
      </c>
      <c r="AW109">
        <v>1</v>
      </c>
      <c r="AX109" t="s">
        <v>74</v>
      </c>
      <c r="AY109">
        <v>0</v>
      </c>
      <c r="AZ109" t="s">
        <v>76</v>
      </c>
      <c r="BA109">
        <v>-1.5707963267949001</v>
      </c>
      <c r="BB109">
        <v>0.99199999999999999</v>
      </c>
      <c r="BC109">
        <v>0</v>
      </c>
      <c r="BD109">
        <v>5.8245346242475203E-2</v>
      </c>
      <c r="BE109">
        <v>0</v>
      </c>
      <c r="BF109">
        <v>1.6E-2</v>
      </c>
      <c r="BG109">
        <v>0</v>
      </c>
      <c r="BH109">
        <v>0</v>
      </c>
      <c r="BI109">
        <v>0</v>
      </c>
      <c r="BJ109">
        <v>0</v>
      </c>
      <c r="BK109">
        <v>1</v>
      </c>
      <c r="BL109">
        <v>1.01251464412391E-4</v>
      </c>
      <c r="BM109">
        <v>3.3103914121622202E-4</v>
      </c>
      <c r="BN109" s="1">
        <v>3.6873557478430798E-7</v>
      </c>
      <c r="BO109" s="1">
        <v>5.1999506704777903E-6</v>
      </c>
      <c r="BP109">
        <v>0</v>
      </c>
      <c r="BQ109">
        <v>0</v>
      </c>
      <c r="BR109" s="1">
        <v>5.4717413525393803E-5</v>
      </c>
      <c r="BS109">
        <v>1.82801168682923E-4</v>
      </c>
    </row>
    <row r="110" spans="1:71" x14ac:dyDescent="0.25">
      <c r="A110">
        <v>107</v>
      </c>
      <c r="B110" s="1">
        <v>2.5599475199951901E-5</v>
      </c>
      <c r="C110">
        <v>0.106629908501919</v>
      </c>
      <c r="D110">
        <v>-3.1266933067422299E-4</v>
      </c>
      <c r="E110">
        <v>6.1312499999999995E-4</v>
      </c>
      <c r="F110">
        <v>-1.06629908501919E-3</v>
      </c>
      <c r="G110">
        <v>0</v>
      </c>
      <c r="H110" t="s">
        <v>74</v>
      </c>
      <c r="I110">
        <v>0</v>
      </c>
      <c r="J110" t="s">
        <v>75</v>
      </c>
      <c r="K110">
        <v>3.14159265358979</v>
      </c>
      <c r="L110">
        <v>0.54909105397474001</v>
      </c>
      <c r="M110">
        <v>0</v>
      </c>
      <c r="N110">
        <v>3.2239917900609198E-2</v>
      </c>
      <c r="O110">
        <v>0</v>
      </c>
      <c r="P110">
        <v>1.6E-2</v>
      </c>
      <c r="Q110">
        <v>0</v>
      </c>
      <c r="R110">
        <v>0</v>
      </c>
      <c r="S110">
        <v>0</v>
      </c>
      <c r="T110">
        <v>0</v>
      </c>
      <c r="U110">
        <v>0.55351920759419704</v>
      </c>
      <c r="V110" t="s">
        <v>78</v>
      </c>
      <c r="W110">
        <v>2340369.6283370699</v>
      </c>
      <c r="X110" t="s">
        <v>76</v>
      </c>
      <c r="Y110">
        <v>-1.5707963267949001</v>
      </c>
      <c r="Z110">
        <v>0.54195559947758798</v>
      </c>
      <c r="AA110">
        <v>0.438848097218966</v>
      </c>
      <c r="AB110">
        <v>2.8854460344225299E-2</v>
      </c>
      <c r="AC110">
        <v>2.46681350018913E-2</v>
      </c>
      <c r="AD110">
        <v>5.2339932494957402E-3</v>
      </c>
      <c r="AE110">
        <v>3.14600649200317E-2</v>
      </c>
      <c r="AF110">
        <v>0</v>
      </c>
      <c r="AG110">
        <v>0.20167353365850599</v>
      </c>
      <c r="AH110">
        <v>0.46661126102012601</v>
      </c>
      <c r="AI110">
        <v>0.25130428523731502</v>
      </c>
      <c r="AJ110" t="s">
        <v>74</v>
      </c>
      <c r="AK110">
        <v>0</v>
      </c>
      <c r="AL110" t="s">
        <v>77</v>
      </c>
      <c r="AM110">
        <v>0</v>
      </c>
      <c r="AN110">
        <v>0.99199999999999999</v>
      </c>
      <c r="AO110">
        <v>0</v>
      </c>
      <c r="AP110">
        <v>5.8245346242475203E-2</v>
      </c>
      <c r="AQ110">
        <v>0</v>
      </c>
      <c r="AR110">
        <v>1.6E-2</v>
      </c>
      <c r="AS110">
        <v>0</v>
      </c>
      <c r="AT110">
        <v>0</v>
      </c>
      <c r="AU110">
        <v>0</v>
      </c>
      <c r="AV110">
        <v>0</v>
      </c>
      <c r="AW110">
        <v>1</v>
      </c>
      <c r="AX110" t="s">
        <v>74</v>
      </c>
      <c r="AY110">
        <v>0</v>
      </c>
      <c r="AZ110" t="s">
        <v>76</v>
      </c>
      <c r="BA110">
        <v>-1.5707963267949001</v>
      </c>
      <c r="BB110">
        <v>0.99199999999999999</v>
      </c>
      <c r="BC110">
        <v>0</v>
      </c>
      <c r="BD110">
        <v>5.8245346242475203E-2</v>
      </c>
      <c r="BE110">
        <v>0</v>
      </c>
      <c r="BF110">
        <v>1.6E-2</v>
      </c>
      <c r="BG110">
        <v>0</v>
      </c>
      <c r="BH110">
        <v>0</v>
      </c>
      <c r="BI110">
        <v>0</v>
      </c>
      <c r="BJ110">
        <v>0</v>
      </c>
      <c r="BK110">
        <v>1</v>
      </c>
      <c r="BL110">
        <v>1.01126602865838E-4</v>
      </c>
      <c r="BM110">
        <v>3.3414239733931602E-4</v>
      </c>
      <c r="BN110" s="1">
        <v>3.68307972498101E-7</v>
      </c>
      <c r="BO110" s="1">
        <v>5.2486965036703901E-6</v>
      </c>
      <c r="BP110">
        <v>0</v>
      </c>
      <c r="BQ110">
        <v>0</v>
      </c>
      <c r="BR110" s="1">
        <v>5.4638606570599298E-5</v>
      </c>
      <c r="BS110">
        <v>1.84519749110607E-4</v>
      </c>
    </row>
    <row r="111" spans="1:71" x14ac:dyDescent="0.25">
      <c r="A111">
        <v>108</v>
      </c>
      <c r="B111" s="1">
        <v>2.6184162122730299E-5</v>
      </c>
      <c r="C111">
        <v>0.106656092664041</v>
      </c>
      <c r="D111">
        <v>-3.1280996655121699E-4</v>
      </c>
      <c r="E111">
        <v>6.1312499999999995E-4</v>
      </c>
      <c r="F111">
        <v>-1.0665609266404101E-3</v>
      </c>
      <c r="G111">
        <v>0</v>
      </c>
      <c r="H111" t="s">
        <v>74</v>
      </c>
      <c r="I111">
        <v>0</v>
      </c>
      <c r="J111" t="s">
        <v>75</v>
      </c>
      <c r="K111">
        <v>3.14159265358979</v>
      </c>
      <c r="L111">
        <v>0.54498228571377005</v>
      </c>
      <c r="M111">
        <v>0</v>
      </c>
      <c r="N111">
        <v>3.1998671297796502E-2</v>
      </c>
      <c r="O111">
        <v>0</v>
      </c>
      <c r="P111">
        <v>1.6E-2</v>
      </c>
      <c r="Q111">
        <v>0</v>
      </c>
      <c r="R111">
        <v>0</v>
      </c>
      <c r="S111">
        <v>0</v>
      </c>
      <c r="T111">
        <v>0</v>
      </c>
      <c r="U111">
        <v>0.54937730409274999</v>
      </c>
      <c r="V111" t="s">
        <v>78</v>
      </c>
      <c r="W111">
        <v>2341583.2476918101</v>
      </c>
      <c r="X111" t="s">
        <v>76</v>
      </c>
      <c r="Y111">
        <v>-1.5707963267949001</v>
      </c>
      <c r="Z111">
        <v>0.53786200634035197</v>
      </c>
      <c r="AA111">
        <v>0.44292210605225601</v>
      </c>
      <c r="AB111">
        <v>2.86248725437507E-2</v>
      </c>
      <c r="AC111">
        <v>2.4900439086550701E-2</v>
      </c>
      <c r="AD111">
        <v>4.9761996641211398E-3</v>
      </c>
      <c r="AE111">
        <v>3.17518557865E-2</v>
      </c>
      <c r="AF111">
        <v>0</v>
      </c>
      <c r="AG111">
        <v>0.19649053952554801</v>
      </c>
      <c r="AH111">
        <v>0.47799378527841901</v>
      </c>
      <c r="AI111">
        <v>0.245839112784451</v>
      </c>
      <c r="AJ111" t="s">
        <v>74</v>
      </c>
      <c r="AK111">
        <v>0</v>
      </c>
      <c r="AL111" t="s">
        <v>77</v>
      </c>
      <c r="AM111">
        <v>0</v>
      </c>
      <c r="AN111">
        <v>0.99199999999999999</v>
      </c>
      <c r="AO111">
        <v>0</v>
      </c>
      <c r="AP111">
        <v>5.8245346242475203E-2</v>
      </c>
      <c r="AQ111">
        <v>0</v>
      </c>
      <c r="AR111">
        <v>1.6E-2</v>
      </c>
      <c r="AS111">
        <v>0</v>
      </c>
      <c r="AT111">
        <v>0</v>
      </c>
      <c r="AU111">
        <v>0</v>
      </c>
      <c r="AV111">
        <v>0</v>
      </c>
      <c r="AW111">
        <v>1</v>
      </c>
      <c r="AX111" t="s">
        <v>74</v>
      </c>
      <c r="AY111">
        <v>0</v>
      </c>
      <c r="AZ111" t="s">
        <v>76</v>
      </c>
      <c r="BA111">
        <v>-1.5707963267949001</v>
      </c>
      <c r="BB111">
        <v>0.99199999999999999</v>
      </c>
      <c r="BC111">
        <v>0</v>
      </c>
      <c r="BD111">
        <v>5.8245346242475203E-2</v>
      </c>
      <c r="BE111">
        <v>0</v>
      </c>
      <c r="BF111">
        <v>1.6E-2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1.01007337706524E-4</v>
      </c>
      <c r="BM111">
        <v>3.3724216240198403E-4</v>
      </c>
      <c r="BN111" s="1">
        <v>3.6789327916143498E-7</v>
      </c>
      <c r="BO111" s="1">
        <v>5.2973874994140398E-6</v>
      </c>
      <c r="BP111">
        <v>0</v>
      </c>
      <c r="BQ111">
        <v>0</v>
      </c>
      <c r="BR111" s="1">
        <v>5.4562920487946198E-5</v>
      </c>
      <c r="BS111">
        <v>1.86236607518079E-4</v>
      </c>
    </row>
    <row r="112" spans="1:71" x14ac:dyDescent="0.25">
      <c r="A112">
        <v>109</v>
      </c>
      <c r="B112" s="1">
        <v>2.68265183742684E-5</v>
      </c>
      <c r="C112">
        <v>0.106682919182416</v>
      </c>
      <c r="D112">
        <v>-3.12954033677991E-4</v>
      </c>
      <c r="E112">
        <v>6.1312499999999995E-4</v>
      </c>
      <c r="F112">
        <v>-1.0668291918241599E-3</v>
      </c>
      <c r="G112" s="1">
        <v>-1.0842021724855E-19</v>
      </c>
      <c r="H112" t="s">
        <v>74</v>
      </c>
      <c r="I112">
        <v>0</v>
      </c>
      <c r="J112" t="s">
        <v>75</v>
      </c>
      <c r="K112">
        <v>3.14159265358979</v>
      </c>
      <c r="L112">
        <v>0.54087856615219798</v>
      </c>
      <c r="M112">
        <v>0</v>
      </c>
      <c r="N112">
        <v>3.1757721129705901E-2</v>
      </c>
      <c r="O112">
        <v>0</v>
      </c>
      <c r="P112">
        <v>1.6E-2</v>
      </c>
      <c r="Q112">
        <v>0</v>
      </c>
      <c r="R112">
        <v>0</v>
      </c>
      <c r="S112">
        <v>0</v>
      </c>
      <c r="T112">
        <v>0</v>
      </c>
      <c r="U112">
        <v>0.54524049000441799</v>
      </c>
      <c r="V112" t="s">
        <v>78</v>
      </c>
      <c r="W112">
        <v>2342826.4770666501</v>
      </c>
      <c r="X112" t="s">
        <v>76</v>
      </c>
      <c r="Y112">
        <v>-1.5707963267949001</v>
      </c>
      <c r="Z112">
        <v>0.53377293697388795</v>
      </c>
      <c r="AA112">
        <v>0.447279411123087</v>
      </c>
      <c r="AB112">
        <v>2.83954192869958E-2</v>
      </c>
      <c r="AC112">
        <v>2.5141942735160301E-2</v>
      </c>
      <c r="AD112">
        <v>4.7194857399247498E-3</v>
      </c>
      <c r="AE112">
        <v>3.2042688319577101E-2</v>
      </c>
      <c r="AF112">
        <v>0</v>
      </c>
      <c r="AG112">
        <v>0.191053681978819</v>
      </c>
      <c r="AH112">
        <v>0.48962255520180198</v>
      </c>
      <c r="AI112">
        <v>0.24041928489084599</v>
      </c>
      <c r="AJ112" t="s">
        <v>74</v>
      </c>
      <c r="AK112">
        <v>0</v>
      </c>
      <c r="AL112" t="s">
        <v>77</v>
      </c>
      <c r="AM112">
        <v>0</v>
      </c>
      <c r="AN112">
        <v>0.99199999999999999</v>
      </c>
      <c r="AO112">
        <v>0</v>
      </c>
      <c r="AP112">
        <v>5.8245346242475203E-2</v>
      </c>
      <c r="AQ112">
        <v>0</v>
      </c>
      <c r="AR112">
        <v>1.6E-2</v>
      </c>
      <c r="AS112">
        <v>0</v>
      </c>
      <c r="AT112">
        <v>0</v>
      </c>
      <c r="AU112">
        <v>0</v>
      </c>
      <c r="AV112">
        <v>0</v>
      </c>
      <c r="AW112">
        <v>1</v>
      </c>
      <c r="AX112" t="s">
        <v>74</v>
      </c>
      <c r="AY112">
        <v>0</v>
      </c>
      <c r="AZ112" t="s">
        <v>76</v>
      </c>
      <c r="BA112">
        <v>-1.5707963267949001</v>
      </c>
      <c r="BB112">
        <v>0.99199999999999999</v>
      </c>
      <c r="BC112">
        <v>0</v>
      </c>
      <c r="BD112">
        <v>5.8245346242475203E-2</v>
      </c>
      <c r="BE112">
        <v>0</v>
      </c>
      <c r="BF112">
        <v>1.6E-2</v>
      </c>
      <c r="BG112">
        <v>0</v>
      </c>
      <c r="BH112">
        <v>0</v>
      </c>
      <c r="BI112">
        <v>0</v>
      </c>
      <c r="BJ112">
        <v>0</v>
      </c>
      <c r="BK112">
        <v>1</v>
      </c>
      <c r="BL112">
        <v>1.00892887818406E-4</v>
      </c>
      <c r="BM112">
        <v>3.4033811859031002E-4</v>
      </c>
      <c r="BN112" s="1">
        <v>3.6749005893993702E-7</v>
      </c>
      <c r="BO112" s="1">
        <v>5.34601866549945E-6</v>
      </c>
      <c r="BP112">
        <v>0</v>
      </c>
      <c r="BQ112">
        <v>0</v>
      </c>
      <c r="BR112" s="1">
        <v>5.4489927635703101E-5</v>
      </c>
      <c r="BS112">
        <v>1.8795158272021901E-4</v>
      </c>
    </row>
    <row r="113" spans="1:71" x14ac:dyDescent="0.25">
      <c r="A113">
        <v>110</v>
      </c>
      <c r="B113" s="1">
        <v>2.7534263327296899E-5</v>
      </c>
      <c r="C113">
        <v>0.10671045344574299</v>
      </c>
      <c r="D113">
        <v>-3.1310188179138799E-4</v>
      </c>
      <c r="E113">
        <v>6.1312499999999995E-4</v>
      </c>
      <c r="F113">
        <v>-1.0671045344574301E-3</v>
      </c>
      <c r="G113" s="1">
        <v>-1.0842021724855E-19</v>
      </c>
      <c r="H113" t="s">
        <v>74</v>
      </c>
      <c r="I113">
        <v>0</v>
      </c>
      <c r="J113" t="s">
        <v>75</v>
      </c>
      <c r="K113">
        <v>3.14159265358979</v>
      </c>
      <c r="L113">
        <v>0.53678037588738103</v>
      </c>
      <c r="M113">
        <v>0</v>
      </c>
      <c r="N113">
        <v>3.1517095614643699E-2</v>
      </c>
      <c r="O113">
        <v>0</v>
      </c>
      <c r="P113">
        <v>1.6E-2</v>
      </c>
      <c r="Q113">
        <v>0</v>
      </c>
      <c r="R113">
        <v>0</v>
      </c>
      <c r="S113">
        <v>0</v>
      </c>
      <c r="T113">
        <v>0</v>
      </c>
      <c r="U113">
        <v>0.54110924980248798</v>
      </c>
      <c r="V113" t="s">
        <v>78</v>
      </c>
      <c r="W113">
        <v>2344102.33452078</v>
      </c>
      <c r="X113" t="s">
        <v>76</v>
      </c>
      <c r="Y113">
        <v>-1.5707963267949001</v>
      </c>
      <c r="Z113">
        <v>0.52968878566368705</v>
      </c>
      <c r="AA113">
        <v>0.45140364697388102</v>
      </c>
      <c r="AB113">
        <v>2.8166099231260299E-2</v>
      </c>
      <c r="AC113">
        <v>2.5376457004985101E-2</v>
      </c>
      <c r="AD113">
        <v>4.4639439041226003E-3</v>
      </c>
      <c r="AE113">
        <v>3.2332519411062299E-2</v>
      </c>
      <c r="AF113">
        <v>0</v>
      </c>
      <c r="AG113">
        <v>0.185353424085894</v>
      </c>
      <c r="AH113">
        <v>0.50150638257160196</v>
      </c>
      <c r="AI113">
        <v>0.23504575600119801</v>
      </c>
      <c r="AJ113" t="s">
        <v>74</v>
      </c>
      <c r="AK113">
        <v>0</v>
      </c>
      <c r="AL113" t="s">
        <v>77</v>
      </c>
      <c r="AM113">
        <v>0</v>
      </c>
      <c r="AN113">
        <v>0.99199999999999999</v>
      </c>
      <c r="AO113">
        <v>0</v>
      </c>
      <c r="AP113">
        <v>5.8245346242475203E-2</v>
      </c>
      <c r="AQ113">
        <v>0</v>
      </c>
      <c r="AR113">
        <v>1.6E-2</v>
      </c>
      <c r="AS113">
        <v>0</v>
      </c>
      <c r="AT113">
        <v>0</v>
      </c>
      <c r="AU113">
        <v>0</v>
      </c>
      <c r="AV113">
        <v>0</v>
      </c>
      <c r="AW113">
        <v>1</v>
      </c>
      <c r="AX113" t="s">
        <v>74</v>
      </c>
      <c r="AY113">
        <v>0</v>
      </c>
      <c r="AZ113" t="s">
        <v>76</v>
      </c>
      <c r="BA113">
        <v>-1.5707963267949001</v>
      </c>
      <c r="BB113">
        <v>0.99199999999999999</v>
      </c>
      <c r="BC113">
        <v>0</v>
      </c>
      <c r="BD113">
        <v>5.8245346242475203E-2</v>
      </c>
      <c r="BE113">
        <v>0</v>
      </c>
      <c r="BF113">
        <v>1.6E-2</v>
      </c>
      <c r="BG113">
        <v>0</v>
      </c>
      <c r="BH113">
        <v>0</v>
      </c>
      <c r="BI113">
        <v>0</v>
      </c>
      <c r="BJ113">
        <v>0</v>
      </c>
      <c r="BK113">
        <v>1</v>
      </c>
      <c r="BL113">
        <v>1.0077517216792E-4</v>
      </c>
      <c r="BM113">
        <v>3.4342990332874798E-4</v>
      </c>
      <c r="BN113" s="1">
        <v>3.6708229596953502E-7</v>
      </c>
      <c r="BO113" s="1">
        <v>5.3945843066032404E-6</v>
      </c>
      <c r="BP113">
        <v>0</v>
      </c>
      <c r="BQ113">
        <v>0</v>
      </c>
      <c r="BR113" s="1">
        <v>5.4415169315546203E-5</v>
      </c>
      <c r="BS113">
        <v>1.8966449072869399E-4</v>
      </c>
    </row>
    <row r="114" spans="1:71" x14ac:dyDescent="0.25">
      <c r="A114">
        <v>111</v>
      </c>
      <c r="B114" s="1">
        <v>2.8316623949518302E-5</v>
      </c>
      <c r="C114">
        <v>0.106738770069693</v>
      </c>
      <c r="D114">
        <v>-3.1325390993936598E-4</v>
      </c>
      <c r="E114">
        <v>6.1312499999999995E-4</v>
      </c>
      <c r="F114">
        <v>-1.0673877006969199E-3</v>
      </c>
      <c r="G114">
        <v>0</v>
      </c>
      <c r="H114" t="s">
        <v>74</v>
      </c>
      <c r="I114">
        <v>0</v>
      </c>
      <c r="J114" t="s">
        <v>75</v>
      </c>
      <c r="K114">
        <v>3.14159265358979</v>
      </c>
      <c r="L114">
        <v>0.53268826630940103</v>
      </c>
      <c r="M114">
        <v>0</v>
      </c>
      <c r="N114">
        <v>3.1276827127514999E-2</v>
      </c>
      <c r="O114">
        <v>0</v>
      </c>
      <c r="P114">
        <v>1.6E-2</v>
      </c>
      <c r="Q114">
        <v>0</v>
      </c>
      <c r="R114">
        <v>0</v>
      </c>
      <c r="S114">
        <v>0</v>
      </c>
      <c r="T114">
        <v>0</v>
      </c>
      <c r="U114">
        <v>0.53698413932390099</v>
      </c>
      <c r="V114" t="s">
        <v>78</v>
      </c>
      <c r="W114">
        <v>2345414.2636443698</v>
      </c>
      <c r="X114" t="s">
        <v>76</v>
      </c>
      <c r="Y114">
        <v>-1.5707963267949001</v>
      </c>
      <c r="Z114">
        <v>0.52561000488801402</v>
      </c>
      <c r="AA114">
        <v>0.45573559992530899</v>
      </c>
      <c r="AB114">
        <v>2.7936910964277001E-2</v>
      </c>
      <c r="AC114">
        <v>2.56178666409131E-2</v>
      </c>
      <c r="AD114">
        <v>4.2096765703620396E-3</v>
      </c>
      <c r="AE114">
        <v>3.2621301980819702E-2</v>
      </c>
      <c r="AF114">
        <v>0</v>
      </c>
      <c r="AG114">
        <v>0.17937951236011501</v>
      </c>
      <c r="AH114">
        <v>0.51365468890752497</v>
      </c>
      <c r="AI114">
        <v>0.229719559258767</v>
      </c>
      <c r="AJ114" t="s">
        <v>74</v>
      </c>
      <c r="AK114">
        <v>0</v>
      </c>
      <c r="AL114" t="s">
        <v>77</v>
      </c>
      <c r="AM114">
        <v>0</v>
      </c>
      <c r="AN114">
        <v>0.99199999999999999</v>
      </c>
      <c r="AO114">
        <v>0</v>
      </c>
      <c r="AP114">
        <v>5.8245346242475203E-2</v>
      </c>
      <c r="AQ114">
        <v>0</v>
      </c>
      <c r="AR114">
        <v>1.6E-2</v>
      </c>
      <c r="AS114">
        <v>0</v>
      </c>
      <c r="AT114">
        <v>0</v>
      </c>
      <c r="AU114">
        <v>0</v>
      </c>
      <c r="AV114">
        <v>0</v>
      </c>
      <c r="AW114">
        <v>1</v>
      </c>
      <c r="AX114" t="s">
        <v>74</v>
      </c>
      <c r="AY114">
        <v>0</v>
      </c>
      <c r="AZ114" t="s">
        <v>76</v>
      </c>
      <c r="BA114">
        <v>-1.5707963267949001</v>
      </c>
      <c r="BB114">
        <v>0.99199999999999999</v>
      </c>
      <c r="BC114">
        <v>0</v>
      </c>
      <c r="BD114">
        <v>5.8245346242475203E-2</v>
      </c>
      <c r="BE114">
        <v>0</v>
      </c>
      <c r="BF114">
        <v>1.6E-2</v>
      </c>
      <c r="BG114">
        <v>0</v>
      </c>
      <c r="BH114">
        <v>0</v>
      </c>
      <c r="BI114">
        <v>0</v>
      </c>
      <c r="BJ114">
        <v>0</v>
      </c>
      <c r="BK114">
        <v>1</v>
      </c>
      <c r="BL114">
        <v>1.0066114860882801E-4</v>
      </c>
      <c r="BM114">
        <v>3.4651710063381998E-4</v>
      </c>
      <c r="BN114" s="1">
        <v>3.6668407329930502E-7</v>
      </c>
      <c r="BO114" s="1">
        <v>5.4430778884722199E-6</v>
      </c>
      <c r="BP114">
        <v>0</v>
      </c>
      <c r="BQ114">
        <v>0</v>
      </c>
      <c r="BR114" s="1">
        <v>5.4342492583688901E-5</v>
      </c>
      <c r="BS114">
        <v>1.91375120341292E-4</v>
      </c>
    </row>
    <row r="115" spans="1:71" x14ac:dyDescent="0.25">
      <c r="A115">
        <v>112</v>
      </c>
      <c r="B115" s="1">
        <v>2.91847192143474E-5</v>
      </c>
      <c r="C115">
        <v>0.10676795478890699</v>
      </c>
      <c r="D115">
        <v>-3.1341057658964601E-4</v>
      </c>
      <c r="E115">
        <v>6.1312499999999995E-4</v>
      </c>
      <c r="F115">
        <v>-1.06767954788907E-3</v>
      </c>
      <c r="G115" s="1">
        <v>-1.0842021724855E-19</v>
      </c>
      <c r="H115" t="s">
        <v>74</v>
      </c>
      <c r="I115">
        <v>0</v>
      </c>
      <c r="J115" t="s">
        <v>75</v>
      </c>
      <c r="K115">
        <v>3.14159265358979</v>
      </c>
      <c r="L115">
        <v>0.52860287390636196</v>
      </c>
      <c r="M115">
        <v>0</v>
      </c>
      <c r="N115">
        <v>3.1036953039761599E-2</v>
      </c>
      <c r="O115">
        <v>0</v>
      </c>
      <c r="P115">
        <v>1.6E-2</v>
      </c>
      <c r="Q115">
        <v>0</v>
      </c>
      <c r="R115">
        <v>0</v>
      </c>
      <c r="S115">
        <v>0</v>
      </c>
      <c r="T115">
        <v>0</v>
      </c>
      <c r="U115">
        <v>0.53286580018991803</v>
      </c>
      <c r="V115" t="s">
        <v>78</v>
      </c>
      <c r="W115">
        <v>2346766.2207913399</v>
      </c>
      <c r="X115" t="s">
        <v>76</v>
      </c>
      <c r="Y115">
        <v>-1.5707963267949001</v>
      </c>
      <c r="Z115">
        <v>0.52153711695578897</v>
      </c>
      <c r="AA115">
        <v>0.459397380388752</v>
      </c>
      <c r="AB115">
        <v>2.7707852953732799E-2</v>
      </c>
      <c r="AC115">
        <v>2.5838635618647399E-2</v>
      </c>
      <c r="AD115">
        <v>3.9567981640350703E-3</v>
      </c>
      <c r="AE115">
        <v>3.2908984167321902E-2</v>
      </c>
      <c r="AF115">
        <v>0</v>
      </c>
      <c r="AG115">
        <v>0.17312091467889601</v>
      </c>
      <c r="AH115">
        <v>0.52607754596473499</v>
      </c>
      <c r="AI115">
        <v>0.22444182093165599</v>
      </c>
      <c r="AJ115" t="s">
        <v>74</v>
      </c>
      <c r="AK115">
        <v>0</v>
      </c>
      <c r="AL115" t="s">
        <v>77</v>
      </c>
      <c r="AM115">
        <v>0</v>
      </c>
      <c r="AN115">
        <v>0.99199999999999999</v>
      </c>
      <c r="AO115">
        <v>0</v>
      </c>
      <c r="AP115">
        <v>5.8245346242475203E-2</v>
      </c>
      <c r="AQ115">
        <v>0</v>
      </c>
      <c r="AR115">
        <v>1.6E-2</v>
      </c>
      <c r="AS115">
        <v>0</v>
      </c>
      <c r="AT115">
        <v>0</v>
      </c>
      <c r="AU115">
        <v>0</v>
      </c>
      <c r="AV115">
        <v>0</v>
      </c>
      <c r="AW115">
        <v>1</v>
      </c>
      <c r="AX115" t="s">
        <v>74</v>
      </c>
      <c r="AY115">
        <v>0</v>
      </c>
      <c r="AZ115" t="s">
        <v>76</v>
      </c>
      <c r="BA115">
        <v>-1.5707963267949001</v>
      </c>
      <c r="BB115">
        <v>0.99199999999999999</v>
      </c>
      <c r="BC115">
        <v>0</v>
      </c>
      <c r="BD115">
        <v>5.8245346242475203E-2</v>
      </c>
      <c r="BE115">
        <v>0</v>
      </c>
      <c r="BF115">
        <v>1.6E-2</v>
      </c>
      <c r="BG115">
        <v>0</v>
      </c>
      <c r="BH115">
        <v>0</v>
      </c>
      <c r="BI115">
        <v>0</v>
      </c>
      <c r="BJ115">
        <v>0</v>
      </c>
      <c r="BK115">
        <v>1</v>
      </c>
      <c r="BL115">
        <v>1.00537067048546E-4</v>
      </c>
      <c r="BM115">
        <v>3.4959923032181498E-4</v>
      </c>
      <c r="BN115" s="1">
        <v>3.6626808531959501E-7</v>
      </c>
      <c r="BO115" s="1">
        <v>5.4914918683982999E-6</v>
      </c>
      <c r="BP115">
        <v>0</v>
      </c>
      <c r="BQ115">
        <v>0</v>
      </c>
      <c r="BR115" s="1">
        <v>5.4264308666324502E-5</v>
      </c>
      <c r="BS115">
        <v>1.9308322763804999E-4</v>
      </c>
    </row>
    <row r="116" spans="1:71" x14ac:dyDescent="0.25">
      <c r="A116">
        <v>113</v>
      </c>
      <c r="B116" s="1">
        <v>3.0152068211169499E-5</v>
      </c>
      <c r="C116">
        <v>0.10679810685711801</v>
      </c>
      <c r="D116">
        <v>-3.1357241245223E-4</v>
      </c>
      <c r="E116">
        <v>6.1312499999999995E-4</v>
      </c>
      <c r="F116">
        <v>-1.0679810685711799E-3</v>
      </c>
      <c r="G116">
        <v>0</v>
      </c>
      <c r="H116" t="s">
        <v>74</v>
      </c>
      <c r="I116">
        <v>0</v>
      </c>
      <c r="J116" t="s">
        <v>75</v>
      </c>
      <c r="K116">
        <v>3.14159265358979</v>
      </c>
      <c r="L116">
        <v>0.52452493828445801</v>
      </c>
      <c r="M116">
        <v>0</v>
      </c>
      <c r="N116">
        <v>3.0797516777410501E-2</v>
      </c>
      <c r="O116">
        <v>0</v>
      </c>
      <c r="P116">
        <v>1.6E-2</v>
      </c>
      <c r="Q116">
        <v>0</v>
      </c>
      <c r="R116">
        <v>0</v>
      </c>
      <c r="S116">
        <v>0</v>
      </c>
      <c r="T116">
        <v>0</v>
      </c>
      <c r="U116">
        <v>0.52875497797149595</v>
      </c>
      <c r="V116" t="s">
        <v>78</v>
      </c>
      <c r="W116">
        <v>2348162.7857313999</v>
      </c>
      <c r="X116" t="s">
        <v>76</v>
      </c>
      <c r="Y116">
        <v>-1.5707963267949001</v>
      </c>
      <c r="Z116">
        <v>0.51747072863119403</v>
      </c>
      <c r="AA116">
        <v>0.463218359912969</v>
      </c>
      <c r="AB116">
        <v>2.7478923473775299E-2</v>
      </c>
      <c r="AC116">
        <v>2.6064869881211501E-2</v>
      </c>
      <c r="AD116">
        <v>3.70543768180596E-3</v>
      </c>
      <c r="AE116">
        <v>3.3195508292840001E-2</v>
      </c>
      <c r="AF116">
        <v>0</v>
      </c>
      <c r="AG116">
        <v>0.16656575816660801</v>
      </c>
      <c r="AH116">
        <v>0.53878571066133096</v>
      </c>
      <c r="AI116">
        <v>0.219213778557596</v>
      </c>
      <c r="AJ116" t="s">
        <v>74</v>
      </c>
      <c r="AK116">
        <v>0</v>
      </c>
      <c r="AL116" t="s">
        <v>77</v>
      </c>
      <c r="AM116">
        <v>0</v>
      </c>
      <c r="AN116">
        <v>0.99199999999999999</v>
      </c>
      <c r="AO116">
        <v>0</v>
      </c>
      <c r="AP116">
        <v>5.8245346242475203E-2</v>
      </c>
      <c r="AQ116">
        <v>0</v>
      </c>
      <c r="AR116">
        <v>1.6E-2</v>
      </c>
      <c r="AS116">
        <v>0</v>
      </c>
      <c r="AT116">
        <v>0</v>
      </c>
      <c r="AU116">
        <v>0</v>
      </c>
      <c r="AV116">
        <v>0</v>
      </c>
      <c r="AW116">
        <v>1</v>
      </c>
      <c r="AX116" t="s">
        <v>74</v>
      </c>
      <c r="AY116">
        <v>0</v>
      </c>
      <c r="AZ116" t="s">
        <v>76</v>
      </c>
      <c r="BA116">
        <v>-1.5707963267949001</v>
      </c>
      <c r="BB116">
        <v>0.99199999999999999</v>
      </c>
      <c r="BC116">
        <v>0</v>
      </c>
      <c r="BD116">
        <v>5.8245346242475203E-2</v>
      </c>
      <c r="BE116">
        <v>0</v>
      </c>
      <c r="BF116">
        <v>1.6E-2</v>
      </c>
      <c r="BG116">
        <v>0</v>
      </c>
      <c r="BH116">
        <v>0</v>
      </c>
      <c r="BI116">
        <v>0</v>
      </c>
      <c r="BJ116">
        <v>0</v>
      </c>
      <c r="BK116">
        <v>1</v>
      </c>
      <c r="BL116">
        <v>1.00416001308674E-4</v>
      </c>
      <c r="BM116">
        <v>3.5267573441397001E-4</v>
      </c>
      <c r="BN116" s="1">
        <v>3.65860706154986E-7</v>
      </c>
      <c r="BO116" s="1">
        <v>5.5398174816715702E-6</v>
      </c>
      <c r="BP116">
        <v>0</v>
      </c>
      <c r="BQ116">
        <v>0</v>
      </c>
      <c r="BR116" s="1">
        <v>5.4187843955891698E-5</v>
      </c>
      <c r="BS116">
        <v>1.9478852905096199E-4</v>
      </c>
    </row>
    <row r="117" spans="1:71" x14ac:dyDescent="0.25">
      <c r="A117">
        <v>114</v>
      </c>
      <c r="B117" s="1">
        <v>3.1235270752583902E-5</v>
      </c>
      <c r="C117">
        <v>0.106829342127871</v>
      </c>
      <c r="D117">
        <v>-3.1374003693683799E-4</v>
      </c>
      <c r="E117">
        <v>6.1312499999999995E-4</v>
      </c>
      <c r="F117">
        <v>-1.0682934212787099E-3</v>
      </c>
      <c r="G117" s="1">
        <v>-1.0842021724855E-19</v>
      </c>
      <c r="H117" t="s">
        <v>74</v>
      </c>
      <c r="I117">
        <v>0</v>
      </c>
      <c r="J117" t="s">
        <v>75</v>
      </c>
      <c r="K117">
        <v>3.14159265358979</v>
      </c>
      <c r="L117">
        <v>0.52045532509131898</v>
      </c>
      <c r="M117">
        <v>0</v>
      </c>
      <c r="N117">
        <v>3.05585691670201E-2</v>
      </c>
      <c r="O117">
        <v>0</v>
      </c>
      <c r="P117">
        <v>1.6E-2</v>
      </c>
      <c r="Q117">
        <v>0</v>
      </c>
      <c r="R117">
        <v>0</v>
      </c>
      <c r="S117">
        <v>0</v>
      </c>
      <c r="T117">
        <v>0</v>
      </c>
      <c r="U117">
        <v>0.52465254529750904</v>
      </c>
      <c r="V117" t="s">
        <v>78</v>
      </c>
      <c r="W117">
        <v>2349609.30366976</v>
      </c>
      <c r="X117" t="s">
        <v>76</v>
      </c>
      <c r="Y117">
        <v>-1.5707963267949001</v>
      </c>
      <c r="Z117">
        <v>0.51341154968382796</v>
      </c>
      <c r="AA117">
        <v>0.46751229473893002</v>
      </c>
      <c r="AB117">
        <v>2.7250120496212199E-2</v>
      </c>
      <c r="AC117">
        <v>2.6306485822472699E-2</v>
      </c>
      <c r="AD117">
        <v>3.4557419614746599E-3</v>
      </c>
      <c r="AE117">
        <v>3.3480809525695397E-2</v>
      </c>
      <c r="AF117">
        <v>0</v>
      </c>
      <c r="AG117">
        <v>0.15970127142281901</v>
      </c>
      <c r="AH117">
        <v>0.55179064826212998</v>
      </c>
      <c r="AI117">
        <v>0.214036804003159</v>
      </c>
      <c r="AJ117" t="s">
        <v>74</v>
      </c>
      <c r="AK117">
        <v>0</v>
      </c>
      <c r="AL117" t="s">
        <v>77</v>
      </c>
      <c r="AM117">
        <v>0</v>
      </c>
      <c r="AN117">
        <v>0.99199999999999999</v>
      </c>
      <c r="AO117">
        <v>0</v>
      </c>
      <c r="AP117">
        <v>5.8245346242475203E-2</v>
      </c>
      <c r="AQ117">
        <v>0</v>
      </c>
      <c r="AR117">
        <v>1.6E-2</v>
      </c>
      <c r="AS117">
        <v>0</v>
      </c>
      <c r="AT117">
        <v>0</v>
      </c>
      <c r="AU117">
        <v>0</v>
      </c>
      <c r="AV117">
        <v>0</v>
      </c>
      <c r="AW117">
        <v>1</v>
      </c>
      <c r="AX117" t="s">
        <v>74</v>
      </c>
      <c r="AY117">
        <v>0</v>
      </c>
      <c r="AZ117" t="s">
        <v>76</v>
      </c>
      <c r="BA117">
        <v>-1.5707963267949001</v>
      </c>
      <c r="BB117">
        <v>0.99199999999999999</v>
      </c>
      <c r="BC117">
        <v>0</v>
      </c>
      <c r="BD117">
        <v>5.8245346242475203E-2</v>
      </c>
      <c r="BE117">
        <v>0</v>
      </c>
      <c r="BF117">
        <v>1.6E-2</v>
      </c>
      <c r="BG117">
        <v>0</v>
      </c>
      <c r="BH117">
        <v>0</v>
      </c>
      <c r="BI117">
        <v>0</v>
      </c>
      <c r="BJ117">
        <v>0</v>
      </c>
      <c r="BK117">
        <v>1</v>
      </c>
      <c r="BL117">
        <v>1.00302933985328E-4</v>
      </c>
      <c r="BM117">
        <v>3.5574595984247398E-4</v>
      </c>
      <c r="BN117" s="1">
        <v>3.6547216722673201E-7</v>
      </c>
      <c r="BO117" s="1">
        <v>5.5880444699268404E-6</v>
      </c>
      <c r="BP117">
        <v>0</v>
      </c>
      <c r="BQ117">
        <v>0</v>
      </c>
      <c r="BR117" s="1">
        <v>5.4115857711127599E-5</v>
      </c>
      <c r="BS117">
        <v>1.96490692552978E-4</v>
      </c>
    </row>
    <row r="118" spans="1:71" x14ac:dyDescent="0.25">
      <c r="A118">
        <v>115</v>
      </c>
      <c r="B118" s="1">
        <v>3.2454932434078298E-5</v>
      </c>
      <c r="C118">
        <v>0.10686179706030501</v>
      </c>
      <c r="D118">
        <v>-3.1391417955043202E-4</v>
      </c>
      <c r="E118">
        <v>6.1312499999999995E-4</v>
      </c>
      <c r="F118">
        <v>-1.06861797060305E-3</v>
      </c>
      <c r="G118" s="1">
        <v>-1.0842021724855E-19</v>
      </c>
      <c r="H118" t="s">
        <v>74</v>
      </c>
      <c r="I118">
        <v>0</v>
      </c>
      <c r="J118" t="s">
        <v>75</v>
      </c>
      <c r="K118">
        <v>3.14159265358979</v>
      </c>
      <c r="L118">
        <v>0.51639505548497799</v>
      </c>
      <c r="M118">
        <v>0</v>
      </c>
      <c r="N118">
        <v>3.0320170165952402E-2</v>
      </c>
      <c r="O118">
        <v>0</v>
      </c>
      <c r="P118">
        <v>1.6E-2</v>
      </c>
      <c r="Q118">
        <v>0</v>
      </c>
      <c r="R118">
        <v>0</v>
      </c>
      <c r="S118">
        <v>0</v>
      </c>
      <c r="T118">
        <v>0</v>
      </c>
      <c r="U118">
        <v>0.52055953156135004</v>
      </c>
      <c r="V118" t="s">
        <v>78</v>
      </c>
      <c r="W118">
        <v>2351112.06989741</v>
      </c>
      <c r="X118" t="s">
        <v>76</v>
      </c>
      <c r="Y118">
        <v>-1.5707963267949001</v>
      </c>
      <c r="Z118">
        <v>0.50936041665222698</v>
      </c>
      <c r="AA118">
        <v>0.47184251123700899</v>
      </c>
      <c r="AB118">
        <v>2.7021441526594601E-2</v>
      </c>
      <c r="AC118">
        <v>2.6549835509945802E-2</v>
      </c>
      <c r="AD118">
        <v>3.2078799081807301E-3</v>
      </c>
      <c r="AE118">
        <v>3.3764814130199501E-2</v>
      </c>
      <c r="AF118">
        <v>0</v>
      </c>
      <c r="AG118">
        <v>0.15251373876332999</v>
      </c>
      <c r="AH118">
        <v>0.56510453367327196</v>
      </c>
      <c r="AI118">
        <v>0.208912433091517</v>
      </c>
      <c r="AJ118" t="s">
        <v>74</v>
      </c>
      <c r="AK118">
        <v>0</v>
      </c>
      <c r="AL118" t="s">
        <v>77</v>
      </c>
      <c r="AM118">
        <v>0</v>
      </c>
      <c r="AN118">
        <v>0.99199999999999999</v>
      </c>
      <c r="AO118">
        <v>0</v>
      </c>
      <c r="AP118">
        <v>5.8245346242475203E-2</v>
      </c>
      <c r="AQ118">
        <v>0</v>
      </c>
      <c r="AR118">
        <v>1.6E-2</v>
      </c>
      <c r="AS118">
        <v>0</v>
      </c>
      <c r="AT118">
        <v>0</v>
      </c>
      <c r="AU118">
        <v>0</v>
      </c>
      <c r="AV118">
        <v>0</v>
      </c>
      <c r="AW118">
        <v>1</v>
      </c>
      <c r="AX118" t="s">
        <v>74</v>
      </c>
      <c r="AY118">
        <v>0</v>
      </c>
      <c r="AZ118" t="s">
        <v>76</v>
      </c>
      <c r="BA118">
        <v>-1.5707963267949001</v>
      </c>
      <c r="BB118">
        <v>0.99199999999999999</v>
      </c>
      <c r="BC118">
        <v>0</v>
      </c>
      <c r="BD118">
        <v>5.8245346242475203E-2</v>
      </c>
      <c r="BE118">
        <v>0</v>
      </c>
      <c r="BF118">
        <v>1.6E-2</v>
      </c>
      <c r="BG118">
        <v>0</v>
      </c>
      <c r="BH118">
        <v>0</v>
      </c>
      <c r="BI118">
        <v>0</v>
      </c>
      <c r="BJ118">
        <v>0</v>
      </c>
      <c r="BK118">
        <v>1</v>
      </c>
      <c r="BL118">
        <v>1.00191069843722E-4</v>
      </c>
      <c r="BM118">
        <v>3.5880913621830099E-4</v>
      </c>
      <c r="BN118" s="1">
        <v>3.6508919357739698E-7</v>
      </c>
      <c r="BO118" s="1">
        <v>5.6361607319215696E-6</v>
      </c>
      <c r="BP118">
        <v>0</v>
      </c>
      <c r="BQ118">
        <v>0</v>
      </c>
      <c r="BR118" s="1">
        <v>5.4044605319277402E-5</v>
      </c>
      <c r="BS118">
        <v>1.9818932633988901E-4</v>
      </c>
    </row>
    <row r="119" spans="1:71" x14ac:dyDescent="0.25">
      <c r="A119">
        <v>116</v>
      </c>
      <c r="B119" s="1">
        <v>3.38369422999874E-5</v>
      </c>
      <c r="C119">
        <v>0.106895634002605</v>
      </c>
      <c r="D119">
        <v>-3.1409570811729101E-4</v>
      </c>
      <c r="E119">
        <v>6.1312499999999995E-4</v>
      </c>
      <c r="F119">
        <v>-1.0689563400260501E-3</v>
      </c>
      <c r="G119" s="1">
        <v>-1.0842021724855E-19</v>
      </c>
      <c r="H119" t="s">
        <v>74</v>
      </c>
      <c r="I119">
        <v>0</v>
      </c>
      <c r="J119" t="s">
        <v>75</v>
      </c>
      <c r="K119">
        <v>3.14159265358979</v>
      </c>
      <c r="L119">
        <v>0.51234534444556501</v>
      </c>
      <c r="M119">
        <v>0</v>
      </c>
      <c r="N119">
        <v>3.00823911118469E-2</v>
      </c>
      <c r="O119">
        <v>0</v>
      </c>
      <c r="P119">
        <v>1.6E-2</v>
      </c>
      <c r="Q119">
        <v>0</v>
      </c>
      <c r="R119">
        <v>0</v>
      </c>
      <c r="S119">
        <v>0</v>
      </c>
      <c r="T119">
        <v>0</v>
      </c>
      <c r="U119">
        <v>0.51647716154160594</v>
      </c>
      <c r="V119" t="s">
        <v>78</v>
      </c>
      <c r="W119">
        <v>2352678.5733166402</v>
      </c>
      <c r="X119" t="s">
        <v>76</v>
      </c>
      <c r="Y119">
        <v>-1.5707963267949001</v>
      </c>
      <c r="Z119">
        <v>0.50531832360576401</v>
      </c>
      <c r="AA119">
        <v>0.475848770068866</v>
      </c>
      <c r="AB119">
        <v>2.6792883352594599E-2</v>
      </c>
      <c r="AC119">
        <v>2.67836857518392E-2</v>
      </c>
      <c r="AD119">
        <v>2.9620480255191199E-3</v>
      </c>
      <c r="AE119">
        <v>3.4047437147922202E-2</v>
      </c>
      <c r="AF119">
        <v>0</v>
      </c>
      <c r="AG119">
        <v>0.14498847967096101</v>
      </c>
      <c r="AH119">
        <v>0.57874021418469201</v>
      </c>
      <c r="AI119">
        <v>0.20384240411409199</v>
      </c>
      <c r="AJ119" t="s">
        <v>74</v>
      </c>
      <c r="AK119">
        <v>0</v>
      </c>
      <c r="AL119" t="s">
        <v>77</v>
      </c>
      <c r="AM119">
        <v>0</v>
      </c>
      <c r="AN119">
        <v>0.99199999999999999</v>
      </c>
      <c r="AO119">
        <v>0</v>
      </c>
      <c r="AP119">
        <v>5.8245346242475203E-2</v>
      </c>
      <c r="AQ119">
        <v>0</v>
      </c>
      <c r="AR119">
        <v>1.6E-2</v>
      </c>
      <c r="AS119">
        <v>0</v>
      </c>
      <c r="AT119">
        <v>0</v>
      </c>
      <c r="AU119">
        <v>0</v>
      </c>
      <c r="AV119">
        <v>0</v>
      </c>
      <c r="AW119">
        <v>1</v>
      </c>
      <c r="AX119" t="s">
        <v>74</v>
      </c>
      <c r="AY119">
        <v>0</v>
      </c>
      <c r="AZ119" t="s">
        <v>76</v>
      </c>
      <c r="BA119">
        <v>-1.5707963267949001</v>
      </c>
      <c r="BB119">
        <v>0.99199999999999999</v>
      </c>
      <c r="BC119">
        <v>0</v>
      </c>
      <c r="BD119">
        <v>5.8245346242475203E-2</v>
      </c>
      <c r="BE119">
        <v>0</v>
      </c>
      <c r="BF119">
        <v>1.6E-2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1.00074826350616E-4</v>
      </c>
      <c r="BM119">
        <v>3.6186434692782701E-4</v>
      </c>
      <c r="BN119" s="1">
        <v>3.6470099708533697E-7</v>
      </c>
      <c r="BO119" s="1">
        <v>5.68415186952264E-6</v>
      </c>
      <c r="BP119">
        <v>0</v>
      </c>
      <c r="BQ119">
        <v>0</v>
      </c>
      <c r="BR119" s="1">
        <v>5.3971013122349502E-5</v>
      </c>
      <c r="BS119">
        <v>1.9988396413138401E-4</v>
      </c>
    </row>
    <row r="120" spans="1:71" x14ac:dyDescent="0.25">
      <c r="A120">
        <v>117</v>
      </c>
      <c r="B120" s="1">
        <v>3.5414269136645299E-5</v>
      </c>
      <c r="C120">
        <v>0.10693104827174101</v>
      </c>
      <c r="D120">
        <v>-3.1428566659012498E-4</v>
      </c>
      <c r="E120">
        <v>6.1312499999999995E-4</v>
      </c>
      <c r="F120">
        <v>-1.0693104827174101E-3</v>
      </c>
      <c r="G120">
        <v>0</v>
      </c>
      <c r="H120" t="s">
        <v>74</v>
      </c>
      <c r="I120">
        <v>0</v>
      </c>
      <c r="J120" t="s">
        <v>75</v>
      </c>
      <c r="K120">
        <v>3.14159265358979</v>
      </c>
      <c r="L120">
        <v>0.50830765118239896</v>
      </c>
      <c r="M120">
        <v>0</v>
      </c>
      <c r="N120">
        <v>2.9845317682276402E-2</v>
      </c>
      <c r="O120">
        <v>0</v>
      </c>
      <c r="P120">
        <v>1.6E-2</v>
      </c>
      <c r="Q120">
        <v>0</v>
      </c>
      <c r="R120">
        <v>0</v>
      </c>
      <c r="S120">
        <v>0</v>
      </c>
      <c r="T120">
        <v>0</v>
      </c>
      <c r="U120">
        <v>0.51240690621565399</v>
      </c>
      <c r="V120" t="s">
        <v>78</v>
      </c>
      <c r="W120">
        <v>2354317.8227326302</v>
      </c>
      <c r="X120" t="s">
        <v>76</v>
      </c>
      <c r="Y120">
        <v>-1.5707963267949001</v>
      </c>
      <c r="Z120">
        <v>0.50128646240331598</v>
      </c>
      <c r="AA120">
        <v>0.47982205477551598</v>
      </c>
      <c r="AB120">
        <v>2.65644416497645E-2</v>
      </c>
      <c r="AC120">
        <v>2.7017281705056101E-2</v>
      </c>
      <c r="AD120">
        <v>2.71847775304125E-3</v>
      </c>
      <c r="AE120">
        <v>3.4328579283442497E-2</v>
      </c>
      <c r="AF120">
        <v>0</v>
      </c>
      <c r="AG120">
        <v>0.13710987604788799</v>
      </c>
      <c r="AH120">
        <v>0.59271110616085698</v>
      </c>
      <c r="AI120">
        <v>0.19882870850598899</v>
      </c>
      <c r="AJ120" t="s">
        <v>74</v>
      </c>
      <c r="AK120">
        <v>0</v>
      </c>
      <c r="AL120" t="s">
        <v>77</v>
      </c>
      <c r="AM120">
        <v>0</v>
      </c>
      <c r="AN120">
        <v>0.99199999999999999</v>
      </c>
      <c r="AO120">
        <v>0</v>
      </c>
      <c r="AP120">
        <v>5.8245346242475203E-2</v>
      </c>
      <c r="AQ120">
        <v>0</v>
      </c>
      <c r="AR120">
        <v>1.6E-2</v>
      </c>
      <c r="AS120">
        <v>0</v>
      </c>
      <c r="AT120">
        <v>0</v>
      </c>
      <c r="AU120">
        <v>0</v>
      </c>
      <c r="AV120">
        <v>0</v>
      </c>
      <c r="AW120">
        <v>1</v>
      </c>
      <c r="AX120" t="s">
        <v>74</v>
      </c>
      <c r="AY120">
        <v>0</v>
      </c>
      <c r="AZ120" t="s">
        <v>76</v>
      </c>
      <c r="BA120">
        <v>-1.5707963267949001</v>
      </c>
      <c r="BB120">
        <v>0.99199999999999999</v>
      </c>
      <c r="BC120">
        <v>0</v>
      </c>
      <c r="BD120">
        <v>5.8245346242475203E-2</v>
      </c>
      <c r="BE120">
        <v>0</v>
      </c>
      <c r="BF120">
        <v>1.6E-2</v>
      </c>
      <c r="BG120">
        <v>0</v>
      </c>
      <c r="BH120">
        <v>0</v>
      </c>
      <c r="BI120">
        <v>0</v>
      </c>
      <c r="BJ120">
        <v>0</v>
      </c>
      <c r="BK120">
        <v>1</v>
      </c>
      <c r="BL120" s="1">
        <v>9.9958866761023693E-5</v>
      </c>
      <c r="BM120">
        <v>3.6491049110437199E-4</v>
      </c>
      <c r="BN120" s="1">
        <v>3.6431736152609299E-7</v>
      </c>
      <c r="BO120" s="1">
        <v>5.7320005903567001E-6</v>
      </c>
      <c r="BP120">
        <v>0</v>
      </c>
      <c r="BQ120">
        <v>0</v>
      </c>
      <c r="BR120" s="1">
        <v>5.3897668732424602E-5</v>
      </c>
      <c r="BS120">
        <v>2.0157404585853701E-4</v>
      </c>
    </row>
    <row r="121" spans="1:71" x14ac:dyDescent="0.25">
      <c r="A121">
        <v>118</v>
      </c>
      <c r="B121" s="1">
        <v>3.7229537235015601E-5</v>
      </c>
      <c r="C121">
        <v>0.106968277808976</v>
      </c>
      <c r="D121">
        <v>-3.1448532661275597E-4</v>
      </c>
      <c r="E121">
        <v>6.1312499999999995E-4</v>
      </c>
      <c r="F121">
        <v>-1.0696827780897599E-3</v>
      </c>
      <c r="G121">
        <v>0</v>
      </c>
      <c r="H121" t="s">
        <v>74</v>
      </c>
      <c r="I121">
        <v>0</v>
      </c>
      <c r="J121" t="s">
        <v>75</v>
      </c>
      <c r="K121">
        <v>3.14159265358979</v>
      </c>
      <c r="L121">
        <v>0.50428374629773798</v>
      </c>
      <c r="M121">
        <v>0</v>
      </c>
      <c r="N121">
        <v>2.9609053838270501E-2</v>
      </c>
      <c r="O121">
        <v>0</v>
      </c>
      <c r="P121">
        <v>1.6E-2</v>
      </c>
      <c r="Q121">
        <v>0</v>
      </c>
      <c r="R121">
        <v>0</v>
      </c>
      <c r="S121">
        <v>0</v>
      </c>
      <c r="T121">
        <v>0</v>
      </c>
      <c r="U121">
        <v>0.50835055046505395</v>
      </c>
      <c r="V121" t="s">
        <v>78</v>
      </c>
      <c r="W121">
        <v>2356040.79181429</v>
      </c>
      <c r="X121" t="s">
        <v>76</v>
      </c>
      <c r="Y121">
        <v>-1.5707963267949001</v>
      </c>
      <c r="Z121">
        <v>0.49726627597523398</v>
      </c>
      <c r="AA121">
        <v>0.48371669060566402</v>
      </c>
      <c r="AB121">
        <v>2.6336110349720901E-2</v>
      </c>
      <c r="AC121">
        <v>2.72493135500818E-2</v>
      </c>
      <c r="AD121">
        <v>2.4774453433339299E-3</v>
      </c>
      <c r="AE121">
        <v>3.4608122660348302E-2</v>
      </c>
      <c r="AF121">
        <v>0</v>
      </c>
      <c r="AG121">
        <v>0.12886148603974301</v>
      </c>
      <c r="AH121">
        <v>0.60703097987639698</v>
      </c>
      <c r="AI121">
        <v>0.193873658385742</v>
      </c>
      <c r="AJ121" t="s">
        <v>74</v>
      </c>
      <c r="AK121">
        <v>0</v>
      </c>
      <c r="AL121" t="s">
        <v>77</v>
      </c>
      <c r="AM121">
        <v>0</v>
      </c>
      <c r="AN121">
        <v>0.99199999999999999</v>
      </c>
      <c r="AO121">
        <v>0</v>
      </c>
      <c r="AP121">
        <v>5.8245346242475203E-2</v>
      </c>
      <c r="AQ121">
        <v>0</v>
      </c>
      <c r="AR121">
        <v>1.6E-2</v>
      </c>
      <c r="AS121">
        <v>0</v>
      </c>
      <c r="AT121">
        <v>0</v>
      </c>
      <c r="AU121">
        <v>0</v>
      </c>
      <c r="AV121">
        <v>0</v>
      </c>
      <c r="AW121">
        <v>1</v>
      </c>
      <c r="AX121" t="s">
        <v>74</v>
      </c>
      <c r="AY121">
        <v>0</v>
      </c>
      <c r="AZ121" t="s">
        <v>76</v>
      </c>
      <c r="BA121">
        <v>-1.5707963267949001</v>
      </c>
      <c r="BB121">
        <v>0.99199999999999999</v>
      </c>
      <c r="BC121">
        <v>0</v>
      </c>
      <c r="BD121">
        <v>5.8245346242475203E-2</v>
      </c>
      <c r="BE121">
        <v>0</v>
      </c>
      <c r="BF121">
        <v>1.6E-2</v>
      </c>
      <c r="BG121">
        <v>0</v>
      </c>
      <c r="BH121">
        <v>0</v>
      </c>
      <c r="BI121">
        <v>0</v>
      </c>
      <c r="BJ121">
        <v>0</v>
      </c>
      <c r="BK121">
        <v>1</v>
      </c>
      <c r="BL121" s="1">
        <v>9.9842585111511797E-5</v>
      </c>
      <c r="BM121">
        <v>3.6794623295807001E-4</v>
      </c>
      <c r="BN121" s="1">
        <v>3.63937632479617E-7</v>
      </c>
      <c r="BO121" s="1">
        <v>5.7796859118855604E-6</v>
      </c>
      <c r="BP121">
        <v>0</v>
      </c>
      <c r="BQ121">
        <v>0</v>
      </c>
      <c r="BR121" s="1">
        <v>5.3824251943079299E-5</v>
      </c>
      <c r="BS121">
        <v>2.0325889197949799E-4</v>
      </c>
    </row>
    <row r="122" spans="1:71" x14ac:dyDescent="0.25">
      <c r="A122">
        <v>119</v>
      </c>
      <c r="B122" s="1">
        <v>3.9338802147336999E-5</v>
      </c>
      <c r="C122">
        <v>0.107007616611124</v>
      </c>
      <c r="D122">
        <v>-3.1469625923868699E-4</v>
      </c>
      <c r="E122">
        <v>6.1312499999999995E-4</v>
      </c>
      <c r="F122">
        <v>-1.0700761661112401E-3</v>
      </c>
      <c r="G122">
        <v>0</v>
      </c>
      <c r="H122" t="s">
        <v>74</v>
      </c>
      <c r="I122">
        <v>0</v>
      </c>
      <c r="J122" t="s">
        <v>75</v>
      </c>
      <c r="K122">
        <v>3.14159265358979</v>
      </c>
      <c r="L122">
        <v>0.50027580246042302</v>
      </c>
      <c r="M122">
        <v>0</v>
      </c>
      <c r="N122">
        <v>2.9373727148225299E-2</v>
      </c>
      <c r="O122">
        <v>0</v>
      </c>
      <c r="P122">
        <v>1.6E-2</v>
      </c>
      <c r="Q122">
        <v>0</v>
      </c>
      <c r="R122">
        <v>0</v>
      </c>
      <c r="S122">
        <v>0</v>
      </c>
      <c r="T122">
        <v>0</v>
      </c>
      <c r="U122">
        <v>0.50431028448045301</v>
      </c>
      <c r="V122" t="s">
        <v>78</v>
      </c>
      <c r="W122">
        <v>2357861.0379907801</v>
      </c>
      <c r="X122" t="s">
        <v>76</v>
      </c>
      <c r="Y122">
        <v>-1.5707963267949001</v>
      </c>
      <c r="Z122">
        <v>0.49325952963389302</v>
      </c>
      <c r="AA122">
        <v>0.48772741766964001</v>
      </c>
      <c r="AB122">
        <v>2.61078806016691E-2</v>
      </c>
      <c r="AC122">
        <v>2.7486057772655201E-2</v>
      </c>
      <c r="AD122">
        <v>2.23928536895345E-3</v>
      </c>
      <c r="AE122">
        <v>3.4885924947183899E-2</v>
      </c>
      <c r="AF122">
        <v>0</v>
      </c>
      <c r="AG122">
        <v>0.12022631153075899</v>
      </c>
      <c r="AH122">
        <v>0.621713555207696</v>
      </c>
      <c r="AI122">
        <v>0.188979977765694</v>
      </c>
      <c r="AJ122" t="s">
        <v>74</v>
      </c>
      <c r="AK122">
        <v>0</v>
      </c>
      <c r="AL122" t="s">
        <v>77</v>
      </c>
      <c r="AM122">
        <v>0</v>
      </c>
      <c r="AN122">
        <v>0.99199999999999999</v>
      </c>
      <c r="AO122">
        <v>0</v>
      </c>
      <c r="AP122">
        <v>5.8245346242475203E-2</v>
      </c>
      <c r="AQ122">
        <v>0</v>
      </c>
      <c r="AR122">
        <v>1.6E-2</v>
      </c>
      <c r="AS122">
        <v>0</v>
      </c>
      <c r="AT122">
        <v>0</v>
      </c>
      <c r="AU122">
        <v>0</v>
      </c>
      <c r="AV122">
        <v>0</v>
      </c>
      <c r="AW122">
        <v>1</v>
      </c>
      <c r="AX122" t="s">
        <v>74</v>
      </c>
      <c r="AY122">
        <v>0</v>
      </c>
      <c r="AZ122" t="s">
        <v>76</v>
      </c>
      <c r="BA122">
        <v>-1.5707963267949001</v>
      </c>
      <c r="BB122">
        <v>0.99199999999999999</v>
      </c>
      <c r="BC122">
        <v>0</v>
      </c>
      <c r="BD122">
        <v>5.8245346242475203E-2</v>
      </c>
      <c r="BE122">
        <v>0</v>
      </c>
      <c r="BF122">
        <v>1.6E-2</v>
      </c>
      <c r="BG122">
        <v>0</v>
      </c>
      <c r="BH122">
        <v>0</v>
      </c>
      <c r="BI122">
        <v>0</v>
      </c>
      <c r="BJ122">
        <v>0</v>
      </c>
      <c r="BK122">
        <v>1</v>
      </c>
      <c r="BL122" s="1">
        <v>9.9729179003749994E-5</v>
      </c>
      <c r="BM122">
        <v>3.7096993336922801E-4</v>
      </c>
      <c r="BN122" s="1">
        <v>3.63568898946768E-7</v>
      </c>
      <c r="BO122" s="1">
        <v>5.8271820868773096E-6</v>
      </c>
      <c r="BP122">
        <v>0</v>
      </c>
      <c r="BQ122">
        <v>0</v>
      </c>
      <c r="BR122" s="1">
        <v>5.3752547127745802E-5</v>
      </c>
      <c r="BS122">
        <v>2.0493766889241201E-4</v>
      </c>
    </row>
    <row r="123" spans="1:71" x14ac:dyDescent="0.25">
      <c r="A123">
        <v>120</v>
      </c>
      <c r="B123" s="1">
        <v>4.1817224174536203E-5</v>
      </c>
      <c r="C123">
        <v>0.107049433835298</v>
      </c>
      <c r="D123">
        <v>-3.1492043693247501E-4</v>
      </c>
      <c r="E123">
        <v>6.1312499999999995E-4</v>
      </c>
      <c r="F123">
        <v>-1.0704943383529799E-3</v>
      </c>
      <c r="G123">
        <v>0</v>
      </c>
      <c r="H123" t="s">
        <v>74</v>
      </c>
      <c r="I123">
        <v>0</v>
      </c>
      <c r="J123" t="s">
        <v>75</v>
      </c>
      <c r="K123">
        <v>3.14159265358979</v>
      </c>
      <c r="L123">
        <v>0.49628651845504401</v>
      </c>
      <c r="M123">
        <v>0</v>
      </c>
      <c r="N123">
        <v>2.9139496071458201E-2</v>
      </c>
      <c r="O123">
        <v>0</v>
      </c>
      <c r="P123">
        <v>1.6E-2</v>
      </c>
      <c r="Q123">
        <v>0</v>
      </c>
      <c r="R123">
        <v>0</v>
      </c>
      <c r="S123">
        <v>0</v>
      </c>
      <c r="T123">
        <v>0</v>
      </c>
      <c r="U123">
        <v>0.500288828811152</v>
      </c>
      <c r="V123" t="s">
        <v>78</v>
      </c>
      <c r="W123">
        <v>2359795.5826738202</v>
      </c>
      <c r="X123" t="s">
        <v>76</v>
      </c>
      <c r="Y123">
        <v>-1.5707963267949001</v>
      </c>
      <c r="Z123">
        <v>0.48926840751397699</v>
      </c>
      <c r="AA123">
        <v>0.49176350181912798</v>
      </c>
      <c r="AB123">
        <v>2.5879739016149299E-2</v>
      </c>
      <c r="AC123">
        <v>2.7724863230709398E-2</v>
      </c>
      <c r="AD123">
        <v>2.0044095089909201E-3</v>
      </c>
      <c r="AE123">
        <v>3.5161811092606597E-2</v>
      </c>
      <c r="AF123">
        <v>0</v>
      </c>
      <c r="AG123">
        <v>0.111187337010064</v>
      </c>
      <c r="AH123">
        <v>0.636771775594555</v>
      </c>
      <c r="AI123">
        <v>0.18415092736150299</v>
      </c>
      <c r="AJ123" t="s">
        <v>74</v>
      </c>
      <c r="AK123">
        <v>0</v>
      </c>
      <c r="AL123" t="s">
        <v>77</v>
      </c>
      <c r="AM123">
        <v>0</v>
      </c>
      <c r="AN123">
        <v>0.99199999999999999</v>
      </c>
      <c r="AO123">
        <v>0</v>
      </c>
      <c r="AP123">
        <v>5.8245346242475203E-2</v>
      </c>
      <c r="AQ123">
        <v>0</v>
      </c>
      <c r="AR123">
        <v>1.6E-2</v>
      </c>
      <c r="AS123">
        <v>0</v>
      </c>
      <c r="AT123">
        <v>0</v>
      </c>
      <c r="AU123">
        <v>0</v>
      </c>
      <c r="AV123">
        <v>0</v>
      </c>
      <c r="AW123">
        <v>1</v>
      </c>
      <c r="AX123" t="s">
        <v>74</v>
      </c>
      <c r="AY123">
        <v>0</v>
      </c>
      <c r="AZ123" t="s">
        <v>76</v>
      </c>
      <c r="BA123">
        <v>-1.5707963267949001</v>
      </c>
      <c r="BB123">
        <v>0.99199999999999999</v>
      </c>
      <c r="BC123">
        <v>0</v>
      </c>
      <c r="BD123">
        <v>5.8245346242475203E-2</v>
      </c>
      <c r="BE123">
        <v>0</v>
      </c>
      <c r="BF123">
        <v>1.6E-2</v>
      </c>
      <c r="BG123">
        <v>0</v>
      </c>
      <c r="BH123">
        <v>0</v>
      </c>
      <c r="BI123">
        <v>0</v>
      </c>
      <c r="BJ123">
        <v>0</v>
      </c>
      <c r="BK123">
        <v>1</v>
      </c>
      <c r="BL123" s="1">
        <v>9.9617395401633695E-5</v>
      </c>
      <c r="BM123">
        <v>3.7397955630231002E-4</v>
      </c>
      <c r="BN123" s="1">
        <v>3.6320952729606799E-7</v>
      </c>
      <c r="BO123" s="1">
        <v>5.8744571333605299E-6</v>
      </c>
      <c r="BP123">
        <v>0</v>
      </c>
      <c r="BQ123">
        <v>0</v>
      </c>
      <c r="BR123" s="1">
        <v>5.36818846908001E-5</v>
      </c>
      <c r="BS123">
        <v>2.0660934178188899E-4</v>
      </c>
    </row>
    <row r="124" spans="1:71" x14ac:dyDescent="0.25">
      <c r="A124">
        <v>121</v>
      </c>
      <c r="B124" s="1">
        <v>4.4767835196221197E-5</v>
      </c>
      <c r="C124">
        <v>0.10709420167049501</v>
      </c>
      <c r="D124">
        <v>-3.1516038235856098E-4</v>
      </c>
      <c r="E124">
        <v>6.1312499999999995E-4</v>
      </c>
      <c r="F124">
        <v>-1.07094201670494E-3</v>
      </c>
      <c r="G124" s="1">
        <v>-1.0842021724855E-19</v>
      </c>
      <c r="H124" t="s">
        <v>74</v>
      </c>
      <c r="I124">
        <v>0</v>
      </c>
      <c r="J124" t="s">
        <v>75</v>
      </c>
      <c r="K124">
        <v>3.14159265358979</v>
      </c>
      <c r="L124">
        <v>0.49231929105591399</v>
      </c>
      <c r="M124">
        <v>0</v>
      </c>
      <c r="N124">
        <v>2.8906560049800099E-2</v>
      </c>
      <c r="O124">
        <v>0</v>
      </c>
      <c r="P124">
        <v>1.6E-2</v>
      </c>
      <c r="Q124">
        <v>0</v>
      </c>
      <c r="R124">
        <v>0</v>
      </c>
      <c r="S124">
        <v>0</v>
      </c>
      <c r="T124">
        <v>0</v>
      </c>
      <c r="U124">
        <v>0.49628960762517899</v>
      </c>
      <c r="V124" t="s">
        <v>78</v>
      </c>
      <c r="W124">
        <v>2361866.1952330298</v>
      </c>
      <c r="X124" t="s">
        <v>76</v>
      </c>
      <c r="Y124">
        <v>-1.5707963267949001</v>
      </c>
      <c r="Z124">
        <v>0.48529564408864101</v>
      </c>
      <c r="AA124">
        <v>0.495545652416992</v>
      </c>
      <c r="AB124">
        <v>2.5651664596944901E-2</v>
      </c>
      <c r="AC124">
        <v>2.7957215116593399E-2</v>
      </c>
      <c r="AD124">
        <v>1.77333315520288E-3</v>
      </c>
      <c r="AE124">
        <v>3.5435561496163497E-2</v>
      </c>
      <c r="AF124">
        <v>0</v>
      </c>
      <c r="AG124">
        <v>0.101728549981175</v>
      </c>
      <c r="AH124">
        <v>0.65221652829802201</v>
      </c>
      <c r="AI124">
        <v>0.179390477498446</v>
      </c>
      <c r="AJ124" t="s">
        <v>74</v>
      </c>
      <c r="AK124">
        <v>0</v>
      </c>
      <c r="AL124" t="s">
        <v>77</v>
      </c>
      <c r="AM124">
        <v>0</v>
      </c>
      <c r="AN124">
        <v>0.99199999999999999</v>
      </c>
      <c r="AO124">
        <v>0</v>
      </c>
      <c r="AP124">
        <v>5.8245346242475203E-2</v>
      </c>
      <c r="AQ124">
        <v>0</v>
      </c>
      <c r="AR124">
        <v>1.6E-2</v>
      </c>
      <c r="AS124">
        <v>0</v>
      </c>
      <c r="AT124">
        <v>0</v>
      </c>
      <c r="AU124">
        <v>0</v>
      </c>
      <c r="AV124">
        <v>0</v>
      </c>
      <c r="AW124">
        <v>1</v>
      </c>
      <c r="AX124" t="s">
        <v>74</v>
      </c>
      <c r="AY124">
        <v>0</v>
      </c>
      <c r="AZ124" t="s">
        <v>76</v>
      </c>
      <c r="BA124">
        <v>-1.5707963267949001</v>
      </c>
      <c r="BB124">
        <v>0.99199999999999999</v>
      </c>
      <c r="BC124">
        <v>0</v>
      </c>
      <c r="BD124">
        <v>5.8245346242475203E-2</v>
      </c>
      <c r="BE124">
        <v>0</v>
      </c>
      <c r="BF124">
        <v>1.6E-2</v>
      </c>
      <c r="BG124">
        <v>0</v>
      </c>
      <c r="BH124">
        <v>0</v>
      </c>
      <c r="BI124">
        <v>0</v>
      </c>
      <c r="BJ124">
        <v>0</v>
      </c>
      <c r="BK124">
        <v>1</v>
      </c>
      <c r="BL124" s="1">
        <v>9.9503066124144394E-5</v>
      </c>
      <c r="BM124">
        <v>3.7697253913959901E-4</v>
      </c>
      <c r="BN124" s="1">
        <v>3.6285230125730101E-7</v>
      </c>
      <c r="BO124" s="1">
        <v>5.92147079783027E-6</v>
      </c>
      <c r="BP124">
        <v>0</v>
      </c>
      <c r="BQ124">
        <v>0</v>
      </c>
      <c r="BR124" s="1">
        <v>5.3609990509912502E-5</v>
      </c>
      <c r="BS124">
        <v>2.0827260960656899E-4</v>
      </c>
    </row>
    <row r="125" spans="1:71" x14ac:dyDescent="0.25">
      <c r="A125">
        <v>122</v>
      </c>
      <c r="B125" s="1">
        <v>4.8335523460114498E-5</v>
      </c>
      <c r="C125">
        <v>0.107142537193955</v>
      </c>
      <c r="D125">
        <v>-3.15419391793779E-4</v>
      </c>
      <c r="E125">
        <v>6.1312499999999995E-4</v>
      </c>
      <c r="F125">
        <v>-1.0714253719395501E-3</v>
      </c>
      <c r="G125" s="1">
        <v>-1.0842021724855E-19</v>
      </c>
      <c r="H125" t="s">
        <v>74</v>
      </c>
      <c r="I125">
        <v>0</v>
      </c>
      <c r="J125" t="s">
        <v>75</v>
      </c>
      <c r="K125">
        <v>3.14159265358979</v>
      </c>
      <c r="L125">
        <v>0.48837845567756499</v>
      </c>
      <c r="M125">
        <v>0</v>
      </c>
      <c r="N125">
        <v>2.8675173637404301E-2</v>
      </c>
      <c r="O125">
        <v>0</v>
      </c>
      <c r="P125">
        <v>1.6E-2</v>
      </c>
      <c r="Q125">
        <v>0</v>
      </c>
      <c r="R125">
        <v>0</v>
      </c>
      <c r="S125">
        <v>0</v>
      </c>
      <c r="T125">
        <v>0</v>
      </c>
      <c r="U125">
        <v>0.49231699130054202</v>
      </c>
      <c r="V125" t="s">
        <v>78</v>
      </c>
      <c r="W125">
        <v>2364101.3209374999</v>
      </c>
      <c r="X125" t="s">
        <v>76</v>
      </c>
      <c r="Y125">
        <v>-1.5707963267949001</v>
      </c>
      <c r="Z125">
        <v>0.48134470412964098</v>
      </c>
      <c r="AA125">
        <v>0.49937299602301899</v>
      </c>
      <c r="AB125">
        <v>2.54236231780034E-2</v>
      </c>
      <c r="AC125">
        <v>2.8192854358339299E-2</v>
      </c>
      <c r="AD125">
        <v>1.54671381061942E-3</v>
      </c>
      <c r="AE125">
        <v>3.5706894784344599E-2</v>
      </c>
      <c r="AF125">
        <v>0</v>
      </c>
      <c r="AG125">
        <v>9.1836826462923904E-2</v>
      </c>
      <c r="AH125">
        <v>0.66805439579308201</v>
      </c>
      <c r="AI125">
        <v>0.17470355001295301</v>
      </c>
      <c r="AJ125" t="s">
        <v>74</v>
      </c>
      <c r="AK125">
        <v>0</v>
      </c>
      <c r="AL125" t="s">
        <v>77</v>
      </c>
      <c r="AM125">
        <v>0</v>
      </c>
      <c r="AN125">
        <v>0.99199999999999999</v>
      </c>
      <c r="AO125">
        <v>0</v>
      </c>
      <c r="AP125">
        <v>5.8245346242475203E-2</v>
      </c>
      <c r="AQ125">
        <v>0</v>
      </c>
      <c r="AR125">
        <v>1.6E-2</v>
      </c>
      <c r="AS125">
        <v>0</v>
      </c>
      <c r="AT125">
        <v>0</v>
      </c>
      <c r="AU125">
        <v>0</v>
      </c>
      <c r="AV125">
        <v>0</v>
      </c>
      <c r="AW125">
        <v>1</v>
      </c>
      <c r="AX125" t="s">
        <v>74</v>
      </c>
      <c r="AY125">
        <v>0</v>
      </c>
      <c r="AZ125" t="s">
        <v>76</v>
      </c>
      <c r="BA125">
        <v>-1.5707963267949001</v>
      </c>
      <c r="BB125">
        <v>0.99199999999999999</v>
      </c>
      <c r="BC125">
        <v>0</v>
      </c>
      <c r="BD125">
        <v>5.8245346242475203E-2</v>
      </c>
      <c r="BE125">
        <v>0</v>
      </c>
      <c r="BF125">
        <v>1.6E-2</v>
      </c>
      <c r="BG125">
        <v>0</v>
      </c>
      <c r="BH125">
        <v>0</v>
      </c>
      <c r="BI125">
        <v>0</v>
      </c>
      <c r="BJ125">
        <v>0</v>
      </c>
      <c r="BK125">
        <v>1</v>
      </c>
      <c r="BL125" s="1">
        <v>9.9391171829348694E-5</v>
      </c>
      <c r="BM125">
        <v>3.7994561112800299E-4</v>
      </c>
      <c r="BN125" s="1">
        <v>3.6250864856408599E-7</v>
      </c>
      <c r="BO125" s="1">
        <v>5.9681717034170903E-6</v>
      </c>
      <c r="BP125">
        <v>0</v>
      </c>
      <c r="BQ125">
        <v>0</v>
      </c>
      <c r="BR125" s="1">
        <v>5.3539653444132398E-5</v>
      </c>
      <c r="BS125">
        <v>2.09925814725509E-4</v>
      </c>
    </row>
    <row r="126" spans="1:71" x14ac:dyDescent="0.25">
      <c r="A126">
        <v>123</v>
      </c>
      <c r="B126" s="1">
        <v>5.2730170992758701E-5</v>
      </c>
      <c r="C126">
        <v>0.107195267364947</v>
      </c>
      <c r="D126">
        <v>-3.1570188198093798E-4</v>
      </c>
      <c r="E126">
        <v>6.1312499999999995E-4</v>
      </c>
      <c r="F126">
        <v>-1.0719526736494699E-3</v>
      </c>
      <c r="G126" s="1">
        <v>-1.0842021724855E-19</v>
      </c>
      <c r="H126" t="s">
        <v>74</v>
      </c>
      <c r="I126">
        <v>0</v>
      </c>
      <c r="J126" t="s">
        <v>75</v>
      </c>
      <c r="K126">
        <v>3.14159265358979</v>
      </c>
      <c r="L126">
        <v>0.48446962499511997</v>
      </c>
      <c r="M126">
        <v>0</v>
      </c>
      <c r="N126">
        <v>2.8445666382865799E-2</v>
      </c>
      <c r="O126">
        <v>0</v>
      </c>
      <c r="P126">
        <v>1.6E-2</v>
      </c>
      <c r="Q126">
        <v>0</v>
      </c>
      <c r="R126">
        <v>0</v>
      </c>
      <c r="S126">
        <v>0</v>
      </c>
      <c r="T126">
        <v>0</v>
      </c>
      <c r="U126">
        <v>0.48837663777645102</v>
      </c>
      <c r="V126" t="s">
        <v>78</v>
      </c>
      <c r="W126">
        <v>2366539.0741338399</v>
      </c>
      <c r="X126" t="s">
        <v>76</v>
      </c>
      <c r="Y126">
        <v>-1.5707963267949001</v>
      </c>
      <c r="Z126">
        <v>0.47742002704227299</v>
      </c>
      <c r="AA126">
        <v>0.50341186724700404</v>
      </c>
      <c r="AB126">
        <v>2.51955568926223E-2</v>
      </c>
      <c r="AC126">
        <v>2.8437475253572202E-2</v>
      </c>
      <c r="AD126">
        <v>1.32540756822555E-3</v>
      </c>
      <c r="AE126">
        <v>3.5975442330543998E-2</v>
      </c>
      <c r="AF126">
        <v>0</v>
      </c>
      <c r="AG126">
        <v>8.1505399360499498E-2</v>
      </c>
      <c r="AH126">
        <v>0.68428367646900801</v>
      </c>
      <c r="AI126">
        <v>0.170096357911383</v>
      </c>
      <c r="AJ126" t="s">
        <v>74</v>
      </c>
      <c r="AK126">
        <v>0</v>
      </c>
      <c r="AL126" t="s">
        <v>77</v>
      </c>
      <c r="AM126">
        <v>0</v>
      </c>
      <c r="AN126">
        <v>0.99199999999999999</v>
      </c>
      <c r="AO126">
        <v>0</v>
      </c>
      <c r="AP126">
        <v>5.8245346242475203E-2</v>
      </c>
      <c r="AQ126">
        <v>0</v>
      </c>
      <c r="AR126">
        <v>1.6E-2</v>
      </c>
      <c r="AS126">
        <v>0</v>
      </c>
      <c r="AT126">
        <v>0</v>
      </c>
      <c r="AU126">
        <v>0</v>
      </c>
      <c r="AV126">
        <v>0</v>
      </c>
      <c r="AW126">
        <v>1</v>
      </c>
      <c r="AX126" t="s">
        <v>74</v>
      </c>
      <c r="AY126">
        <v>0</v>
      </c>
      <c r="AZ126" t="s">
        <v>76</v>
      </c>
      <c r="BA126">
        <v>-1.5707963267949001</v>
      </c>
      <c r="BB126">
        <v>0.99199999999999999</v>
      </c>
      <c r="BC126">
        <v>0</v>
      </c>
      <c r="BD126">
        <v>5.8245346242475203E-2</v>
      </c>
      <c r="BE126">
        <v>0</v>
      </c>
      <c r="BF126">
        <v>1.6E-2</v>
      </c>
      <c r="BG126">
        <v>0</v>
      </c>
      <c r="BH126">
        <v>0</v>
      </c>
      <c r="BI126">
        <v>0</v>
      </c>
      <c r="BJ126">
        <v>0</v>
      </c>
      <c r="BK126">
        <v>1</v>
      </c>
      <c r="BL126" s="1">
        <v>9.9284695507005402E-5</v>
      </c>
      <c r="BM126">
        <v>3.8289453791475402E-4</v>
      </c>
      <c r="BN126" s="1">
        <v>3.6218650247709798E-7</v>
      </c>
      <c r="BO126" s="1">
        <v>6.01449333706324E-6</v>
      </c>
      <c r="BP126">
        <v>0</v>
      </c>
      <c r="BQ126">
        <v>0</v>
      </c>
      <c r="BR126" s="1">
        <v>5.3472571299905602E-5</v>
      </c>
      <c r="BS126">
        <v>2.11566817152803E-4</v>
      </c>
    </row>
    <row r="127" spans="1:71" x14ac:dyDescent="0.25">
      <c r="A127">
        <v>124</v>
      </c>
      <c r="B127" s="1">
        <v>5.8266583251041899E-5</v>
      </c>
      <c r="C127">
        <v>0.107253533948198</v>
      </c>
      <c r="D127">
        <v>-3.16013949969225E-4</v>
      </c>
      <c r="E127">
        <v>6.1312499999999995E-4</v>
      </c>
      <c r="F127">
        <v>-1.07253533948198E-3</v>
      </c>
      <c r="G127" s="1">
        <v>-1.0842021724855E-19</v>
      </c>
      <c r="H127" t="s">
        <v>74</v>
      </c>
      <c r="I127">
        <v>0</v>
      </c>
      <c r="J127" t="s">
        <v>75</v>
      </c>
      <c r="K127">
        <v>3.14159265358979</v>
      </c>
      <c r="L127">
        <v>0.48060016137928901</v>
      </c>
      <c r="M127">
        <v>0</v>
      </c>
      <c r="N127">
        <v>2.82184705682723E-2</v>
      </c>
      <c r="O127">
        <v>0</v>
      </c>
      <c r="P127">
        <v>1.6E-2</v>
      </c>
      <c r="Q127">
        <v>0</v>
      </c>
      <c r="R127">
        <v>0</v>
      </c>
      <c r="S127">
        <v>0</v>
      </c>
      <c r="T127">
        <v>0</v>
      </c>
      <c r="U127">
        <v>0.48447596879831201</v>
      </c>
      <c r="V127" t="s">
        <v>78</v>
      </c>
      <c r="W127">
        <v>2369232.0693970299</v>
      </c>
      <c r="X127" t="s">
        <v>76</v>
      </c>
      <c r="Y127">
        <v>-1.5707963267949001</v>
      </c>
      <c r="Z127">
        <v>0.47352734720587802</v>
      </c>
      <c r="AA127">
        <v>0.50733316493911795</v>
      </c>
      <c r="AB127">
        <v>2.49673632115366E-2</v>
      </c>
      <c r="AC127">
        <v>2.8681400037618501E-2</v>
      </c>
      <c r="AD127">
        <v>1.11055363638389E-3</v>
      </c>
      <c r="AE127">
        <v>3.6240710127143597E-2</v>
      </c>
      <c r="AF127">
        <v>0</v>
      </c>
      <c r="AG127">
        <v>7.0740290523381003E-2</v>
      </c>
      <c r="AH127">
        <v>0.70088723973615896</v>
      </c>
      <c r="AI127">
        <v>0.16557687696811399</v>
      </c>
      <c r="AJ127" t="s">
        <v>74</v>
      </c>
      <c r="AK127">
        <v>0</v>
      </c>
      <c r="AL127" t="s">
        <v>77</v>
      </c>
      <c r="AM127">
        <v>0</v>
      </c>
      <c r="AN127">
        <v>0.99199999999999999</v>
      </c>
      <c r="AO127">
        <v>0</v>
      </c>
      <c r="AP127">
        <v>5.8245346242475203E-2</v>
      </c>
      <c r="AQ127">
        <v>0</v>
      </c>
      <c r="AR127">
        <v>1.6E-2</v>
      </c>
      <c r="AS127">
        <v>0</v>
      </c>
      <c r="AT127">
        <v>0</v>
      </c>
      <c r="AU127">
        <v>0</v>
      </c>
      <c r="AV127">
        <v>0</v>
      </c>
      <c r="AW127">
        <v>1</v>
      </c>
      <c r="AX127" t="s">
        <v>74</v>
      </c>
      <c r="AY127">
        <v>0</v>
      </c>
      <c r="AZ127" t="s">
        <v>76</v>
      </c>
      <c r="BA127">
        <v>-1.5707963267949001</v>
      </c>
      <c r="BB127">
        <v>0.99199999999999999</v>
      </c>
      <c r="BC127">
        <v>0</v>
      </c>
      <c r="BD127">
        <v>5.8245346242475203E-2</v>
      </c>
      <c r="BE127">
        <v>0</v>
      </c>
      <c r="BF127">
        <v>1.6E-2</v>
      </c>
      <c r="BG127">
        <v>0</v>
      </c>
      <c r="BH127">
        <v>0</v>
      </c>
      <c r="BI127">
        <v>0</v>
      </c>
      <c r="BJ127">
        <v>0</v>
      </c>
      <c r="BK127">
        <v>1</v>
      </c>
      <c r="BL127" s="1">
        <v>9.9178963151188895E-5</v>
      </c>
      <c r="BM127">
        <v>3.8581376512977002E-4</v>
      </c>
      <c r="BN127" s="1">
        <v>3.6187923006455002E-7</v>
      </c>
      <c r="BO127" s="1">
        <v>6.06034845092751E-6</v>
      </c>
      <c r="BP127">
        <v>0</v>
      </c>
      <c r="BQ127">
        <v>0</v>
      </c>
      <c r="BR127" s="1">
        <v>5.3406229067663997E-5</v>
      </c>
      <c r="BS127">
        <v>2.13192822457834E-4</v>
      </c>
    </row>
    <row r="128" spans="1:71" x14ac:dyDescent="0.25">
      <c r="A128">
        <v>125</v>
      </c>
      <c r="B128" s="1">
        <v>6.5436878168753198E-5</v>
      </c>
      <c r="C128">
        <v>0.107318970826367</v>
      </c>
      <c r="D128">
        <v>-3.1636431898955701E-4</v>
      </c>
      <c r="E128">
        <v>6.1312499999999995E-4</v>
      </c>
      <c r="F128">
        <v>-1.0731897082636699E-3</v>
      </c>
      <c r="G128" s="1">
        <v>-1.0842021724855E-19</v>
      </c>
      <c r="H128" t="s">
        <v>74</v>
      </c>
      <c r="I128">
        <v>0</v>
      </c>
      <c r="J128" t="s">
        <v>75</v>
      </c>
      <c r="K128">
        <v>3.14159265358979</v>
      </c>
      <c r="L128">
        <v>0.47677980794005398</v>
      </c>
      <c r="M128">
        <v>0</v>
      </c>
      <c r="N128">
        <v>2.7994158260977099E-2</v>
      </c>
      <c r="O128">
        <v>0</v>
      </c>
      <c r="P128">
        <v>1.6E-2</v>
      </c>
      <c r="Q128">
        <v>0</v>
      </c>
      <c r="R128">
        <v>0</v>
      </c>
      <c r="S128">
        <v>0</v>
      </c>
      <c r="T128">
        <v>0</v>
      </c>
      <c r="U128">
        <v>0.48062480605053598</v>
      </c>
      <c r="V128" t="s">
        <v>78</v>
      </c>
      <c r="W128">
        <v>2372255.58397571</v>
      </c>
      <c r="X128" t="s">
        <v>76</v>
      </c>
      <c r="Y128">
        <v>-1.5707963267949001</v>
      </c>
      <c r="Z128">
        <v>0.46967406866496503</v>
      </c>
      <c r="AA128">
        <v>0.51109148183279296</v>
      </c>
      <c r="AB128">
        <v>2.47388506736511E-2</v>
      </c>
      <c r="AC128">
        <v>2.89241743536616E-2</v>
      </c>
      <c r="AD128">
        <v>9.0370234571950602E-4</v>
      </c>
      <c r="AE128">
        <v>3.6502021757022503E-2</v>
      </c>
      <c r="AF128">
        <v>0</v>
      </c>
      <c r="AG128">
        <v>5.9572437527932003E-2</v>
      </c>
      <c r="AH128">
        <v>0.71781944709078405</v>
      </c>
      <c r="AI128">
        <v>0.16115546848878401</v>
      </c>
      <c r="AJ128" t="s">
        <v>74</v>
      </c>
      <c r="AK128">
        <v>0</v>
      </c>
      <c r="AL128" t="s">
        <v>77</v>
      </c>
      <c r="AM128">
        <v>0</v>
      </c>
      <c r="AN128">
        <v>0.99199999999999999</v>
      </c>
      <c r="AO128">
        <v>0</v>
      </c>
      <c r="AP128">
        <v>5.8245346242475203E-2</v>
      </c>
      <c r="AQ128">
        <v>0</v>
      </c>
      <c r="AR128">
        <v>1.6E-2</v>
      </c>
      <c r="AS128">
        <v>0</v>
      </c>
      <c r="AT128">
        <v>0</v>
      </c>
      <c r="AU128">
        <v>0</v>
      </c>
      <c r="AV128">
        <v>0</v>
      </c>
      <c r="AW128">
        <v>1</v>
      </c>
      <c r="AX128" t="s">
        <v>74</v>
      </c>
      <c r="AY128">
        <v>0</v>
      </c>
      <c r="AZ128" t="s">
        <v>76</v>
      </c>
      <c r="BA128">
        <v>-1.5707963267949001</v>
      </c>
      <c r="BB128">
        <v>0.99199999999999999</v>
      </c>
      <c r="BC128">
        <v>0</v>
      </c>
      <c r="BD128">
        <v>5.8245346242475203E-2</v>
      </c>
      <c r="BE128">
        <v>0</v>
      </c>
      <c r="BF128">
        <v>1.6E-2</v>
      </c>
      <c r="BG128">
        <v>0</v>
      </c>
      <c r="BH128">
        <v>0</v>
      </c>
      <c r="BI128">
        <v>0</v>
      </c>
      <c r="BJ128">
        <v>0</v>
      </c>
      <c r="BK128">
        <v>1</v>
      </c>
      <c r="BL128" s="1">
        <v>9.9073937886620097E-5</v>
      </c>
      <c r="BM128">
        <v>3.8869594230935798E-4</v>
      </c>
      <c r="BN128" s="1">
        <v>3.6159063322127499E-7</v>
      </c>
      <c r="BO128" s="1">
        <v>6.1056215841962101E-6</v>
      </c>
      <c r="BP128">
        <v>0</v>
      </c>
      <c r="BQ128">
        <v>0</v>
      </c>
      <c r="BR128" s="1">
        <v>5.3340700682951399E-5</v>
      </c>
      <c r="BS128">
        <v>2.14800160631571E-4</v>
      </c>
    </row>
    <row r="129" spans="1:71" x14ac:dyDescent="0.25">
      <c r="A129">
        <v>126</v>
      </c>
      <c r="B129" s="1">
        <v>7.5049594144993898E-5</v>
      </c>
      <c r="C129">
        <v>0.10739402042051201</v>
      </c>
      <c r="D129">
        <v>-3.1676602595024598E-4</v>
      </c>
      <c r="E129">
        <v>6.1312499999999995E-4</v>
      </c>
      <c r="F129">
        <v>-1.0739402042051201E-3</v>
      </c>
      <c r="G129">
        <v>0</v>
      </c>
      <c r="H129" t="s">
        <v>74</v>
      </c>
      <c r="I129">
        <v>0</v>
      </c>
      <c r="J129" t="s">
        <v>75</v>
      </c>
      <c r="K129">
        <v>3.14159265358979</v>
      </c>
      <c r="L129">
        <v>0.4730214081113</v>
      </c>
      <c r="M129">
        <v>0</v>
      </c>
      <c r="N129">
        <v>2.7773483564058302E-2</v>
      </c>
      <c r="O129">
        <v>0</v>
      </c>
      <c r="P129">
        <v>1.6E-2</v>
      </c>
      <c r="Q129">
        <v>0</v>
      </c>
      <c r="R129">
        <v>0</v>
      </c>
      <c r="S129">
        <v>0</v>
      </c>
      <c r="T129">
        <v>0</v>
      </c>
      <c r="U129">
        <v>0.47683609654428</v>
      </c>
      <c r="V129" t="s">
        <v>78</v>
      </c>
      <c r="W129">
        <v>2375722.1200605701</v>
      </c>
      <c r="X129" t="s">
        <v>76</v>
      </c>
      <c r="Y129">
        <v>-1.5707963267949001</v>
      </c>
      <c r="Z129">
        <v>0.46586952974595103</v>
      </c>
      <c r="AA129">
        <v>0.51484412926404699</v>
      </c>
      <c r="AB129">
        <v>2.4509638573646599E-2</v>
      </c>
      <c r="AC129">
        <v>2.9172244801093102E-2</v>
      </c>
      <c r="AD129">
        <v>7.0700841640147696E-4</v>
      </c>
      <c r="AE129">
        <v>3.6758435857263697E-2</v>
      </c>
      <c r="AF129">
        <v>0</v>
      </c>
      <c r="AG129">
        <v>4.8081038999223398E-2</v>
      </c>
      <c r="AH129">
        <v>0.73498172104528703</v>
      </c>
      <c r="AI129">
        <v>0.156845564948665</v>
      </c>
      <c r="AJ129" t="s">
        <v>74</v>
      </c>
      <c r="AK129">
        <v>0</v>
      </c>
      <c r="AL129" t="s">
        <v>77</v>
      </c>
      <c r="AM129">
        <v>0</v>
      </c>
      <c r="AN129">
        <v>0.99199999999999999</v>
      </c>
      <c r="AO129">
        <v>0</v>
      </c>
      <c r="AP129">
        <v>5.8245346242475203E-2</v>
      </c>
      <c r="AQ129">
        <v>0</v>
      </c>
      <c r="AR129">
        <v>1.6E-2</v>
      </c>
      <c r="AS129">
        <v>0</v>
      </c>
      <c r="AT129">
        <v>0</v>
      </c>
      <c r="AU129">
        <v>0</v>
      </c>
      <c r="AV129">
        <v>0</v>
      </c>
      <c r="AW129">
        <v>1</v>
      </c>
      <c r="AX129" t="s">
        <v>74</v>
      </c>
      <c r="AY129">
        <v>0</v>
      </c>
      <c r="AZ129" t="s">
        <v>76</v>
      </c>
      <c r="BA129">
        <v>-1.5707963267949001</v>
      </c>
      <c r="BB129">
        <v>0.99199999999999999</v>
      </c>
      <c r="BC129">
        <v>0</v>
      </c>
      <c r="BD129">
        <v>5.8245346242475203E-2</v>
      </c>
      <c r="BE129">
        <v>0</v>
      </c>
      <c r="BF129">
        <v>1.6E-2</v>
      </c>
      <c r="BG129">
        <v>0</v>
      </c>
      <c r="BH129">
        <v>0</v>
      </c>
      <c r="BI129">
        <v>0</v>
      </c>
      <c r="BJ129">
        <v>0</v>
      </c>
      <c r="BK129">
        <v>1</v>
      </c>
      <c r="BL129" s="1">
        <v>9.8973029711874199E-5</v>
      </c>
      <c r="BM129">
        <v>3.9153138002225501E-4</v>
      </c>
      <c r="BN129" s="1">
        <v>3.6133329232850097E-7</v>
      </c>
      <c r="BO129" s="1">
        <v>6.1501605356389497E-6</v>
      </c>
      <c r="BP129">
        <v>0</v>
      </c>
      <c r="BQ129">
        <v>0</v>
      </c>
      <c r="BR129" s="1">
        <v>5.3278007221255E-5</v>
      </c>
      <c r="BS129">
        <v>2.1638406088304E-4</v>
      </c>
    </row>
    <row r="130" spans="1:71" x14ac:dyDescent="0.25">
      <c r="A130">
        <v>127</v>
      </c>
      <c r="B130" s="1">
        <v>8.8516444612578597E-5</v>
      </c>
      <c r="C130">
        <v>0.107482536865125</v>
      </c>
      <c r="D130">
        <v>-3.172396371589E-4</v>
      </c>
      <c r="E130">
        <v>6.1312499999999995E-4</v>
      </c>
      <c r="F130">
        <v>-1.0748253686512501E-3</v>
      </c>
      <c r="G130" s="1">
        <v>-1.0842021724855E-19</v>
      </c>
      <c r="H130" t="s">
        <v>74</v>
      </c>
      <c r="I130">
        <v>0</v>
      </c>
      <c r="J130" t="s">
        <v>75</v>
      </c>
      <c r="K130">
        <v>3.14159265358979</v>
      </c>
      <c r="L130">
        <v>0.46934119746422398</v>
      </c>
      <c r="M130">
        <v>0</v>
      </c>
      <c r="N130">
        <v>2.7557399750163001E-2</v>
      </c>
      <c r="O130">
        <v>0</v>
      </c>
      <c r="P130">
        <v>1.6E-2</v>
      </c>
      <c r="Q130">
        <v>0</v>
      </c>
      <c r="R130">
        <v>0</v>
      </c>
      <c r="S130">
        <v>0</v>
      </c>
      <c r="T130">
        <v>0</v>
      </c>
      <c r="U130">
        <v>0.47312620678401901</v>
      </c>
      <c r="V130" t="s">
        <v>78</v>
      </c>
      <c r="W130">
        <v>2379809.1549035399</v>
      </c>
      <c r="X130" t="s">
        <v>76</v>
      </c>
      <c r="Y130">
        <v>-1.5707963267949001</v>
      </c>
      <c r="Z130">
        <v>0.46212443623095301</v>
      </c>
      <c r="AA130">
        <v>0.51861106715600702</v>
      </c>
      <c r="AB130">
        <v>2.4278909538329601E-2</v>
      </c>
      <c r="AC130">
        <v>2.94287250275184E-2</v>
      </c>
      <c r="AD130">
        <v>5.23510337909115E-4</v>
      </c>
      <c r="AE130">
        <v>3.7008642254125999E-2</v>
      </c>
      <c r="AF130">
        <v>0</v>
      </c>
      <c r="AG130">
        <v>3.6439316469384302E-2</v>
      </c>
      <c r="AH130">
        <v>0.752176342966133</v>
      </c>
      <c r="AI130">
        <v>0.15266384075636599</v>
      </c>
      <c r="AJ130" t="s">
        <v>74</v>
      </c>
      <c r="AK130">
        <v>0</v>
      </c>
      <c r="AL130" t="s">
        <v>77</v>
      </c>
      <c r="AM130">
        <v>0</v>
      </c>
      <c r="AN130">
        <v>0.99199999999999999</v>
      </c>
      <c r="AO130">
        <v>0</v>
      </c>
      <c r="AP130">
        <v>5.8245346242475203E-2</v>
      </c>
      <c r="AQ130">
        <v>0</v>
      </c>
      <c r="AR130">
        <v>1.6E-2</v>
      </c>
      <c r="AS130">
        <v>0</v>
      </c>
      <c r="AT130">
        <v>0</v>
      </c>
      <c r="AU130">
        <v>0</v>
      </c>
      <c r="AV130">
        <v>0</v>
      </c>
      <c r="AW130">
        <v>1</v>
      </c>
      <c r="AX130" t="s">
        <v>74</v>
      </c>
      <c r="AY130">
        <v>0</v>
      </c>
      <c r="AZ130" t="s">
        <v>76</v>
      </c>
      <c r="BA130">
        <v>-1.5707963267949001</v>
      </c>
      <c r="BB130">
        <v>0.99199999999999999</v>
      </c>
      <c r="BC130">
        <v>0</v>
      </c>
      <c r="BD130">
        <v>5.8245346242475203E-2</v>
      </c>
      <c r="BE130">
        <v>0</v>
      </c>
      <c r="BF130">
        <v>1.6E-2</v>
      </c>
      <c r="BG130">
        <v>0</v>
      </c>
      <c r="BH130">
        <v>0</v>
      </c>
      <c r="BI130">
        <v>0</v>
      </c>
      <c r="BJ130">
        <v>0</v>
      </c>
      <c r="BK130">
        <v>1</v>
      </c>
      <c r="BL130" s="1">
        <v>9.8877863400480704E-5</v>
      </c>
      <c r="BM130">
        <v>3.9430782971775901E-4</v>
      </c>
      <c r="BN130" s="1">
        <v>3.6111944854773799E-7</v>
      </c>
      <c r="BO130" s="1">
        <v>6.19377290547123E-6</v>
      </c>
      <c r="BP130">
        <v>0</v>
      </c>
      <c r="BQ130">
        <v>0</v>
      </c>
      <c r="BR130" s="1">
        <v>5.3219252000275302E-5</v>
      </c>
      <c r="BS130">
        <v>2.1793867255959001E-4</v>
      </c>
    </row>
    <row r="131" spans="1:71" x14ac:dyDescent="0.25">
      <c r="A131">
        <v>128</v>
      </c>
      <c r="B131">
        <v>1.08497495602679E-4</v>
      </c>
      <c r="C131">
        <v>0.10759103436072701</v>
      </c>
      <c r="D131">
        <v>-3.1781990094928198E-4</v>
      </c>
      <c r="E131">
        <v>6.1312499999999995E-4</v>
      </c>
      <c r="F131">
        <v>-1.07591034360727E-3</v>
      </c>
      <c r="G131">
        <v>0</v>
      </c>
      <c r="H131" t="s">
        <v>74</v>
      </c>
      <c r="I131">
        <v>0</v>
      </c>
      <c r="J131" t="s">
        <v>75</v>
      </c>
      <c r="K131">
        <v>3.14159265358979</v>
      </c>
      <c r="L131">
        <v>0.465756210952952</v>
      </c>
      <c r="M131">
        <v>0</v>
      </c>
      <c r="N131">
        <v>2.73469070277601E-2</v>
      </c>
      <c r="O131">
        <v>0</v>
      </c>
      <c r="P131">
        <v>1.6E-2</v>
      </c>
      <c r="Q131">
        <v>0</v>
      </c>
      <c r="R131">
        <v>0</v>
      </c>
      <c r="S131">
        <v>0</v>
      </c>
      <c r="T131">
        <v>0</v>
      </c>
      <c r="U131">
        <v>0.46951230910290798</v>
      </c>
      <c r="V131" t="s">
        <v>78</v>
      </c>
      <c r="W131">
        <v>2384816.5497583598</v>
      </c>
      <c r="X131" t="s">
        <v>76</v>
      </c>
      <c r="Y131">
        <v>-1.5707963267949001</v>
      </c>
      <c r="Z131">
        <v>0.45844652244838202</v>
      </c>
      <c r="AA131">
        <v>0.52221362553668005</v>
      </c>
      <c r="AB131">
        <v>2.4044732182286799E-2</v>
      </c>
      <c r="AC131">
        <v>2.9692477701597799E-2</v>
      </c>
      <c r="AD131">
        <v>3.5746939288943303E-4</v>
      </c>
      <c r="AE131">
        <v>3.7250907715243198E-2</v>
      </c>
      <c r="AF131">
        <v>0</v>
      </c>
      <c r="AG131">
        <v>2.50039708574867E-2</v>
      </c>
      <c r="AH131">
        <v>0.76902090868096895</v>
      </c>
      <c r="AI131">
        <v>0.14862718984166601</v>
      </c>
      <c r="AJ131" t="s">
        <v>74</v>
      </c>
      <c r="AK131">
        <v>0</v>
      </c>
      <c r="AL131" t="s">
        <v>77</v>
      </c>
      <c r="AM131">
        <v>0</v>
      </c>
      <c r="AN131">
        <v>0.99199999999999999</v>
      </c>
      <c r="AO131">
        <v>0</v>
      </c>
      <c r="AP131">
        <v>5.8245346242475203E-2</v>
      </c>
      <c r="AQ131">
        <v>0</v>
      </c>
      <c r="AR131">
        <v>1.6E-2</v>
      </c>
      <c r="AS131">
        <v>0</v>
      </c>
      <c r="AT131">
        <v>0</v>
      </c>
      <c r="AU131">
        <v>0</v>
      </c>
      <c r="AV131">
        <v>0</v>
      </c>
      <c r="AW131">
        <v>1</v>
      </c>
      <c r="AX131" t="s">
        <v>74</v>
      </c>
      <c r="AY131">
        <v>0</v>
      </c>
      <c r="AZ131" t="s">
        <v>76</v>
      </c>
      <c r="BA131">
        <v>-1.5707963267949001</v>
      </c>
      <c r="BB131">
        <v>0.99199999999999999</v>
      </c>
      <c r="BC131">
        <v>0</v>
      </c>
      <c r="BD131">
        <v>5.8245346242475203E-2</v>
      </c>
      <c r="BE131">
        <v>0</v>
      </c>
      <c r="BF131">
        <v>1.6E-2</v>
      </c>
      <c r="BG131">
        <v>0</v>
      </c>
      <c r="BH131">
        <v>0</v>
      </c>
      <c r="BI131">
        <v>0</v>
      </c>
      <c r="BJ131">
        <v>0</v>
      </c>
      <c r="BK131">
        <v>1</v>
      </c>
      <c r="BL131" s="1">
        <v>9.8787404698297499E-5</v>
      </c>
      <c r="BM131">
        <v>3.97012439769228E-4</v>
      </c>
      <c r="BN131" s="1">
        <v>3.6096193426582303E-7</v>
      </c>
      <c r="BO131" s="1">
        <v>6.2362568208138297E-6</v>
      </c>
      <c r="BP131">
        <v>0</v>
      </c>
      <c r="BQ131">
        <v>0</v>
      </c>
      <c r="BR131" s="1">
        <v>5.3164182700543402E-5</v>
      </c>
      <c r="BS131">
        <v>2.1945844167662001E-4</v>
      </c>
    </row>
    <row r="132" spans="1:71" x14ac:dyDescent="0.25">
      <c r="A132">
        <v>129</v>
      </c>
      <c r="B132">
        <v>1.4053486152274601E-4</v>
      </c>
      <c r="C132">
        <v>0.10773156922225</v>
      </c>
      <c r="D132">
        <v>-3.1857109850080899E-4</v>
      </c>
      <c r="E132">
        <v>6.1312499999999995E-4</v>
      </c>
      <c r="F132">
        <v>-1.0773156922224999E-3</v>
      </c>
      <c r="G132" s="1">
        <v>-1.0842021724855E-19</v>
      </c>
      <c r="H132" t="s">
        <v>74</v>
      </c>
      <c r="I132">
        <v>0</v>
      </c>
      <c r="J132" t="s">
        <v>75</v>
      </c>
      <c r="K132">
        <v>3.14159265358979</v>
      </c>
      <c r="L132">
        <v>0.46226740523696103</v>
      </c>
      <c r="M132">
        <v>0</v>
      </c>
      <c r="N132">
        <v>2.7142061567174799E-2</v>
      </c>
      <c r="O132">
        <v>0</v>
      </c>
      <c r="P132">
        <v>1.6E-2</v>
      </c>
      <c r="Q132">
        <v>0</v>
      </c>
      <c r="R132">
        <v>0</v>
      </c>
      <c r="S132">
        <v>0</v>
      </c>
      <c r="T132">
        <v>0</v>
      </c>
      <c r="U132">
        <v>0.46599536787071799</v>
      </c>
      <c r="V132" t="s">
        <v>78</v>
      </c>
      <c r="W132">
        <v>2391299.0200017402</v>
      </c>
      <c r="X132" t="s">
        <v>76</v>
      </c>
      <c r="Y132">
        <v>-1.5707963267949001</v>
      </c>
      <c r="Z132">
        <v>0.45481976595379098</v>
      </c>
      <c r="AA132">
        <v>0.525768982723268</v>
      </c>
      <c r="AB132">
        <v>2.3801938010310799E-2</v>
      </c>
      <c r="AC132">
        <v>2.9976231271511E-2</v>
      </c>
      <c r="AD132">
        <v>2.1450397977291E-4</v>
      </c>
      <c r="AE132">
        <v>3.74834696028188E-2</v>
      </c>
      <c r="AF132">
        <v>0</v>
      </c>
      <c r="AG132">
        <v>1.4476325621573E-2</v>
      </c>
      <c r="AH132">
        <v>0.78481265127257605</v>
      </c>
      <c r="AI132">
        <v>0.14473421949437501</v>
      </c>
      <c r="AJ132" t="s">
        <v>74</v>
      </c>
      <c r="AK132">
        <v>0</v>
      </c>
      <c r="AL132" t="s">
        <v>77</v>
      </c>
      <c r="AM132">
        <v>0</v>
      </c>
      <c r="AN132">
        <v>0.99199999999999999</v>
      </c>
      <c r="AO132">
        <v>0</v>
      </c>
      <c r="AP132">
        <v>5.8245346242475203E-2</v>
      </c>
      <c r="AQ132">
        <v>0</v>
      </c>
      <c r="AR132">
        <v>1.6E-2</v>
      </c>
      <c r="AS132">
        <v>0</v>
      </c>
      <c r="AT132">
        <v>0</v>
      </c>
      <c r="AU132">
        <v>0</v>
      </c>
      <c r="AV132">
        <v>0</v>
      </c>
      <c r="AW132">
        <v>1</v>
      </c>
      <c r="AX132" t="s">
        <v>74</v>
      </c>
      <c r="AY132">
        <v>0</v>
      </c>
      <c r="AZ132" t="s">
        <v>76</v>
      </c>
      <c r="BA132">
        <v>-1.5707963267949001</v>
      </c>
      <c r="BB132">
        <v>0.99199999999999999</v>
      </c>
      <c r="BC132">
        <v>0</v>
      </c>
      <c r="BD132">
        <v>5.8245346242475203E-2</v>
      </c>
      <c r="BE132">
        <v>0</v>
      </c>
      <c r="BF132">
        <v>1.6E-2</v>
      </c>
      <c r="BG132">
        <v>0</v>
      </c>
      <c r="BH132">
        <v>0</v>
      </c>
      <c r="BI132">
        <v>0</v>
      </c>
      <c r="BJ132">
        <v>0</v>
      </c>
      <c r="BK132">
        <v>1</v>
      </c>
      <c r="BL132" s="1">
        <v>9.8705461666973501E-5</v>
      </c>
      <c r="BM132">
        <v>3.9964448844707499E-4</v>
      </c>
      <c r="BN132" s="1">
        <v>3.6089497392464598E-7</v>
      </c>
      <c r="BO132" s="1">
        <v>6.2776009447649003E-6</v>
      </c>
      <c r="BP132">
        <v>0</v>
      </c>
      <c r="BQ132">
        <v>0</v>
      </c>
      <c r="BR132" s="1">
        <v>5.3115413015046699E-5</v>
      </c>
      <c r="BS132">
        <v>2.2094583324693099E-4</v>
      </c>
    </row>
    <row r="133" spans="1:71" x14ac:dyDescent="0.25">
      <c r="A133">
        <v>130</v>
      </c>
      <c r="B133">
        <v>1.9805793939411999E-4</v>
      </c>
      <c r="C133">
        <v>0.107929627161644</v>
      </c>
      <c r="D133">
        <v>-3.19629028847697E-4</v>
      </c>
      <c r="E133">
        <v>6.1312499999999995E-4</v>
      </c>
      <c r="F133">
        <v>-1.07929627161644E-3</v>
      </c>
      <c r="G133" s="1">
        <v>-1.0842021724855E-19</v>
      </c>
      <c r="H133" t="s">
        <v>74</v>
      </c>
      <c r="I133">
        <v>0</v>
      </c>
      <c r="J133" t="s">
        <v>75</v>
      </c>
      <c r="K133">
        <v>3.14159265358979</v>
      </c>
      <c r="L133">
        <v>0.45876639002532799</v>
      </c>
      <c r="M133">
        <v>0</v>
      </c>
      <c r="N133">
        <v>2.6936499225237599E-2</v>
      </c>
      <c r="O133">
        <v>0</v>
      </c>
      <c r="P133">
        <v>1.6E-2</v>
      </c>
      <c r="Q133">
        <v>0</v>
      </c>
      <c r="R133">
        <v>0</v>
      </c>
      <c r="S133">
        <v>0</v>
      </c>
      <c r="T133">
        <v>0</v>
      </c>
      <c r="U133">
        <v>0.462466118649346</v>
      </c>
      <c r="V133" t="s">
        <v>78</v>
      </c>
      <c r="W133">
        <v>2400428.44538305</v>
      </c>
      <c r="X133" t="s">
        <v>76</v>
      </c>
      <c r="Y133">
        <v>-1.5707963267949001</v>
      </c>
      <c r="Z133">
        <v>0.45110106249619097</v>
      </c>
      <c r="AA133">
        <v>0.52941788556707203</v>
      </c>
      <c r="AB133">
        <v>2.3533911725087599E-2</v>
      </c>
      <c r="AC133">
        <v>3.03061649124413E-2</v>
      </c>
      <c r="AD133">
        <v>1.00617734277393E-4</v>
      </c>
      <c r="AE133">
        <v>3.77072983727611E-2</v>
      </c>
      <c r="AF133">
        <v>0</v>
      </c>
      <c r="AG133">
        <v>6.0850631484081303E-3</v>
      </c>
      <c r="AH133">
        <v>0.79848643344390802</v>
      </c>
      <c r="AI133">
        <v>0.14086480743372701</v>
      </c>
      <c r="AJ133" t="s">
        <v>74</v>
      </c>
      <c r="AK133">
        <v>0</v>
      </c>
      <c r="AL133" t="s">
        <v>77</v>
      </c>
      <c r="AM133">
        <v>0</v>
      </c>
      <c r="AN133">
        <v>0.99199999999999999</v>
      </c>
      <c r="AO133">
        <v>0</v>
      </c>
      <c r="AP133">
        <v>5.8245346242475203E-2</v>
      </c>
      <c r="AQ133">
        <v>0</v>
      </c>
      <c r="AR133">
        <v>1.6E-2</v>
      </c>
      <c r="AS133">
        <v>0</v>
      </c>
      <c r="AT133">
        <v>0</v>
      </c>
      <c r="AU133">
        <v>0</v>
      </c>
      <c r="AV133">
        <v>0</v>
      </c>
      <c r="AW133">
        <v>1</v>
      </c>
      <c r="AX133" t="s">
        <v>74</v>
      </c>
      <c r="AY133">
        <v>0</v>
      </c>
      <c r="AZ133" t="s">
        <v>76</v>
      </c>
      <c r="BA133">
        <v>-1.5707963267949001</v>
      </c>
      <c r="BB133">
        <v>0.99199999999999999</v>
      </c>
      <c r="BC133">
        <v>0</v>
      </c>
      <c r="BD133">
        <v>5.8245346242475203E-2</v>
      </c>
      <c r="BE133">
        <v>0</v>
      </c>
      <c r="BF133">
        <v>1.6E-2</v>
      </c>
      <c r="BG133">
        <v>0</v>
      </c>
      <c r="BH133">
        <v>0</v>
      </c>
      <c r="BI133">
        <v>0</v>
      </c>
      <c r="BJ133">
        <v>0</v>
      </c>
      <c r="BK133">
        <v>1</v>
      </c>
      <c r="BL133" s="1">
        <v>9.8633634173858395E-5</v>
      </c>
      <c r="BM133">
        <v>4.02285748296158E-4</v>
      </c>
      <c r="BN133" s="1">
        <v>3.6097416634814002E-7</v>
      </c>
      <c r="BO133" s="1">
        <v>6.3190897574554202E-6</v>
      </c>
      <c r="BP133">
        <v>0</v>
      </c>
      <c r="BQ133">
        <v>0</v>
      </c>
      <c r="BR133" s="1">
        <v>5.3074604319827802E-5</v>
      </c>
      <c r="BS133">
        <v>2.2245211623135201E-4</v>
      </c>
    </row>
    <row r="134" spans="1:71" x14ac:dyDescent="0.25">
      <c r="A134">
        <v>131</v>
      </c>
      <c r="B134">
        <v>3.25022550112961E-4</v>
      </c>
      <c r="C134">
        <v>0.108254649711757</v>
      </c>
      <c r="D134">
        <v>-3.2136342388340501E-4</v>
      </c>
      <c r="E134">
        <v>6.1312499999999995E-4</v>
      </c>
      <c r="F134">
        <v>-1.08254649711757E-3</v>
      </c>
      <c r="G134" s="1">
        <v>-1.0842021724855E-19</v>
      </c>
      <c r="H134" t="s">
        <v>74</v>
      </c>
      <c r="I134">
        <v>0</v>
      </c>
      <c r="J134" t="s">
        <v>75</v>
      </c>
      <c r="K134">
        <v>3.14159265358979</v>
      </c>
      <c r="L134">
        <v>0.45758480050554101</v>
      </c>
      <c r="M134">
        <v>0</v>
      </c>
      <c r="N134">
        <v>2.6867122117680602E-2</v>
      </c>
      <c r="O134">
        <v>0</v>
      </c>
      <c r="P134">
        <v>1.6E-2</v>
      </c>
      <c r="Q134">
        <v>0</v>
      </c>
      <c r="R134">
        <v>0</v>
      </c>
      <c r="S134">
        <v>0</v>
      </c>
      <c r="T134">
        <v>0</v>
      </c>
      <c r="U134">
        <v>0.46127500050224202</v>
      </c>
      <c r="V134" t="s">
        <v>79</v>
      </c>
      <c r="W134">
        <v>2415395.4326774301</v>
      </c>
      <c r="X134" t="s">
        <v>76</v>
      </c>
      <c r="Y134">
        <v>-1.5707963267949001</v>
      </c>
      <c r="Z134">
        <v>0.44947880863854101</v>
      </c>
      <c r="AA134">
        <v>0.530898962146784</v>
      </c>
      <c r="AB134">
        <v>2.33293681080061E-2</v>
      </c>
      <c r="AC134">
        <v>3.0618656859539999E-2</v>
      </c>
      <c r="AD134" s="1">
        <v>8.2639364478828906E-5</v>
      </c>
      <c r="AE134">
        <v>3.7988497846314001E-2</v>
      </c>
      <c r="AF134">
        <v>0</v>
      </c>
      <c r="AG134">
        <v>1.7870521752804101E-3</v>
      </c>
      <c r="AH134">
        <v>0.80456729011638695</v>
      </c>
      <c r="AI134">
        <v>0.13955550991882801</v>
      </c>
      <c r="AJ134" t="s">
        <v>74</v>
      </c>
      <c r="AK134">
        <v>0</v>
      </c>
      <c r="AL134" t="s">
        <v>77</v>
      </c>
      <c r="AM134">
        <v>0</v>
      </c>
      <c r="AN134">
        <v>0.99199999999999999</v>
      </c>
      <c r="AO134">
        <v>0</v>
      </c>
      <c r="AP134">
        <v>5.8245346242475203E-2</v>
      </c>
      <c r="AQ134">
        <v>0</v>
      </c>
      <c r="AR134">
        <v>1.6E-2</v>
      </c>
      <c r="AS134">
        <v>0</v>
      </c>
      <c r="AT134">
        <v>0</v>
      </c>
      <c r="AU134">
        <v>0</v>
      </c>
      <c r="AV134">
        <v>0</v>
      </c>
      <c r="AW134">
        <v>1</v>
      </c>
      <c r="AX134" t="s">
        <v>74</v>
      </c>
      <c r="AY134">
        <v>0</v>
      </c>
      <c r="AZ134" t="s">
        <v>76</v>
      </c>
      <c r="BA134">
        <v>-1.5707963267949001</v>
      </c>
      <c r="BB134">
        <v>0.99199999999999999</v>
      </c>
      <c r="BC134">
        <v>0</v>
      </c>
      <c r="BD134">
        <v>5.8245346242475203E-2</v>
      </c>
      <c r="BE134">
        <v>0</v>
      </c>
      <c r="BF134">
        <v>1.6E-2</v>
      </c>
      <c r="BG134">
        <v>0</v>
      </c>
      <c r="BH134">
        <v>0</v>
      </c>
      <c r="BI134">
        <v>0</v>
      </c>
      <c r="BJ134">
        <v>0</v>
      </c>
      <c r="BK134">
        <v>1</v>
      </c>
      <c r="BL134" s="1">
        <v>9.8652919785088605E-5</v>
      </c>
      <c r="BM134">
        <v>4.03177171145834E-4</v>
      </c>
      <c r="BN134" s="1">
        <v>3.6164403093961699E-7</v>
      </c>
      <c r="BO134" s="1">
        <v>6.3330921948343298E-6</v>
      </c>
      <c r="BP134">
        <v>0</v>
      </c>
      <c r="BQ134">
        <v>0</v>
      </c>
      <c r="BR134" s="1">
        <v>5.30958308227517E-5</v>
      </c>
      <c r="BS134">
        <v>2.23020775579577E-4</v>
      </c>
    </row>
    <row r="135" spans="1:71" x14ac:dyDescent="0.25">
      <c r="A135">
        <v>132</v>
      </c>
      <c r="B135">
        <v>2.9534293721840697E-4</v>
      </c>
      <c r="C135">
        <v>0.108549992648976</v>
      </c>
      <c r="D135">
        <v>-3.2293688047605802E-4</v>
      </c>
      <c r="E135">
        <v>6.1312499999999995E-4</v>
      </c>
      <c r="F135">
        <v>-1.0854999264897601E-3</v>
      </c>
      <c r="G135" s="1">
        <v>-1.0842021724855E-19</v>
      </c>
      <c r="H135" t="s">
        <v>74</v>
      </c>
      <c r="I135">
        <v>0</v>
      </c>
      <c r="J135" t="s">
        <v>75</v>
      </c>
      <c r="K135">
        <v>3.14159265358979</v>
      </c>
      <c r="L135">
        <v>0.45415743980839601</v>
      </c>
      <c r="M135">
        <v>0</v>
      </c>
      <c r="N135">
        <v>2.66658844054799E-2</v>
      </c>
      <c r="O135">
        <v>0</v>
      </c>
      <c r="P135">
        <v>1.6E-2</v>
      </c>
      <c r="Q135">
        <v>0</v>
      </c>
      <c r="R135">
        <v>0</v>
      </c>
      <c r="S135">
        <v>0</v>
      </c>
      <c r="T135">
        <v>0</v>
      </c>
      <c r="U135">
        <v>0.45781999948480001</v>
      </c>
      <c r="V135" t="s">
        <v>79</v>
      </c>
      <c r="W135">
        <v>2428973.5993266799</v>
      </c>
      <c r="X135" t="s">
        <v>76</v>
      </c>
      <c r="Y135">
        <v>-1.5707963267949001</v>
      </c>
      <c r="Z135">
        <v>0.44568407260291498</v>
      </c>
      <c r="AA135">
        <v>0.53456257878275704</v>
      </c>
      <c r="AB135">
        <v>2.3024414160993399E-2</v>
      </c>
      <c r="AC135">
        <v>3.1029083634077401E-2</v>
      </c>
      <c r="AD135" s="1">
        <v>6.3370463670603999E-5</v>
      </c>
      <c r="AE135">
        <v>3.8249483971958799E-2</v>
      </c>
      <c r="AF135">
        <v>0</v>
      </c>
      <c r="AG135">
        <v>1.35948969820727E-3</v>
      </c>
      <c r="AH135">
        <v>0.810166238406135</v>
      </c>
      <c r="AI135">
        <v>0.13581540946214801</v>
      </c>
      <c r="AJ135" t="s">
        <v>74</v>
      </c>
      <c r="AK135">
        <v>0</v>
      </c>
      <c r="AL135" t="s">
        <v>77</v>
      </c>
      <c r="AM135">
        <v>0</v>
      </c>
      <c r="AN135">
        <v>0.99199999999999999</v>
      </c>
      <c r="AO135">
        <v>0</v>
      </c>
      <c r="AP135">
        <v>5.8245346242475203E-2</v>
      </c>
      <c r="AQ135">
        <v>0</v>
      </c>
      <c r="AR135">
        <v>1.6E-2</v>
      </c>
      <c r="AS135">
        <v>0</v>
      </c>
      <c r="AT135">
        <v>0</v>
      </c>
      <c r="AU135">
        <v>0</v>
      </c>
      <c r="AV135">
        <v>0</v>
      </c>
      <c r="AW135">
        <v>1</v>
      </c>
      <c r="AX135" t="s">
        <v>74</v>
      </c>
      <c r="AY135">
        <v>0</v>
      </c>
      <c r="AZ135" t="s">
        <v>76</v>
      </c>
      <c r="BA135">
        <v>-1.5707963267949001</v>
      </c>
      <c r="BB135">
        <v>0.99199999999999999</v>
      </c>
      <c r="BC135">
        <v>0</v>
      </c>
      <c r="BD135">
        <v>5.8245346242475203E-2</v>
      </c>
      <c r="BE135">
        <v>0</v>
      </c>
      <c r="BF135">
        <v>1.6E-2</v>
      </c>
      <c r="BG135">
        <v>0</v>
      </c>
      <c r="BH135">
        <v>0</v>
      </c>
      <c r="BI135">
        <v>0</v>
      </c>
      <c r="BJ135">
        <v>0</v>
      </c>
      <c r="BK135">
        <v>1</v>
      </c>
      <c r="BL135" s="1">
        <v>9.8605037342750605E-5</v>
      </c>
      <c r="BM135">
        <v>4.0576286405217101E-4</v>
      </c>
      <c r="BN135" s="1">
        <v>3.6203724327075602E-7</v>
      </c>
      <c r="BO135" s="1">
        <v>6.3737081640292701E-6</v>
      </c>
      <c r="BP135">
        <v>0</v>
      </c>
      <c r="BQ135">
        <v>0</v>
      </c>
      <c r="BR135" s="1">
        <v>5.3072490551606297E-5</v>
      </c>
      <c r="BS135">
        <v>2.2452029285002101E-4</v>
      </c>
    </row>
    <row r="136" spans="1:71" x14ac:dyDescent="0.25">
      <c r="A136">
        <v>133</v>
      </c>
      <c r="B136">
        <v>2.9190523599390402E-4</v>
      </c>
      <c r="C136">
        <v>0.10884189788496999</v>
      </c>
      <c r="D136">
        <v>-3.2448972601537002E-4</v>
      </c>
      <c r="E136">
        <v>6.1312499999999995E-4</v>
      </c>
      <c r="F136">
        <v>-1.0884189788496999E-3</v>
      </c>
      <c r="G136" s="1">
        <v>-1.0842021724855E-19</v>
      </c>
      <c r="H136" t="s">
        <v>74</v>
      </c>
      <c r="I136">
        <v>0</v>
      </c>
      <c r="J136" t="s">
        <v>75</v>
      </c>
      <c r="K136">
        <v>3.14159265358979</v>
      </c>
      <c r="L136">
        <v>0.45079479160737801</v>
      </c>
      <c r="M136">
        <v>0</v>
      </c>
      <c r="N136">
        <v>2.64684462918107E-2</v>
      </c>
      <c r="O136">
        <v>0</v>
      </c>
      <c r="P136">
        <v>1.6E-2</v>
      </c>
      <c r="Q136">
        <v>0</v>
      </c>
      <c r="R136">
        <v>0</v>
      </c>
      <c r="S136">
        <v>0</v>
      </c>
      <c r="T136">
        <v>0</v>
      </c>
      <c r="U136">
        <v>0.45443023316152498</v>
      </c>
      <c r="V136" t="s">
        <v>79</v>
      </c>
      <c r="W136">
        <v>2442373.9025900699</v>
      </c>
      <c r="X136" t="s">
        <v>76</v>
      </c>
      <c r="Y136">
        <v>-1.5707963267949001</v>
      </c>
      <c r="Z136">
        <v>0.44195199182872902</v>
      </c>
      <c r="AA136">
        <v>0.53816666723588702</v>
      </c>
      <c r="AB136">
        <v>2.2725700905718401E-2</v>
      </c>
      <c r="AC136">
        <v>3.1439561916447797E-2</v>
      </c>
      <c r="AD136" s="1">
        <v>4.7302722565071099E-5</v>
      </c>
      <c r="AE136">
        <v>3.8507809347632198E-2</v>
      </c>
      <c r="AF136">
        <v>0</v>
      </c>
      <c r="AG136">
        <v>9.9568552913395308E-4</v>
      </c>
      <c r="AH136">
        <v>0.81560378669972999</v>
      </c>
      <c r="AI136">
        <v>0.13218058045765299</v>
      </c>
      <c r="AJ136" t="s">
        <v>74</v>
      </c>
      <c r="AK136">
        <v>0</v>
      </c>
      <c r="AL136" t="s">
        <v>77</v>
      </c>
      <c r="AM136">
        <v>0</v>
      </c>
      <c r="AN136">
        <v>0.99199999999999999</v>
      </c>
      <c r="AO136">
        <v>0</v>
      </c>
      <c r="AP136">
        <v>5.8245346242475203E-2</v>
      </c>
      <c r="AQ136">
        <v>0</v>
      </c>
      <c r="AR136">
        <v>1.6E-2</v>
      </c>
      <c r="AS136">
        <v>0</v>
      </c>
      <c r="AT136">
        <v>0</v>
      </c>
      <c r="AU136">
        <v>0</v>
      </c>
      <c r="AV136">
        <v>0</v>
      </c>
      <c r="AW136">
        <v>1</v>
      </c>
      <c r="AX136" t="s">
        <v>74</v>
      </c>
      <c r="AY136">
        <v>0</v>
      </c>
      <c r="AZ136" t="s">
        <v>76</v>
      </c>
      <c r="BA136">
        <v>-1.5707963267949001</v>
      </c>
      <c r="BB136">
        <v>0.99199999999999999</v>
      </c>
      <c r="BC136">
        <v>0</v>
      </c>
      <c r="BD136">
        <v>5.8245346242475203E-2</v>
      </c>
      <c r="BE136">
        <v>0</v>
      </c>
      <c r="BF136">
        <v>1.6E-2</v>
      </c>
      <c r="BG136">
        <v>0</v>
      </c>
      <c r="BH136">
        <v>0</v>
      </c>
      <c r="BI136">
        <v>0</v>
      </c>
      <c r="BJ136">
        <v>0</v>
      </c>
      <c r="BK136">
        <v>1</v>
      </c>
      <c r="BL136" s="1">
        <v>9.85622007994636E-5</v>
      </c>
      <c r="BM136">
        <v>4.0829973611443198E-4</v>
      </c>
      <c r="BN136" s="1">
        <v>3.6247022994872701E-7</v>
      </c>
      <c r="BO136" s="1">
        <v>6.4135572571987497E-6</v>
      </c>
      <c r="BP136">
        <v>0</v>
      </c>
      <c r="BQ136">
        <v>0</v>
      </c>
      <c r="BR136" s="1">
        <v>5.30519103566039E-5</v>
      </c>
      <c r="BS136">
        <v>2.2599283050062999E-4</v>
      </c>
    </row>
    <row r="137" spans="1:71" x14ac:dyDescent="0.25">
      <c r="A137">
        <v>134</v>
      </c>
      <c r="B137">
        <v>2.96578626059523E-4</v>
      </c>
      <c r="C137">
        <v>0.109138476511029</v>
      </c>
      <c r="D137">
        <v>-3.2606512983989199E-4</v>
      </c>
      <c r="E137">
        <v>6.1312499999999995E-4</v>
      </c>
      <c r="F137">
        <v>-1.0913847651102899E-3</v>
      </c>
      <c r="G137">
        <v>0</v>
      </c>
      <c r="H137" t="s">
        <v>74</v>
      </c>
      <c r="I137">
        <v>0</v>
      </c>
      <c r="J137" t="s">
        <v>75</v>
      </c>
      <c r="K137">
        <v>3.14159265358979</v>
      </c>
      <c r="L137">
        <v>0.44737671793702199</v>
      </c>
      <c r="M137">
        <v>0</v>
      </c>
      <c r="N137">
        <v>2.6267753868008101E-2</v>
      </c>
      <c r="O137">
        <v>0</v>
      </c>
      <c r="P137">
        <v>1.6E-2</v>
      </c>
      <c r="Q137">
        <v>0</v>
      </c>
      <c r="R137">
        <v>0</v>
      </c>
      <c r="S137">
        <v>0</v>
      </c>
      <c r="T137">
        <v>0</v>
      </c>
      <c r="U137">
        <v>0.450984594352419</v>
      </c>
      <c r="V137" t="s">
        <v>79</v>
      </c>
      <c r="W137">
        <v>2455968.8729051799</v>
      </c>
      <c r="X137" t="s">
        <v>76</v>
      </c>
      <c r="Y137">
        <v>-1.5707963267949001</v>
      </c>
      <c r="Z137">
        <v>0.43815262247049003</v>
      </c>
      <c r="AA137">
        <v>0.541841273115234</v>
      </c>
      <c r="AB137">
        <v>2.24234885709951E-2</v>
      </c>
      <c r="AC137">
        <v>3.1863126764661298E-2</v>
      </c>
      <c r="AD137" s="1">
        <v>3.5187081574267198E-5</v>
      </c>
      <c r="AE137">
        <v>3.8770623031797298E-2</v>
      </c>
      <c r="AF137">
        <v>0</v>
      </c>
      <c r="AG137">
        <v>7.2653563003749499E-4</v>
      </c>
      <c r="AH137">
        <v>0.82103030964692003</v>
      </c>
      <c r="AI137">
        <v>0.12852321131928299</v>
      </c>
      <c r="AJ137" t="s">
        <v>74</v>
      </c>
      <c r="AK137">
        <v>0</v>
      </c>
      <c r="AL137" t="s">
        <v>77</v>
      </c>
      <c r="AM137">
        <v>0</v>
      </c>
      <c r="AN137">
        <v>0.99199999999999999</v>
      </c>
      <c r="AO137">
        <v>0</v>
      </c>
      <c r="AP137">
        <v>5.8245346242475203E-2</v>
      </c>
      <c r="AQ137">
        <v>0</v>
      </c>
      <c r="AR137">
        <v>1.6E-2</v>
      </c>
      <c r="AS137">
        <v>0</v>
      </c>
      <c r="AT137">
        <v>0</v>
      </c>
      <c r="AU137">
        <v>0</v>
      </c>
      <c r="AV137">
        <v>0</v>
      </c>
      <c r="AW137">
        <v>1</v>
      </c>
      <c r="AX137" t="s">
        <v>74</v>
      </c>
      <c r="AY137">
        <v>0</v>
      </c>
      <c r="AZ137" t="s">
        <v>76</v>
      </c>
      <c r="BA137">
        <v>-1.5707963267949001</v>
      </c>
      <c r="BB137">
        <v>0.99199999999999999</v>
      </c>
      <c r="BC137">
        <v>0</v>
      </c>
      <c r="BD137">
        <v>5.8245346242475203E-2</v>
      </c>
      <c r="BE137">
        <v>0</v>
      </c>
      <c r="BF137">
        <v>1.6E-2</v>
      </c>
      <c r="BG137">
        <v>0</v>
      </c>
      <c r="BH137">
        <v>0</v>
      </c>
      <c r="BI137">
        <v>0</v>
      </c>
      <c r="BJ137">
        <v>0</v>
      </c>
      <c r="BK137">
        <v>1</v>
      </c>
      <c r="BL137" s="1">
        <v>9.8522530844307398E-5</v>
      </c>
      <c r="BM137">
        <v>4.10878422638479E-4</v>
      </c>
      <c r="BN137" s="1">
        <v>3.6295247526233599E-7</v>
      </c>
      <c r="BO137" s="1">
        <v>6.4540631703980299E-6</v>
      </c>
      <c r="BP137">
        <v>0</v>
      </c>
      <c r="BQ137">
        <v>0</v>
      </c>
      <c r="BR137" s="1">
        <v>5.3033066178620301E-5</v>
      </c>
      <c r="BS137">
        <v>2.2749045508714801E-4</v>
      </c>
    </row>
    <row r="138" spans="1:71" x14ac:dyDescent="0.25">
      <c r="A138">
        <v>135</v>
      </c>
      <c r="B138">
        <v>3.0158510373096299E-4</v>
      </c>
      <c r="C138">
        <v>0.10944006161476</v>
      </c>
      <c r="D138">
        <v>-3.2766475211354698E-4</v>
      </c>
      <c r="E138">
        <v>6.1312499999999995E-4</v>
      </c>
      <c r="F138">
        <v>-1.0944006161476001E-3</v>
      </c>
      <c r="G138" s="1">
        <v>-1.0842021724855E-19</v>
      </c>
      <c r="H138" t="s">
        <v>74</v>
      </c>
      <c r="I138">
        <v>0</v>
      </c>
      <c r="J138" t="s">
        <v>75</v>
      </c>
      <c r="K138">
        <v>3.14159265358979</v>
      </c>
      <c r="L138">
        <v>0.44392278458623202</v>
      </c>
      <c r="M138">
        <v>0</v>
      </c>
      <c r="N138">
        <v>2.6064955940674199E-2</v>
      </c>
      <c r="O138">
        <v>0</v>
      </c>
      <c r="P138">
        <v>1.6E-2</v>
      </c>
      <c r="Q138">
        <v>0</v>
      </c>
      <c r="R138">
        <v>0</v>
      </c>
      <c r="S138">
        <v>0</v>
      </c>
      <c r="T138">
        <v>0</v>
      </c>
      <c r="U138">
        <v>0.44750280667639197</v>
      </c>
      <c r="V138" t="s">
        <v>79</v>
      </c>
      <c r="W138">
        <v>2469772.83668083</v>
      </c>
      <c r="X138" t="s">
        <v>76</v>
      </c>
      <c r="Y138">
        <v>-1.5707963267949001</v>
      </c>
      <c r="Z138">
        <v>0.43430432686667197</v>
      </c>
      <c r="AA138">
        <v>0.54555662451155096</v>
      </c>
      <c r="AB138">
        <v>2.2118624435670899E-2</v>
      </c>
      <c r="AC138">
        <v>3.2299168060179399E-2</v>
      </c>
      <c r="AD138" s="1">
        <v>2.6059117828659799E-5</v>
      </c>
      <c r="AE138">
        <v>3.9038050778721398E-2</v>
      </c>
      <c r="AF138">
        <v>0</v>
      </c>
      <c r="AG138">
        <v>5.2724489267887901E-4</v>
      </c>
      <c r="AH138">
        <v>0.82644108044328501</v>
      </c>
      <c r="AI138">
        <v>0.124865913827062</v>
      </c>
      <c r="AJ138" t="s">
        <v>74</v>
      </c>
      <c r="AK138">
        <v>0</v>
      </c>
      <c r="AL138" t="s">
        <v>77</v>
      </c>
      <c r="AM138">
        <v>0</v>
      </c>
      <c r="AN138">
        <v>0.99199999999999999</v>
      </c>
      <c r="AO138">
        <v>0</v>
      </c>
      <c r="AP138">
        <v>5.8245346242475203E-2</v>
      </c>
      <c r="AQ138">
        <v>0</v>
      </c>
      <c r="AR138">
        <v>1.6E-2</v>
      </c>
      <c r="AS138">
        <v>0</v>
      </c>
      <c r="AT138">
        <v>0</v>
      </c>
      <c r="AU138">
        <v>0</v>
      </c>
      <c r="AV138">
        <v>0</v>
      </c>
      <c r="AW138">
        <v>1</v>
      </c>
      <c r="AX138" t="s">
        <v>74</v>
      </c>
      <c r="AY138">
        <v>0</v>
      </c>
      <c r="AZ138" t="s">
        <v>76</v>
      </c>
      <c r="BA138">
        <v>-1.5707963267949001</v>
      </c>
      <c r="BB138">
        <v>0.99199999999999999</v>
      </c>
      <c r="BC138">
        <v>0</v>
      </c>
      <c r="BD138">
        <v>5.8245346242475203E-2</v>
      </c>
      <c r="BE138">
        <v>0</v>
      </c>
      <c r="BF138">
        <v>1.6E-2</v>
      </c>
      <c r="BG138">
        <v>0</v>
      </c>
      <c r="BH138">
        <v>0</v>
      </c>
      <c r="BI138">
        <v>0</v>
      </c>
      <c r="BJ138">
        <v>0</v>
      </c>
      <c r="BK138">
        <v>1</v>
      </c>
      <c r="BL138" s="1">
        <v>9.8486720460737502E-5</v>
      </c>
      <c r="BM138">
        <v>4.1348416266798199E-4</v>
      </c>
      <c r="BN138" s="1">
        <v>3.6348903841916202E-7</v>
      </c>
      <c r="BO138" s="1">
        <v>6.4949940390672999E-6</v>
      </c>
      <c r="BP138">
        <v>0</v>
      </c>
      <c r="BQ138">
        <v>0</v>
      </c>
      <c r="BR138" s="1">
        <v>5.3016408500591997E-5</v>
      </c>
      <c r="BS138">
        <v>2.29005111301837E-4</v>
      </c>
    </row>
    <row r="139" spans="1:71" x14ac:dyDescent="0.25">
      <c r="A139">
        <v>136</v>
      </c>
      <c r="B139">
        <v>3.07128099927971E-4</v>
      </c>
      <c r="C139">
        <v>0.109747189714688</v>
      </c>
      <c r="D139">
        <v>-3.2929131826783499E-4</v>
      </c>
      <c r="E139">
        <v>6.1312499999999995E-4</v>
      </c>
      <c r="F139">
        <v>-1.09747189714688E-3</v>
      </c>
      <c r="G139" s="1">
        <v>-1.0842021724855E-19</v>
      </c>
      <c r="H139" t="s">
        <v>74</v>
      </c>
      <c r="I139">
        <v>0</v>
      </c>
      <c r="J139" t="s">
        <v>75</v>
      </c>
      <c r="K139">
        <v>3.14159265358979</v>
      </c>
      <c r="L139">
        <v>0.44044407432296301</v>
      </c>
      <c r="M139">
        <v>0</v>
      </c>
      <c r="N139">
        <v>2.5860703235269601E-2</v>
      </c>
      <c r="O139">
        <v>0</v>
      </c>
      <c r="P139">
        <v>1.6E-2</v>
      </c>
      <c r="Q139">
        <v>0</v>
      </c>
      <c r="R139">
        <v>0</v>
      </c>
      <c r="S139">
        <v>0</v>
      </c>
      <c r="T139">
        <v>0</v>
      </c>
      <c r="U139">
        <v>0.44399604227658301</v>
      </c>
      <c r="V139" t="s">
        <v>79</v>
      </c>
      <c r="W139">
        <v>2483809.3130679699</v>
      </c>
      <c r="X139" t="s">
        <v>76</v>
      </c>
      <c r="Y139">
        <v>-1.5707963267949001</v>
      </c>
      <c r="Z139">
        <v>0.43041672427704297</v>
      </c>
      <c r="AA139">
        <v>0.54930783558302898</v>
      </c>
      <c r="AB139">
        <v>2.1811485306730698E-2</v>
      </c>
      <c r="AC139">
        <v>3.2748260443667902E-2</v>
      </c>
      <c r="AD139" s="1">
        <v>1.92120890580202E-5</v>
      </c>
      <c r="AE139">
        <v>3.93104326772033E-2</v>
      </c>
      <c r="AF139">
        <v>0</v>
      </c>
      <c r="AG139">
        <v>3.8056729035611302E-4</v>
      </c>
      <c r="AH139">
        <v>0.83183662284027504</v>
      </c>
      <c r="AI139">
        <v>0.121221767475007</v>
      </c>
      <c r="AJ139" t="s">
        <v>74</v>
      </c>
      <c r="AK139">
        <v>0</v>
      </c>
      <c r="AL139" t="s">
        <v>77</v>
      </c>
      <c r="AM139">
        <v>0</v>
      </c>
      <c r="AN139">
        <v>0.99199999999999999</v>
      </c>
      <c r="AO139">
        <v>0</v>
      </c>
      <c r="AP139">
        <v>5.8245346242475203E-2</v>
      </c>
      <c r="AQ139">
        <v>0</v>
      </c>
      <c r="AR139">
        <v>1.6E-2</v>
      </c>
      <c r="AS139">
        <v>0</v>
      </c>
      <c r="AT139">
        <v>0</v>
      </c>
      <c r="AU139">
        <v>0</v>
      </c>
      <c r="AV139">
        <v>0</v>
      </c>
      <c r="AW139">
        <v>1</v>
      </c>
      <c r="AX139" t="s">
        <v>74</v>
      </c>
      <c r="AY139">
        <v>0</v>
      </c>
      <c r="AZ139" t="s">
        <v>76</v>
      </c>
      <c r="BA139">
        <v>-1.5707963267949001</v>
      </c>
      <c r="BB139">
        <v>0.99199999999999999</v>
      </c>
      <c r="BC139">
        <v>0</v>
      </c>
      <c r="BD139">
        <v>5.8245346242475203E-2</v>
      </c>
      <c r="BE139">
        <v>0</v>
      </c>
      <c r="BF139">
        <v>1.6E-2</v>
      </c>
      <c r="BG139">
        <v>0</v>
      </c>
      <c r="BH139">
        <v>0</v>
      </c>
      <c r="BI139">
        <v>0</v>
      </c>
      <c r="BJ139">
        <v>0</v>
      </c>
      <c r="BK139">
        <v>1</v>
      </c>
      <c r="BL139" s="1">
        <v>9.8455570735309306E-5</v>
      </c>
      <c r="BM139">
        <v>4.16108595065315E-4</v>
      </c>
      <c r="BN139" s="1">
        <v>3.6408573871516498E-7</v>
      </c>
      <c r="BO139" s="1">
        <v>6.5362185267638203E-6</v>
      </c>
      <c r="BP139">
        <v>0</v>
      </c>
      <c r="BQ139">
        <v>0</v>
      </c>
      <c r="BR139" s="1">
        <v>5.3002433755715602E-5</v>
      </c>
      <c r="BS139">
        <v>2.3053233036891699E-4</v>
      </c>
    </row>
    <row r="140" spans="1:71" x14ac:dyDescent="0.25">
      <c r="A140">
        <v>137</v>
      </c>
      <c r="B140">
        <v>3.1314512467474202E-4</v>
      </c>
      <c r="C140">
        <v>0.11006033483936301</v>
      </c>
      <c r="D140">
        <v>-3.3094720413718502E-4</v>
      </c>
      <c r="E140">
        <v>6.1312499999999995E-4</v>
      </c>
      <c r="F140">
        <v>-1.10060334839363E-3</v>
      </c>
      <c r="G140" s="1">
        <v>-1.0842021724855E-19</v>
      </c>
      <c r="H140" t="s">
        <v>74</v>
      </c>
      <c r="I140">
        <v>0</v>
      </c>
      <c r="J140" t="s">
        <v>75</v>
      </c>
      <c r="K140">
        <v>3.14159265358979</v>
      </c>
      <c r="L140">
        <v>0.43694927514387</v>
      </c>
      <c r="M140">
        <v>0</v>
      </c>
      <c r="N140">
        <v>2.5655505868097998E-2</v>
      </c>
      <c r="O140">
        <v>0</v>
      </c>
      <c r="P140">
        <v>1.6E-2</v>
      </c>
      <c r="Q140">
        <v>0</v>
      </c>
      <c r="R140">
        <v>0</v>
      </c>
      <c r="S140">
        <v>0</v>
      </c>
      <c r="T140">
        <v>0</v>
      </c>
      <c r="U140">
        <v>0.44047305921378199</v>
      </c>
      <c r="V140" t="s">
        <v>79</v>
      </c>
      <c r="W140">
        <v>2498098.8043645001</v>
      </c>
      <c r="X140" t="s">
        <v>76</v>
      </c>
      <c r="Y140">
        <v>-1.5707963267949001</v>
      </c>
      <c r="Z140">
        <v>0.42649706946068899</v>
      </c>
      <c r="AA140">
        <v>0.55309149326989404</v>
      </c>
      <c r="AB140">
        <v>2.15024202531117E-2</v>
      </c>
      <c r="AC140">
        <v>3.3211096749172497E-2</v>
      </c>
      <c r="AD140" s="1">
        <v>1.4098460421257201E-5</v>
      </c>
      <c r="AE140">
        <v>3.9588073551336103E-2</v>
      </c>
      <c r="AF140">
        <v>0</v>
      </c>
      <c r="AG140">
        <v>2.7321847858753699E-4</v>
      </c>
      <c r="AH140">
        <v>0.83721711226661599</v>
      </c>
      <c r="AI140">
        <v>0.11760095799803701</v>
      </c>
      <c r="AJ140" t="s">
        <v>74</v>
      </c>
      <c r="AK140">
        <v>0</v>
      </c>
      <c r="AL140" t="s">
        <v>77</v>
      </c>
      <c r="AM140">
        <v>0</v>
      </c>
      <c r="AN140">
        <v>0.99199999999999999</v>
      </c>
      <c r="AO140">
        <v>0</v>
      </c>
      <c r="AP140">
        <v>5.8245346242475203E-2</v>
      </c>
      <c r="AQ140">
        <v>0</v>
      </c>
      <c r="AR140">
        <v>1.6E-2</v>
      </c>
      <c r="AS140">
        <v>0</v>
      </c>
      <c r="AT140">
        <v>0</v>
      </c>
      <c r="AU140">
        <v>0</v>
      </c>
      <c r="AV140">
        <v>0</v>
      </c>
      <c r="AW140">
        <v>1</v>
      </c>
      <c r="AX140" t="s">
        <v>74</v>
      </c>
      <c r="AY140">
        <v>0</v>
      </c>
      <c r="AZ140" t="s">
        <v>76</v>
      </c>
      <c r="BA140">
        <v>-1.5707963267949001</v>
      </c>
      <c r="BB140">
        <v>0.99199999999999999</v>
      </c>
      <c r="BC140">
        <v>0</v>
      </c>
      <c r="BD140">
        <v>5.8245346242475203E-2</v>
      </c>
      <c r="BE140">
        <v>0</v>
      </c>
      <c r="BF140">
        <v>1.6E-2</v>
      </c>
      <c r="BG140">
        <v>0</v>
      </c>
      <c r="BH140">
        <v>0</v>
      </c>
      <c r="BI140">
        <v>0</v>
      </c>
      <c r="BJ140">
        <v>0</v>
      </c>
      <c r="BK140">
        <v>1</v>
      </c>
      <c r="BL140" s="1">
        <v>9.8429857677666304E-5</v>
      </c>
      <c r="BM140">
        <v>4.18745165372602E-4</v>
      </c>
      <c r="BN140" s="1">
        <v>3.6474862941671198E-7</v>
      </c>
      <c r="BO140" s="1">
        <v>6.5776336763040502E-6</v>
      </c>
      <c r="BP140">
        <v>0</v>
      </c>
      <c r="BQ140">
        <v>0</v>
      </c>
      <c r="BR140" s="1">
        <v>5.2991615981571199E-5</v>
      </c>
      <c r="BS140">
        <v>2.3206862711354801E-4</v>
      </c>
    </row>
    <row r="141" spans="1:71" x14ac:dyDescent="0.25">
      <c r="A141">
        <v>138</v>
      </c>
      <c r="B141">
        <v>3.1959853555971603E-4</v>
      </c>
      <c r="C141">
        <v>0.110379933374922</v>
      </c>
      <c r="D141">
        <v>-3.3263456902325798E-4</v>
      </c>
      <c r="E141">
        <v>6.1312499999999995E-4</v>
      </c>
      <c r="F141">
        <v>-1.10379933374922E-3</v>
      </c>
      <c r="G141" s="1">
        <v>-1.0842021724855E-19</v>
      </c>
      <c r="H141" t="s">
        <v>74</v>
      </c>
      <c r="I141">
        <v>0</v>
      </c>
      <c r="J141" t="s">
        <v>75</v>
      </c>
      <c r="K141">
        <v>3.14159265358979</v>
      </c>
      <c r="L141">
        <v>0.43344505226487501</v>
      </c>
      <c r="M141">
        <v>0</v>
      </c>
      <c r="N141">
        <v>2.5449755187757502E-2</v>
      </c>
      <c r="O141">
        <v>0</v>
      </c>
      <c r="P141">
        <v>1.6E-2</v>
      </c>
      <c r="Q141">
        <v>0</v>
      </c>
      <c r="R141">
        <v>0</v>
      </c>
      <c r="S141">
        <v>0</v>
      </c>
      <c r="T141">
        <v>0</v>
      </c>
      <c r="U141">
        <v>0.43694057645525802</v>
      </c>
      <c r="V141" t="s">
        <v>79</v>
      </c>
      <c r="W141">
        <v>2512659.9442956401</v>
      </c>
      <c r="X141" t="s">
        <v>76</v>
      </c>
      <c r="Y141">
        <v>-1.5707963267949001</v>
      </c>
      <c r="Z141">
        <v>0.422550588195028</v>
      </c>
      <c r="AA141">
        <v>0.55689870251455997</v>
      </c>
      <c r="AB141">
        <v>2.1191761775807401E-2</v>
      </c>
      <c r="AC141">
        <v>3.3688281909868202E-2</v>
      </c>
      <c r="AD141" s="1">
        <v>1.02965782368963E-5</v>
      </c>
      <c r="AE141">
        <v>3.9871259878825498E-2</v>
      </c>
      <c r="AF141">
        <v>0</v>
      </c>
      <c r="AG141">
        <v>1.95087775471381E-4</v>
      </c>
      <c r="AH141">
        <v>0.84258260256861395</v>
      </c>
      <c r="AI141">
        <v>0.1140112714788</v>
      </c>
      <c r="AJ141" t="s">
        <v>74</v>
      </c>
      <c r="AK141">
        <v>0</v>
      </c>
      <c r="AL141" t="s">
        <v>77</v>
      </c>
      <c r="AM141">
        <v>0</v>
      </c>
      <c r="AN141">
        <v>0.99199999999999999</v>
      </c>
      <c r="AO141">
        <v>0</v>
      </c>
      <c r="AP141">
        <v>5.8245346242475203E-2</v>
      </c>
      <c r="AQ141">
        <v>0</v>
      </c>
      <c r="AR141">
        <v>1.6E-2</v>
      </c>
      <c r="AS141">
        <v>0</v>
      </c>
      <c r="AT141">
        <v>0</v>
      </c>
      <c r="AU141">
        <v>0</v>
      </c>
      <c r="AV141">
        <v>0</v>
      </c>
      <c r="AW141">
        <v>1</v>
      </c>
      <c r="AX141" t="s">
        <v>74</v>
      </c>
      <c r="AY141">
        <v>0</v>
      </c>
      <c r="AZ141" t="s">
        <v>76</v>
      </c>
      <c r="BA141">
        <v>-1.5707963267949001</v>
      </c>
      <c r="BB141">
        <v>0.99199999999999999</v>
      </c>
      <c r="BC141">
        <v>0</v>
      </c>
      <c r="BD141">
        <v>5.8245346242475203E-2</v>
      </c>
      <c r="BE141">
        <v>0</v>
      </c>
      <c r="BF141">
        <v>1.6E-2</v>
      </c>
      <c r="BG141">
        <v>0</v>
      </c>
      <c r="BH141">
        <v>0</v>
      </c>
      <c r="BI141">
        <v>0</v>
      </c>
      <c r="BJ141">
        <v>0</v>
      </c>
      <c r="BK141">
        <v>1</v>
      </c>
      <c r="BL141" s="1">
        <v>9.8410245679191795E-5</v>
      </c>
      <c r="BM141">
        <v>4.21388845172043E-4</v>
      </c>
      <c r="BN141" s="1">
        <v>3.6548391577937098E-7</v>
      </c>
      <c r="BO141" s="1">
        <v>6.61916050148588E-6</v>
      </c>
      <c r="BP141">
        <v>0</v>
      </c>
      <c r="BQ141">
        <v>0</v>
      </c>
      <c r="BR141" s="1">
        <v>5.2984360877219702E-5</v>
      </c>
      <c r="BS141">
        <v>2.3361135138873901E-4</v>
      </c>
    </row>
    <row r="142" spans="1:71" x14ac:dyDescent="0.25">
      <c r="A142">
        <v>139</v>
      </c>
      <c r="B142">
        <v>3.2646202640640302E-4</v>
      </c>
      <c r="C142">
        <v>0.110706395401329</v>
      </c>
      <c r="D142">
        <v>-3.3435541636033899E-4</v>
      </c>
      <c r="E142">
        <v>6.1312499999999995E-4</v>
      </c>
      <c r="F142">
        <v>-1.10706395401329E-3</v>
      </c>
      <c r="G142">
        <v>0</v>
      </c>
      <c r="H142" t="s">
        <v>74</v>
      </c>
      <c r="I142">
        <v>0</v>
      </c>
      <c r="J142" t="s">
        <v>75</v>
      </c>
      <c r="K142">
        <v>3.14159265358979</v>
      </c>
      <c r="L142">
        <v>0.42993650377196901</v>
      </c>
      <c r="M142">
        <v>0</v>
      </c>
      <c r="N142">
        <v>2.5243750528707299E-2</v>
      </c>
      <c r="O142">
        <v>0</v>
      </c>
      <c r="P142">
        <v>1.6E-2</v>
      </c>
      <c r="Q142">
        <v>0</v>
      </c>
      <c r="R142">
        <v>0</v>
      </c>
      <c r="S142">
        <v>0</v>
      </c>
      <c r="T142">
        <v>0</v>
      </c>
      <c r="U142">
        <v>0.43340373320023201</v>
      </c>
      <c r="V142" t="s">
        <v>79</v>
      </c>
      <c r="W142">
        <v>2527510.02152682</v>
      </c>
      <c r="X142" t="s">
        <v>76</v>
      </c>
      <c r="Y142">
        <v>-1.5707963267949001</v>
      </c>
      <c r="Z142">
        <v>0.41858091082311699</v>
      </c>
      <c r="AA142">
        <v>0.56072483972284304</v>
      </c>
      <c r="AB142">
        <v>2.0879829518268E-2</v>
      </c>
      <c r="AC142">
        <v>3.4180641434868701E-2</v>
      </c>
      <c r="AD142" s="1">
        <v>7.4830304334009997E-6</v>
      </c>
      <c r="AE142">
        <v>4.01602656029506E-2</v>
      </c>
      <c r="AF142">
        <v>0</v>
      </c>
      <c r="AG142">
        <v>1.3853530548235801E-4</v>
      </c>
      <c r="AH142">
        <v>0.84793304135596703</v>
      </c>
      <c r="AI142">
        <v>0.11045865191747101</v>
      </c>
      <c r="AJ142" t="s">
        <v>74</v>
      </c>
      <c r="AK142">
        <v>0</v>
      </c>
      <c r="AL142" t="s">
        <v>77</v>
      </c>
      <c r="AM142">
        <v>0</v>
      </c>
      <c r="AN142">
        <v>0.99199999999999999</v>
      </c>
      <c r="AO142">
        <v>0</v>
      </c>
      <c r="AP142">
        <v>5.8245346242475203E-2</v>
      </c>
      <c r="AQ142">
        <v>0</v>
      </c>
      <c r="AR142">
        <v>1.6E-2</v>
      </c>
      <c r="AS142">
        <v>0</v>
      </c>
      <c r="AT142">
        <v>0</v>
      </c>
      <c r="AU142">
        <v>0</v>
      </c>
      <c r="AV142">
        <v>0</v>
      </c>
      <c r="AW142">
        <v>1</v>
      </c>
      <c r="AX142" t="s">
        <v>74</v>
      </c>
      <c r="AY142">
        <v>0</v>
      </c>
      <c r="AZ142" t="s">
        <v>76</v>
      </c>
      <c r="BA142">
        <v>-1.5707963267949001</v>
      </c>
      <c r="BB142">
        <v>0.99199999999999999</v>
      </c>
      <c r="BC142">
        <v>0</v>
      </c>
      <c r="BD142">
        <v>5.8245346242475203E-2</v>
      </c>
      <c r="BE142">
        <v>0</v>
      </c>
      <c r="BF142">
        <v>1.6E-2</v>
      </c>
      <c r="BG142">
        <v>0</v>
      </c>
      <c r="BH142">
        <v>0</v>
      </c>
      <c r="BI142">
        <v>0</v>
      </c>
      <c r="BJ142">
        <v>0</v>
      </c>
      <c r="BK142">
        <v>1</v>
      </c>
      <c r="BL142" s="1">
        <v>9.8397456983397195E-5</v>
      </c>
      <c r="BM142">
        <v>4.2403578833072499E-4</v>
      </c>
      <c r="BN142" s="1">
        <v>3.66298308249118E-7</v>
      </c>
      <c r="BO142" s="1">
        <v>6.6607385873948096E-6</v>
      </c>
      <c r="BP142">
        <v>0</v>
      </c>
      <c r="BQ142">
        <v>0</v>
      </c>
      <c r="BR142" s="1">
        <v>5.2981101411461998E-5</v>
      </c>
      <c r="BS142">
        <v>2.35158501151639E-4</v>
      </c>
    </row>
    <row r="143" spans="1:71" x14ac:dyDescent="0.25">
      <c r="A143">
        <v>140</v>
      </c>
      <c r="B143">
        <v>3.3371879038282098E-4</v>
      </c>
      <c r="C143">
        <v>0.111040114191712</v>
      </c>
      <c r="D143">
        <v>-3.36111644171871E-4</v>
      </c>
      <c r="E143">
        <v>6.1312499999999995E-4</v>
      </c>
      <c r="F143">
        <v>-1.11040114191712E-3</v>
      </c>
      <c r="G143">
        <v>0</v>
      </c>
      <c r="H143" t="s">
        <v>74</v>
      </c>
      <c r="I143">
        <v>0</v>
      </c>
      <c r="J143" t="s">
        <v>75</v>
      </c>
      <c r="K143">
        <v>3.14159265358979</v>
      </c>
      <c r="L143">
        <v>0.42642752271058099</v>
      </c>
      <c r="M143">
        <v>0</v>
      </c>
      <c r="N143">
        <v>2.50377204713697E-2</v>
      </c>
      <c r="O143">
        <v>0</v>
      </c>
      <c r="P143">
        <v>1.6E-2</v>
      </c>
      <c r="Q143">
        <v>0</v>
      </c>
      <c r="R143">
        <v>0</v>
      </c>
      <c r="S143">
        <v>0</v>
      </c>
      <c r="T143">
        <v>0</v>
      </c>
      <c r="U143">
        <v>0.42986645388933498</v>
      </c>
      <c r="V143" t="s">
        <v>79</v>
      </c>
      <c r="W143">
        <v>2542665.4150790698</v>
      </c>
      <c r="X143" t="s">
        <v>76</v>
      </c>
      <c r="Y143">
        <v>-1.5707963267949001</v>
      </c>
      <c r="Z143">
        <v>0.41459041324652002</v>
      </c>
      <c r="AA143">
        <v>0.564570778075417</v>
      </c>
      <c r="AB143">
        <v>2.05669111291251E-2</v>
      </c>
      <c r="AC143">
        <v>3.4689264020256898E-2</v>
      </c>
      <c r="AD143" s="1">
        <v>5.41080342289349E-6</v>
      </c>
      <c r="AE143">
        <v>4.0455357178671103E-2</v>
      </c>
      <c r="AF143">
        <v>0</v>
      </c>
      <c r="AG143" s="1">
        <v>9.7827169063551296E-5</v>
      </c>
      <c r="AH143">
        <v>0.85326828849229897</v>
      </c>
      <c r="AI143">
        <v>0.10694763961546</v>
      </c>
      <c r="AJ143" t="s">
        <v>74</v>
      </c>
      <c r="AK143">
        <v>0</v>
      </c>
      <c r="AL143" t="s">
        <v>77</v>
      </c>
      <c r="AM143">
        <v>0</v>
      </c>
      <c r="AN143">
        <v>0.99199999999999999</v>
      </c>
      <c r="AO143">
        <v>0</v>
      </c>
      <c r="AP143">
        <v>5.8245346242475203E-2</v>
      </c>
      <c r="AQ143">
        <v>0</v>
      </c>
      <c r="AR143">
        <v>1.6E-2</v>
      </c>
      <c r="AS143">
        <v>0</v>
      </c>
      <c r="AT143">
        <v>0</v>
      </c>
      <c r="AU143">
        <v>0</v>
      </c>
      <c r="AV143">
        <v>0</v>
      </c>
      <c r="AW143">
        <v>1</v>
      </c>
      <c r="AX143" t="s">
        <v>74</v>
      </c>
      <c r="AY143">
        <v>0</v>
      </c>
      <c r="AZ143" t="s">
        <v>76</v>
      </c>
      <c r="BA143">
        <v>-1.5707963267949001</v>
      </c>
      <c r="BB143">
        <v>0.99199999999999999</v>
      </c>
      <c r="BC143">
        <v>0</v>
      </c>
      <c r="BD143">
        <v>5.8245346242475203E-2</v>
      </c>
      <c r="BE143">
        <v>0</v>
      </c>
      <c r="BF143">
        <v>1.6E-2</v>
      </c>
      <c r="BG143">
        <v>0</v>
      </c>
      <c r="BH143">
        <v>0</v>
      </c>
      <c r="BI143">
        <v>0</v>
      </c>
      <c r="BJ143">
        <v>0</v>
      </c>
      <c r="BK143">
        <v>1</v>
      </c>
      <c r="BL143" s="1">
        <v>9.8392294052851095E-5</v>
      </c>
      <c r="BM143">
        <v>4.2668305783068102E-4</v>
      </c>
      <c r="BN143" s="1">
        <v>3.6719901826786198E-7</v>
      </c>
      <c r="BO143" s="1">
        <v>6.7023217994604896E-6</v>
      </c>
      <c r="BP143">
        <v>0</v>
      </c>
      <c r="BQ143">
        <v>0</v>
      </c>
      <c r="BR143" s="1">
        <v>5.2982311689161699E-5</v>
      </c>
      <c r="BS143">
        <v>2.3670857400797299E-4</v>
      </c>
    </row>
    <row r="144" spans="1:71" x14ac:dyDescent="0.25">
      <c r="A144">
        <v>141</v>
      </c>
      <c r="B144">
        <v>3.4135978692144701E-4</v>
      </c>
      <c r="C144">
        <v>0.111381473978633</v>
      </c>
      <c r="D144">
        <v>-3.3790508594812302E-4</v>
      </c>
      <c r="E144">
        <v>6.1312499999999995E-4</v>
      </c>
      <c r="F144">
        <v>-1.1138147397863299E-3</v>
      </c>
      <c r="G144">
        <v>0</v>
      </c>
      <c r="H144" t="s">
        <v>74</v>
      </c>
      <c r="I144">
        <v>0</v>
      </c>
      <c r="J144" t="s">
        <v>75</v>
      </c>
      <c r="K144">
        <v>3.14159265358979</v>
      </c>
      <c r="L144">
        <v>0.42292108401731399</v>
      </c>
      <c r="M144">
        <v>0</v>
      </c>
      <c r="N144">
        <v>2.48318396893462E-2</v>
      </c>
      <c r="O144">
        <v>0</v>
      </c>
      <c r="P144">
        <v>1.6E-2</v>
      </c>
      <c r="Q144">
        <v>0</v>
      </c>
      <c r="R144">
        <v>0</v>
      </c>
      <c r="S144">
        <v>0</v>
      </c>
      <c r="T144">
        <v>0</v>
      </c>
      <c r="U144">
        <v>0.426331737450311</v>
      </c>
      <c r="V144" t="s">
        <v>79</v>
      </c>
      <c r="W144">
        <v>2558141.9470834401</v>
      </c>
      <c r="X144" t="s">
        <v>76</v>
      </c>
      <c r="Y144">
        <v>-1.5707963267949001</v>
      </c>
      <c r="Z144">
        <v>0.41058048380623302</v>
      </c>
      <c r="AA144">
        <v>0.56843225650019003</v>
      </c>
      <c r="AB144">
        <v>2.0253224984469999E-2</v>
      </c>
      <c r="AC144">
        <v>3.5215173111656402E-2</v>
      </c>
      <c r="AD144" s="1">
        <v>3.89205454125099E-6</v>
      </c>
      <c r="AE144">
        <v>4.0756797740112503E-2</v>
      </c>
      <c r="AF144">
        <v>0</v>
      </c>
      <c r="AG144" s="1">
        <v>6.86872347651622E-5</v>
      </c>
      <c r="AH144">
        <v>0.858588131365006</v>
      </c>
      <c r="AI144">
        <v>0.10348171430386301</v>
      </c>
      <c r="AJ144" t="s">
        <v>74</v>
      </c>
      <c r="AK144">
        <v>0</v>
      </c>
      <c r="AL144" t="s">
        <v>77</v>
      </c>
      <c r="AM144">
        <v>0</v>
      </c>
      <c r="AN144">
        <v>0.99199999999999999</v>
      </c>
      <c r="AO144">
        <v>0</v>
      </c>
      <c r="AP144">
        <v>5.8245346242475203E-2</v>
      </c>
      <c r="AQ144">
        <v>0</v>
      </c>
      <c r="AR144">
        <v>1.6E-2</v>
      </c>
      <c r="AS144">
        <v>0</v>
      </c>
      <c r="AT144">
        <v>0</v>
      </c>
      <c r="AU144">
        <v>0</v>
      </c>
      <c r="AV144">
        <v>0</v>
      </c>
      <c r="AW144">
        <v>1</v>
      </c>
      <c r="AX144" t="s">
        <v>74</v>
      </c>
      <c r="AY144">
        <v>0</v>
      </c>
      <c r="AZ144" t="s">
        <v>76</v>
      </c>
      <c r="BA144">
        <v>-1.5707963267949001</v>
      </c>
      <c r="BB144">
        <v>0.99199999999999999</v>
      </c>
      <c r="BC144">
        <v>0</v>
      </c>
      <c r="BD144">
        <v>5.8245346242475203E-2</v>
      </c>
      <c r="BE144">
        <v>0</v>
      </c>
      <c r="BF144">
        <v>1.6E-2</v>
      </c>
      <c r="BG144">
        <v>0</v>
      </c>
      <c r="BH144">
        <v>0</v>
      </c>
      <c r="BI144">
        <v>0</v>
      </c>
      <c r="BJ144">
        <v>0</v>
      </c>
      <c r="BK144">
        <v>1</v>
      </c>
      <c r="BL144" s="1">
        <v>9.8395465135211498E-5</v>
      </c>
      <c r="BM144">
        <v>4.2932840929988601E-4</v>
      </c>
      <c r="BN144" s="1">
        <v>3.6819330927001102E-7</v>
      </c>
      <c r="BO144" s="1">
        <v>6.7438748831695603E-6</v>
      </c>
      <c r="BP144">
        <v>0</v>
      </c>
      <c r="BQ144">
        <v>0</v>
      </c>
      <c r="BR144" s="1">
        <v>5.2988411360605303E-5</v>
      </c>
      <c r="BS144">
        <v>2.38260449607E-4</v>
      </c>
    </row>
    <row r="145" spans="1:71" x14ac:dyDescent="0.25">
      <c r="A145">
        <v>142</v>
      </c>
      <c r="B145">
        <v>3.49382374451697E-4</v>
      </c>
      <c r="C145">
        <v>0.111730856353085</v>
      </c>
      <c r="D145">
        <v>-3.3973754394462199E-4</v>
      </c>
      <c r="E145">
        <v>6.1312499999999995E-4</v>
      </c>
      <c r="F145">
        <v>-1.11730856353085E-3</v>
      </c>
      <c r="G145" s="1">
        <v>-1.0842021724855E-19</v>
      </c>
      <c r="H145" t="s">
        <v>74</v>
      </c>
      <c r="I145">
        <v>0</v>
      </c>
      <c r="J145" t="s">
        <v>75</v>
      </c>
      <c r="K145">
        <v>3.14159265358979</v>
      </c>
      <c r="L145">
        <v>0.41941946910435601</v>
      </c>
      <c r="M145">
        <v>0</v>
      </c>
      <c r="N145">
        <v>2.4626242135905599E-2</v>
      </c>
      <c r="O145">
        <v>0</v>
      </c>
      <c r="P145">
        <v>1.6E-2</v>
      </c>
      <c r="Q145">
        <v>0</v>
      </c>
      <c r="R145">
        <v>0</v>
      </c>
      <c r="S145">
        <v>0</v>
      </c>
      <c r="T145">
        <v>0</v>
      </c>
      <c r="U145">
        <v>0.42280188369358701</v>
      </c>
      <c r="V145" t="s">
        <v>79</v>
      </c>
      <c r="W145">
        <v>2573955.1701303301</v>
      </c>
      <c r="X145" t="s">
        <v>76</v>
      </c>
      <c r="Y145">
        <v>-1.5707963267949001</v>
      </c>
      <c r="Z145">
        <v>0.40655172845709397</v>
      </c>
      <c r="AA145">
        <v>0.57230960905542105</v>
      </c>
      <c r="AB145">
        <v>1.9938876060199399E-2</v>
      </c>
      <c r="AC145">
        <v>3.5759639345730003E-2</v>
      </c>
      <c r="AD145" s="1">
        <v>2.7845763176821499E-6</v>
      </c>
      <c r="AE145">
        <v>4.1064850562251003E-2</v>
      </c>
      <c r="AF145">
        <v>0</v>
      </c>
      <c r="AG145" s="1">
        <v>4.7945851517648103E-5</v>
      </c>
      <c r="AH145">
        <v>0.86389229730797401</v>
      </c>
      <c r="AI145">
        <v>0.100063560377599</v>
      </c>
      <c r="AJ145" t="s">
        <v>74</v>
      </c>
      <c r="AK145">
        <v>0</v>
      </c>
      <c r="AL145" t="s">
        <v>77</v>
      </c>
      <c r="AM145">
        <v>0</v>
      </c>
      <c r="AN145">
        <v>0.99199999999999999</v>
      </c>
      <c r="AO145">
        <v>0</v>
      </c>
      <c r="AP145">
        <v>5.8245346242475203E-2</v>
      </c>
      <c r="AQ145">
        <v>0</v>
      </c>
      <c r="AR145">
        <v>1.6E-2</v>
      </c>
      <c r="AS145">
        <v>0</v>
      </c>
      <c r="AT145">
        <v>0</v>
      </c>
      <c r="AU145">
        <v>0</v>
      </c>
      <c r="AV145">
        <v>0</v>
      </c>
      <c r="AW145">
        <v>1</v>
      </c>
      <c r="AX145" t="s">
        <v>74</v>
      </c>
      <c r="AY145">
        <v>0</v>
      </c>
      <c r="AZ145" t="s">
        <v>76</v>
      </c>
      <c r="BA145">
        <v>-1.5707963267949001</v>
      </c>
      <c r="BB145">
        <v>0.99199999999999999</v>
      </c>
      <c r="BC145">
        <v>0</v>
      </c>
      <c r="BD145">
        <v>5.8245346242475203E-2</v>
      </c>
      <c r="BE145">
        <v>0</v>
      </c>
      <c r="BF145">
        <v>1.6E-2</v>
      </c>
      <c r="BG145">
        <v>0</v>
      </c>
      <c r="BH145">
        <v>0</v>
      </c>
      <c r="BI145">
        <v>0</v>
      </c>
      <c r="BJ145">
        <v>0</v>
      </c>
      <c r="BK145">
        <v>1</v>
      </c>
      <c r="BL145" s="1">
        <v>9.84077250133927E-5</v>
      </c>
      <c r="BM145">
        <v>4.31970121579746E-4</v>
      </c>
      <c r="BN145" s="1">
        <v>3.6928866144231601E-7</v>
      </c>
      <c r="BO145" s="1">
        <v>6.7853708026260997E-6</v>
      </c>
      <c r="BP145">
        <v>0</v>
      </c>
      <c r="BQ145">
        <v>0</v>
      </c>
      <c r="BR145" s="1">
        <v>5.2999844583192702E-5</v>
      </c>
      <c r="BS145">
        <v>2.39813297658925E-4</v>
      </c>
    </row>
    <row r="146" spans="1:71" x14ac:dyDescent="0.25">
      <c r="A146">
        <v>143</v>
      </c>
      <c r="B146">
        <v>3.5778923468314299E-4</v>
      </c>
      <c r="C146">
        <v>0.112088645587768</v>
      </c>
      <c r="D146">
        <v>-3.4161081648967302E-4</v>
      </c>
      <c r="E146">
        <v>6.1312499999999995E-4</v>
      </c>
      <c r="F146">
        <v>-1.12088645587768E-3</v>
      </c>
      <c r="G146">
        <v>0</v>
      </c>
      <c r="H146" t="s">
        <v>74</v>
      </c>
      <c r="I146">
        <v>0</v>
      </c>
      <c r="J146" t="s">
        <v>75</v>
      </c>
      <c r="K146">
        <v>3.14159265358979</v>
      </c>
      <c r="L146">
        <v>0.415924439883258</v>
      </c>
      <c r="M146">
        <v>0</v>
      </c>
      <c r="N146">
        <v>2.4421031261802398E-2</v>
      </c>
      <c r="O146">
        <v>0</v>
      </c>
      <c r="P146">
        <v>1.6E-2</v>
      </c>
      <c r="Q146">
        <v>0</v>
      </c>
      <c r="R146">
        <v>0</v>
      </c>
      <c r="S146">
        <v>0</v>
      </c>
      <c r="T146">
        <v>0</v>
      </c>
      <c r="U146">
        <v>0.41927866873946701</v>
      </c>
      <c r="V146" t="s">
        <v>79</v>
      </c>
      <c r="W146">
        <v>2590120.6029201099</v>
      </c>
      <c r="X146" t="s">
        <v>76</v>
      </c>
      <c r="Y146">
        <v>-1.5707963267949001</v>
      </c>
      <c r="Z146">
        <v>0.40250412561795101</v>
      </c>
      <c r="AA146">
        <v>0.57620233221035899</v>
      </c>
      <c r="AB146">
        <v>1.9623821686438898E-2</v>
      </c>
      <c r="AC146">
        <v>3.6324017866004199E-2</v>
      </c>
      <c r="AD146" s="1">
        <v>1.9812044787128101E-6</v>
      </c>
      <c r="AE146">
        <v>4.1379781957230598E-2</v>
      </c>
      <c r="AF146">
        <v>0</v>
      </c>
      <c r="AG146" s="1">
        <v>3.3267367822507097E-5</v>
      </c>
      <c r="AH146">
        <v>0.869180463505967</v>
      </c>
      <c r="AI146">
        <v>9.6695269777179002E-2</v>
      </c>
      <c r="AJ146" t="s">
        <v>74</v>
      </c>
      <c r="AK146">
        <v>0</v>
      </c>
      <c r="AL146" t="s">
        <v>77</v>
      </c>
      <c r="AM146">
        <v>0</v>
      </c>
      <c r="AN146">
        <v>0.99199999999999999</v>
      </c>
      <c r="AO146">
        <v>0</v>
      </c>
      <c r="AP146">
        <v>5.8245346242475203E-2</v>
      </c>
      <c r="AQ146">
        <v>0</v>
      </c>
      <c r="AR146">
        <v>1.6E-2</v>
      </c>
      <c r="AS146">
        <v>0</v>
      </c>
      <c r="AT146">
        <v>0</v>
      </c>
      <c r="AU146">
        <v>0</v>
      </c>
      <c r="AV146">
        <v>0</v>
      </c>
      <c r="AW146">
        <v>1</v>
      </c>
      <c r="AX146" t="s">
        <v>74</v>
      </c>
      <c r="AY146">
        <v>0</v>
      </c>
      <c r="AZ146" t="s">
        <v>76</v>
      </c>
      <c r="BA146">
        <v>-1.5707963267949001</v>
      </c>
      <c r="BB146">
        <v>0.99199999999999999</v>
      </c>
      <c r="BC146">
        <v>0</v>
      </c>
      <c r="BD146">
        <v>5.8245346242475203E-2</v>
      </c>
      <c r="BE146">
        <v>0</v>
      </c>
      <c r="BF146">
        <v>1.6E-2</v>
      </c>
      <c r="BG146">
        <v>0</v>
      </c>
      <c r="BH146">
        <v>0</v>
      </c>
      <c r="BI146">
        <v>0</v>
      </c>
      <c r="BJ146">
        <v>0</v>
      </c>
      <c r="BK146">
        <v>1</v>
      </c>
      <c r="BL146" s="1">
        <v>9.8429781649597901E-5</v>
      </c>
      <c r="BM146">
        <v>4.3460686543689498E-4</v>
      </c>
      <c r="BN146" s="1">
        <v>3.7049250356824497E-7</v>
      </c>
      <c r="BO146" s="1">
        <v>6.8267886782811898E-6</v>
      </c>
      <c r="BP146">
        <v>0</v>
      </c>
      <c r="BQ146">
        <v>0</v>
      </c>
      <c r="BR146" s="1">
        <v>5.3017028958104697E-5</v>
      </c>
      <c r="BS146">
        <v>2.4136650674855099E-4</v>
      </c>
    </row>
    <row r="147" spans="1:71" x14ac:dyDescent="0.25">
      <c r="A147">
        <v>144</v>
      </c>
      <c r="B147">
        <v>3.6658753572080201E-4</v>
      </c>
      <c r="C147">
        <v>0.112455233123489</v>
      </c>
      <c r="D147">
        <v>-3.4352672059572402E-4</v>
      </c>
      <c r="E147">
        <v>6.1312499999999995E-4</v>
      </c>
      <c r="F147">
        <v>-1.12455233123489E-3</v>
      </c>
      <c r="G147">
        <v>0</v>
      </c>
      <c r="H147" t="s">
        <v>74</v>
      </c>
      <c r="I147">
        <v>0</v>
      </c>
      <c r="J147" t="s">
        <v>75</v>
      </c>
      <c r="K147">
        <v>3.14159265358979</v>
      </c>
      <c r="L147">
        <v>0.412437372450558</v>
      </c>
      <c r="M147">
        <v>0</v>
      </c>
      <c r="N147">
        <v>2.4216287864636501E-2</v>
      </c>
      <c r="O147">
        <v>0</v>
      </c>
      <c r="P147">
        <v>1.6E-2</v>
      </c>
      <c r="Q147">
        <v>0</v>
      </c>
      <c r="R147">
        <v>0</v>
      </c>
      <c r="S147">
        <v>0</v>
      </c>
      <c r="T147">
        <v>0</v>
      </c>
      <c r="U147">
        <v>0.41576347978185502</v>
      </c>
      <c r="V147" t="s">
        <v>79</v>
      </c>
      <c r="W147">
        <v>2606653.9253882598</v>
      </c>
      <c r="X147" t="s">
        <v>76</v>
      </c>
      <c r="Y147">
        <v>-1.5707963267949001</v>
      </c>
      <c r="Z147">
        <v>0.39843714051268703</v>
      </c>
      <c r="AA147">
        <v>0.58011115855181505</v>
      </c>
      <c r="AB147">
        <v>1.93078634902961E-2</v>
      </c>
      <c r="AC147">
        <v>3.6909822815328501E-2</v>
      </c>
      <c r="AD147" s="1">
        <v>1.40156447075035E-6</v>
      </c>
      <c r="AE147">
        <v>4.1701863724087303E-2</v>
      </c>
      <c r="AF147">
        <v>0</v>
      </c>
      <c r="AG147" s="1">
        <v>2.2940663155998699E-5</v>
      </c>
      <c r="AH147">
        <v>0.87445226475118198</v>
      </c>
      <c r="AI147">
        <v>9.3378495734345202E-2</v>
      </c>
      <c r="AJ147" t="s">
        <v>74</v>
      </c>
      <c r="AK147">
        <v>0</v>
      </c>
      <c r="AL147" t="s">
        <v>77</v>
      </c>
      <c r="AM147">
        <v>0</v>
      </c>
      <c r="AN147">
        <v>0.99199999999999999</v>
      </c>
      <c r="AO147">
        <v>0</v>
      </c>
      <c r="AP147">
        <v>5.8245346242475203E-2</v>
      </c>
      <c r="AQ147">
        <v>0</v>
      </c>
      <c r="AR147">
        <v>1.6E-2</v>
      </c>
      <c r="AS147">
        <v>0</v>
      </c>
      <c r="AT147">
        <v>0</v>
      </c>
      <c r="AU147">
        <v>0</v>
      </c>
      <c r="AV147">
        <v>0</v>
      </c>
      <c r="AW147">
        <v>1</v>
      </c>
      <c r="AX147" t="s">
        <v>74</v>
      </c>
      <c r="AY147">
        <v>0</v>
      </c>
      <c r="AZ147" t="s">
        <v>76</v>
      </c>
      <c r="BA147">
        <v>-1.5707963267949001</v>
      </c>
      <c r="BB147">
        <v>0.99199999999999999</v>
      </c>
      <c r="BC147">
        <v>0</v>
      </c>
      <c r="BD147">
        <v>5.8245346242475203E-2</v>
      </c>
      <c r="BE147">
        <v>0</v>
      </c>
      <c r="BF147">
        <v>1.6E-2</v>
      </c>
      <c r="BG147">
        <v>0</v>
      </c>
      <c r="BH147">
        <v>0</v>
      </c>
      <c r="BI147">
        <v>0</v>
      </c>
      <c r="BJ147">
        <v>0</v>
      </c>
      <c r="BK147">
        <v>1</v>
      </c>
      <c r="BL147" s="1">
        <v>9.8462333327605704E-5</v>
      </c>
      <c r="BM147">
        <v>4.3723760270716899E-4</v>
      </c>
      <c r="BN147" s="1">
        <v>3.7181229209387899E-7</v>
      </c>
      <c r="BO147" s="1">
        <v>6.8681122026902704E-6</v>
      </c>
      <c r="BP147">
        <v>0</v>
      </c>
      <c r="BQ147">
        <v>0</v>
      </c>
      <c r="BR147" s="1">
        <v>5.3040376714308897E-5</v>
      </c>
      <c r="BS147">
        <v>2.42919629753154E-4</v>
      </c>
    </row>
    <row r="148" spans="1:71" x14ac:dyDescent="0.25">
      <c r="A148">
        <v>145</v>
      </c>
      <c r="B148">
        <v>3.75788290824073E-4</v>
      </c>
      <c r="C148">
        <v>0.112831021414313</v>
      </c>
      <c r="D148">
        <v>-3.4548711092898199E-4</v>
      </c>
      <c r="E148">
        <v>6.1312499999999995E-4</v>
      </c>
      <c r="F148">
        <v>-1.1283102141431301E-3</v>
      </c>
      <c r="G148" s="1">
        <v>-1.0842021724855E-19</v>
      </c>
      <c r="H148" t="s">
        <v>74</v>
      </c>
      <c r="I148">
        <v>0</v>
      </c>
      <c r="J148" t="s">
        <v>75</v>
      </c>
      <c r="K148">
        <v>3.14159265358979</v>
      </c>
      <c r="L148">
        <v>0.40895935901178798</v>
      </c>
      <c r="M148">
        <v>0</v>
      </c>
      <c r="N148">
        <v>2.4012076073328899E-2</v>
      </c>
      <c r="O148">
        <v>0</v>
      </c>
      <c r="P148">
        <v>1.6E-2</v>
      </c>
      <c r="Q148">
        <v>0</v>
      </c>
      <c r="R148">
        <v>0</v>
      </c>
      <c r="S148">
        <v>0</v>
      </c>
      <c r="T148">
        <v>0</v>
      </c>
      <c r="U148">
        <v>0.41225741783422998</v>
      </c>
      <c r="V148" t="s">
        <v>79</v>
      </c>
      <c r="W148">
        <v>2623571.1424038699</v>
      </c>
      <c r="X148" t="s">
        <v>76</v>
      </c>
      <c r="Y148">
        <v>-1.5707963267949001</v>
      </c>
      <c r="Z148">
        <v>0.39434980717090601</v>
      </c>
      <c r="AA148">
        <v>0.58403652411322404</v>
      </c>
      <c r="AB148">
        <v>1.8990674070819599E-2</v>
      </c>
      <c r="AC148">
        <v>3.7518690200735498E-2</v>
      </c>
      <c r="AD148" s="1">
        <v>9.8566812996001894E-7</v>
      </c>
      <c r="AE148">
        <v>4.2031375251371003E-2</v>
      </c>
      <c r="AF148">
        <v>0</v>
      </c>
      <c r="AG148" s="1">
        <v>1.5719389942261999E-5</v>
      </c>
      <c r="AH148">
        <v>0.87970729941285097</v>
      </c>
      <c r="AI148">
        <v>9.0114568284768298E-2</v>
      </c>
      <c r="AJ148" t="s">
        <v>74</v>
      </c>
      <c r="AK148">
        <v>0</v>
      </c>
      <c r="AL148" t="s">
        <v>77</v>
      </c>
      <c r="AM148">
        <v>0</v>
      </c>
      <c r="AN148">
        <v>0.99199999999999999</v>
      </c>
      <c r="AO148">
        <v>0</v>
      </c>
      <c r="AP148">
        <v>5.8245346242475203E-2</v>
      </c>
      <c r="AQ148">
        <v>0</v>
      </c>
      <c r="AR148">
        <v>1.6E-2</v>
      </c>
      <c r="AS148">
        <v>0</v>
      </c>
      <c r="AT148">
        <v>0</v>
      </c>
      <c r="AU148">
        <v>0</v>
      </c>
      <c r="AV148">
        <v>0</v>
      </c>
      <c r="AW148">
        <v>1</v>
      </c>
      <c r="AX148" t="s">
        <v>74</v>
      </c>
      <c r="AY148">
        <v>0</v>
      </c>
      <c r="AZ148" t="s">
        <v>76</v>
      </c>
      <c r="BA148">
        <v>-1.5707963267949001</v>
      </c>
      <c r="BB148">
        <v>0.99199999999999999</v>
      </c>
      <c r="BC148">
        <v>0</v>
      </c>
      <c r="BD148">
        <v>5.8245346242475203E-2</v>
      </c>
      <c r="BE148">
        <v>0</v>
      </c>
      <c r="BF148">
        <v>1.6E-2</v>
      </c>
      <c r="BG148">
        <v>0</v>
      </c>
      <c r="BH148">
        <v>0</v>
      </c>
      <c r="BI148">
        <v>0</v>
      </c>
      <c r="BJ148">
        <v>0</v>
      </c>
      <c r="BK148">
        <v>1</v>
      </c>
      <c r="BL148" s="1">
        <v>9.8506066414917194E-5</v>
      </c>
      <c r="BM148">
        <v>4.3986150940139601E-4</v>
      </c>
      <c r="BN148" s="1">
        <v>3.7325562456343102E-7</v>
      </c>
      <c r="BO148" s="1">
        <v>6.9093284326617198E-6</v>
      </c>
      <c r="BP148">
        <v>0</v>
      </c>
      <c r="BQ148">
        <v>0</v>
      </c>
      <c r="BR148" s="1">
        <v>5.3070293941248998E-5</v>
      </c>
      <c r="BS148">
        <v>2.4447234234448802E-4</v>
      </c>
    </row>
    <row r="149" spans="1:71" x14ac:dyDescent="0.25">
      <c r="A149">
        <v>146</v>
      </c>
      <c r="B149">
        <v>3.85405877554585E-4</v>
      </c>
      <c r="C149">
        <v>0.113216427291867</v>
      </c>
      <c r="D149">
        <v>-3.47493895995292E-4</v>
      </c>
      <c r="E149">
        <v>6.1312499999999995E-4</v>
      </c>
      <c r="F149">
        <v>-1.13216427291867E-3</v>
      </c>
      <c r="G149" s="1">
        <v>-1.0842021724855E-19</v>
      </c>
      <c r="H149" t="s">
        <v>74</v>
      </c>
      <c r="I149">
        <v>0</v>
      </c>
      <c r="J149" t="s">
        <v>75</v>
      </c>
      <c r="K149">
        <v>3.14159265358979</v>
      </c>
      <c r="L149">
        <v>0.40549128506778498</v>
      </c>
      <c r="M149">
        <v>0</v>
      </c>
      <c r="N149">
        <v>2.38084478801203E-2</v>
      </c>
      <c r="O149">
        <v>0</v>
      </c>
      <c r="P149">
        <v>1.6E-2</v>
      </c>
      <c r="Q149">
        <v>0</v>
      </c>
      <c r="R149">
        <v>0</v>
      </c>
      <c r="S149">
        <v>0</v>
      </c>
      <c r="T149">
        <v>0</v>
      </c>
      <c r="U149">
        <v>0.40876137553842001</v>
      </c>
      <c r="V149" t="s">
        <v>79</v>
      </c>
      <c r="W149">
        <v>2640888.7234460399</v>
      </c>
      <c r="X149" t="s">
        <v>76</v>
      </c>
      <c r="Y149">
        <v>-1.5707963267949001</v>
      </c>
      <c r="Z149">
        <v>0.39024078470205098</v>
      </c>
      <c r="AA149">
        <v>0.58798003201066196</v>
      </c>
      <c r="AB149">
        <v>1.8671855527517999E-2</v>
      </c>
      <c r="AC149">
        <v>3.8152436950341102E-2</v>
      </c>
      <c r="AD149" s="1">
        <v>6.8896786780945295E-7</v>
      </c>
      <c r="AE149">
        <v>4.2368605355448903E-2</v>
      </c>
      <c r="AF149">
        <v>0</v>
      </c>
      <c r="AG149" s="1">
        <v>1.0701001029396399E-5</v>
      </c>
      <c r="AH149">
        <v>0.88494513394692598</v>
      </c>
      <c r="AI149">
        <v>8.6904580343205404E-2</v>
      </c>
      <c r="AJ149" t="s">
        <v>74</v>
      </c>
      <c r="AK149">
        <v>0</v>
      </c>
      <c r="AL149" t="s">
        <v>77</v>
      </c>
      <c r="AM149">
        <v>0</v>
      </c>
      <c r="AN149">
        <v>0.99199999999999999</v>
      </c>
      <c r="AO149">
        <v>0</v>
      </c>
      <c r="AP149">
        <v>5.8245346242475203E-2</v>
      </c>
      <c r="AQ149">
        <v>0</v>
      </c>
      <c r="AR149">
        <v>1.6E-2</v>
      </c>
      <c r="AS149">
        <v>0</v>
      </c>
      <c r="AT149">
        <v>0</v>
      </c>
      <c r="AU149">
        <v>0</v>
      </c>
      <c r="AV149">
        <v>0</v>
      </c>
      <c r="AW149">
        <v>1</v>
      </c>
      <c r="AX149" t="s">
        <v>74</v>
      </c>
      <c r="AY149">
        <v>0</v>
      </c>
      <c r="AZ149" t="s">
        <v>76</v>
      </c>
      <c r="BA149">
        <v>-1.5707963267949001</v>
      </c>
      <c r="BB149">
        <v>0.99199999999999999</v>
      </c>
      <c r="BC149">
        <v>0</v>
      </c>
      <c r="BD149">
        <v>5.8245346242475203E-2</v>
      </c>
      <c r="BE149">
        <v>0</v>
      </c>
      <c r="BF149">
        <v>1.6E-2</v>
      </c>
      <c r="BG149">
        <v>0</v>
      </c>
      <c r="BH149">
        <v>0</v>
      </c>
      <c r="BI149">
        <v>0</v>
      </c>
      <c r="BJ149">
        <v>0</v>
      </c>
      <c r="BK149">
        <v>1</v>
      </c>
      <c r="BL149" s="1">
        <v>9.8561716421464898E-5</v>
      </c>
      <c r="BM149">
        <v>4.4247791747397801E-4</v>
      </c>
      <c r="BN149" s="1">
        <v>3.7483058406414901E-7</v>
      </c>
      <c r="BO149" s="1">
        <v>6.9504268745598001E-6</v>
      </c>
      <c r="BP149">
        <v>0</v>
      </c>
      <c r="BQ149">
        <v>0</v>
      </c>
      <c r="BR149" s="1">
        <v>5.3107214928738799E-5</v>
      </c>
      <c r="BS149">
        <v>2.4602441169091098E-4</v>
      </c>
    </row>
    <row r="150" spans="1:71" x14ac:dyDescent="0.25">
      <c r="A150">
        <v>147</v>
      </c>
      <c r="B150">
        <v>3.95457688637804E-4</v>
      </c>
      <c r="C150">
        <v>0.11361188498050501</v>
      </c>
      <c r="D150">
        <v>-3.4954905224031E-4</v>
      </c>
      <c r="E150">
        <v>6.1312499999999995E-4</v>
      </c>
      <c r="F150">
        <v>-1.1361188498050501E-3</v>
      </c>
      <c r="G150" s="1">
        <v>-1.0842021724855E-19</v>
      </c>
      <c r="H150" t="s">
        <v>74</v>
      </c>
      <c r="I150">
        <v>0</v>
      </c>
      <c r="J150" t="s">
        <v>75</v>
      </c>
      <c r="K150">
        <v>3.14159265358979</v>
      </c>
      <c r="L150">
        <v>0.40203388751200497</v>
      </c>
      <c r="M150">
        <v>0</v>
      </c>
      <c r="N150">
        <v>2.36054465517592E-2</v>
      </c>
      <c r="O150">
        <v>0</v>
      </c>
      <c r="P150">
        <v>1.6E-2</v>
      </c>
      <c r="Q150">
        <v>0</v>
      </c>
      <c r="R150">
        <v>0</v>
      </c>
      <c r="S150">
        <v>0</v>
      </c>
      <c r="T150">
        <v>0</v>
      </c>
      <c r="U150">
        <v>0.40527609573043399</v>
      </c>
      <c r="V150" t="s">
        <v>79</v>
      </c>
      <c r="W150">
        <v>2658623.7242814</v>
      </c>
      <c r="X150" t="s">
        <v>76</v>
      </c>
      <c r="Y150">
        <v>-1.5707963267949001</v>
      </c>
      <c r="Z150">
        <v>0.386108393073825</v>
      </c>
      <c r="AA150">
        <v>0.59194307738206098</v>
      </c>
      <c r="AB150">
        <v>1.8351018101517201E-2</v>
      </c>
      <c r="AC150">
        <v>3.88130332355755E-2</v>
      </c>
      <c r="AD150" s="1">
        <v>4.7855403461262301E-7</v>
      </c>
      <c r="AE150">
        <v>4.2713853923076597E-2</v>
      </c>
      <c r="AF150">
        <v>0</v>
      </c>
      <c r="AG150" s="1">
        <v>7.2357563252793101E-6</v>
      </c>
      <c r="AH150">
        <v>0.89016530622909695</v>
      </c>
      <c r="AI150">
        <v>8.37494513153485E-2</v>
      </c>
      <c r="AJ150" t="s">
        <v>74</v>
      </c>
      <c r="AK150">
        <v>0</v>
      </c>
      <c r="AL150" t="s">
        <v>77</v>
      </c>
      <c r="AM150">
        <v>0</v>
      </c>
      <c r="AN150">
        <v>0.99199999999999999</v>
      </c>
      <c r="AO150">
        <v>0</v>
      </c>
      <c r="AP150">
        <v>5.8245346242475203E-2</v>
      </c>
      <c r="AQ150">
        <v>0</v>
      </c>
      <c r="AR150">
        <v>1.6E-2</v>
      </c>
      <c r="AS150">
        <v>0</v>
      </c>
      <c r="AT150">
        <v>0</v>
      </c>
      <c r="AU150">
        <v>0</v>
      </c>
      <c r="AV150">
        <v>0</v>
      </c>
      <c r="AW150">
        <v>1</v>
      </c>
      <c r="AX150" t="s">
        <v>74</v>
      </c>
      <c r="AY150">
        <v>0</v>
      </c>
      <c r="AZ150" t="s">
        <v>76</v>
      </c>
      <c r="BA150">
        <v>-1.5707963267949001</v>
      </c>
      <c r="BB150">
        <v>0.99199999999999999</v>
      </c>
      <c r="BC150">
        <v>0</v>
      </c>
      <c r="BD150">
        <v>5.8245346242475203E-2</v>
      </c>
      <c r="BE150">
        <v>0</v>
      </c>
      <c r="BF150">
        <v>1.6E-2</v>
      </c>
      <c r="BG150">
        <v>0</v>
      </c>
      <c r="BH150">
        <v>0</v>
      </c>
      <c r="BI150">
        <v>0</v>
      </c>
      <c r="BJ150">
        <v>0</v>
      </c>
      <c r="BK150">
        <v>1</v>
      </c>
      <c r="BL150" s="1">
        <v>9.8630095186901204E-5</v>
      </c>
      <c r="BM150">
        <v>4.4508627099271099E-4</v>
      </c>
      <c r="BN150" s="1">
        <v>3.7654608415293E-7</v>
      </c>
      <c r="BO150" s="1">
        <v>6.9913987958218901E-6</v>
      </c>
      <c r="BP150">
        <v>0</v>
      </c>
      <c r="BQ150">
        <v>0</v>
      </c>
      <c r="BR150" s="1">
        <v>5.31516176863905E-5</v>
      </c>
      <c r="BS150">
        <v>2.4757567304009798E-4</v>
      </c>
    </row>
    <row r="151" spans="1:71" x14ac:dyDescent="0.25">
      <c r="A151">
        <v>148</v>
      </c>
      <c r="B151">
        <v>4.0596389136482902E-4</v>
      </c>
      <c r="C151">
        <v>0.11401784887187</v>
      </c>
      <c r="D151">
        <v>-3.5165463663214101E-4</v>
      </c>
      <c r="E151">
        <v>6.1312499999999995E-4</v>
      </c>
      <c r="F151">
        <v>-1.1401784887187E-3</v>
      </c>
      <c r="G151" s="1">
        <v>-1.0842021724855E-19</v>
      </c>
      <c r="H151" t="s">
        <v>74</v>
      </c>
      <c r="I151">
        <v>0</v>
      </c>
      <c r="J151" t="s">
        <v>75</v>
      </c>
      <c r="K151">
        <v>3.14159265358979</v>
      </c>
      <c r="L151">
        <v>0.40203388751200497</v>
      </c>
      <c r="M151">
        <v>0</v>
      </c>
      <c r="N151">
        <v>2.36054465517592E-2</v>
      </c>
      <c r="O151">
        <v>0</v>
      </c>
      <c r="P151">
        <v>1.6E-2</v>
      </c>
      <c r="Q151">
        <v>0</v>
      </c>
      <c r="R151">
        <v>0</v>
      </c>
      <c r="S151">
        <v>0</v>
      </c>
      <c r="T151">
        <v>0</v>
      </c>
      <c r="U151">
        <v>0.40527609628226402</v>
      </c>
      <c r="V151" t="s">
        <v>80</v>
      </c>
      <c r="W151">
        <v>2676793.8955462701</v>
      </c>
      <c r="X151" t="s">
        <v>76</v>
      </c>
      <c r="Y151">
        <v>-1.5707963267949001</v>
      </c>
      <c r="Z151">
        <v>0.38525288110419698</v>
      </c>
      <c r="AA151">
        <v>0.59262179960628603</v>
      </c>
      <c r="AB151">
        <v>1.8183728561941899E-2</v>
      </c>
      <c r="AC151">
        <v>3.9346100423938997E-2</v>
      </c>
      <c r="AD151">
        <v>0</v>
      </c>
      <c r="AE151">
        <v>4.2713853923076597E-2</v>
      </c>
      <c r="AF151">
        <v>0</v>
      </c>
      <c r="AG151">
        <v>0</v>
      </c>
      <c r="AH151">
        <v>0.89017254198542195</v>
      </c>
      <c r="AI151">
        <v>8.37494513153485E-2</v>
      </c>
      <c r="AJ151" t="s">
        <v>74</v>
      </c>
      <c r="AK151">
        <v>0</v>
      </c>
      <c r="AL151" t="s">
        <v>77</v>
      </c>
      <c r="AM151">
        <v>0</v>
      </c>
      <c r="AN151">
        <v>0.99199999999999999</v>
      </c>
      <c r="AO151">
        <v>0</v>
      </c>
      <c r="AP151">
        <v>5.8245346242475203E-2</v>
      </c>
      <c r="AQ151">
        <v>0</v>
      </c>
      <c r="AR151">
        <v>1.6E-2</v>
      </c>
      <c r="AS151">
        <v>0</v>
      </c>
      <c r="AT151">
        <v>0</v>
      </c>
      <c r="AU151">
        <v>0</v>
      </c>
      <c r="AV151">
        <v>0</v>
      </c>
      <c r="AW151">
        <v>1</v>
      </c>
      <c r="AX151" t="s">
        <v>74</v>
      </c>
      <c r="AY151">
        <v>0</v>
      </c>
      <c r="AZ151" t="s">
        <v>76</v>
      </c>
      <c r="BA151">
        <v>-1.5707963267949001</v>
      </c>
      <c r="BB151">
        <v>0.99199999999999999</v>
      </c>
      <c r="BC151">
        <v>0</v>
      </c>
      <c r="BD151">
        <v>5.8245346242475203E-2</v>
      </c>
      <c r="BE151">
        <v>0</v>
      </c>
      <c r="BF151">
        <v>1.6E-2</v>
      </c>
      <c r="BG151">
        <v>0</v>
      </c>
      <c r="BH151">
        <v>0</v>
      </c>
      <c r="BI151">
        <v>0</v>
      </c>
      <c r="BJ151">
        <v>0</v>
      </c>
      <c r="BK151">
        <v>1</v>
      </c>
      <c r="BL151" s="1">
        <v>9.8812984011295205E-5</v>
      </c>
      <c r="BM151">
        <v>4.4508627099271099E-4</v>
      </c>
      <c r="BN151" s="1">
        <v>3.7878822196550398E-7</v>
      </c>
      <c r="BO151" s="1">
        <v>6.9913987958218901E-6</v>
      </c>
      <c r="BP151">
        <v>0</v>
      </c>
      <c r="BQ151">
        <v>0</v>
      </c>
      <c r="BR151" s="1">
        <v>5.3270059827182599E-5</v>
      </c>
      <c r="BS151">
        <v>2.4767927682614398E-4</v>
      </c>
    </row>
    <row r="152" spans="1:71" x14ac:dyDescent="0.25">
      <c r="A152">
        <v>149</v>
      </c>
      <c r="B152">
        <v>0.109741439304747</v>
      </c>
      <c r="C152">
        <v>0.223759288176617</v>
      </c>
      <c r="D152">
        <v>-9.1968750000000004E-4</v>
      </c>
      <c r="E152">
        <v>6.1312499999999995E-4</v>
      </c>
      <c r="F152">
        <v>-2.2375928817661701E-3</v>
      </c>
      <c r="G152">
        <v>0</v>
      </c>
      <c r="H152" t="s">
        <v>74</v>
      </c>
      <c r="I152">
        <v>0</v>
      </c>
      <c r="J152" t="s">
        <v>75</v>
      </c>
      <c r="K152">
        <v>3.14159265358979</v>
      </c>
      <c r="L152">
        <v>0.40203388751200497</v>
      </c>
      <c r="M152">
        <v>0</v>
      </c>
      <c r="N152">
        <v>2.36054465517592E-2</v>
      </c>
      <c r="O152">
        <v>0</v>
      </c>
      <c r="P152">
        <v>1.6E-2</v>
      </c>
      <c r="Q152">
        <v>0</v>
      </c>
      <c r="R152">
        <v>0</v>
      </c>
      <c r="S152">
        <v>0</v>
      </c>
      <c r="T152">
        <v>0</v>
      </c>
      <c r="U152">
        <v>0.40527609628226402</v>
      </c>
      <c r="V152" t="s">
        <v>80</v>
      </c>
      <c r="W152">
        <v>7578641.7870455803</v>
      </c>
      <c r="X152" t="s">
        <v>76</v>
      </c>
      <c r="Y152">
        <v>-1.5707963267949001</v>
      </c>
      <c r="Z152">
        <v>0.38525288110419698</v>
      </c>
      <c r="AA152">
        <v>0.59262179960628603</v>
      </c>
      <c r="AB152">
        <v>1.8183728561941899E-2</v>
      </c>
      <c r="AC152">
        <v>3.9346100423938997E-2</v>
      </c>
      <c r="AD152">
        <v>0</v>
      </c>
      <c r="AE152">
        <v>4.2713853923076597E-2</v>
      </c>
      <c r="AF152">
        <v>0</v>
      </c>
      <c r="AG152">
        <v>0</v>
      </c>
      <c r="AH152">
        <v>0.89017254198542195</v>
      </c>
      <c r="AI152">
        <v>8.37494513153485E-2</v>
      </c>
      <c r="AJ152" t="s">
        <v>74</v>
      </c>
      <c r="AK152">
        <v>0</v>
      </c>
      <c r="AL152" t="s">
        <v>77</v>
      </c>
      <c r="AM152">
        <v>0</v>
      </c>
      <c r="AN152">
        <v>0.99199999999999999</v>
      </c>
      <c r="AO152">
        <v>0</v>
      </c>
      <c r="AP152">
        <v>5.8245346242475203E-2</v>
      </c>
      <c r="AQ152">
        <v>0</v>
      </c>
      <c r="AR152">
        <v>1.6E-2</v>
      </c>
      <c r="AS152">
        <v>0</v>
      </c>
      <c r="AT152">
        <v>0</v>
      </c>
      <c r="AU152">
        <v>0</v>
      </c>
      <c r="AV152">
        <v>0</v>
      </c>
      <c r="AW152">
        <v>1</v>
      </c>
      <c r="AX152" t="s">
        <v>74</v>
      </c>
      <c r="AY152">
        <v>0</v>
      </c>
      <c r="AZ152" t="s">
        <v>76</v>
      </c>
      <c r="BA152">
        <v>-1.5707963267949001</v>
      </c>
      <c r="BB152">
        <v>0.99199999999999999</v>
      </c>
      <c r="BC152">
        <v>0</v>
      </c>
      <c r="BD152">
        <v>5.8245346242475203E-2</v>
      </c>
      <c r="BE152">
        <v>0</v>
      </c>
      <c r="BF152">
        <v>1.6E-2</v>
      </c>
      <c r="BG152">
        <v>0</v>
      </c>
      <c r="BH152">
        <v>0</v>
      </c>
      <c r="BI152">
        <v>0</v>
      </c>
      <c r="BJ152">
        <v>0</v>
      </c>
      <c r="BK152">
        <v>1</v>
      </c>
      <c r="BL152" s="1">
        <v>9.8812984011295205E-5</v>
      </c>
      <c r="BM152">
        <v>4.4508627099271099E-4</v>
      </c>
      <c r="BN152" s="1">
        <v>3.7878822196550398E-7</v>
      </c>
      <c r="BO152" s="1">
        <v>6.9913987958218901E-6</v>
      </c>
      <c r="BP152">
        <v>0</v>
      </c>
      <c r="BQ152">
        <v>0</v>
      </c>
      <c r="BR152" s="1">
        <v>6.2865421466415603E-5</v>
      </c>
      <c r="BS152">
        <v>2.8320304346897299E-4</v>
      </c>
    </row>
    <row r="153" spans="1:71" x14ac:dyDescent="0.25">
      <c r="A153">
        <v>150</v>
      </c>
      <c r="B153">
        <v>8.4154408830566199E-2</v>
      </c>
      <c r="C153">
        <v>0.30791369700718302</v>
      </c>
      <c r="D153">
        <v>-1.11626693937765E-3</v>
      </c>
      <c r="E153">
        <v>6.1312499999999995E-4</v>
      </c>
      <c r="F153">
        <v>-3.0791369700718298E-3</v>
      </c>
      <c r="G153">
        <v>0</v>
      </c>
      <c r="H153" t="s">
        <v>78</v>
      </c>
      <c r="I153">
        <v>2096847.3533616101</v>
      </c>
      <c r="J153" t="s">
        <v>75</v>
      </c>
      <c r="K153">
        <v>3.14159265358979</v>
      </c>
      <c r="L153">
        <v>0.39209642410802598</v>
      </c>
      <c r="M153">
        <v>8.4042564422281505E-3</v>
      </c>
      <c r="N153">
        <v>2.23312901866622E-2</v>
      </c>
      <c r="O153">
        <v>4.8850986991517595E-4</v>
      </c>
      <c r="P153">
        <v>1.8679544083544001E-2</v>
      </c>
      <c r="Q153">
        <v>0</v>
      </c>
      <c r="R153">
        <v>0</v>
      </c>
      <c r="S153">
        <v>5.5360499322261803E-3</v>
      </c>
      <c r="T153">
        <v>0</v>
      </c>
      <c r="U153">
        <v>3.84545283890559E-3</v>
      </c>
      <c r="V153" t="s">
        <v>80</v>
      </c>
      <c r="W153">
        <v>9275026.93052526</v>
      </c>
      <c r="X153" t="s">
        <v>76</v>
      </c>
      <c r="Y153">
        <v>-1.5707963267949001</v>
      </c>
      <c r="Z153">
        <v>0.37698651222017199</v>
      </c>
      <c r="AA153">
        <v>0.59262179960628603</v>
      </c>
      <c r="AB153">
        <v>1.7793560401358301E-2</v>
      </c>
      <c r="AC153">
        <v>3.9346100423938997E-2</v>
      </c>
      <c r="AD153">
        <v>0</v>
      </c>
      <c r="AE153">
        <v>4.2713853923076597E-2</v>
      </c>
      <c r="AF153">
        <v>0</v>
      </c>
      <c r="AG153">
        <v>0</v>
      </c>
      <c r="AH153">
        <v>0.89017254198542195</v>
      </c>
      <c r="AI153">
        <v>7.20382772443839E-2</v>
      </c>
      <c r="AJ153" t="s">
        <v>74</v>
      </c>
      <c r="AK153">
        <v>0</v>
      </c>
      <c r="AL153" t="s">
        <v>77</v>
      </c>
      <c r="AM153">
        <v>0</v>
      </c>
      <c r="AN153">
        <v>0.99199999999999999</v>
      </c>
      <c r="AO153">
        <v>0</v>
      </c>
      <c r="AP153">
        <v>5.8245346242475203E-2</v>
      </c>
      <c r="AQ153">
        <v>0</v>
      </c>
      <c r="AR153">
        <v>1.6E-2</v>
      </c>
      <c r="AS153">
        <v>0</v>
      </c>
      <c r="AT153">
        <v>0</v>
      </c>
      <c r="AU153">
        <v>0</v>
      </c>
      <c r="AV153">
        <v>0</v>
      </c>
      <c r="AW153">
        <v>1</v>
      </c>
      <c r="AX153" t="s">
        <v>74</v>
      </c>
      <c r="AY153">
        <v>0</v>
      </c>
      <c r="AZ153" t="s">
        <v>76</v>
      </c>
      <c r="BA153">
        <v>-1.5707963267949001</v>
      </c>
      <c r="BB153">
        <v>0.99199999999999999</v>
      </c>
      <c r="BC153">
        <v>0</v>
      </c>
      <c r="BD153">
        <v>5.8245346242475203E-2</v>
      </c>
      <c r="BE153">
        <v>0</v>
      </c>
      <c r="BF153">
        <v>1.6E-2</v>
      </c>
      <c r="BG153">
        <v>0</v>
      </c>
      <c r="BH153">
        <v>0</v>
      </c>
      <c r="BI153">
        <v>0</v>
      </c>
      <c r="BJ153">
        <v>0</v>
      </c>
      <c r="BK153">
        <v>1</v>
      </c>
      <c r="BL153" s="1">
        <v>9.8225076683412498E-5</v>
      </c>
      <c r="BM153">
        <v>4.4785429595882399E-4</v>
      </c>
      <c r="BN153" s="1">
        <v>3.7484659098936197E-7</v>
      </c>
      <c r="BO153" s="1">
        <v>7.03487883031436E-6</v>
      </c>
      <c r="BP153" s="1">
        <v>1.0177635191384199E-6</v>
      </c>
      <c r="BQ153" s="1">
        <v>1.7094561609301399E-6</v>
      </c>
      <c r="BR153" s="1">
        <v>6.3746105655129105E-5</v>
      </c>
      <c r="BS153">
        <v>3.0456979034840898E-4</v>
      </c>
    </row>
    <row r="154" spans="1:71" x14ac:dyDescent="0.25">
      <c r="A154">
        <v>151</v>
      </c>
      <c r="B154">
        <v>1.3555248946715301E-3</v>
      </c>
      <c r="C154">
        <v>0.30926922190185502</v>
      </c>
      <c r="D154">
        <v>-1.11810101919201E-3</v>
      </c>
      <c r="E154">
        <v>6.1312499999999995E-4</v>
      </c>
      <c r="F154">
        <v>-3.09269221901855E-3</v>
      </c>
      <c r="G154" s="1">
        <v>2.1684043449710098E-19</v>
      </c>
      <c r="H154" t="s">
        <v>78</v>
      </c>
      <c r="I154">
        <v>2116410.87138147</v>
      </c>
      <c r="J154" t="s">
        <v>75</v>
      </c>
      <c r="K154">
        <v>3.14159265358979</v>
      </c>
      <c r="L154">
        <v>0.38523732328293098</v>
      </c>
      <c r="M154">
        <v>1.4829871941380499E-2</v>
      </c>
      <c r="N154">
        <v>2.1755805863763401E-2</v>
      </c>
      <c r="O154">
        <v>1.15214555007805E-3</v>
      </c>
      <c r="P154">
        <v>6.9475568356660803E-3</v>
      </c>
      <c r="Q154">
        <v>1.17375447045077E-2</v>
      </c>
      <c r="R154">
        <v>0</v>
      </c>
      <c r="S154">
        <v>4.3150134241271201E-3</v>
      </c>
      <c r="T154">
        <v>5.3844788228929004E-3</v>
      </c>
      <c r="U154">
        <v>2.0603309466922098E-3</v>
      </c>
      <c r="V154" t="s">
        <v>80</v>
      </c>
      <c r="W154">
        <v>9290854.1490730792</v>
      </c>
      <c r="X154" t="s">
        <v>76</v>
      </c>
      <c r="Y154">
        <v>-1.5707963267949001</v>
      </c>
      <c r="Z154">
        <v>0.37076970593721198</v>
      </c>
      <c r="AA154">
        <v>0.59262179960628603</v>
      </c>
      <c r="AB154">
        <v>1.7500130492028299E-2</v>
      </c>
      <c r="AC154">
        <v>3.9346100423938997E-2</v>
      </c>
      <c r="AD154">
        <v>0</v>
      </c>
      <c r="AE154">
        <v>4.2713853923076597E-2</v>
      </c>
      <c r="AF154">
        <v>0</v>
      </c>
      <c r="AG154">
        <v>0</v>
      </c>
      <c r="AH154">
        <v>0.89017254198542195</v>
      </c>
      <c r="AI154">
        <v>6.3981542598682398E-2</v>
      </c>
      <c r="AJ154" t="s">
        <v>74</v>
      </c>
      <c r="AK154">
        <v>0</v>
      </c>
      <c r="AL154" t="s">
        <v>77</v>
      </c>
      <c r="AM154">
        <v>0</v>
      </c>
      <c r="AN154">
        <v>0.99199999999999999</v>
      </c>
      <c r="AO154">
        <v>0</v>
      </c>
      <c r="AP154">
        <v>5.8245346242475203E-2</v>
      </c>
      <c r="AQ154">
        <v>0</v>
      </c>
      <c r="AR154">
        <v>1.6E-2</v>
      </c>
      <c r="AS154">
        <v>0</v>
      </c>
      <c r="AT154">
        <v>0</v>
      </c>
      <c r="AU154">
        <v>0</v>
      </c>
      <c r="AV154">
        <v>0</v>
      </c>
      <c r="AW154">
        <v>1</v>
      </c>
      <c r="AX154" t="s">
        <v>74</v>
      </c>
      <c r="AY154">
        <v>0</v>
      </c>
      <c r="AZ154" t="s">
        <v>76</v>
      </c>
      <c r="BA154">
        <v>-1.5707963267949001</v>
      </c>
      <c r="BB154">
        <v>0.99199999999999999</v>
      </c>
      <c r="BC154">
        <v>0</v>
      </c>
      <c r="BD154">
        <v>5.8245346242475203E-2</v>
      </c>
      <c r="BE154">
        <v>0</v>
      </c>
      <c r="BF154">
        <v>1.6E-2</v>
      </c>
      <c r="BG154">
        <v>0</v>
      </c>
      <c r="BH154">
        <v>0</v>
      </c>
      <c r="BI154">
        <v>0</v>
      </c>
      <c r="BJ154">
        <v>0</v>
      </c>
      <c r="BK154">
        <v>1</v>
      </c>
      <c r="BL154" s="1">
        <v>9.8122437407379597E-5</v>
      </c>
      <c r="BM154">
        <v>4.4993601711622099E-4</v>
      </c>
      <c r="BN154" s="1">
        <v>3.7510915662718601E-7</v>
      </c>
      <c r="BO154" s="1">
        <v>7.0675784297888599E-6</v>
      </c>
      <c r="BP154" s="1">
        <v>1.0443364030785499E-6</v>
      </c>
      <c r="BQ154" s="1">
        <v>3.0230138532293001E-6</v>
      </c>
      <c r="BR154" s="1">
        <v>6.3714969885469701E-5</v>
      </c>
      <c r="BS154">
        <v>3.07259726914137E-4</v>
      </c>
    </row>
    <row r="155" spans="1:71" x14ac:dyDescent="0.25">
      <c r="A155">
        <v>152</v>
      </c>
      <c r="B155">
        <v>2.0131364850649101E-3</v>
      </c>
      <c r="C155">
        <v>0.31128235838691898</v>
      </c>
      <c r="D155">
        <v>-1.1208064127270199E-3</v>
      </c>
      <c r="E155">
        <v>6.1312499999999995E-4</v>
      </c>
      <c r="F155">
        <v>-3.1128235838692002E-3</v>
      </c>
      <c r="G155">
        <v>0</v>
      </c>
      <c r="H155" t="s">
        <v>80</v>
      </c>
      <c r="I155">
        <v>2145268.4024215098</v>
      </c>
      <c r="J155" t="s">
        <v>75</v>
      </c>
      <c r="K155">
        <v>3.14159265358979</v>
      </c>
      <c r="L155">
        <v>0.37939942539391103</v>
      </c>
      <c r="M155">
        <v>2.0963669066600899E-2</v>
      </c>
      <c r="N155">
        <v>2.1195514704048801E-2</v>
      </c>
      <c r="O155">
        <v>1.8744717377867999E-3</v>
      </c>
      <c r="P155">
        <v>9.8981939758218296E-4</v>
      </c>
      <c r="Q155">
        <v>1.76987786503249E-2</v>
      </c>
      <c r="R155">
        <v>0</v>
      </c>
      <c r="S155">
        <v>1.468012563685E-3</v>
      </c>
      <c r="T155">
        <v>1.16566699110939E-2</v>
      </c>
      <c r="U155">
        <v>9.75389294280654E-4</v>
      </c>
      <c r="V155" t="s">
        <v>80</v>
      </c>
      <c r="W155">
        <v>9314200.3821001798</v>
      </c>
      <c r="X155" t="s">
        <v>76</v>
      </c>
      <c r="Y155">
        <v>-1.5707963267949001</v>
      </c>
      <c r="Z155">
        <v>0.36565524955274298</v>
      </c>
      <c r="AA155">
        <v>0.59262179960628603</v>
      </c>
      <c r="AB155">
        <v>1.7258730904384598E-2</v>
      </c>
      <c r="AC155">
        <v>3.9346100423938997E-2</v>
      </c>
      <c r="AD155">
        <v>0</v>
      </c>
      <c r="AE155">
        <v>4.2713853923076597E-2</v>
      </c>
      <c r="AF155">
        <v>0</v>
      </c>
      <c r="AG155">
        <v>0</v>
      </c>
      <c r="AH155">
        <v>0.89017254198542195</v>
      </c>
      <c r="AI155">
        <v>5.6086483405831E-2</v>
      </c>
      <c r="AJ155" t="s">
        <v>74</v>
      </c>
      <c r="AK155">
        <v>0</v>
      </c>
      <c r="AL155" t="s">
        <v>77</v>
      </c>
      <c r="AM155">
        <v>0</v>
      </c>
      <c r="AN155">
        <v>0.99199999999999999</v>
      </c>
      <c r="AO155">
        <v>0</v>
      </c>
      <c r="AP155">
        <v>5.8245346242475203E-2</v>
      </c>
      <c r="AQ155">
        <v>0</v>
      </c>
      <c r="AR155">
        <v>1.6E-2</v>
      </c>
      <c r="AS155">
        <v>0</v>
      </c>
      <c r="AT155">
        <v>0</v>
      </c>
      <c r="AU155">
        <v>0</v>
      </c>
      <c r="AV155">
        <v>0</v>
      </c>
      <c r="AW155">
        <v>1</v>
      </c>
      <c r="AX155" t="s">
        <v>74</v>
      </c>
      <c r="AY155">
        <v>0</v>
      </c>
      <c r="AZ155" t="s">
        <v>76</v>
      </c>
      <c r="BA155">
        <v>-1.5707963267949001</v>
      </c>
      <c r="BB155">
        <v>0.99199999999999999</v>
      </c>
      <c r="BC155">
        <v>0</v>
      </c>
      <c r="BD155">
        <v>5.8245346242475203E-2</v>
      </c>
      <c r="BE155">
        <v>0</v>
      </c>
      <c r="BF155">
        <v>1.6E-2</v>
      </c>
      <c r="BG155">
        <v>0</v>
      </c>
      <c r="BH155">
        <v>0</v>
      </c>
      <c r="BI155">
        <v>0</v>
      </c>
      <c r="BJ155">
        <v>0</v>
      </c>
      <c r="BK155">
        <v>1</v>
      </c>
      <c r="BL155" s="1">
        <v>9.8082755127554806E-5</v>
      </c>
      <c r="BM155">
        <v>4.51648612230101E-4</v>
      </c>
      <c r="BN155" s="1">
        <v>3.7579957603503203E-7</v>
      </c>
      <c r="BO155" s="1">
        <v>7.0944798109305502E-6</v>
      </c>
      <c r="BP155" s="1">
        <v>1.0849650913672101E-6</v>
      </c>
      <c r="BQ155" s="1">
        <v>4.1463083362901801E-6</v>
      </c>
      <c r="BR155" s="1">
        <v>6.3752962057342599E-5</v>
      </c>
      <c r="BS155">
        <v>3.0959881123902302E-4</v>
      </c>
    </row>
    <row r="156" spans="1:71" x14ac:dyDescent="0.25">
      <c r="A156">
        <v>153</v>
      </c>
      <c r="B156">
        <v>0.2</v>
      </c>
      <c r="C156">
        <v>0.51128235838691904</v>
      </c>
      <c r="D156">
        <v>-1.3868750000000001E-3</v>
      </c>
      <c r="E156">
        <v>6.1312499999999995E-4</v>
      </c>
      <c r="F156">
        <v>-5.1128235838692002E-3</v>
      </c>
      <c r="G156">
        <v>0</v>
      </c>
      <c r="H156" t="s">
        <v>80</v>
      </c>
      <c r="I156">
        <v>4983333.3333333395</v>
      </c>
      <c r="J156" t="s">
        <v>75</v>
      </c>
      <c r="K156">
        <v>3.14159265358979</v>
      </c>
      <c r="L156">
        <v>0.37939942539391103</v>
      </c>
      <c r="M156">
        <v>2.0963669066600899E-2</v>
      </c>
      <c r="N156">
        <v>2.1195514704048801E-2</v>
      </c>
      <c r="O156">
        <v>1.8744717377867999E-3</v>
      </c>
      <c r="P156">
        <v>0</v>
      </c>
      <c r="Q156">
        <v>1.76987786503249E-2</v>
      </c>
      <c r="R156">
        <v>0</v>
      </c>
      <c r="S156">
        <v>0</v>
      </c>
      <c r="T156">
        <v>1.3124682474778901E-2</v>
      </c>
      <c r="U156">
        <v>9.75389294280654E-4</v>
      </c>
      <c r="V156" t="s">
        <v>80</v>
      </c>
      <c r="W156">
        <v>11610243.142347399</v>
      </c>
      <c r="X156" t="s">
        <v>76</v>
      </c>
      <c r="Y156">
        <v>-1.5707963267949001</v>
      </c>
      <c r="Z156">
        <v>0.36565524955274298</v>
      </c>
      <c r="AA156">
        <v>0.59262179960628603</v>
      </c>
      <c r="AB156">
        <v>1.7258730904384598E-2</v>
      </c>
      <c r="AC156">
        <v>3.9346100423938997E-2</v>
      </c>
      <c r="AD156">
        <v>0</v>
      </c>
      <c r="AE156">
        <v>4.2713853923076597E-2</v>
      </c>
      <c r="AF156">
        <v>0</v>
      </c>
      <c r="AG156">
        <v>0</v>
      </c>
      <c r="AH156">
        <v>0.89017254198542195</v>
      </c>
      <c r="AI156">
        <v>5.60867055885515E-2</v>
      </c>
      <c r="AJ156" t="s">
        <v>74</v>
      </c>
      <c r="AK156">
        <v>0</v>
      </c>
      <c r="AL156" t="s">
        <v>77</v>
      </c>
      <c r="AM156">
        <v>0</v>
      </c>
      <c r="AN156">
        <v>0.99199999999999999</v>
      </c>
      <c r="AO156">
        <v>0</v>
      </c>
      <c r="AP156">
        <v>5.8245346242475203E-2</v>
      </c>
      <c r="AQ156">
        <v>0</v>
      </c>
      <c r="AR156">
        <v>1.6E-2</v>
      </c>
      <c r="AS156">
        <v>0</v>
      </c>
      <c r="AT156">
        <v>0</v>
      </c>
      <c r="AU156">
        <v>0</v>
      </c>
      <c r="AV156">
        <v>0</v>
      </c>
      <c r="AW156">
        <v>1</v>
      </c>
      <c r="AX156" t="s">
        <v>74</v>
      </c>
      <c r="AY156">
        <v>0</v>
      </c>
      <c r="AZ156" t="s">
        <v>76</v>
      </c>
      <c r="BA156">
        <v>-1.5707963267949001</v>
      </c>
      <c r="BB156">
        <v>0.99199999999999999</v>
      </c>
      <c r="BC156">
        <v>0</v>
      </c>
      <c r="BD156">
        <v>5.8245346242475203E-2</v>
      </c>
      <c r="BE156">
        <v>0</v>
      </c>
      <c r="BF156">
        <v>1.6E-2</v>
      </c>
      <c r="BG156">
        <v>0</v>
      </c>
      <c r="BH156">
        <v>0</v>
      </c>
      <c r="BI156">
        <v>0</v>
      </c>
      <c r="BJ156">
        <v>0</v>
      </c>
      <c r="BK156">
        <v>1</v>
      </c>
      <c r="BL156" s="1">
        <v>9.8082755127554806E-5</v>
      </c>
      <c r="BM156">
        <v>4.51648612230101E-4</v>
      </c>
      <c r="BN156" s="1">
        <v>3.7579957603503203E-7</v>
      </c>
      <c r="BO156" s="1">
        <v>7.0944798109305502E-6</v>
      </c>
      <c r="BP156" s="1">
        <v>2.5203106050554498E-6</v>
      </c>
      <c r="BQ156" s="1">
        <v>9.6316323492154604E-6</v>
      </c>
      <c r="BR156" s="1">
        <v>6.6463542147285999E-5</v>
      </c>
      <c r="BS156">
        <v>3.45144827023527E-4</v>
      </c>
    </row>
    <row r="157" spans="1:71" x14ac:dyDescent="0.25">
      <c r="A157">
        <v>154</v>
      </c>
      <c r="B157">
        <v>0</v>
      </c>
      <c r="C157">
        <v>0.51128235838691904</v>
      </c>
      <c r="D157">
        <v>-1.3868750000000001E-3</v>
      </c>
      <c r="E157">
        <v>6.1312499999999995E-4</v>
      </c>
      <c r="F157">
        <v>-5.1128235838692002E-3</v>
      </c>
      <c r="G157">
        <v>0</v>
      </c>
      <c r="H157" t="s">
        <v>80</v>
      </c>
      <c r="I157">
        <v>4983333.3333333395</v>
      </c>
      <c r="J157" t="s">
        <v>75</v>
      </c>
      <c r="K157">
        <v>3.14159265358979</v>
      </c>
      <c r="L157">
        <v>0.37939942539391103</v>
      </c>
      <c r="M157">
        <v>2.0963669066600899E-2</v>
      </c>
      <c r="N157">
        <v>2.1195514704048801E-2</v>
      </c>
      <c r="O157">
        <v>1.8744717377867999E-3</v>
      </c>
      <c r="P157">
        <v>0</v>
      </c>
      <c r="Q157">
        <v>1.76987786503249E-2</v>
      </c>
      <c r="R157">
        <v>0</v>
      </c>
      <c r="S157">
        <v>0</v>
      </c>
      <c r="T157">
        <v>1.3124682474778901E-2</v>
      </c>
      <c r="U157">
        <v>9.75389294280654E-4</v>
      </c>
      <c r="V157" t="s">
        <v>80</v>
      </c>
      <c r="W157">
        <v>11610243.142347399</v>
      </c>
      <c r="X157" t="s">
        <v>76</v>
      </c>
      <c r="Y157">
        <v>-1.5707963267949001</v>
      </c>
      <c r="Z157">
        <v>0.36565524955274298</v>
      </c>
      <c r="AA157">
        <v>0.59262179960628603</v>
      </c>
      <c r="AB157">
        <v>1.7258730904384598E-2</v>
      </c>
      <c r="AC157">
        <v>3.9346100423938997E-2</v>
      </c>
      <c r="AD157">
        <v>0</v>
      </c>
      <c r="AE157">
        <v>4.2713853923076597E-2</v>
      </c>
      <c r="AF157">
        <v>0</v>
      </c>
      <c r="AG157">
        <v>0</v>
      </c>
      <c r="AH157">
        <v>0.89017254198542195</v>
      </c>
      <c r="AI157">
        <v>5.60867055885515E-2</v>
      </c>
      <c r="AJ157" t="s">
        <v>74</v>
      </c>
      <c r="AK157">
        <v>0</v>
      </c>
      <c r="AL157" t="s">
        <v>77</v>
      </c>
      <c r="AM157">
        <v>0</v>
      </c>
      <c r="AN157">
        <v>0.99199999999999999</v>
      </c>
      <c r="AO157">
        <v>0</v>
      </c>
      <c r="AP157">
        <v>5.8245346242475203E-2</v>
      </c>
      <c r="AQ157">
        <v>0</v>
      </c>
      <c r="AR157">
        <v>1.6E-2</v>
      </c>
      <c r="AS157">
        <v>0</v>
      </c>
      <c r="AT157">
        <v>0</v>
      </c>
      <c r="AU157">
        <v>0</v>
      </c>
      <c r="AV157">
        <v>0</v>
      </c>
      <c r="AW157">
        <v>1</v>
      </c>
      <c r="AX157" t="s">
        <v>74</v>
      </c>
      <c r="AY157">
        <v>0</v>
      </c>
      <c r="AZ157" t="s">
        <v>76</v>
      </c>
      <c r="BA157">
        <v>-1.5707963267949001</v>
      </c>
      <c r="BB157">
        <v>0.99199999999999999</v>
      </c>
      <c r="BC157">
        <v>0</v>
      </c>
      <c r="BD157">
        <v>5.8245346242475203E-2</v>
      </c>
      <c r="BE157">
        <v>0</v>
      </c>
      <c r="BF157">
        <v>1.6E-2</v>
      </c>
      <c r="BG157">
        <v>0</v>
      </c>
      <c r="BH157">
        <v>0</v>
      </c>
      <c r="BI157">
        <v>0</v>
      </c>
      <c r="BJ157">
        <v>0</v>
      </c>
      <c r="BK157">
        <v>1</v>
      </c>
      <c r="BL157" s="1">
        <v>9.8082755127554806E-5</v>
      </c>
      <c r="BM157">
        <v>4.51648612230101E-4</v>
      </c>
      <c r="BN157" s="1">
        <v>3.7579957603503203E-7</v>
      </c>
      <c r="BO157" s="1">
        <v>7.0944798109305502E-6</v>
      </c>
      <c r="BP157" s="1">
        <v>2.5203106050554498E-6</v>
      </c>
      <c r="BQ157" s="1">
        <v>9.6316323492154604E-6</v>
      </c>
      <c r="BR157" s="1">
        <v>6.6463542147285999E-5</v>
      </c>
      <c r="BS157">
        <v>3.45144827023527E-4</v>
      </c>
    </row>
    <row r="158" spans="1:71" x14ac:dyDescent="0.25">
      <c r="A158" t="s">
        <v>68</v>
      </c>
    </row>
    <row r="159" spans="1:71" x14ac:dyDescent="0.25">
      <c r="A159" t="s">
        <v>9</v>
      </c>
      <c r="B159">
        <v>0</v>
      </c>
      <c r="C159">
        <v>0.25955190384466498</v>
      </c>
      <c r="D159">
        <v>0.58647099847871997</v>
      </c>
      <c r="E159">
        <v>0.99824256652821797</v>
      </c>
      <c r="F159">
        <v>1.51689022901407</v>
      </c>
      <c r="G159">
        <v>2.1701538797227</v>
      </c>
      <c r="H159">
        <v>2.9929733546852799</v>
      </c>
      <c r="I159">
        <v>4.02935719089486</v>
      </c>
      <c r="J159">
        <v>5.3347364249064801</v>
      </c>
      <c r="K159">
        <v>6.9789293243451</v>
      </c>
      <c r="L159">
        <v>9.0498756211208899</v>
      </c>
      <c r="M159">
        <v>11.658339971984899</v>
      </c>
      <c r="N159">
        <v>14.9438362112266</v>
      </c>
      <c r="O159">
        <v>19.082089254437999</v>
      </c>
      <c r="P159">
        <v>24.294433753605801</v>
      </c>
      <c r="Q159">
        <v>30.859652191026999</v>
      </c>
      <c r="R159">
        <v>39.128885573036897</v>
      </c>
      <c r="S159">
        <v>49.544414222683301</v>
      </c>
      <c r="T159">
        <v>62.663313162894099</v>
      </c>
      <c r="U159">
        <v>79.187247299382406</v>
      </c>
      <c r="V159">
        <v>100</v>
      </c>
    </row>
    <row r="160" spans="1:71" x14ac:dyDescent="0.25">
      <c r="A160" t="s">
        <v>6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</row>
    <row r="161" spans="1:23" x14ac:dyDescent="0.25">
      <c r="A161" t="s">
        <v>7</v>
      </c>
      <c r="B161">
        <v>1.76987786503249E-2</v>
      </c>
      <c r="C161">
        <v>1.14209500559346E-2</v>
      </c>
      <c r="D161">
        <v>1.5771210807817701E-3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</row>
    <row r="162" spans="1:23" x14ac:dyDescent="0.25">
      <c r="A162" t="s">
        <v>8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</row>
    <row r="163" spans="1:23" x14ac:dyDescent="0.25">
      <c r="A163" t="s">
        <v>41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</row>
    <row r="164" spans="1:23" x14ac:dyDescent="0.25">
      <c r="A164" t="s">
        <v>42</v>
      </c>
      <c r="B164">
        <v>1.3124682474778901E-2</v>
      </c>
      <c r="C164">
        <v>9.6643892892460601E-3</v>
      </c>
      <c r="D164">
        <v>4.9860723311633201E-3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</row>
    <row r="165" spans="1:23" x14ac:dyDescent="0.25">
      <c r="A165" t="s">
        <v>10</v>
      </c>
      <c r="B165">
        <v>0</v>
      </c>
      <c r="C165">
        <v>0.05</v>
      </c>
      <c r="D165">
        <v>0.1</v>
      </c>
      <c r="E165">
        <v>0.15</v>
      </c>
      <c r="F165">
        <v>0.2</v>
      </c>
      <c r="G165">
        <v>0.25</v>
      </c>
      <c r="H165">
        <v>0.3</v>
      </c>
      <c r="I165">
        <v>0.35</v>
      </c>
      <c r="J165">
        <v>0.4</v>
      </c>
      <c r="K165">
        <v>0.45</v>
      </c>
      <c r="L165">
        <v>0.5</v>
      </c>
    </row>
    <row r="166" spans="1:23" x14ac:dyDescent="0.25">
      <c r="A166" t="s">
        <v>2</v>
      </c>
      <c r="B166">
        <v>0.37939942539391103</v>
      </c>
      <c r="C166">
        <v>0.37939942539391103</v>
      </c>
      <c r="D166">
        <v>0.37939942539391103</v>
      </c>
      <c r="E166">
        <v>0.108712833840493</v>
      </c>
      <c r="F166">
        <v>4.2822018912620101E-2</v>
      </c>
      <c r="G166">
        <v>1.93577784940097E-2</v>
      </c>
      <c r="H166">
        <v>8.9868016549446792E-3</v>
      </c>
      <c r="I166">
        <v>3.7265515944486902E-3</v>
      </c>
      <c r="J166">
        <v>9.7358626718739105E-4</v>
      </c>
      <c r="K166" s="1">
        <v>9.7468039322356104E-5</v>
      </c>
      <c r="L166">
        <v>0</v>
      </c>
    </row>
    <row r="167" spans="1:23" x14ac:dyDescent="0.25">
      <c r="A167" t="s">
        <v>3</v>
      </c>
      <c r="B167">
        <v>2.0963669066600899E-2</v>
      </c>
      <c r="C167">
        <v>1.53582663006731E-2</v>
      </c>
      <c r="D167">
        <v>1.53582663006731E-2</v>
      </c>
      <c r="E167">
        <v>5.2719341837771903E-3</v>
      </c>
      <c r="F167">
        <v>2.66205500701726E-3</v>
      </c>
      <c r="G167">
        <v>1.7326635727538001E-3</v>
      </c>
      <c r="H167">
        <v>1.32186242112967E-3</v>
      </c>
      <c r="I167">
        <v>1.11304001885058E-3</v>
      </c>
      <c r="J167">
        <v>9.9751903313111102E-4</v>
      </c>
      <c r="K167">
        <v>9.4005314670207003E-4</v>
      </c>
      <c r="L167">
        <v>9.2423022633642102E-4</v>
      </c>
    </row>
    <row r="168" spans="1:23" x14ac:dyDescent="0.25">
      <c r="A168" t="s">
        <v>11</v>
      </c>
      <c r="B168">
        <v>2.1195514704048801E-2</v>
      </c>
      <c r="C168">
        <v>2.1195514704048801E-2</v>
      </c>
      <c r="D168">
        <v>2.1195514704048801E-2</v>
      </c>
      <c r="E168">
        <v>1.2691644629553999E-2</v>
      </c>
      <c r="F168">
        <v>8.03409737693387E-3</v>
      </c>
      <c r="G168">
        <v>5.0854939640870202E-3</v>
      </c>
      <c r="H168">
        <v>3.0491574235772399E-3</v>
      </c>
      <c r="I168">
        <v>1.56185675842828E-3</v>
      </c>
      <c r="J168">
        <v>5.0239154158362499E-4</v>
      </c>
      <c r="K168" s="1">
        <v>6.2006487449720306E-5</v>
      </c>
      <c r="L168">
        <v>0</v>
      </c>
    </row>
    <row r="169" spans="1:23" x14ac:dyDescent="0.25">
      <c r="A169" t="s">
        <v>12</v>
      </c>
      <c r="B169">
        <v>1.8744717377867999E-3</v>
      </c>
      <c r="C169">
        <v>1.56714550941602E-3</v>
      </c>
      <c r="D169">
        <v>1.56714550941602E-3</v>
      </c>
      <c r="E169">
        <v>1.25027404061495E-3</v>
      </c>
      <c r="F169">
        <v>1.0657925525244701E-3</v>
      </c>
      <c r="G169">
        <v>9.4900178043681304E-4</v>
      </c>
      <c r="H169">
        <v>8.6834116293502497E-4</v>
      </c>
      <c r="I169">
        <v>8.0929801969357898E-4</v>
      </c>
      <c r="J169">
        <v>7.64840334384793E-4</v>
      </c>
      <c r="K169">
        <v>7.3595482932279298E-4</v>
      </c>
      <c r="L169">
        <v>7.2588872232103301E-4</v>
      </c>
    </row>
    <row r="170" spans="1:23" x14ac:dyDescent="0.25">
      <c r="A170" t="s">
        <v>4</v>
      </c>
      <c r="B170">
        <v>3.6688838794855599E-3</v>
      </c>
      <c r="C170">
        <v>3.6688838794855599E-3</v>
      </c>
      <c r="D170">
        <v>3.6688838794855599E-3</v>
      </c>
      <c r="E170">
        <v>2.8184968720360898E-3</v>
      </c>
      <c r="F170">
        <v>2.1198647841430699E-3</v>
      </c>
      <c r="G170">
        <v>1.5301441015737E-3</v>
      </c>
      <c r="H170">
        <v>1.02105996644625E-3</v>
      </c>
      <c r="I170">
        <v>5.7486976690156698E-4</v>
      </c>
      <c r="J170">
        <v>2.04056941005936E-4</v>
      </c>
      <c r="K170" s="1">
        <v>2.7902919352374101E-5</v>
      </c>
      <c r="L170">
        <v>0</v>
      </c>
    </row>
    <row r="171" spans="1:23" x14ac:dyDescent="0.25">
      <c r="A171" t="s">
        <v>5</v>
      </c>
      <c r="B171">
        <v>5.6806021769524302E-4</v>
      </c>
      <c r="C171">
        <v>5.1518412305327495E-4</v>
      </c>
      <c r="D171">
        <v>5.1518412305327495E-4</v>
      </c>
      <c r="E171">
        <v>4.83496976173168E-4</v>
      </c>
      <c r="F171">
        <v>4.5582475295959497E-4</v>
      </c>
      <c r="G171">
        <v>4.3246659854206401E-4</v>
      </c>
      <c r="H171">
        <v>4.1230144416661701E-4</v>
      </c>
      <c r="I171">
        <v>3.94588501194184E-4</v>
      </c>
      <c r="J171">
        <v>3.7902831133610799E-4</v>
      </c>
      <c r="K171">
        <v>3.6747410931130801E-4</v>
      </c>
      <c r="L171">
        <v>3.6294436116051699E-4</v>
      </c>
    </row>
    <row r="172" spans="1:23" x14ac:dyDescent="0.25">
      <c r="A172" t="s">
        <v>69</v>
      </c>
    </row>
    <row r="173" spans="1:23" x14ac:dyDescent="0.25">
      <c r="A173" t="s">
        <v>9</v>
      </c>
      <c r="B173">
        <v>0</v>
      </c>
      <c r="C173">
        <v>0.25955190384466498</v>
      </c>
      <c r="D173">
        <v>0.58647099847871997</v>
      </c>
      <c r="E173">
        <v>0.99824256652821797</v>
      </c>
      <c r="F173">
        <v>1.51689022901407</v>
      </c>
      <c r="G173">
        <v>2.1701538797227</v>
      </c>
      <c r="H173">
        <v>2.9929733546852799</v>
      </c>
      <c r="I173">
        <v>4.02935719089486</v>
      </c>
      <c r="J173">
        <v>5.3347364249064801</v>
      </c>
      <c r="K173">
        <v>6.9789293243451</v>
      </c>
      <c r="L173">
        <v>9.0498756211208899</v>
      </c>
      <c r="M173">
        <v>11.658339971984899</v>
      </c>
      <c r="N173">
        <v>14.9438362112266</v>
      </c>
      <c r="O173">
        <v>19.082089254437999</v>
      </c>
      <c r="P173">
        <v>24.294433753605801</v>
      </c>
      <c r="Q173">
        <v>30.859652191026999</v>
      </c>
      <c r="R173">
        <v>39.128885573036897</v>
      </c>
      <c r="S173">
        <v>49.544414222683301</v>
      </c>
      <c r="T173">
        <v>62.663313162894099</v>
      </c>
      <c r="U173">
        <v>79.187247299382406</v>
      </c>
      <c r="V173">
        <v>100</v>
      </c>
    </row>
    <row r="174" spans="1:23" x14ac:dyDescent="0.25">
      <c r="A174" t="s">
        <v>6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 s="1"/>
    </row>
    <row r="175" spans="1:23" x14ac:dyDescent="0.25">
      <c r="A175" t="s">
        <v>7</v>
      </c>
      <c r="B175">
        <v>4.2713853923076597E-2</v>
      </c>
      <c r="C175">
        <v>4.2455304963915502E-2</v>
      </c>
      <c r="D175">
        <v>4.1917092971033798E-2</v>
      </c>
      <c r="E175">
        <v>4.11818452932496E-2</v>
      </c>
      <c r="F175">
        <v>4.0247057323026601E-2</v>
      </c>
      <c r="G175">
        <v>3.90712432962151E-2</v>
      </c>
      <c r="H175">
        <v>3.7608965502618899E-2</v>
      </c>
      <c r="I175">
        <v>3.5813060867777698E-2</v>
      </c>
      <c r="J175">
        <v>3.3639707604387697E-2</v>
      </c>
      <c r="K175">
        <v>3.10568996964426E-2</v>
      </c>
      <c r="L175">
        <v>2.8054228394101301E-2</v>
      </c>
      <c r="M175">
        <v>2.4657319280354199E-2</v>
      </c>
      <c r="N175">
        <v>2.09421701516838E-2</v>
      </c>
      <c r="O175">
        <v>1.7045724747730098E-2</v>
      </c>
      <c r="P175">
        <v>1.3164108606033899E-2</v>
      </c>
      <c r="Q175">
        <v>9.5319500848544698E-3</v>
      </c>
      <c r="R175">
        <v>6.3773258389063997E-3</v>
      </c>
      <c r="S175">
        <v>3.8704167078657602E-3</v>
      </c>
      <c r="T175">
        <v>2.0789047170521602E-3</v>
      </c>
      <c r="U175">
        <v>9.5327234868223501E-4</v>
      </c>
      <c r="V175">
        <v>3.5599142593371598E-4</v>
      </c>
      <c r="W175" s="1"/>
    </row>
    <row r="176" spans="1:23" x14ac:dyDescent="0.25">
      <c r="A176" t="s">
        <v>8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</row>
    <row r="177" spans="1:24" x14ac:dyDescent="0.25">
      <c r="A177" t="s">
        <v>41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 s="1"/>
      <c r="X177" s="1"/>
    </row>
    <row r="178" spans="1:24" x14ac:dyDescent="0.25">
      <c r="A178" t="s">
        <v>42</v>
      </c>
      <c r="B178">
        <v>0.89017254198542195</v>
      </c>
      <c r="C178">
        <v>0.89013826583447098</v>
      </c>
      <c r="D178">
        <v>0.88990610516226398</v>
      </c>
      <c r="E178">
        <v>0.88932318125462595</v>
      </c>
      <c r="F178">
        <v>0.88814739754444805</v>
      </c>
      <c r="G178">
        <v>0.88598015632940097</v>
      </c>
      <c r="H178">
        <v>0.88220697998018605</v>
      </c>
      <c r="I178">
        <v>0.87590612400363599</v>
      </c>
      <c r="J178">
        <v>0.865741676728911</v>
      </c>
      <c r="K178">
        <v>0.84986372736610405</v>
      </c>
      <c r="L178">
        <v>0.82584660123190901</v>
      </c>
      <c r="M178">
        <v>0.79076464272574498</v>
      </c>
      <c r="N178">
        <v>0.74151179570343795</v>
      </c>
      <c r="O178">
        <v>0.67549947850014702</v>
      </c>
      <c r="P178">
        <v>0.59183802167015898</v>
      </c>
      <c r="Q178">
        <v>0.49283792363324602</v>
      </c>
      <c r="R178">
        <v>0.38417127056913097</v>
      </c>
      <c r="S178">
        <v>0.274818295292794</v>
      </c>
      <c r="T178">
        <v>0.176155707605543</v>
      </c>
      <c r="U178">
        <v>9.7899043261933605E-2</v>
      </c>
      <c r="V178">
        <v>4.5518500826439601E-2</v>
      </c>
      <c r="W178" s="1"/>
    </row>
    <row r="179" spans="1:24" x14ac:dyDescent="0.25">
      <c r="A179" t="s">
        <v>10</v>
      </c>
      <c r="B179">
        <v>0</v>
      </c>
      <c r="C179">
        <v>0.05</v>
      </c>
      <c r="D179">
        <v>0.1</v>
      </c>
      <c r="E179">
        <v>0.15</v>
      </c>
      <c r="F179">
        <v>0.2</v>
      </c>
      <c r="G179">
        <v>0.25</v>
      </c>
      <c r="H179">
        <v>0.3</v>
      </c>
      <c r="I179">
        <v>0.35</v>
      </c>
      <c r="J179">
        <v>0.4</v>
      </c>
      <c r="K179">
        <v>0.45</v>
      </c>
      <c r="L179">
        <v>0.5</v>
      </c>
    </row>
    <row r="180" spans="1:24" x14ac:dyDescent="0.25">
      <c r="A180" t="s">
        <v>2</v>
      </c>
      <c r="B180">
        <v>0.36565524955274298</v>
      </c>
      <c r="C180">
        <v>0.36565524955274298</v>
      </c>
      <c r="D180">
        <v>0.36565524955274298</v>
      </c>
      <c r="E180">
        <v>9.4968666511956207E-2</v>
      </c>
      <c r="F180">
        <v>2.9081421984178301E-2</v>
      </c>
      <c r="G180">
        <v>5.98186085809033E-3</v>
      </c>
      <c r="H180">
        <v>2.27180667335703E-4</v>
      </c>
      <c r="I180" s="1">
        <v>5.8522484683808003E-6</v>
      </c>
      <c r="J180" s="1">
        <v>2.3658797788402801E-7</v>
      </c>
      <c r="K180" s="1">
        <v>1.29510160700758E-8</v>
      </c>
      <c r="L180">
        <v>0</v>
      </c>
    </row>
    <row r="181" spans="1:24" x14ac:dyDescent="0.25">
      <c r="A181" t="s">
        <v>3</v>
      </c>
      <c r="B181">
        <v>0.59262179960628603</v>
      </c>
      <c r="C181">
        <v>0.59262179960628603</v>
      </c>
      <c r="D181">
        <v>0.59262179960628603</v>
      </c>
      <c r="E181">
        <v>0.17458469541425201</v>
      </c>
      <c r="F181">
        <v>7.2710757669535803E-2</v>
      </c>
      <c r="G181">
        <v>3.6440289019469101E-2</v>
      </c>
      <c r="H181">
        <v>2.0594777519382101E-2</v>
      </c>
      <c r="I181">
        <v>1.32358162958676E-2</v>
      </c>
      <c r="J181">
        <v>1.0695363459528E-2</v>
      </c>
      <c r="K181">
        <v>1.0306213511515E-2</v>
      </c>
      <c r="L181">
        <v>1.0268856451656601E-2</v>
      </c>
    </row>
    <row r="182" spans="1:24" x14ac:dyDescent="0.25">
      <c r="A182" t="s">
        <v>11</v>
      </c>
      <c r="B182">
        <v>1.7258730904384598E-2</v>
      </c>
      <c r="C182">
        <v>1.7258730904384598E-2</v>
      </c>
      <c r="D182">
        <v>1.7258730904384598E-2</v>
      </c>
      <c r="E182">
        <v>8.7548610973220403E-3</v>
      </c>
      <c r="F182">
        <v>4.0975662214128598E-3</v>
      </c>
      <c r="G182">
        <v>1.1947897600182E-3</v>
      </c>
      <c r="H182" s="1">
        <v>6.4860946828614697E-5</v>
      </c>
      <c r="I182" s="1">
        <v>2.2818107016346399E-6</v>
      </c>
      <c r="J182" s="1">
        <v>1.20651278239747E-7</v>
      </c>
      <c r="K182" s="1">
        <v>8.2390804308104092E-9</v>
      </c>
      <c r="L182">
        <v>0</v>
      </c>
    </row>
    <row r="183" spans="1:24" x14ac:dyDescent="0.25">
      <c r="A183" t="s">
        <v>12</v>
      </c>
      <c r="B183">
        <v>3.9346100423938997E-2</v>
      </c>
      <c r="C183">
        <v>3.9346100423938997E-2</v>
      </c>
      <c r="D183">
        <v>3.9346100423938997E-2</v>
      </c>
      <c r="E183">
        <v>2.6213077469362502E-2</v>
      </c>
      <c r="F183">
        <v>1.9012033145113599E-2</v>
      </c>
      <c r="G183">
        <v>1.44541516309813E-2</v>
      </c>
      <c r="H183">
        <v>1.13428927234159E-2</v>
      </c>
      <c r="I183">
        <v>9.26219545680982E-3</v>
      </c>
      <c r="J183">
        <v>8.2845146307989198E-3</v>
      </c>
      <c r="K183">
        <v>8.0889065319473003E-3</v>
      </c>
      <c r="L183">
        <v>8.0651409973231496E-3</v>
      </c>
    </row>
    <row r="184" spans="1:24" x14ac:dyDescent="0.25">
      <c r="A184" t="s">
        <v>4</v>
      </c>
      <c r="B184">
        <v>2.4315975267705601E-3</v>
      </c>
      <c r="C184">
        <v>2.4315975267705601E-3</v>
      </c>
      <c r="D184">
        <v>2.4315975267705601E-3</v>
      </c>
      <c r="E184">
        <v>1.5812105460643001E-3</v>
      </c>
      <c r="F184">
        <v>8.8261631467792805E-4</v>
      </c>
      <c r="G184">
        <v>3.02061022398997E-4</v>
      </c>
      <c r="H184" s="1">
        <v>1.95788191015997E-5</v>
      </c>
      <c r="I184" s="1">
        <v>8.0507826350565099E-7</v>
      </c>
      <c r="J184" s="1">
        <v>4.8672465317439401E-8</v>
      </c>
      <c r="K184" s="1">
        <v>3.7075861938646902E-9</v>
      </c>
      <c r="L184">
        <v>0</v>
      </c>
    </row>
    <row r="185" spans="1:24" x14ac:dyDescent="0.25">
      <c r="A185" t="s">
        <v>5</v>
      </c>
      <c r="B185">
        <v>9.1707556716815204E-3</v>
      </c>
      <c r="C185">
        <v>9.1707556716815204E-3</v>
      </c>
      <c r="D185">
        <v>9.1707556716815204E-3</v>
      </c>
      <c r="E185">
        <v>7.8574533762238805E-3</v>
      </c>
      <c r="F185">
        <v>6.77729672758654E-3</v>
      </c>
      <c r="G185">
        <v>5.8657204247600696E-3</v>
      </c>
      <c r="H185">
        <v>5.08790569786873E-3</v>
      </c>
      <c r="I185">
        <v>4.4636965178868997E-3</v>
      </c>
      <c r="J185">
        <v>4.12150822878309E-3</v>
      </c>
      <c r="K185">
        <v>4.0432649892424401E-3</v>
      </c>
      <c r="L185">
        <v>4.0325704986615696E-3</v>
      </c>
    </row>
    <row r="186" spans="1:24" x14ac:dyDescent="0.25">
      <c r="A186" t="s">
        <v>70</v>
      </c>
    </row>
    <row r="187" spans="1:24" x14ac:dyDescent="0.25">
      <c r="A187" t="s">
        <v>9</v>
      </c>
      <c r="B187">
        <v>0</v>
      </c>
      <c r="C187">
        <v>0.25955190384466498</v>
      </c>
      <c r="D187">
        <v>0.58647099847871997</v>
      </c>
      <c r="E187">
        <v>0.99824256652821797</v>
      </c>
      <c r="F187">
        <v>1.51689022901407</v>
      </c>
      <c r="G187">
        <v>2.1701538797227</v>
      </c>
      <c r="H187">
        <v>2.9929733546852799</v>
      </c>
      <c r="I187">
        <v>4.02935719089486</v>
      </c>
      <c r="J187">
        <v>5.3347364249064801</v>
      </c>
      <c r="K187">
        <v>6.9789293243451</v>
      </c>
      <c r="L187">
        <v>9.0498756211208899</v>
      </c>
      <c r="M187">
        <v>11.658339971984899</v>
      </c>
      <c r="N187">
        <v>14.9438362112266</v>
      </c>
      <c r="O187">
        <v>19.082089254437999</v>
      </c>
      <c r="P187">
        <v>24.294433753605801</v>
      </c>
      <c r="Q187">
        <v>30.859652191026999</v>
      </c>
      <c r="R187">
        <v>39.128885573036897</v>
      </c>
      <c r="S187">
        <v>49.544414222683301</v>
      </c>
      <c r="T187">
        <v>62.663313162894099</v>
      </c>
      <c r="U187">
        <v>79.187247299382406</v>
      </c>
      <c r="V187">
        <v>100</v>
      </c>
    </row>
    <row r="188" spans="1:24" x14ac:dyDescent="0.25">
      <c r="A188" t="s">
        <v>6</v>
      </c>
      <c r="B188">
        <v>1.6E-2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</row>
    <row r="189" spans="1:24" x14ac:dyDescent="0.25">
      <c r="A189" t="s">
        <v>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</row>
    <row r="190" spans="1:24" x14ac:dyDescent="0.25">
      <c r="A190" t="s">
        <v>8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</row>
    <row r="191" spans="1:24" x14ac:dyDescent="0.25">
      <c r="A191" t="s">
        <v>41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</row>
    <row r="192" spans="1:24" x14ac:dyDescent="0.25">
      <c r="A192" t="s">
        <v>42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</row>
    <row r="193" spans="1:22" x14ac:dyDescent="0.25">
      <c r="A193" t="s">
        <v>10</v>
      </c>
      <c r="B193">
        <v>0</v>
      </c>
      <c r="C193">
        <v>0.05</v>
      </c>
      <c r="D193">
        <v>0.1</v>
      </c>
      <c r="E193">
        <v>0.15</v>
      </c>
      <c r="F193">
        <v>0.2</v>
      </c>
      <c r="G193">
        <v>0.25</v>
      </c>
      <c r="H193">
        <v>0.3</v>
      </c>
      <c r="I193">
        <v>0.35</v>
      </c>
      <c r="J193">
        <v>0.4</v>
      </c>
      <c r="K193">
        <v>0.45</v>
      </c>
      <c r="L193">
        <v>0.5</v>
      </c>
    </row>
    <row r="194" spans="1:22" x14ac:dyDescent="0.25">
      <c r="A194" t="s">
        <v>2</v>
      </c>
      <c r="B194">
        <v>0.99199999999999999</v>
      </c>
      <c r="C194">
        <v>0.99199999999999999</v>
      </c>
      <c r="D194">
        <v>0.99199999999999999</v>
      </c>
      <c r="E194">
        <v>0.288296296296296</v>
      </c>
      <c r="F194">
        <v>0.11700000000000001</v>
      </c>
      <c r="G194">
        <v>5.6000000000000001E-2</v>
      </c>
      <c r="H194">
        <v>2.9037037037037E-2</v>
      </c>
      <c r="I194">
        <v>1.5323615160349901E-2</v>
      </c>
      <c r="J194">
        <v>7.6249999999999998E-3</v>
      </c>
      <c r="K194">
        <v>2.97393689986282E-3</v>
      </c>
      <c r="L194">
        <v>0</v>
      </c>
    </row>
    <row r="195" spans="1:22" x14ac:dyDescent="0.25">
      <c r="A195" t="s">
        <v>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</row>
    <row r="196" spans="1:22" x14ac:dyDescent="0.25">
      <c r="A196" t="s">
        <v>11</v>
      </c>
      <c r="B196">
        <v>5.8245346242475203E-2</v>
      </c>
      <c r="C196">
        <v>5.8245346242475203E-2</v>
      </c>
      <c r="D196">
        <v>5.8245346242475203E-2</v>
      </c>
      <c r="E196">
        <v>3.6137842383880403E-2</v>
      </c>
      <c r="F196">
        <v>2.4029620698169701E-2</v>
      </c>
      <c r="G196">
        <v>1.63641346234106E-2</v>
      </c>
      <c r="H196">
        <v>1.10699692256945E-2</v>
      </c>
      <c r="I196">
        <v>7.1925905375904596E-3</v>
      </c>
      <c r="J196">
        <v>4.2298162158456096E-3</v>
      </c>
      <c r="K196">
        <v>1.8919369091618501E-3</v>
      </c>
      <c r="L196">
        <v>0</v>
      </c>
    </row>
    <row r="197" spans="1:22" x14ac:dyDescent="0.25">
      <c r="A197" t="s">
        <v>12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</row>
    <row r="198" spans="1:22" x14ac:dyDescent="0.25">
      <c r="A198" t="s">
        <v>4</v>
      </c>
      <c r="B198">
        <v>1.0870330153935201E-2</v>
      </c>
      <c r="C198">
        <v>1.0870330153935201E-2</v>
      </c>
      <c r="D198">
        <v>1.0870330153935201E-2</v>
      </c>
      <c r="E198">
        <v>8.6595797680756904E-3</v>
      </c>
      <c r="F198">
        <v>6.8433465152190898E-3</v>
      </c>
      <c r="G198">
        <v>5.3102493002672698E-3</v>
      </c>
      <c r="H198">
        <v>3.9867079508382397E-3</v>
      </c>
      <c r="I198">
        <v>2.82349434440703E-3</v>
      </c>
      <c r="J198">
        <v>1.7865233317963399E-3</v>
      </c>
      <c r="K198">
        <v>8.5137160912283395E-4</v>
      </c>
      <c r="L198">
        <v>0</v>
      </c>
    </row>
    <row r="199" spans="1:22" x14ac:dyDescent="0.25">
      <c r="A199" t="s">
        <v>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</row>
    <row r="200" spans="1:22" x14ac:dyDescent="0.25">
      <c r="A200" t="s">
        <v>71</v>
      </c>
    </row>
    <row r="201" spans="1:22" x14ac:dyDescent="0.25">
      <c r="A201" t="s">
        <v>9</v>
      </c>
      <c r="B201">
        <v>0</v>
      </c>
      <c r="C201">
        <v>0.25955190384466498</v>
      </c>
      <c r="D201">
        <v>0.58647099847871997</v>
      </c>
      <c r="E201">
        <v>0.99824256652821797</v>
      </c>
      <c r="F201">
        <v>1.51689022901407</v>
      </c>
      <c r="G201">
        <v>2.1701538797227</v>
      </c>
      <c r="H201">
        <v>2.9929733546852799</v>
      </c>
      <c r="I201">
        <v>4.02935719089486</v>
      </c>
      <c r="J201">
        <v>5.3347364249064801</v>
      </c>
      <c r="K201">
        <v>6.9789293243451</v>
      </c>
      <c r="L201">
        <v>9.0498756211208899</v>
      </c>
      <c r="M201">
        <v>11.658339971984899</v>
      </c>
      <c r="N201">
        <v>14.9438362112266</v>
      </c>
      <c r="O201">
        <v>19.082089254437999</v>
      </c>
      <c r="P201">
        <v>24.294433753605801</v>
      </c>
      <c r="Q201">
        <v>30.859652191026999</v>
      </c>
      <c r="R201">
        <v>39.128885573036897</v>
      </c>
      <c r="S201">
        <v>49.544414222683301</v>
      </c>
      <c r="T201">
        <v>62.663313162894099</v>
      </c>
      <c r="U201">
        <v>79.187247299382406</v>
      </c>
      <c r="V201">
        <v>100</v>
      </c>
    </row>
    <row r="202" spans="1:22" x14ac:dyDescent="0.25">
      <c r="A202" t="s">
        <v>6</v>
      </c>
      <c r="B202">
        <v>1.6E-2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</row>
    <row r="203" spans="1:22" x14ac:dyDescent="0.25">
      <c r="A203" t="s">
        <v>7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</row>
    <row r="204" spans="1:22" x14ac:dyDescent="0.25">
      <c r="A204" t="s">
        <v>8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</row>
    <row r="205" spans="1:22" x14ac:dyDescent="0.25">
      <c r="A205" t="s">
        <v>41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</row>
    <row r="206" spans="1:22" x14ac:dyDescent="0.25">
      <c r="A206" t="s">
        <v>42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</row>
    <row r="207" spans="1:22" x14ac:dyDescent="0.25">
      <c r="A207" t="s">
        <v>10</v>
      </c>
      <c r="B207">
        <v>0</v>
      </c>
      <c r="C207">
        <v>0.05</v>
      </c>
      <c r="D207">
        <v>0.1</v>
      </c>
      <c r="E207">
        <v>0.15</v>
      </c>
      <c r="F207">
        <v>0.2</v>
      </c>
      <c r="G207">
        <v>0.25</v>
      </c>
      <c r="H207">
        <v>0.3</v>
      </c>
      <c r="I207">
        <v>0.35</v>
      </c>
      <c r="J207">
        <v>0.4</v>
      </c>
      <c r="K207">
        <v>0.45</v>
      </c>
      <c r="L207">
        <v>0.5</v>
      </c>
    </row>
    <row r="208" spans="1:22" x14ac:dyDescent="0.25">
      <c r="A208" t="s">
        <v>2</v>
      </c>
      <c r="B208">
        <v>0.99199999999999999</v>
      </c>
      <c r="C208">
        <v>0.99199999999999999</v>
      </c>
      <c r="D208">
        <v>0.99199999999999999</v>
      </c>
      <c r="E208">
        <v>0.288296296296296</v>
      </c>
      <c r="F208">
        <v>0.11700000000000001</v>
      </c>
      <c r="G208">
        <v>5.6000000000000001E-2</v>
      </c>
      <c r="H208">
        <v>2.9037037037037E-2</v>
      </c>
      <c r="I208">
        <v>1.5323615160349901E-2</v>
      </c>
      <c r="J208">
        <v>7.6249999999999998E-3</v>
      </c>
      <c r="K208">
        <v>2.97393689986282E-3</v>
      </c>
      <c r="L208">
        <v>0</v>
      </c>
    </row>
    <row r="209" spans="1:22" x14ac:dyDescent="0.25">
      <c r="A209" t="s">
        <v>3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</row>
    <row r="210" spans="1:22" x14ac:dyDescent="0.25">
      <c r="A210" t="s">
        <v>11</v>
      </c>
      <c r="B210">
        <v>5.8245346242475203E-2</v>
      </c>
      <c r="C210">
        <v>5.8245346242475203E-2</v>
      </c>
      <c r="D210">
        <v>5.8245346242475203E-2</v>
      </c>
      <c r="E210">
        <v>3.6137842383880403E-2</v>
      </c>
      <c r="F210">
        <v>2.4029620698169701E-2</v>
      </c>
      <c r="G210">
        <v>1.63641346234106E-2</v>
      </c>
      <c r="H210">
        <v>1.10699692256945E-2</v>
      </c>
      <c r="I210">
        <v>7.1925905375904596E-3</v>
      </c>
      <c r="J210">
        <v>4.2298162158456096E-3</v>
      </c>
      <c r="K210">
        <v>1.8919369091618501E-3</v>
      </c>
      <c r="L210">
        <v>0</v>
      </c>
    </row>
    <row r="211" spans="1:22" x14ac:dyDescent="0.25">
      <c r="A211" t="s">
        <v>12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</row>
    <row r="212" spans="1:22" x14ac:dyDescent="0.25">
      <c r="A212" t="s">
        <v>4</v>
      </c>
      <c r="B212">
        <v>1.0870330153935201E-2</v>
      </c>
      <c r="C212">
        <v>1.0870330153935201E-2</v>
      </c>
      <c r="D212">
        <v>1.0870330153935201E-2</v>
      </c>
      <c r="E212">
        <v>8.6595797680756904E-3</v>
      </c>
      <c r="F212">
        <v>6.8433465152190898E-3</v>
      </c>
      <c r="G212">
        <v>5.3102493002672698E-3</v>
      </c>
      <c r="H212">
        <v>3.9867079508382397E-3</v>
      </c>
      <c r="I212">
        <v>2.82349434440703E-3</v>
      </c>
      <c r="J212">
        <v>1.7865233317963399E-3</v>
      </c>
      <c r="K212">
        <v>8.5137160912283395E-4</v>
      </c>
      <c r="L212">
        <v>0</v>
      </c>
    </row>
    <row r="213" spans="1:22" x14ac:dyDescent="0.25">
      <c r="A213" t="s">
        <v>5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</row>
    <row r="215" spans="1:22" x14ac:dyDescent="0.25">
      <c r="A215" t="s">
        <v>28</v>
      </c>
    </row>
    <row r="216" spans="1:22" x14ac:dyDescent="0.25">
      <c r="A216" t="str">
        <f>A159</f>
        <v>Half-length</v>
      </c>
      <c r="B216">
        <f>MAX(B159,B173)</f>
        <v>0</v>
      </c>
      <c r="C216">
        <f t="shared" ref="C216:V216" si="0">MAX(C159,C173)</f>
        <v>0.25955190384466498</v>
      </c>
      <c r="D216">
        <f t="shared" si="0"/>
        <v>0.58647099847871997</v>
      </c>
      <c r="E216">
        <f t="shared" si="0"/>
        <v>0.99824256652821797</v>
      </c>
      <c r="F216">
        <f t="shared" si="0"/>
        <v>1.51689022901407</v>
      </c>
      <c r="G216">
        <f t="shared" si="0"/>
        <v>2.1701538797227</v>
      </c>
      <c r="H216">
        <f t="shared" si="0"/>
        <v>2.9929733546852799</v>
      </c>
      <c r="I216">
        <f t="shared" si="0"/>
        <v>4.02935719089486</v>
      </c>
      <c r="J216">
        <f t="shared" si="0"/>
        <v>5.3347364249064801</v>
      </c>
      <c r="K216">
        <f t="shared" si="0"/>
        <v>6.9789293243451</v>
      </c>
      <c r="L216">
        <f t="shared" si="0"/>
        <v>9.0498756211208899</v>
      </c>
      <c r="M216">
        <f t="shared" si="0"/>
        <v>11.658339971984899</v>
      </c>
      <c r="N216">
        <f t="shared" si="0"/>
        <v>14.9438362112266</v>
      </c>
      <c r="O216">
        <f t="shared" si="0"/>
        <v>19.082089254437999</v>
      </c>
      <c r="P216">
        <f t="shared" si="0"/>
        <v>24.294433753605801</v>
      </c>
      <c r="Q216">
        <f t="shared" si="0"/>
        <v>30.859652191026999</v>
      </c>
      <c r="R216">
        <f t="shared" si="0"/>
        <v>39.128885573036897</v>
      </c>
      <c r="S216">
        <f t="shared" si="0"/>
        <v>49.544414222683301</v>
      </c>
      <c r="T216">
        <f t="shared" si="0"/>
        <v>62.663313162894099</v>
      </c>
      <c r="U216">
        <f t="shared" si="0"/>
        <v>79.187247299382406</v>
      </c>
      <c r="V216">
        <f t="shared" si="0"/>
        <v>100</v>
      </c>
    </row>
    <row r="217" spans="1:22" x14ac:dyDescent="0.25">
      <c r="A217" t="s">
        <v>57</v>
      </c>
      <c r="B217">
        <f>SUM(B160,B174)</f>
        <v>0</v>
      </c>
      <c r="C217">
        <f t="shared" ref="C217:V217" si="1">SUM(C160,C174)</f>
        <v>0</v>
      </c>
      <c r="D217">
        <f t="shared" si="1"/>
        <v>0</v>
      </c>
      <c r="E217">
        <f t="shared" si="1"/>
        <v>0</v>
      </c>
      <c r="F217">
        <f t="shared" si="1"/>
        <v>0</v>
      </c>
      <c r="G217">
        <f t="shared" si="1"/>
        <v>0</v>
      </c>
      <c r="H217">
        <f t="shared" si="1"/>
        <v>0</v>
      </c>
      <c r="I217">
        <f t="shared" si="1"/>
        <v>0</v>
      </c>
      <c r="J217">
        <f t="shared" si="1"/>
        <v>0</v>
      </c>
      <c r="K217">
        <f t="shared" si="1"/>
        <v>0</v>
      </c>
      <c r="L217">
        <f t="shared" si="1"/>
        <v>0</v>
      </c>
      <c r="M217">
        <f t="shared" si="1"/>
        <v>0</v>
      </c>
      <c r="N217">
        <f t="shared" si="1"/>
        <v>0</v>
      </c>
      <c r="O217">
        <f t="shared" si="1"/>
        <v>0</v>
      </c>
      <c r="P217">
        <f t="shared" si="1"/>
        <v>0</v>
      </c>
      <c r="Q217">
        <f t="shared" si="1"/>
        <v>0</v>
      </c>
      <c r="R217">
        <f t="shared" si="1"/>
        <v>0</v>
      </c>
      <c r="S217">
        <f t="shared" si="1"/>
        <v>0</v>
      </c>
      <c r="T217">
        <f t="shared" si="1"/>
        <v>0</v>
      </c>
      <c r="U217">
        <f t="shared" si="1"/>
        <v>0</v>
      </c>
      <c r="V217">
        <f t="shared" si="1"/>
        <v>0</v>
      </c>
    </row>
    <row r="218" spans="1:22" x14ac:dyDescent="0.25">
      <c r="A218" t="s">
        <v>56</v>
      </c>
      <c r="B218">
        <f>SUM(B160:B162,B174:B176)</f>
        <v>6.0412632573401501E-2</v>
      </c>
      <c r="C218">
        <f t="shared" ref="C218:V218" si="2">SUM(C160:C162,C174:C176)</f>
        <v>5.3876255019850106E-2</v>
      </c>
      <c r="D218">
        <f t="shared" si="2"/>
        <v>4.3494214051815569E-2</v>
      </c>
      <c r="E218">
        <f t="shared" si="2"/>
        <v>4.11818452932496E-2</v>
      </c>
      <c r="F218">
        <f t="shared" si="2"/>
        <v>4.0247057323026601E-2</v>
      </c>
      <c r="G218">
        <f t="shared" si="2"/>
        <v>3.90712432962151E-2</v>
      </c>
      <c r="H218">
        <f t="shared" si="2"/>
        <v>3.7608965502618899E-2</v>
      </c>
      <c r="I218">
        <f t="shared" si="2"/>
        <v>3.5813060867777698E-2</v>
      </c>
      <c r="J218">
        <f t="shared" si="2"/>
        <v>3.3639707604387697E-2</v>
      </c>
      <c r="K218">
        <f t="shared" si="2"/>
        <v>3.10568996964426E-2</v>
      </c>
      <c r="L218">
        <f t="shared" si="2"/>
        <v>2.8054228394101301E-2</v>
      </c>
      <c r="M218">
        <f t="shared" si="2"/>
        <v>2.4657319280354199E-2</v>
      </c>
      <c r="N218">
        <f t="shared" si="2"/>
        <v>2.09421701516838E-2</v>
      </c>
      <c r="O218">
        <f t="shared" si="2"/>
        <v>1.7045724747730098E-2</v>
      </c>
      <c r="P218">
        <f t="shared" si="2"/>
        <v>1.3164108606033899E-2</v>
      </c>
      <c r="Q218">
        <f t="shared" si="2"/>
        <v>9.5319500848544698E-3</v>
      </c>
      <c r="R218">
        <f t="shared" si="2"/>
        <v>6.3773258389063997E-3</v>
      </c>
      <c r="S218">
        <f t="shared" si="2"/>
        <v>3.8704167078657602E-3</v>
      </c>
      <c r="T218">
        <f t="shared" si="2"/>
        <v>2.0789047170521602E-3</v>
      </c>
      <c r="U218">
        <f t="shared" si="2"/>
        <v>9.5327234868223501E-4</v>
      </c>
      <c r="V218">
        <f t="shared" si="2"/>
        <v>3.5599142593371598E-4</v>
      </c>
    </row>
    <row r="219" spans="1:22" x14ac:dyDescent="0.25">
      <c r="A219" t="s">
        <v>58</v>
      </c>
      <c r="B219">
        <f>SUM(B163,B177)</f>
        <v>0</v>
      </c>
      <c r="C219">
        <f t="shared" ref="C219:V219" si="3">SUM(C163,C177)</f>
        <v>0</v>
      </c>
      <c r="D219">
        <f t="shared" si="3"/>
        <v>0</v>
      </c>
      <c r="E219">
        <f t="shared" si="3"/>
        <v>0</v>
      </c>
      <c r="F219">
        <f t="shared" si="3"/>
        <v>0</v>
      </c>
      <c r="G219">
        <f t="shared" si="3"/>
        <v>0</v>
      </c>
      <c r="H219">
        <f t="shared" si="3"/>
        <v>0</v>
      </c>
      <c r="I219">
        <f t="shared" si="3"/>
        <v>0</v>
      </c>
      <c r="J219">
        <f t="shared" si="3"/>
        <v>0</v>
      </c>
      <c r="K219">
        <f t="shared" si="3"/>
        <v>0</v>
      </c>
      <c r="L219">
        <f t="shared" si="3"/>
        <v>0</v>
      </c>
      <c r="M219">
        <f t="shared" si="3"/>
        <v>0</v>
      </c>
      <c r="N219">
        <f t="shared" si="3"/>
        <v>0</v>
      </c>
      <c r="O219">
        <f t="shared" si="3"/>
        <v>0</v>
      </c>
      <c r="P219">
        <f t="shared" si="3"/>
        <v>0</v>
      </c>
      <c r="Q219">
        <f t="shared" si="3"/>
        <v>0</v>
      </c>
      <c r="R219">
        <f t="shared" si="3"/>
        <v>0</v>
      </c>
      <c r="S219">
        <f t="shared" si="3"/>
        <v>0</v>
      </c>
      <c r="T219">
        <f t="shared" si="3"/>
        <v>0</v>
      </c>
      <c r="U219">
        <f t="shared" si="3"/>
        <v>0</v>
      </c>
      <c r="V219">
        <f t="shared" si="3"/>
        <v>0</v>
      </c>
    </row>
    <row r="220" spans="1:22" x14ac:dyDescent="0.25">
      <c r="A220" t="s">
        <v>59</v>
      </c>
      <c r="B220">
        <f>SUM(B163:B164,B177:B178)</f>
        <v>0.90329722446020089</v>
      </c>
      <c r="C220">
        <f t="shared" ref="C220:V220" si="4">SUM(C163:C164,C177:C178)</f>
        <v>0.89980265512371704</v>
      </c>
      <c r="D220">
        <f t="shared" si="4"/>
        <v>0.89489217749342731</v>
      </c>
      <c r="E220">
        <f t="shared" si="4"/>
        <v>0.88932318125462595</v>
      </c>
      <c r="F220">
        <f t="shared" si="4"/>
        <v>0.88814739754444805</v>
      </c>
      <c r="G220">
        <f t="shared" si="4"/>
        <v>0.88598015632940097</v>
      </c>
      <c r="H220">
        <f t="shared" si="4"/>
        <v>0.88220697998018605</v>
      </c>
      <c r="I220">
        <f t="shared" si="4"/>
        <v>0.87590612400363599</v>
      </c>
      <c r="J220">
        <f t="shared" si="4"/>
        <v>0.865741676728911</v>
      </c>
      <c r="K220">
        <f t="shared" si="4"/>
        <v>0.84986372736610405</v>
      </c>
      <c r="L220">
        <f t="shared" si="4"/>
        <v>0.82584660123190901</v>
      </c>
      <c r="M220">
        <f t="shared" si="4"/>
        <v>0.79076464272574498</v>
      </c>
      <c r="N220">
        <f t="shared" si="4"/>
        <v>0.74151179570343795</v>
      </c>
      <c r="O220">
        <f t="shared" si="4"/>
        <v>0.67549947850014702</v>
      </c>
      <c r="P220">
        <f t="shared" si="4"/>
        <v>0.59183802167015898</v>
      </c>
      <c r="Q220">
        <f t="shared" si="4"/>
        <v>0.49283792363324602</v>
      </c>
      <c r="R220">
        <f t="shared" si="4"/>
        <v>0.38417127056913097</v>
      </c>
      <c r="S220">
        <f t="shared" si="4"/>
        <v>0.274818295292794</v>
      </c>
      <c r="T220">
        <f t="shared" si="4"/>
        <v>0.176155707605543</v>
      </c>
      <c r="U220">
        <f t="shared" si="4"/>
        <v>9.7899043261933605E-2</v>
      </c>
      <c r="V220">
        <f t="shared" si="4"/>
        <v>4.5518500826439601E-2</v>
      </c>
    </row>
    <row r="221" spans="1:22" x14ac:dyDescent="0.25">
      <c r="A221" t="s">
        <v>36</v>
      </c>
      <c r="B221">
        <f>SUM(B160,B174)/B218</f>
        <v>0</v>
      </c>
      <c r="C221">
        <f t="shared" ref="C221:V221" si="5">SUM(C160,C174)/C218</f>
        <v>0</v>
      </c>
      <c r="D221">
        <f t="shared" si="5"/>
        <v>0</v>
      </c>
      <c r="E221">
        <f t="shared" si="5"/>
        <v>0</v>
      </c>
      <c r="F221">
        <f t="shared" si="5"/>
        <v>0</v>
      </c>
      <c r="G221">
        <f t="shared" si="5"/>
        <v>0</v>
      </c>
      <c r="H221">
        <f t="shared" si="5"/>
        <v>0</v>
      </c>
      <c r="I221">
        <f t="shared" si="5"/>
        <v>0</v>
      </c>
      <c r="J221">
        <f t="shared" si="5"/>
        <v>0</v>
      </c>
      <c r="K221">
        <f t="shared" si="5"/>
        <v>0</v>
      </c>
      <c r="L221">
        <f t="shared" si="5"/>
        <v>0</v>
      </c>
      <c r="M221">
        <f t="shared" si="5"/>
        <v>0</v>
      </c>
      <c r="N221">
        <f t="shared" si="5"/>
        <v>0</v>
      </c>
      <c r="O221">
        <f t="shared" si="5"/>
        <v>0</v>
      </c>
      <c r="P221">
        <f t="shared" si="5"/>
        <v>0</v>
      </c>
      <c r="Q221">
        <f t="shared" si="5"/>
        <v>0</v>
      </c>
      <c r="R221">
        <f t="shared" si="5"/>
        <v>0</v>
      </c>
      <c r="S221">
        <f t="shared" si="5"/>
        <v>0</v>
      </c>
      <c r="T221">
        <f t="shared" si="5"/>
        <v>0</v>
      </c>
      <c r="U221">
        <f t="shared" si="5"/>
        <v>0</v>
      </c>
      <c r="V221">
        <f t="shared" si="5"/>
        <v>0</v>
      </c>
    </row>
    <row r="222" spans="1:22" x14ac:dyDescent="0.25">
      <c r="A222" t="s">
        <v>39</v>
      </c>
      <c r="B222">
        <f>SUM(B160:B161,B174:B175)/B218</f>
        <v>1</v>
      </c>
      <c r="C222">
        <f t="shared" ref="C222:V222" si="6">SUM(C160:C161,C174:C175)/C218</f>
        <v>1</v>
      </c>
      <c r="D222">
        <f t="shared" si="6"/>
        <v>1</v>
      </c>
      <c r="E222">
        <f t="shared" si="6"/>
        <v>1</v>
      </c>
      <c r="F222">
        <f t="shared" si="6"/>
        <v>1</v>
      </c>
      <c r="G222">
        <f t="shared" si="6"/>
        <v>1</v>
      </c>
      <c r="H222">
        <f t="shared" si="6"/>
        <v>1</v>
      </c>
      <c r="I222">
        <f t="shared" si="6"/>
        <v>1</v>
      </c>
      <c r="J222">
        <f t="shared" si="6"/>
        <v>1</v>
      </c>
      <c r="K222">
        <f t="shared" si="6"/>
        <v>1</v>
      </c>
      <c r="L222">
        <f t="shared" si="6"/>
        <v>1</v>
      </c>
      <c r="M222">
        <f t="shared" si="6"/>
        <v>1</v>
      </c>
      <c r="N222">
        <f t="shared" si="6"/>
        <v>1</v>
      </c>
      <c r="O222">
        <f t="shared" si="6"/>
        <v>1</v>
      </c>
      <c r="P222">
        <f t="shared" si="6"/>
        <v>1</v>
      </c>
      <c r="Q222">
        <f t="shared" si="6"/>
        <v>1</v>
      </c>
      <c r="R222">
        <f t="shared" si="6"/>
        <v>1</v>
      </c>
      <c r="S222">
        <f t="shared" si="6"/>
        <v>1</v>
      </c>
      <c r="T222">
        <f t="shared" si="6"/>
        <v>1</v>
      </c>
      <c r="U222">
        <f t="shared" si="6"/>
        <v>1</v>
      </c>
      <c r="V222">
        <f t="shared" si="6"/>
        <v>1</v>
      </c>
    </row>
    <row r="223" spans="1:22" x14ac:dyDescent="0.25">
      <c r="A223" t="s">
        <v>37</v>
      </c>
      <c r="B223">
        <f>SUM(B161,B175)/B218</f>
        <v>1</v>
      </c>
      <c r="C223">
        <f t="shared" ref="C223:V223" si="7">SUM(C161,C175)/C218</f>
        <v>1</v>
      </c>
      <c r="D223">
        <f t="shared" si="7"/>
        <v>1</v>
      </c>
      <c r="E223">
        <f t="shared" si="7"/>
        <v>1</v>
      </c>
      <c r="F223">
        <f t="shared" si="7"/>
        <v>1</v>
      </c>
      <c r="G223">
        <f t="shared" si="7"/>
        <v>1</v>
      </c>
      <c r="H223">
        <f t="shared" si="7"/>
        <v>1</v>
      </c>
      <c r="I223">
        <f t="shared" si="7"/>
        <v>1</v>
      </c>
      <c r="J223">
        <f t="shared" si="7"/>
        <v>1</v>
      </c>
      <c r="K223">
        <f t="shared" si="7"/>
        <v>1</v>
      </c>
      <c r="L223">
        <f t="shared" si="7"/>
        <v>1</v>
      </c>
      <c r="M223">
        <f t="shared" si="7"/>
        <v>1</v>
      </c>
      <c r="N223">
        <f t="shared" si="7"/>
        <v>1</v>
      </c>
      <c r="O223">
        <f t="shared" si="7"/>
        <v>1</v>
      </c>
      <c r="P223">
        <f t="shared" si="7"/>
        <v>1</v>
      </c>
      <c r="Q223">
        <f t="shared" si="7"/>
        <v>1</v>
      </c>
      <c r="R223">
        <f t="shared" si="7"/>
        <v>1</v>
      </c>
      <c r="S223">
        <f t="shared" si="7"/>
        <v>1</v>
      </c>
      <c r="T223">
        <f t="shared" si="7"/>
        <v>1</v>
      </c>
      <c r="U223">
        <f t="shared" si="7"/>
        <v>1</v>
      </c>
      <c r="V223">
        <f t="shared" si="7"/>
        <v>1</v>
      </c>
    </row>
    <row r="224" spans="1:22" x14ac:dyDescent="0.25">
      <c r="A224" t="s">
        <v>38</v>
      </c>
      <c r="B224">
        <f>SUM(B162,B176)/B218</f>
        <v>0</v>
      </c>
      <c r="C224">
        <f t="shared" ref="C224:V224" si="8">SUM(C162,C176)/C218</f>
        <v>0</v>
      </c>
      <c r="D224">
        <f t="shared" si="8"/>
        <v>0</v>
      </c>
      <c r="E224">
        <f t="shared" si="8"/>
        <v>0</v>
      </c>
      <c r="F224">
        <f t="shared" si="8"/>
        <v>0</v>
      </c>
      <c r="G224">
        <f t="shared" si="8"/>
        <v>0</v>
      </c>
      <c r="H224">
        <f t="shared" si="8"/>
        <v>0</v>
      </c>
      <c r="I224">
        <f t="shared" si="8"/>
        <v>0</v>
      </c>
      <c r="J224">
        <f t="shared" si="8"/>
        <v>0</v>
      </c>
      <c r="K224">
        <f t="shared" si="8"/>
        <v>0</v>
      </c>
      <c r="L224">
        <f t="shared" si="8"/>
        <v>0</v>
      </c>
      <c r="M224">
        <f t="shared" si="8"/>
        <v>0</v>
      </c>
      <c r="N224">
        <f t="shared" si="8"/>
        <v>0</v>
      </c>
      <c r="O224">
        <f t="shared" si="8"/>
        <v>0</v>
      </c>
      <c r="P224">
        <f t="shared" si="8"/>
        <v>0</v>
      </c>
      <c r="Q224">
        <f t="shared" si="8"/>
        <v>0</v>
      </c>
      <c r="R224">
        <f t="shared" si="8"/>
        <v>0</v>
      </c>
      <c r="S224">
        <f t="shared" si="8"/>
        <v>0</v>
      </c>
      <c r="T224">
        <f t="shared" si="8"/>
        <v>0</v>
      </c>
      <c r="U224">
        <f t="shared" si="8"/>
        <v>0</v>
      </c>
      <c r="V224">
        <f t="shared" si="8"/>
        <v>0</v>
      </c>
    </row>
    <row r="226" spans="1:22" x14ac:dyDescent="0.25">
      <c r="A226" t="s">
        <v>29</v>
      </c>
    </row>
    <row r="227" spans="1:22" x14ac:dyDescent="0.25">
      <c r="A227" t="str">
        <f>A187</f>
        <v>Half-length</v>
      </c>
      <c r="B227">
        <f>MAX(B187,B201)</f>
        <v>0</v>
      </c>
      <c r="C227">
        <f t="shared" ref="C227:V227" si="9">MAX(C187,C201)</f>
        <v>0.25955190384466498</v>
      </c>
      <c r="D227">
        <f t="shared" si="9"/>
        <v>0.58647099847871997</v>
      </c>
      <c r="E227">
        <f t="shared" si="9"/>
        <v>0.99824256652821797</v>
      </c>
      <c r="F227">
        <f t="shared" si="9"/>
        <v>1.51689022901407</v>
      </c>
      <c r="G227">
        <f t="shared" si="9"/>
        <v>2.1701538797227</v>
      </c>
      <c r="H227">
        <f t="shared" si="9"/>
        <v>2.9929733546852799</v>
      </c>
      <c r="I227">
        <f t="shared" si="9"/>
        <v>4.02935719089486</v>
      </c>
      <c r="J227">
        <f t="shared" si="9"/>
        <v>5.3347364249064801</v>
      </c>
      <c r="K227">
        <f t="shared" si="9"/>
        <v>6.9789293243451</v>
      </c>
      <c r="L227">
        <f t="shared" si="9"/>
        <v>9.0498756211208899</v>
      </c>
      <c r="M227">
        <f t="shared" si="9"/>
        <v>11.658339971984899</v>
      </c>
      <c r="N227">
        <f t="shared" si="9"/>
        <v>14.9438362112266</v>
      </c>
      <c r="O227">
        <f t="shared" si="9"/>
        <v>19.082089254437999</v>
      </c>
      <c r="P227">
        <f t="shared" si="9"/>
        <v>24.294433753605801</v>
      </c>
      <c r="Q227">
        <f t="shared" si="9"/>
        <v>30.859652191026999</v>
      </c>
      <c r="R227">
        <f t="shared" si="9"/>
        <v>39.128885573036897</v>
      </c>
      <c r="S227">
        <f t="shared" si="9"/>
        <v>49.544414222683301</v>
      </c>
      <c r="T227">
        <f t="shared" si="9"/>
        <v>62.663313162894099</v>
      </c>
      <c r="U227">
        <f t="shared" si="9"/>
        <v>79.187247299382406</v>
      </c>
      <c r="V227">
        <f t="shared" si="9"/>
        <v>100</v>
      </c>
    </row>
    <row r="228" spans="1:22" x14ac:dyDescent="0.25">
      <c r="A228" t="s">
        <v>57</v>
      </c>
      <c r="B228">
        <f>SUM(B188,B202)</f>
        <v>3.2000000000000001E-2</v>
      </c>
      <c r="C228">
        <f t="shared" ref="C228:V228" si="10">SUM(C188,C202)</f>
        <v>0</v>
      </c>
      <c r="D228">
        <f t="shared" si="10"/>
        <v>0</v>
      </c>
      <c r="E228">
        <f t="shared" si="10"/>
        <v>0</v>
      </c>
      <c r="F228">
        <f t="shared" si="10"/>
        <v>0</v>
      </c>
      <c r="G228">
        <f t="shared" si="10"/>
        <v>0</v>
      </c>
      <c r="H228">
        <f t="shared" si="10"/>
        <v>0</v>
      </c>
      <c r="I228">
        <f t="shared" si="10"/>
        <v>0</v>
      </c>
      <c r="J228">
        <f t="shared" si="10"/>
        <v>0</v>
      </c>
      <c r="K228">
        <f t="shared" si="10"/>
        <v>0</v>
      </c>
      <c r="L228">
        <f t="shared" si="10"/>
        <v>0</v>
      </c>
      <c r="M228">
        <f t="shared" si="10"/>
        <v>0</v>
      </c>
      <c r="N228">
        <f t="shared" si="10"/>
        <v>0</v>
      </c>
      <c r="O228">
        <f t="shared" si="10"/>
        <v>0</v>
      </c>
      <c r="P228">
        <f t="shared" si="10"/>
        <v>0</v>
      </c>
      <c r="Q228">
        <f t="shared" si="10"/>
        <v>0</v>
      </c>
      <c r="R228">
        <f t="shared" si="10"/>
        <v>0</v>
      </c>
      <c r="S228">
        <f t="shared" si="10"/>
        <v>0</v>
      </c>
      <c r="T228">
        <f t="shared" si="10"/>
        <v>0</v>
      </c>
      <c r="U228">
        <f t="shared" si="10"/>
        <v>0</v>
      </c>
      <c r="V228">
        <f t="shared" si="10"/>
        <v>0</v>
      </c>
    </row>
    <row r="229" spans="1:22" x14ac:dyDescent="0.25">
      <c r="A229" t="s">
        <v>56</v>
      </c>
      <c r="B229">
        <f>SUM(B188:B190,B202:B204)</f>
        <v>3.2000000000000001E-2</v>
      </c>
      <c r="C229">
        <f t="shared" ref="C229:V229" si="11">SUM(C188:C190,C202:C204)</f>
        <v>0</v>
      </c>
      <c r="D229">
        <f t="shared" si="11"/>
        <v>0</v>
      </c>
      <c r="E229">
        <f t="shared" si="11"/>
        <v>0</v>
      </c>
      <c r="F229">
        <f t="shared" si="11"/>
        <v>0</v>
      </c>
      <c r="G229">
        <f t="shared" si="11"/>
        <v>0</v>
      </c>
      <c r="H229">
        <f t="shared" si="11"/>
        <v>0</v>
      </c>
      <c r="I229">
        <f t="shared" si="11"/>
        <v>0</v>
      </c>
      <c r="J229">
        <f t="shared" si="11"/>
        <v>0</v>
      </c>
      <c r="K229">
        <f t="shared" si="11"/>
        <v>0</v>
      </c>
      <c r="L229">
        <f t="shared" si="11"/>
        <v>0</v>
      </c>
      <c r="M229">
        <f t="shared" si="11"/>
        <v>0</v>
      </c>
      <c r="N229">
        <f t="shared" si="11"/>
        <v>0</v>
      </c>
      <c r="O229">
        <f t="shared" si="11"/>
        <v>0</v>
      </c>
      <c r="P229">
        <f t="shared" si="11"/>
        <v>0</v>
      </c>
      <c r="Q229">
        <f t="shared" si="11"/>
        <v>0</v>
      </c>
      <c r="R229">
        <f t="shared" si="11"/>
        <v>0</v>
      </c>
      <c r="S229">
        <f t="shared" si="11"/>
        <v>0</v>
      </c>
      <c r="T229">
        <f t="shared" si="11"/>
        <v>0</v>
      </c>
      <c r="U229">
        <f t="shared" si="11"/>
        <v>0</v>
      </c>
      <c r="V229">
        <f t="shared" si="11"/>
        <v>0</v>
      </c>
    </row>
    <row r="230" spans="1:22" x14ac:dyDescent="0.25">
      <c r="A230" t="s">
        <v>58</v>
      </c>
      <c r="B230">
        <f>SUM(B191,B205)</f>
        <v>0</v>
      </c>
      <c r="C230">
        <f t="shared" ref="C230:V230" si="12">SUM(C191,C205)</f>
        <v>0</v>
      </c>
      <c r="D230">
        <f t="shared" si="12"/>
        <v>0</v>
      </c>
      <c r="E230">
        <f t="shared" si="12"/>
        <v>0</v>
      </c>
      <c r="F230">
        <f t="shared" si="12"/>
        <v>0</v>
      </c>
      <c r="G230">
        <f t="shared" si="12"/>
        <v>0</v>
      </c>
      <c r="H230">
        <f t="shared" si="12"/>
        <v>0</v>
      </c>
      <c r="I230">
        <f t="shared" si="12"/>
        <v>0</v>
      </c>
      <c r="J230">
        <f t="shared" si="12"/>
        <v>0</v>
      </c>
      <c r="K230">
        <f t="shared" si="12"/>
        <v>0</v>
      </c>
      <c r="L230">
        <f t="shared" si="12"/>
        <v>0</v>
      </c>
      <c r="M230">
        <f t="shared" si="12"/>
        <v>0</v>
      </c>
      <c r="N230">
        <f t="shared" si="12"/>
        <v>0</v>
      </c>
      <c r="O230">
        <f t="shared" si="12"/>
        <v>0</v>
      </c>
      <c r="P230">
        <f t="shared" si="12"/>
        <v>0</v>
      </c>
      <c r="Q230">
        <f t="shared" si="12"/>
        <v>0</v>
      </c>
      <c r="R230">
        <f t="shared" si="12"/>
        <v>0</v>
      </c>
      <c r="S230">
        <f t="shared" si="12"/>
        <v>0</v>
      </c>
      <c r="T230">
        <f t="shared" si="12"/>
        <v>0</v>
      </c>
      <c r="U230">
        <f t="shared" si="12"/>
        <v>0</v>
      </c>
      <c r="V230">
        <f t="shared" si="12"/>
        <v>0</v>
      </c>
    </row>
    <row r="231" spans="1:22" x14ac:dyDescent="0.25">
      <c r="A231" t="s">
        <v>59</v>
      </c>
      <c r="B231">
        <f>SUM(B191:B192,B205:B206)</f>
        <v>0</v>
      </c>
      <c r="C231">
        <f t="shared" ref="C231:V231" si="13">SUM(C191:C192,C205:C206)</f>
        <v>0</v>
      </c>
      <c r="D231">
        <f t="shared" si="13"/>
        <v>0</v>
      </c>
      <c r="E231">
        <f t="shared" si="13"/>
        <v>0</v>
      </c>
      <c r="F231">
        <f t="shared" si="13"/>
        <v>0</v>
      </c>
      <c r="G231">
        <f t="shared" si="13"/>
        <v>0</v>
      </c>
      <c r="H231">
        <f t="shared" si="13"/>
        <v>0</v>
      </c>
      <c r="I231">
        <f t="shared" si="13"/>
        <v>0</v>
      </c>
      <c r="J231">
        <f t="shared" si="13"/>
        <v>0</v>
      </c>
      <c r="K231">
        <f t="shared" si="13"/>
        <v>0</v>
      </c>
      <c r="L231">
        <f t="shared" si="13"/>
        <v>0</v>
      </c>
      <c r="M231">
        <f t="shared" si="13"/>
        <v>0</v>
      </c>
      <c r="N231">
        <f t="shared" si="13"/>
        <v>0</v>
      </c>
      <c r="O231">
        <f t="shared" si="13"/>
        <v>0</v>
      </c>
      <c r="P231">
        <f t="shared" si="13"/>
        <v>0</v>
      </c>
      <c r="Q231">
        <f t="shared" si="13"/>
        <v>0</v>
      </c>
      <c r="R231">
        <f t="shared" si="13"/>
        <v>0</v>
      </c>
      <c r="S231">
        <f t="shared" si="13"/>
        <v>0</v>
      </c>
      <c r="T231">
        <f t="shared" si="13"/>
        <v>0</v>
      </c>
      <c r="U231">
        <f t="shared" si="13"/>
        <v>0</v>
      </c>
      <c r="V231">
        <f t="shared" si="13"/>
        <v>0</v>
      </c>
    </row>
    <row r="232" spans="1:22" x14ac:dyDescent="0.25">
      <c r="A232" t="s">
        <v>36</v>
      </c>
      <c r="B232">
        <f>SUM(B188,B202)/B229</f>
        <v>1</v>
      </c>
      <c r="C232" t="e">
        <f t="shared" ref="C232:V232" si="14">SUM(C188,C202)/C229</f>
        <v>#DIV/0!</v>
      </c>
      <c r="D232" t="e">
        <f t="shared" si="14"/>
        <v>#DIV/0!</v>
      </c>
      <c r="E232" t="e">
        <f t="shared" si="14"/>
        <v>#DIV/0!</v>
      </c>
      <c r="F232" t="e">
        <f t="shared" si="14"/>
        <v>#DIV/0!</v>
      </c>
      <c r="G232" t="e">
        <f t="shared" si="14"/>
        <v>#DIV/0!</v>
      </c>
      <c r="H232" t="e">
        <f t="shared" si="14"/>
        <v>#DIV/0!</v>
      </c>
      <c r="I232" t="e">
        <f t="shared" si="14"/>
        <v>#DIV/0!</v>
      </c>
      <c r="J232" t="e">
        <f t="shared" si="14"/>
        <v>#DIV/0!</v>
      </c>
      <c r="K232" t="e">
        <f t="shared" si="14"/>
        <v>#DIV/0!</v>
      </c>
      <c r="L232" t="e">
        <f t="shared" si="14"/>
        <v>#DIV/0!</v>
      </c>
      <c r="M232" t="e">
        <f t="shared" si="14"/>
        <v>#DIV/0!</v>
      </c>
      <c r="N232" t="e">
        <f t="shared" si="14"/>
        <v>#DIV/0!</v>
      </c>
      <c r="O232" t="e">
        <f t="shared" si="14"/>
        <v>#DIV/0!</v>
      </c>
      <c r="P232" t="e">
        <f t="shared" si="14"/>
        <v>#DIV/0!</v>
      </c>
      <c r="Q232" t="e">
        <f t="shared" si="14"/>
        <v>#DIV/0!</v>
      </c>
      <c r="R232" t="e">
        <f t="shared" si="14"/>
        <v>#DIV/0!</v>
      </c>
      <c r="S232" t="e">
        <f t="shared" si="14"/>
        <v>#DIV/0!</v>
      </c>
      <c r="T232" t="e">
        <f t="shared" si="14"/>
        <v>#DIV/0!</v>
      </c>
      <c r="U232" t="e">
        <f t="shared" si="14"/>
        <v>#DIV/0!</v>
      </c>
      <c r="V232" t="e">
        <f t="shared" si="14"/>
        <v>#DIV/0!</v>
      </c>
    </row>
    <row r="233" spans="1:22" x14ac:dyDescent="0.25">
      <c r="A233" t="s">
        <v>39</v>
      </c>
      <c r="B233">
        <f>SUM(B188:B189,B202:B203)/B229</f>
        <v>1</v>
      </c>
      <c r="C233" t="e">
        <f t="shared" ref="C233:V233" si="15">SUM(C188:C189,C202:C203)/C229</f>
        <v>#DIV/0!</v>
      </c>
      <c r="D233" t="e">
        <f t="shared" si="15"/>
        <v>#DIV/0!</v>
      </c>
      <c r="E233" t="e">
        <f t="shared" si="15"/>
        <v>#DIV/0!</v>
      </c>
      <c r="F233" t="e">
        <f t="shared" si="15"/>
        <v>#DIV/0!</v>
      </c>
      <c r="G233" t="e">
        <f t="shared" si="15"/>
        <v>#DIV/0!</v>
      </c>
      <c r="H233" t="e">
        <f t="shared" si="15"/>
        <v>#DIV/0!</v>
      </c>
      <c r="I233" t="e">
        <f t="shared" si="15"/>
        <v>#DIV/0!</v>
      </c>
      <c r="J233" t="e">
        <f t="shared" si="15"/>
        <v>#DIV/0!</v>
      </c>
      <c r="K233" t="e">
        <f t="shared" si="15"/>
        <v>#DIV/0!</v>
      </c>
      <c r="L233" t="e">
        <f t="shared" si="15"/>
        <v>#DIV/0!</v>
      </c>
      <c r="M233" t="e">
        <f t="shared" si="15"/>
        <v>#DIV/0!</v>
      </c>
      <c r="N233" t="e">
        <f t="shared" si="15"/>
        <v>#DIV/0!</v>
      </c>
      <c r="O233" t="e">
        <f t="shared" si="15"/>
        <v>#DIV/0!</v>
      </c>
      <c r="P233" t="e">
        <f t="shared" si="15"/>
        <v>#DIV/0!</v>
      </c>
      <c r="Q233" t="e">
        <f t="shared" si="15"/>
        <v>#DIV/0!</v>
      </c>
      <c r="R233" t="e">
        <f t="shared" si="15"/>
        <v>#DIV/0!</v>
      </c>
      <c r="S233" t="e">
        <f t="shared" si="15"/>
        <v>#DIV/0!</v>
      </c>
      <c r="T233" t="e">
        <f t="shared" si="15"/>
        <v>#DIV/0!</v>
      </c>
      <c r="U233" t="e">
        <f t="shared" si="15"/>
        <v>#DIV/0!</v>
      </c>
      <c r="V233" t="e">
        <f t="shared" si="15"/>
        <v>#DIV/0!</v>
      </c>
    </row>
    <row r="234" spans="1:22" x14ac:dyDescent="0.25">
      <c r="A234" t="s">
        <v>37</v>
      </c>
      <c r="B234">
        <f>SUM(B189,B203)/B229</f>
        <v>0</v>
      </c>
      <c r="C234" t="e">
        <f t="shared" ref="C234:V234" si="16">SUM(C189,C203)/C229</f>
        <v>#DIV/0!</v>
      </c>
      <c r="D234" t="e">
        <f t="shared" si="16"/>
        <v>#DIV/0!</v>
      </c>
      <c r="E234" t="e">
        <f t="shared" si="16"/>
        <v>#DIV/0!</v>
      </c>
      <c r="F234" t="e">
        <f t="shared" si="16"/>
        <v>#DIV/0!</v>
      </c>
      <c r="G234" t="e">
        <f t="shared" si="16"/>
        <v>#DIV/0!</v>
      </c>
      <c r="H234" t="e">
        <f t="shared" si="16"/>
        <v>#DIV/0!</v>
      </c>
      <c r="I234" t="e">
        <f t="shared" si="16"/>
        <v>#DIV/0!</v>
      </c>
      <c r="J234" t="e">
        <f t="shared" si="16"/>
        <v>#DIV/0!</v>
      </c>
      <c r="K234" t="e">
        <f t="shared" si="16"/>
        <v>#DIV/0!</v>
      </c>
      <c r="L234" t="e">
        <f t="shared" si="16"/>
        <v>#DIV/0!</v>
      </c>
      <c r="M234" t="e">
        <f t="shared" si="16"/>
        <v>#DIV/0!</v>
      </c>
      <c r="N234" t="e">
        <f t="shared" si="16"/>
        <v>#DIV/0!</v>
      </c>
      <c r="O234" t="e">
        <f t="shared" si="16"/>
        <v>#DIV/0!</v>
      </c>
      <c r="P234" t="e">
        <f t="shared" si="16"/>
        <v>#DIV/0!</v>
      </c>
      <c r="Q234" t="e">
        <f t="shared" si="16"/>
        <v>#DIV/0!</v>
      </c>
      <c r="R234" t="e">
        <f t="shared" si="16"/>
        <v>#DIV/0!</v>
      </c>
      <c r="S234" t="e">
        <f t="shared" si="16"/>
        <v>#DIV/0!</v>
      </c>
      <c r="T234" t="e">
        <f t="shared" si="16"/>
        <v>#DIV/0!</v>
      </c>
      <c r="U234" t="e">
        <f t="shared" si="16"/>
        <v>#DIV/0!</v>
      </c>
      <c r="V234" t="e">
        <f t="shared" si="16"/>
        <v>#DIV/0!</v>
      </c>
    </row>
    <row r="235" spans="1:22" x14ac:dyDescent="0.25">
      <c r="A235" t="s">
        <v>38</v>
      </c>
      <c r="B235">
        <f>SUM(B190,B204)/B229</f>
        <v>0</v>
      </c>
      <c r="C235" t="e">
        <f t="shared" ref="C235:V235" si="17">SUM(C190,C204)/C229</f>
        <v>#DIV/0!</v>
      </c>
      <c r="D235" t="e">
        <f t="shared" si="17"/>
        <v>#DIV/0!</v>
      </c>
      <c r="E235" t="e">
        <f t="shared" si="17"/>
        <v>#DIV/0!</v>
      </c>
      <c r="F235" t="e">
        <f t="shared" si="17"/>
        <v>#DIV/0!</v>
      </c>
      <c r="G235" t="e">
        <f t="shared" si="17"/>
        <v>#DIV/0!</v>
      </c>
      <c r="H235" t="e">
        <f t="shared" si="17"/>
        <v>#DIV/0!</v>
      </c>
      <c r="I235" t="e">
        <f t="shared" si="17"/>
        <v>#DIV/0!</v>
      </c>
      <c r="J235" t="e">
        <f t="shared" si="17"/>
        <v>#DIV/0!</v>
      </c>
      <c r="K235" t="e">
        <f t="shared" si="17"/>
        <v>#DIV/0!</v>
      </c>
      <c r="L235" t="e">
        <f t="shared" si="17"/>
        <v>#DIV/0!</v>
      </c>
      <c r="M235" t="e">
        <f t="shared" si="17"/>
        <v>#DIV/0!</v>
      </c>
      <c r="N235" t="e">
        <f t="shared" si="17"/>
        <v>#DIV/0!</v>
      </c>
      <c r="O235" t="e">
        <f t="shared" si="17"/>
        <v>#DIV/0!</v>
      </c>
      <c r="P235" t="e">
        <f t="shared" si="17"/>
        <v>#DIV/0!</v>
      </c>
      <c r="Q235" t="e">
        <f t="shared" si="17"/>
        <v>#DIV/0!</v>
      </c>
      <c r="R235" t="e">
        <f t="shared" si="17"/>
        <v>#DIV/0!</v>
      </c>
      <c r="S235" t="e">
        <f t="shared" si="17"/>
        <v>#DIV/0!</v>
      </c>
      <c r="T235" t="e">
        <f t="shared" si="17"/>
        <v>#DIV/0!</v>
      </c>
      <c r="U235" t="e">
        <f t="shared" si="17"/>
        <v>#DIV/0!</v>
      </c>
      <c r="V235" t="e">
        <f t="shared" si="17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6446"/>
  <sheetViews>
    <sheetView tabSelected="1" zoomScaleNormal="100" workbookViewId="0">
      <selection activeCell="AP1" sqref="AP1:AV1048576"/>
    </sheetView>
  </sheetViews>
  <sheetFormatPr defaultRowHeight="15" x14ac:dyDescent="0.25"/>
  <sheetData>
    <row r="1" spans="1:52" x14ac:dyDescent="0.25">
      <c r="A1" t="s">
        <v>15</v>
      </c>
      <c r="B1" t="s">
        <v>32</v>
      </c>
      <c r="C1" t="s">
        <v>25</v>
      </c>
      <c r="D1" t="s">
        <v>26</v>
      </c>
      <c r="E1" t="s">
        <v>14</v>
      </c>
      <c r="F1" t="s">
        <v>13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Z1" t="s">
        <v>34</v>
      </c>
      <c r="AB1" t="s">
        <v>30</v>
      </c>
      <c r="AC1" t="s">
        <v>15</v>
      </c>
      <c r="AD1" t="s">
        <v>27</v>
      </c>
      <c r="AE1" t="s">
        <v>14</v>
      </c>
      <c r="AF1" t="s">
        <v>13</v>
      </c>
      <c r="AG1" t="s">
        <v>86</v>
      </c>
      <c r="AH1" t="s">
        <v>87</v>
      </c>
      <c r="AI1" t="s">
        <v>22</v>
      </c>
      <c r="AK1" t="s">
        <v>23</v>
      </c>
      <c r="AL1" t="s">
        <v>24</v>
      </c>
      <c r="AM1" t="s">
        <v>40</v>
      </c>
      <c r="AO1" t="s">
        <v>31</v>
      </c>
      <c r="AP1" t="s">
        <v>15</v>
      </c>
      <c r="AQ1" t="s">
        <v>27</v>
      </c>
      <c r="AR1" t="s">
        <v>14</v>
      </c>
      <c r="AS1" t="s">
        <v>13</v>
      </c>
      <c r="AT1" t="s">
        <v>86</v>
      </c>
      <c r="AU1" t="s">
        <v>87</v>
      </c>
      <c r="AV1" t="s">
        <v>22</v>
      </c>
      <c r="AX1" t="s">
        <v>23</v>
      </c>
      <c r="AY1" t="s">
        <v>24</v>
      </c>
      <c r="AZ1" t="s">
        <v>40</v>
      </c>
    </row>
    <row r="2" spans="1:52" x14ac:dyDescent="0.25">
      <c r="A2">
        <v>943</v>
      </c>
      <c r="B2">
        <v>0</v>
      </c>
      <c r="C2">
        <v>40.164550749255099</v>
      </c>
      <c r="D2">
        <v>114.63290625565</v>
      </c>
      <c r="E2">
        <v>14</v>
      </c>
      <c r="F2">
        <v>1.01722196789785</v>
      </c>
      <c r="G2" t="s">
        <v>81</v>
      </c>
      <c r="H2" t="s">
        <v>82</v>
      </c>
      <c r="I2">
        <v>984</v>
      </c>
      <c r="J2">
        <v>0</v>
      </c>
      <c r="K2">
        <v>0.106288223876718</v>
      </c>
      <c r="Z2" s="2" t="s">
        <v>16</v>
      </c>
      <c r="AA2" s="2">
        <v>0</v>
      </c>
      <c r="AC2">
        <v>874</v>
      </c>
      <c r="AD2">
        <v>58.174275602680297</v>
      </c>
      <c r="AE2">
        <v>12</v>
      </c>
      <c r="AF2">
        <v>1.01722196789785</v>
      </c>
      <c r="AG2" t="s">
        <v>81</v>
      </c>
      <c r="AH2">
        <v>261</v>
      </c>
      <c r="AI2">
        <v>0.104210552406962</v>
      </c>
      <c r="AJ2">
        <v>1</v>
      </c>
      <c r="AK2">
        <f>AJ2/$AA$17</f>
        <v>6.2500000000000001E-4</v>
      </c>
      <c r="AL2">
        <f>AD2*$AA$16</f>
        <v>58.174275602680297</v>
      </c>
      <c r="AM2">
        <f>AL2/$AA$17</f>
        <v>3.6358922251675183E-2</v>
      </c>
    </row>
    <row r="3" spans="1:52" x14ac:dyDescent="0.25">
      <c r="A3" t="s">
        <v>83</v>
      </c>
      <c r="Z3" s="2" t="s">
        <v>17</v>
      </c>
      <c r="AA3" s="2">
        <v>150</v>
      </c>
      <c r="AC3">
        <v>798</v>
      </c>
      <c r="AD3">
        <v>50.114412140384999</v>
      </c>
      <c r="AE3">
        <v>10</v>
      </c>
      <c r="AF3">
        <v>1.01722196789785</v>
      </c>
      <c r="AG3" t="s">
        <v>81</v>
      </c>
      <c r="AH3">
        <v>31</v>
      </c>
      <c r="AI3">
        <v>0.10256144766988801</v>
      </c>
      <c r="AJ3">
        <v>2</v>
      </c>
      <c r="AK3">
        <f>AJ3/$AA$17</f>
        <v>1.25E-3</v>
      </c>
      <c r="AL3">
        <f>AD3*$AA$16</f>
        <v>50.114412140384999</v>
      </c>
      <c r="AM3">
        <f>AM2+(AL3/$AA$17)</f>
        <v>6.7680429839415801E-2</v>
      </c>
    </row>
    <row r="4" spans="1:52" x14ac:dyDescent="0.25">
      <c r="A4">
        <v>28.182118185885098</v>
      </c>
      <c r="B4">
        <v>69.160802651732794</v>
      </c>
      <c r="C4">
        <v>2000</v>
      </c>
      <c r="Z4" s="2" t="s">
        <v>18</v>
      </c>
      <c r="AA4" s="2">
        <v>0</v>
      </c>
      <c r="AC4">
        <v>1011</v>
      </c>
      <c r="AD4">
        <v>48.1784779642242</v>
      </c>
      <c r="AE4">
        <v>10</v>
      </c>
      <c r="AF4">
        <v>1.01722196789785</v>
      </c>
      <c r="AG4" t="s">
        <v>81</v>
      </c>
      <c r="AH4">
        <v>739</v>
      </c>
      <c r="AI4">
        <v>0.110956953630095</v>
      </c>
      <c r="AJ4">
        <v>3</v>
      </c>
      <c r="AK4">
        <f>AJ4/$AA$17</f>
        <v>1.8749999999999999E-3</v>
      </c>
      <c r="AL4">
        <f>AD4*$AA$16</f>
        <v>48.1784779642242</v>
      </c>
      <c r="AM4">
        <f>AM3+(AL4/$AA$17)</f>
        <v>9.7791978567055932E-2</v>
      </c>
    </row>
    <row r="5" spans="1:52" x14ac:dyDescent="0.25">
      <c r="A5">
        <v>9.2398235463767193</v>
      </c>
      <c r="B5">
        <v>50.218508012224397</v>
      </c>
      <c r="C5">
        <v>2000</v>
      </c>
      <c r="Z5" s="2" t="s">
        <v>19</v>
      </c>
      <c r="AA5" s="2">
        <v>150</v>
      </c>
      <c r="AC5">
        <v>663</v>
      </c>
      <c r="AD5">
        <v>45.657210713551898</v>
      </c>
      <c r="AE5">
        <v>10</v>
      </c>
      <c r="AF5">
        <v>1.01722196789785</v>
      </c>
      <c r="AG5" t="s">
        <v>81</v>
      </c>
      <c r="AH5">
        <v>259</v>
      </c>
      <c r="AI5">
        <v>0</v>
      </c>
      <c r="AJ5">
        <v>4</v>
      </c>
      <c r="AK5">
        <f>AJ5/$AA$17</f>
        <v>2.5000000000000001E-3</v>
      </c>
      <c r="AL5">
        <f>AD5*$AA$16</f>
        <v>45.657210713551898</v>
      </c>
      <c r="AM5">
        <f>AM4+(AL5/$AA$17)</f>
        <v>0.12632773526302588</v>
      </c>
    </row>
    <row r="6" spans="1:52" x14ac:dyDescent="0.25">
      <c r="A6">
        <v>-0.21850801222441399</v>
      </c>
      <c r="B6">
        <v>40.760176453623302</v>
      </c>
      <c r="C6">
        <v>2000</v>
      </c>
      <c r="AC6">
        <v>749</v>
      </c>
      <c r="AD6">
        <v>42.101516130782997</v>
      </c>
      <c r="AE6">
        <v>10</v>
      </c>
      <c r="AF6">
        <v>1.01722196789785</v>
      </c>
      <c r="AG6" t="s">
        <v>81</v>
      </c>
      <c r="AH6">
        <v>1044</v>
      </c>
      <c r="AI6">
        <v>0.101399532687084</v>
      </c>
      <c r="AJ6">
        <v>5</v>
      </c>
      <c r="AK6">
        <f>AJ6/$AA$17</f>
        <v>3.1250000000000002E-3</v>
      </c>
      <c r="AL6">
        <f>AD6*$AA$16</f>
        <v>42.101516130782997</v>
      </c>
      <c r="AM6">
        <f>AM5+(AL6/$AA$17)</f>
        <v>0.15264118284476524</v>
      </c>
    </row>
    <row r="7" spans="1:52" x14ac:dyDescent="0.25">
      <c r="A7">
        <v>0.21850801222440699</v>
      </c>
      <c r="B7">
        <v>40.3231604291745</v>
      </c>
      <c r="C7">
        <v>2001</v>
      </c>
      <c r="AC7">
        <v>990</v>
      </c>
      <c r="AD7">
        <v>37.703198222793603</v>
      </c>
      <c r="AE7">
        <v>10</v>
      </c>
      <c r="AF7">
        <v>1.01722196789785</v>
      </c>
      <c r="AG7" t="s">
        <v>81</v>
      </c>
      <c r="AH7">
        <v>16</v>
      </c>
      <c r="AI7">
        <v>0.108640479089613</v>
      </c>
      <c r="AJ7">
        <v>6</v>
      </c>
      <c r="AK7">
        <f>AJ7/$AA$17</f>
        <v>3.7499999999999999E-3</v>
      </c>
      <c r="AL7">
        <f>AD7*$AA$16</f>
        <v>37.703198222793603</v>
      </c>
      <c r="AM7">
        <f>AM6+(AL7/$AA$17)</f>
        <v>0.17620568173401124</v>
      </c>
    </row>
    <row r="8" spans="1:52" x14ac:dyDescent="0.25">
      <c r="A8">
        <v>9.6768395708255408</v>
      </c>
      <c r="B8">
        <v>49.781491987775603</v>
      </c>
      <c r="C8">
        <v>2001</v>
      </c>
      <c r="AC8">
        <v>947</v>
      </c>
      <c r="AD8">
        <v>35.902946054242499</v>
      </c>
      <c r="AE8">
        <v>10</v>
      </c>
      <c r="AF8">
        <v>1.01722196789785</v>
      </c>
      <c r="AG8" t="s">
        <v>81</v>
      </c>
      <c r="AH8">
        <v>988</v>
      </c>
      <c r="AI8">
        <v>0.106443073044999</v>
      </c>
      <c r="AJ8">
        <v>7</v>
      </c>
      <c r="AK8">
        <f>AJ8/$AA$17</f>
        <v>4.3750000000000004E-3</v>
      </c>
      <c r="AL8">
        <f>AD8*$AA$16</f>
        <v>35.902946054242499</v>
      </c>
      <c r="AM8">
        <f>AM7+(AL8/$AA$17)</f>
        <v>0.19864502301791281</v>
      </c>
    </row>
    <row r="9" spans="1:52" x14ac:dyDescent="0.25">
      <c r="A9">
        <v>28.6191342103339</v>
      </c>
      <c r="B9">
        <v>68.723786627283999</v>
      </c>
      <c r="C9">
        <v>2001</v>
      </c>
      <c r="Z9" t="s">
        <v>33</v>
      </c>
      <c r="AA9">
        <f>COUNTIF(A:A,"Start Points")</f>
        <v>641</v>
      </c>
      <c r="AC9">
        <v>947</v>
      </c>
      <c r="AD9">
        <v>35.777304783274502</v>
      </c>
      <c r="AE9">
        <v>10</v>
      </c>
      <c r="AF9">
        <v>1.01722196789785</v>
      </c>
      <c r="AG9" t="s">
        <v>81</v>
      </c>
      <c r="AH9">
        <v>1015</v>
      </c>
      <c r="AI9">
        <v>0.106443073044999</v>
      </c>
      <c r="AJ9">
        <v>8</v>
      </c>
      <c r="AK9">
        <f>AJ9/$AA$17</f>
        <v>5.0000000000000001E-3</v>
      </c>
      <c r="AL9">
        <f>AD9*$AA$16</f>
        <v>35.777304783274502</v>
      </c>
      <c r="AM9">
        <f>AM8+(AL9/$AA$17)</f>
        <v>0.22100583850745936</v>
      </c>
    </row>
    <row r="10" spans="1:52" x14ac:dyDescent="0.25">
      <c r="A10">
        <v>50.218508012224397</v>
      </c>
      <c r="B10">
        <v>90.323160429174393</v>
      </c>
      <c r="C10">
        <v>2001</v>
      </c>
      <c r="AC10">
        <v>903</v>
      </c>
      <c r="AD10">
        <v>33.280299674069603</v>
      </c>
      <c r="AE10">
        <v>8</v>
      </c>
      <c r="AF10">
        <v>1.01722196789785</v>
      </c>
      <c r="AG10" t="s">
        <v>81</v>
      </c>
      <c r="AH10">
        <v>914</v>
      </c>
      <c r="AI10">
        <v>0.104952687375285</v>
      </c>
      <c r="AJ10">
        <v>9</v>
      </c>
      <c r="AK10">
        <f>AJ10/$AA$17</f>
        <v>5.6249999999999998E-3</v>
      </c>
      <c r="AL10">
        <f>AD10*$AA$16</f>
        <v>33.280299674069603</v>
      </c>
      <c r="AM10">
        <f>AM9+(AL10/$AA$17)</f>
        <v>0.24180602580375288</v>
      </c>
    </row>
    <row r="11" spans="1:52" x14ac:dyDescent="0.25">
      <c r="A11">
        <v>59.676839570825599</v>
      </c>
      <c r="B11">
        <v>99.781491987775595</v>
      </c>
      <c r="C11">
        <v>2001</v>
      </c>
      <c r="Z11" t="s">
        <v>35</v>
      </c>
      <c r="AC11">
        <v>874</v>
      </c>
      <c r="AD11">
        <v>33.173285269359198</v>
      </c>
      <c r="AE11">
        <v>12</v>
      </c>
      <c r="AF11">
        <v>1.01722196789785</v>
      </c>
      <c r="AG11" t="s">
        <v>81</v>
      </c>
      <c r="AH11">
        <v>1041</v>
      </c>
      <c r="AI11">
        <v>0.104210552406962</v>
      </c>
      <c r="AJ11">
        <v>10</v>
      </c>
      <c r="AK11">
        <f>AJ11/$AA$17</f>
        <v>6.2500000000000003E-3</v>
      </c>
      <c r="AL11">
        <f>AD11*$AA$16</f>
        <v>33.173285269359198</v>
      </c>
      <c r="AM11">
        <f>AM10+(AL11/$AA$17)</f>
        <v>0.26253932909710237</v>
      </c>
    </row>
    <row r="12" spans="1:52" x14ac:dyDescent="0.25">
      <c r="A12">
        <v>100.395681599892</v>
      </c>
      <c r="B12">
        <v>140.500334016842</v>
      </c>
      <c r="C12">
        <v>2001</v>
      </c>
      <c r="Z12" s="2" t="s">
        <v>16</v>
      </c>
      <c r="AA12" s="2">
        <v>55</v>
      </c>
      <c r="AC12">
        <v>665</v>
      </c>
      <c r="AD12">
        <v>31.697554991586198</v>
      </c>
      <c r="AE12">
        <v>8</v>
      </c>
      <c r="AF12">
        <v>1.01722196789785</v>
      </c>
      <c r="AG12" t="s">
        <v>81</v>
      </c>
      <c r="AH12">
        <v>24</v>
      </c>
      <c r="AI12">
        <v>0</v>
      </c>
      <c r="AJ12">
        <v>11</v>
      </c>
      <c r="AK12">
        <f>AJ12/$AA$17</f>
        <v>6.875E-3</v>
      </c>
      <c r="AL12">
        <f>AD12*$AA$16</f>
        <v>31.697554991586198</v>
      </c>
      <c r="AM12">
        <f>AM11+(AL12/$AA$17)</f>
        <v>0.28235030096684377</v>
      </c>
    </row>
    <row r="13" spans="1:52" x14ac:dyDescent="0.25">
      <c r="A13">
        <v>109.89534758305</v>
      </c>
      <c r="B13">
        <v>150</v>
      </c>
      <c r="C13">
        <v>2001</v>
      </c>
      <c r="Z13" s="2" t="s">
        <v>17</v>
      </c>
      <c r="AA13" s="2">
        <v>95</v>
      </c>
      <c r="AC13">
        <v>663</v>
      </c>
      <c r="AD13">
        <v>31.051646280529798</v>
      </c>
      <c r="AE13">
        <v>10</v>
      </c>
      <c r="AF13">
        <v>1.01722196789785</v>
      </c>
      <c r="AG13" t="s">
        <v>81</v>
      </c>
      <c r="AH13">
        <v>835</v>
      </c>
      <c r="AI13">
        <v>0</v>
      </c>
      <c r="AJ13">
        <v>12</v>
      </c>
      <c r="AK13">
        <f>AJ13/$AA$17</f>
        <v>7.4999999999999997E-3</v>
      </c>
      <c r="AL13">
        <f>AD13*$AA$16</f>
        <v>31.051646280529798</v>
      </c>
      <c r="AM13">
        <f>AM12+(AL13/$AA$17)</f>
        <v>0.30175757989217489</v>
      </c>
    </row>
    <row r="14" spans="1:52" x14ac:dyDescent="0.25">
      <c r="A14">
        <v>109.021315534152</v>
      </c>
      <c r="B14">
        <v>150</v>
      </c>
      <c r="C14">
        <v>2000</v>
      </c>
      <c r="Z14" s="2" t="s">
        <v>18</v>
      </c>
      <c r="AA14" s="2">
        <v>55</v>
      </c>
      <c r="AC14">
        <v>677</v>
      </c>
      <c r="AD14">
        <v>30.370773835195799</v>
      </c>
      <c r="AE14">
        <v>10</v>
      </c>
      <c r="AF14">
        <v>1.01722196789785</v>
      </c>
      <c r="AG14" t="s">
        <v>81</v>
      </c>
      <c r="AH14">
        <v>22</v>
      </c>
      <c r="AI14">
        <v>0</v>
      </c>
      <c r="AJ14">
        <v>13</v>
      </c>
      <c r="AK14">
        <f>AJ14/$AA$17</f>
        <v>8.1250000000000003E-3</v>
      </c>
      <c r="AL14">
        <f>AD14*$AA$16</f>
        <v>30.370773835195799</v>
      </c>
      <c r="AM14">
        <f>AM13+(AL14/$AA$17)</f>
        <v>0.32073931353917229</v>
      </c>
    </row>
    <row r="15" spans="1:52" x14ac:dyDescent="0.25">
      <c r="A15">
        <v>99.6043184001078</v>
      </c>
      <c r="B15">
        <v>140.583002865955</v>
      </c>
      <c r="C15">
        <v>2000</v>
      </c>
      <c r="Z15" s="2" t="s">
        <v>19</v>
      </c>
      <c r="AA15" s="2">
        <v>95</v>
      </c>
      <c r="AC15">
        <v>985</v>
      </c>
      <c r="AD15">
        <v>29.749622890343499</v>
      </c>
      <c r="AE15">
        <v>8</v>
      </c>
      <c r="AF15">
        <v>1.01722196789785</v>
      </c>
      <c r="AG15" t="s">
        <v>81</v>
      </c>
      <c r="AH15">
        <v>323</v>
      </c>
      <c r="AI15">
        <v>0.108516290029368</v>
      </c>
      <c r="AJ15">
        <v>14</v>
      </c>
      <c r="AK15">
        <f>AJ15/$AA$17</f>
        <v>8.7500000000000008E-3</v>
      </c>
      <c r="AL15">
        <f>AD15*$AA$16</f>
        <v>29.749622890343499</v>
      </c>
      <c r="AM15">
        <f>AM14+(AL15/$AA$17)</f>
        <v>0.33933282784563695</v>
      </c>
    </row>
    <row r="16" spans="1:52" x14ac:dyDescent="0.25">
      <c r="A16">
        <v>59.239823546376797</v>
      </c>
      <c r="B16">
        <v>100.21850801222401</v>
      </c>
      <c r="C16">
        <v>2000</v>
      </c>
      <c r="Z16" s="2" t="s">
        <v>20</v>
      </c>
      <c r="AA16" s="2">
        <v>1</v>
      </c>
      <c r="AC16">
        <v>661</v>
      </c>
      <c r="AD16">
        <v>29.204391155681598</v>
      </c>
      <c r="AE16">
        <v>10</v>
      </c>
      <c r="AF16">
        <v>1.01722196789785</v>
      </c>
      <c r="AG16" t="s">
        <v>81</v>
      </c>
      <c r="AH16">
        <v>647</v>
      </c>
      <c r="AI16">
        <v>0</v>
      </c>
      <c r="AJ16">
        <v>15</v>
      </c>
      <c r="AK16">
        <f>AJ16/$AA$17</f>
        <v>9.3749999999999997E-3</v>
      </c>
      <c r="AL16">
        <f>AD16*$AA$16</f>
        <v>29.204391155681598</v>
      </c>
      <c r="AM16">
        <f>AM15+(AL16/$AA$17)</f>
        <v>0.35758557231793797</v>
      </c>
    </row>
    <row r="17" spans="1:39" x14ac:dyDescent="0.25">
      <c r="A17">
        <v>49.781491987775603</v>
      </c>
      <c r="B17">
        <v>90.760176453623203</v>
      </c>
      <c r="C17">
        <v>2000</v>
      </c>
      <c r="Z17" t="s">
        <v>21</v>
      </c>
      <c r="AA17">
        <f>(AA13-AA12)*(AA15-AA14)*AA16</f>
        <v>1600</v>
      </c>
      <c r="AC17">
        <v>674</v>
      </c>
      <c r="AD17">
        <v>29.114019215727101</v>
      </c>
      <c r="AE17">
        <v>10</v>
      </c>
      <c r="AF17">
        <v>1.01722196789785</v>
      </c>
      <c r="AG17" t="s">
        <v>81</v>
      </c>
      <c r="AH17">
        <v>866</v>
      </c>
      <c r="AI17">
        <v>0</v>
      </c>
      <c r="AJ17">
        <v>16</v>
      </c>
      <c r="AK17">
        <f>AJ17/$AA$17</f>
        <v>0.01</v>
      </c>
      <c r="AL17">
        <f>AD17*$AA$16</f>
        <v>29.114019215727101</v>
      </c>
      <c r="AM17">
        <f>AM16+(AL17/$AA$17)</f>
        <v>0.37578183432776741</v>
      </c>
    </row>
    <row r="18" spans="1:39" x14ac:dyDescent="0.25">
      <c r="A18" t="s">
        <v>84</v>
      </c>
      <c r="AC18">
        <v>745</v>
      </c>
      <c r="AD18">
        <v>28.499732997058199</v>
      </c>
      <c r="AE18">
        <v>8</v>
      </c>
      <c r="AF18">
        <v>1.01722196789785</v>
      </c>
      <c r="AG18" t="s">
        <v>81</v>
      </c>
      <c r="AH18">
        <v>938</v>
      </c>
      <c r="AI18">
        <v>9.9787223602304201E-2</v>
      </c>
      <c r="AJ18">
        <v>17</v>
      </c>
      <c r="AK18">
        <f>AJ18/$AA$17</f>
        <v>1.0625000000000001E-2</v>
      </c>
      <c r="AL18">
        <f>AD18*$AA$16</f>
        <v>28.499732997058199</v>
      </c>
      <c r="AM18">
        <f>AM17+(AL18/$AA$17)</f>
        <v>0.39359416745092879</v>
      </c>
    </row>
    <row r="19" spans="1:39" x14ac:dyDescent="0.25">
      <c r="A19">
        <v>991</v>
      </c>
      <c r="B19">
        <v>0</v>
      </c>
      <c r="C19">
        <v>126.49048511250299</v>
      </c>
      <c r="D19">
        <v>15.225890569296</v>
      </c>
      <c r="E19">
        <v>14</v>
      </c>
      <c r="F19">
        <v>1.01722196789785</v>
      </c>
      <c r="G19" t="s">
        <v>82</v>
      </c>
      <c r="H19" t="s">
        <v>81</v>
      </c>
      <c r="I19">
        <v>0</v>
      </c>
      <c r="J19">
        <v>821</v>
      </c>
      <c r="K19">
        <v>0.108884453089497</v>
      </c>
      <c r="AC19">
        <v>746</v>
      </c>
      <c r="AD19">
        <v>27.881244599761398</v>
      </c>
      <c r="AE19">
        <v>8</v>
      </c>
      <c r="AF19">
        <v>1.01722196789785</v>
      </c>
      <c r="AG19" t="s">
        <v>81</v>
      </c>
      <c r="AH19">
        <v>964</v>
      </c>
      <c r="AI19">
        <v>0.10038021386068</v>
      </c>
      <c r="AJ19">
        <v>18</v>
      </c>
      <c r="AK19">
        <f>AJ19/$AA$17</f>
        <v>1.125E-2</v>
      </c>
      <c r="AL19">
        <f>AD19*$AA$16</f>
        <v>27.881244599761398</v>
      </c>
      <c r="AM19">
        <f>AM18+(AL19/$AA$17)</f>
        <v>0.41101994532577968</v>
      </c>
    </row>
    <row r="20" spans="1:39" x14ac:dyDescent="0.25">
      <c r="A20" t="s">
        <v>83</v>
      </c>
      <c r="AC20">
        <v>673</v>
      </c>
      <c r="AD20">
        <v>27.345182665457699</v>
      </c>
      <c r="AE20">
        <v>10</v>
      </c>
      <c r="AF20">
        <v>1.01722196789785</v>
      </c>
      <c r="AG20" t="s">
        <v>81</v>
      </c>
      <c r="AH20">
        <v>742</v>
      </c>
      <c r="AI20">
        <v>0</v>
      </c>
      <c r="AJ20">
        <v>19</v>
      </c>
      <c r="AK20">
        <f>AJ20/$AA$17</f>
        <v>1.1875E-2</v>
      </c>
      <c r="AL20">
        <f>AD20*$AA$16</f>
        <v>27.345182665457699</v>
      </c>
      <c r="AM20">
        <f>AM19+(AL20/$AA$17)</f>
        <v>0.42811068449169076</v>
      </c>
    </row>
    <row r="21" spans="1:39" x14ac:dyDescent="0.25">
      <c r="A21">
        <v>100.029837856079</v>
      </c>
      <c r="B21">
        <v>89.223771766402507</v>
      </c>
      <c r="C21">
        <v>2000</v>
      </c>
      <c r="AC21">
        <v>979</v>
      </c>
      <c r="AD21">
        <v>26.713013033227298</v>
      </c>
      <c r="AE21">
        <v>10</v>
      </c>
      <c r="AF21">
        <v>1.01722196789785</v>
      </c>
      <c r="AG21" t="s">
        <v>81</v>
      </c>
      <c r="AH21">
        <v>752</v>
      </c>
      <c r="AI21">
        <v>0.108134401500911</v>
      </c>
      <c r="AJ21">
        <v>20</v>
      </c>
      <c r="AK21">
        <f>AJ21/$AA$17</f>
        <v>1.2500000000000001E-2</v>
      </c>
      <c r="AL21">
        <f>AD21*$AA$16</f>
        <v>26.713013033227298</v>
      </c>
      <c r="AM21">
        <f>AM20+(AL21/$AA$17)</f>
        <v>0.44480631763745782</v>
      </c>
    </row>
    <row r="22" spans="1:39" x14ac:dyDescent="0.25">
      <c r="A22">
        <v>60.587558077451703</v>
      </c>
      <c r="B22">
        <v>49.781491987775603</v>
      </c>
      <c r="C22">
        <v>2000</v>
      </c>
      <c r="AC22">
        <v>1003</v>
      </c>
      <c r="AD22">
        <v>25.621984499788098</v>
      </c>
      <c r="AE22">
        <v>8</v>
      </c>
      <c r="AF22">
        <v>1.01722196789785</v>
      </c>
      <c r="AG22" t="s">
        <v>81</v>
      </c>
      <c r="AH22">
        <v>985</v>
      </c>
      <c r="AI22">
        <v>0.110239492672438</v>
      </c>
      <c r="AJ22">
        <v>21</v>
      </c>
      <c r="AK22">
        <f>AJ22/$AA$17</f>
        <v>1.3125E-2</v>
      </c>
      <c r="AL22">
        <f>AD22*$AA$16</f>
        <v>25.621984499788098</v>
      </c>
      <c r="AM22">
        <f>AM21+(AL22/$AA$17)</f>
        <v>0.46082005794982539</v>
      </c>
    </row>
    <row r="23" spans="1:39" x14ac:dyDescent="0.25">
      <c r="A23">
        <v>50.263822422592597</v>
      </c>
      <c r="B23">
        <v>39.457756332916397</v>
      </c>
      <c r="C23">
        <v>2000</v>
      </c>
      <c r="AC23">
        <v>910</v>
      </c>
      <c r="AD23">
        <v>25.127644339998302</v>
      </c>
      <c r="AE23">
        <v>10</v>
      </c>
      <c r="AF23">
        <v>1.01722196789785</v>
      </c>
      <c r="AG23" t="s">
        <v>81</v>
      </c>
      <c r="AH23">
        <v>742</v>
      </c>
      <c r="AI23">
        <v>0.105129910972954</v>
      </c>
      <c r="AJ23">
        <v>22</v>
      </c>
      <c r="AK23">
        <f>AJ23/$AA$17</f>
        <v>1.375E-2</v>
      </c>
      <c r="AL23">
        <f>AD23*$AA$16</f>
        <v>25.127644339998302</v>
      </c>
      <c r="AM23">
        <f>AM22+(AL23/$AA$17)</f>
        <v>0.47652483566232434</v>
      </c>
    </row>
    <row r="24" spans="1:39" x14ac:dyDescent="0.25">
      <c r="A24">
        <v>10.806066089676101</v>
      </c>
      <c r="B24">
        <v>0</v>
      </c>
      <c r="C24">
        <v>2000</v>
      </c>
      <c r="AC24">
        <v>940</v>
      </c>
      <c r="AD24">
        <v>25.043130380128702</v>
      </c>
      <c r="AE24">
        <v>10</v>
      </c>
      <c r="AF24">
        <v>1.01722196789785</v>
      </c>
      <c r="AG24" t="s">
        <v>81</v>
      </c>
      <c r="AH24">
        <v>565</v>
      </c>
      <c r="AI24">
        <v>0.10613089671621601</v>
      </c>
      <c r="AJ24">
        <v>23</v>
      </c>
      <c r="AK24">
        <f>AJ24/$AA$17</f>
        <v>1.4375000000000001E-2</v>
      </c>
      <c r="AL24">
        <f>AD24*$AA$16</f>
        <v>25.043130380128702</v>
      </c>
      <c r="AM24">
        <f>AM23+(AL24/$AA$17)</f>
        <v>0.49217679214990478</v>
      </c>
    </row>
    <row r="25" spans="1:39" x14ac:dyDescent="0.25">
      <c r="A25">
        <v>9.9320340407784808</v>
      </c>
      <c r="B25">
        <v>0</v>
      </c>
      <c r="C25">
        <v>2001</v>
      </c>
      <c r="AC25">
        <v>678</v>
      </c>
      <c r="AD25">
        <v>24.661135139488099</v>
      </c>
      <c r="AE25">
        <v>6</v>
      </c>
      <c r="AF25">
        <v>1.01722196789785</v>
      </c>
      <c r="AG25" t="s">
        <v>81</v>
      </c>
      <c r="AH25">
        <v>594</v>
      </c>
      <c r="AI25">
        <v>0</v>
      </c>
      <c r="AJ25">
        <v>24</v>
      </c>
      <c r="AK25">
        <f>AJ25/$AA$17</f>
        <v>1.4999999999999999E-2</v>
      </c>
      <c r="AL25">
        <f>AD25*$AA$16</f>
        <v>24.661135139488099</v>
      </c>
      <c r="AM25">
        <f>AM24+(AL25/$AA$17)</f>
        <v>0.5075900016120849</v>
      </c>
    </row>
    <row r="26" spans="1:39" x14ac:dyDescent="0.25">
      <c r="A26">
        <v>49.736177577407403</v>
      </c>
      <c r="B26">
        <v>39.804143536628899</v>
      </c>
      <c r="C26">
        <v>2001</v>
      </c>
      <c r="AC26">
        <v>900</v>
      </c>
      <c r="AD26">
        <v>23.893458381809101</v>
      </c>
      <c r="AE26">
        <v>6</v>
      </c>
      <c r="AF26">
        <v>1.01722196789785</v>
      </c>
      <c r="AG26" t="s">
        <v>81</v>
      </c>
      <c r="AH26">
        <v>850</v>
      </c>
      <c r="AI26">
        <v>0.104772231836848</v>
      </c>
      <c r="AJ26">
        <v>25</v>
      </c>
      <c r="AK26">
        <f>AJ26/$AA$17</f>
        <v>1.5625E-2</v>
      </c>
      <c r="AL26">
        <f>AD26*$AA$16</f>
        <v>23.893458381809101</v>
      </c>
      <c r="AM26">
        <f>AM25+(AL26/$AA$17)</f>
        <v>0.52252341310071559</v>
      </c>
    </row>
    <row r="27" spans="1:39" x14ac:dyDescent="0.25">
      <c r="A27">
        <v>60.150542053002901</v>
      </c>
      <c r="B27">
        <v>50.218508012224397</v>
      </c>
      <c r="C27">
        <v>2001</v>
      </c>
      <c r="AC27">
        <v>680</v>
      </c>
      <c r="AD27">
        <v>23.395936245685899</v>
      </c>
      <c r="AE27">
        <v>6</v>
      </c>
      <c r="AF27">
        <v>1.01722196789785</v>
      </c>
      <c r="AG27" t="s">
        <v>81</v>
      </c>
      <c r="AH27">
        <v>897</v>
      </c>
      <c r="AI27">
        <v>0</v>
      </c>
      <c r="AJ27">
        <v>26</v>
      </c>
      <c r="AK27">
        <f>AJ27/$AA$17</f>
        <v>1.6250000000000001E-2</v>
      </c>
      <c r="AL27">
        <f>AD27*$AA$16</f>
        <v>23.395936245685899</v>
      </c>
      <c r="AM27">
        <f>AM26+(AL27/$AA$17)</f>
        <v>0.53714587325426932</v>
      </c>
    </row>
    <row r="28" spans="1:39" x14ac:dyDescent="0.25">
      <c r="A28">
        <v>99.592821831629806</v>
      </c>
      <c r="B28">
        <v>89.660787790851302</v>
      </c>
      <c r="C28">
        <v>2001</v>
      </c>
      <c r="AC28">
        <v>668</v>
      </c>
      <c r="AD28">
        <v>19.935397876940598</v>
      </c>
      <c r="AE28">
        <v>8</v>
      </c>
      <c r="AF28">
        <v>1.01722196789785</v>
      </c>
      <c r="AG28" t="s">
        <v>81</v>
      </c>
      <c r="AH28">
        <v>582</v>
      </c>
      <c r="AI28">
        <v>0</v>
      </c>
      <c r="AJ28">
        <v>27</v>
      </c>
      <c r="AK28">
        <f>AJ28/$AA$17</f>
        <v>1.6875000000000001E-2</v>
      </c>
      <c r="AL28">
        <f>AD28*$AA$16</f>
        <v>19.935397876940598</v>
      </c>
      <c r="AM28">
        <f>AM27+(AL28/$AA$17)</f>
        <v>0.54960549692735716</v>
      </c>
    </row>
    <row r="29" spans="1:39" x14ac:dyDescent="0.25">
      <c r="A29">
        <v>99.781491987775595</v>
      </c>
      <c r="B29">
        <v>89.849457946997106</v>
      </c>
      <c r="C29">
        <v>2001</v>
      </c>
      <c r="AC29">
        <v>1010</v>
      </c>
      <c r="AD29">
        <v>18.578571443987101</v>
      </c>
      <c r="AE29">
        <v>6</v>
      </c>
      <c r="AF29">
        <v>1.01722196789785</v>
      </c>
      <c r="AG29" t="s">
        <v>81</v>
      </c>
      <c r="AH29">
        <v>666</v>
      </c>
      <c r="AI29">
        <v>0.11085732651601</v>
      </c>
      <c r="AJ29">
        <v>28</v>
      </c>
      <c r="AK29">
        <f>AJ29/$AA$17</f>
        <v>1.7500000000000002E-2</v>
      </c>
      <c r="AL29">
        <f>AD29*$AA$16</f>
        <v>18.578571443987101</v>
      </c>
      <c r="AM29">
        <f>AM28+(AL29/$AA$17)</f>
        <v>0.56121710407984915</v>
      </c>
    </row>
    <row r="30" spans="1:39" x14ac:dyDescent="0.25">
      <c r="A30">
        <v>110.15054205300299</v>
      </c>
      <c r="B30">
        <v>100.21850801222401</v>
      </c>
      <c r="C30">
        <v>2001</v>
      </c>
      <c r="AC30">
        <v>677</v>
      </c>
      <c r="AD30">
        <v>17.2869780697484</v>
      </c>
      <c r="AE30">
        <v>10</v>
      </c>
      <c r="AF30">
        <v>1.01722196789785</v>
      </c>
      <c r="AG30" t="s">
        <v>81</v>
      </c>
      <c r="AH30">
        <v>278</v>
      </c>
      <c r="AI30">
        <v>0</v>
      </c>
      <c r="AJ30">
        <v>29</v>
      </c>
      <c r="AK30">
        <f>AJ30/$AA$17</f>
        <v>1.8124999999999999E-2</v>
      </c>
      <c r="AL30">
        <f>AD30*$AA$16</f>
        <v>17.2869780697484</v>
      </c>
      <c r="AM30">
        <f>AM29+(AL30/$AA$17)</f>
        <v>0.5720214653734419</v>
      </c>
    </row>
    <row r="31" spans="1:39" x14ac:dyDescent="0.25">
      <c r="A31">
        <v>110.359152302783</v>
      </c>
      <c r="B31">
        <v>100.427118262005</v>
      </c>
      <c r="C31">
        <v>2001</v>
      </c>
      <c r="AC31">
        <v>673</v>
      </c>
      <c r="AD31">
        <v>17.286978069747999</v>
      </c>
      <c r="AE31">
        <v>10</v>
      </c>
      <c r="AF31">
        <v>1.01722196789785</v>
      </c>
      <c r="AG31" t="s">
        <v>81</v>
      </c>
      <c r="AH31">
        <v>1025</v>
      </c>
      <c r="AI31">
        <v>0</v>
      </c>
      <c r="AJ31">
        <v>30</v>
      </c>
      <c r="AK31">
        <f>AJ31/$AA$17</f>
        <v>1.8749999999999999E-2</v>
      </c>
      <c r="AL31">
        <f>AD31*$AA$16</f>
        <v>17.286978069747999</v>
      </c>
      <c r="AM31">
        <f>AM30+(AL31/$AA$17)</f>
        <v>0.58282582666703442</v>
      </c>
    </row>
    <row r="32" spans="1:39" x14ac:dyDescent="0.25">
      <c r="A32">
        <v>110.796168327232</v>
      </c>
      <c r="B32">
        <v>99.990102237556002</v>
      </c>
      <c r="C32">
        <v>2000</v>
      </c>
      <c r="AC32">
        <v>674</v>
      </c>
      <c r="AD32">
        <v>17.1475489681285</v>
      </c>
      <c r="AE32">
        <v>10</v>
      </c>
      <c r="AF32">
        <v>1.01722196789785</v>
      </c>
      <c r="AG32" t="s">
        <v>81</v>
      </c>
      <c r="AH32">
        <v>911</v>
      </c>
      <c r="AI32">
        <v>0</v>
      </c>
      <c r="AJ32">
        <v>31</v>
      </c>
      <c r="AK32">
        <f>AJ32/$AA$17</f>
        <v>1.9375E-2</v>
      </c>
      <c r="AL32">
        <f>AD32*$AA$16</f>
        <v>17.1475489681285</v>
      </c>
      <c r="AM32">
        <f>AM31+(AL32/$AA$17)</f>
        <v>0.59354304477211473</v>
      </c>
    </row>
    <row r="33" spans="1:39" x14ac:dyDescent="0.25">
      <c r="A33">
        <v>110.587558077452</v>
      </c>
      <c r="B33">
        <v>99.781491987775595</v>
      </c>
      <c r="C33">
        <v>2000</v>
      </c>
      <c r="AC33">
        <v>749</v>
      </c>
      <c r="AD33">
        <v>17.09020005368</v>
      </c>
      <c r="AE33">
        <v>10</v>
      </c>
      <c r="AF33">
        <v>1.01722196789785</v>
      </c>
      <c r="AG33" t="s">
        <v>81</v>
      </c>
      <c r="AH33">
        <v>673</v>
      </c>
      <c r="AI33">
        <v>0.101399532687084</v>
      </c>
      <c r="AJ33">
        <v>32</v>
      </c>
      <c r="AK33">
        <f>AJ33/$AA$17</f>
        <v>0.02</v>
      </c>
      <c r="AL33">
        <f>AD33*$AA$16</f>
        <v>17.09020005368</v>
      </c>
      <c r="AM33">
        <f>AM32+(AL33/$AA$17)</f>
        <v>0.60422441980566477</v>
      </c>
    </row>
    <row r="34" spans="1:39" x14ac:dyDescent="0.25">
      <c r="A34">
        <v>100.21850801222401</v>
      </c>
      <c r="B34">
        <v>89.412441922548297</v>
      </c>
      <c r="C34">
        <v>2000</v>
      </c>
      <c r="AC34">
        <v>979</v>
      </c>
      <c r="AD34">
        <v>15.5281929688619</v>
      </c>
      <c r="AE34">
        <v>10</v>
      </c>
      <c r="AF34">
        <v>1.01722196789785</v>
      </c>
      <c r="AG34" t="s">
        <v>81</v>
      </c>
      <c r="AH34">
        <v>891</v>
      </c>
      <c r="AI34">
        <v>0.108134401500911</v>
      </c>
      <c r="AJ34">
        <v>33</v>
      </c>
      <c r="AK34">
        <f>AJ34/$AA$17</f>
        <v>2.0625000000000001E-2</v>
      </c>
      <c r="AL34">
        <f>AD34*$AA$16</f>
        <v>15.5281929688619</v>
      </c>
      <c r="AM34">
        <f>AM33+(AL34/$AA$17)</f>
        <v>0.61392954041120351</v>
      </c>
    </row>
    <row r="35" spans="1:39" x14ac:dyDescent="0.25">
      <c r="A35" t="s">
        <v>84</v>
      </c>
      <c r="AC35">
        <v>672</v>
      </c>
      <c r="AD35">
        <v>15.1378061635852</v>
      </c>
      <c r="AE35">
        <v>8</v>
      </c>
      <c r="AF35">
        <v>1.01722196789785</v>
      </c>
      <c r="AG35" t="s">
        <v>81</v>
      </c>
      <c r="AH35">
        <v>1004</v>
      </c>
      <c r="AI35">
        <v>0</v>
      </c>
      <c r="AJ35">
        <v>34</v>
      </c>
      <c r="AK35">
        <f>AJ35/$AA$17</f>
        <v>2.1250000000000002E-2</v>
      </c>
      <c r="AL35">
        <f>AD35*$AA$16</f>
        <v>15.1378061635852</v>
      </c>
      <c r="AM35">
        <f>AM34+(AL35/$AA$17)</f>
        <v>0.62339066926344422</v>
      </c>
    </row>
    <row r="36" spans="1:39" x14ac:dyDescent="0.25">
      <c r="A36">
        <v>595</v>
      </c>
      <c r="B36">
        <v>0</v>
      </c>
      <c r="C36">
        <v>96.134734712179807</v>
      </c>
      <c r="D36">
        <v>40.252672022243601</v>
      </c>
      <c r="E36">
        <v>10</v>
      </c>
      <c r="F36">
        <v>1.01722196789785</v>
      </c>
      <c r="G36" t="s">
        <v>82</v>
      </c>
      <c r="H36" t="s">
        <v>81</v>
      </c>
      <c r="I36">
        <v>0</v>
      </c>
      <c r="J36">
        <v>576</v>
      </c>
      <c r="K36">
        <v>0</v>
      </c>
      <c r="AC36">
        <v>665</v>
      </c>
      <c r="AD36">
        <v>15.076178657751999</v>
      </c>
      <c r="AE36">
        <v>8</v>
      </c>
      <c r="AF36">
        <v>1.01722196789785</v>
      </c>
      <c r="AG36" t="s">
        <v>81</v>
      </c>
      <c r="AH36">
        <v>655</v>
      </c>
      <c r="AI36">
        <v>0</v>
      </c>
      <c r="AJ36">
        <v>35</v>
      </c>
      <c r="AK36">
        <f>AJ36/$AA$17</f>
        <v>2.1874999999999999E-2</v>
      </c>
      <c r="AL36">
        <f>AD36*$AA$16</f>
        <v>15.076178657751999</v>
      </c>
      <c r="AM36">
        <f>AM35+(AL36/$AA$17)</f>
        <v>0.63281328092453926</v>
      </c>
    </row>
    <row r="37" spans="1:39" x14ac:dyDescent="0.25">
      <c r="A37" t="s">
        <v>83</v>
      </c>
      <c r="AC37">
        <v>661</v>
      </c>
      <c r="AD37">
        <v>14.7968535032687</v>
      </c>
      <c r="AE37">
        <v>10</v>
      </c>
      <c r="AF37">
        <v>1.01722196789785</v>
      </c>
      <c r="AG37" t="s">
        <v>81</v>
      </c>
      <c r="AH37">
        <v>923</v>
      </c>
      <c r="AI37">
        <v>0</v>
      </c>
      <c r="AJ37">
        <v>36</v>
      </c>
      <c r="AK37">
        <f>AJ37/$AA$17</f>
        <v>2.2499999999999999E-2</v>
      </c>
      <c r="AL37">
        <f>AD37*$AA$16</f>
        <v>14.7968535032687</v>
      </c>
      <c r="AM37">
        <f>AM36+(AL37/$AA$17)</f>
        <v>0.6420613143640822</v>
      </c>
    </row>
    <row r="38" spans="1:39" x14ac:dyDescent="0.25">
      <c r="A38">
        <v>118.925889051024</v>
      </c>
      <c r="B38">
        <v>68.196030834776494</v>
      </c>
      <c r="C38">
        <v>2000</v>
      </c>
      <c r="AC38">
        <v>668</v>
      </c>
      <c r="AD38">
        <v>14.7968535032683</v>
      </c>
      <c r="AE38">
        <v>8</v>
      </c>
      <c r="AF38">
        <v>1.01722196789785</v>
      </c>
      <c r="AG38" t="s">
        <v>81</v>
      </c>
      <c r="AH38">
        <v>191</v>
      </c>
      <c r="AI38">
        <v>0</v>
      </c>
      <c r="AJ38">
        <v>37</v>
      </c>
      <c r="AK38">
        <f>AJ38/$AA$17</f>
        <v>2.3125E-2</v>
      </c>
      <c r="AL38">
        <f>AD38*$AA$16</f>
        <v>14.7968535032683</v>
      </c>
      <c r="AM38">
        <f>AM37+(AL38/$AA$17)</f>
        <v>0.65130934780362493</v>
      </c>
    </row>
    <row r="39" spans="1:39" x14ac:dyDescent="0.25">
      <c r="A39">
        <v>100.948366228472</v>
      </c>
      <c r="B39">
        <v>50.218508012224397</v>
      </c>
      <c r="C39">
        <v>2000</v>
      </c>
      <c r="AC39">
        <v>1003</v>
      </c>
      <c r="AD39">
        <v>14.161815298124599</v>
      </c>
      <c r="AE39">
        <v>8</v>
      </c>
      <c r="AF39">
        <v>1.01722196789785</v>
      </c>
      <c r="AG39" t="s">
        <v>81</v>
      </c>
      <c r="AH39">
        <v>938</v>
      </c>
      <c r="AI39">
        <v>0.110239492672438</v>
      </c>
      <c r="AJ39">
        <v>38</v>
      </c>
      <c r="AK39">
        <f>AJ39/$AA$17</f>
        <v>2.375E-2</v>
      </c>
      <c r="AL39">
        <f>AD39*$AA$16</f>
        <v>14.161815298124599</v>
      </c>
      <c r="AM39">
        <f>AM38+(AL39/$AA$17)</f>
        <v>0.66016048236495284</v>
      </c>
    </row>
    <row r="40" spans="1:39" x14ac:dyDescent="0.25">
      <c r="A40">
        <v>99.776392560358602</v>
      </c>
      <c r="B40">
        <v>49.0465343441115</v>
      </c>
      <c r="C40">
        <v>2000</v>
      </c>
      <c r="AC40">
        <v>867</v>
      </c>
      <c r="AD40">
        <v>12.9807033562317</v>
      </c>
      <c r="AE40">
        <v>6</v>
      </c>
      <c r="AF40">
        <v>1.01722196789785</v>
      </c>
      <c r="AG40" t="s">
        <v>81</v>
      </c>
      <c r="AH40">
        <v>185</v>
      </c>
      <c r="AI40">
        <v>0.104016298956218</v>
      </c>
      <c r="AJ40">
        <v>39</v>
      </c>
      <c r="AK40">
        <f>AJ40/$AA$17</f>
        <v>2.4375000000000001E-2</v>
      </c>
      <c r="AL40">
        <f>AD40*$AA$16</f>
        <v>12.9807033562317</v>
      </c>
      <c r="AM40">
        <f>AM39+(AL40/$AA$17)</f>
        <v>0.66827342196259765</v>
      </c>
    </row>
    <row r="41" spans="1:39" x14ac:dyDescent="0.25">
      <c r="A41">
        <v>50.729858216247102</v>
      </c>
      <c r="B41">
        <v>0</v>
      </c>
      <c r="C41">
        <v>2000</v>
      </c>
      <c r="AC41">
        <v>798</v>
      </c>
      <c r="AD41">
        <v>12.328215766500801</v>
      </c>
      <c r="AE41">
        <v>10</v>
      </c>
      <c r="AF41">
        <v>1.01722196789785</v>
      </c>
      <c r="AG41" t="s">
        <v>81</v>
      </c>
      <c r="AH41">
        <v>960</v>
      </c>
      <c r="AI41">
        <v>0.10256144766988801</v>
      </c>
      <c r="AJ41">
        <v>40</v>
      </c>
      <c r="AK41">
        <f>AJ41/$AA$17</f>
        <v>2.5000000000000001E-2</v>
      </c>
      <c r="AL41">
        <f>AD41*$AA$16</f>
        <v>12.328215766500801</v>
      </c>
      <c r="AM41">
        <f>AM40+(AL41/$AA$17)</f>
        <v>0.67597855681666064</v>
      </c>
    </row>
    <row r="42" spans="1:39" x14ac:dyDescent="0.25">
      <c r="A42">
        <v>51.603890265144699</v>
      </c>
      <c r="B42">
        <v>0</v>
      </c>
      <c r="C42">
        <v>2001</v>
      </c>
      <c r="AC42">
        <v>1025</v>
      </c>
      <c r="AD42">
        <v>12.1799510931874</v>
      </c>
      <c r="AE42">
        <v>6</v>
      </c>
      <c r="AF42">
        <v>1.01722196789785</v>
      </c>
      <c r="AG42" t="s">
        <v>81</v>
      </c>
      <c r="AH42">
        <v>897</v>
      </c>
      <c r="AI42">
        <v>0.11153635023422701</v>
      </c>
      <c r="AJ42">
        <v>41</v>
      </c>
      <c r="AK42">
        <f>AJ42/$AA$17</f>
        <v>2.5624999999999998E-2</v>
      </c>
      <c r="AL42">
        <f>AD42*$AA$16</f>
        <v>12.1799510931874</v>
      </c>
      <c r="AM42">
        <f>AM41+(AL42/$AA$17)</f>
        <v>0.68359102624990276</v>
      </c>
    </row>
    <row r="43" spans="1:39" x14ac:dyDescent="0.25">
      <c r="A43">
        <v>100.223607439641</v>
      </c>
      <c r="B43">
        <v>48.619717174496699</v>
      </c>
      <c r="C43">
        <v>2001</v>
      </c>
      <c r="AC43">
        <v>750</v>
      </c>
      <c r="AD43">
        <v>11.766773968990099</v>
      </c>
      <c r="AE43">
        <v>6</v>
      </c>
      <c r="AF43">
        <v>1.01722196789785</v>
      </c>
      <c r="AG43" t="s">
        <v>81</v>
      </c>
      <c r="AH43">
        <v>1011</v>
      </c>
      <c r="AI43">
        <v>0.101658837564709</v>
      </c>
      <c r="AJ43">
        <v>42</v>
      </c>
      <c r="AK43">
        <f>AJ43/$AA$17</f>
        <v>2.6249999999999999E-2</v>
      </c>
      <c r="AL43">
        <f>AD43*$AA$16</f>
        <v>11.766773968990099</v>
      </c>
      <c r="AM43">
        <f>AM42+(AL43/$AA$17)</f>
        <v>0.69094525998052159</v>
      </c>
    </row>
    <row r="44" spans="1:39" x14ac:dyDescent="0.25">
      <c r="A44">
        <v>101.38538225292</v>
      </c>
      <c r="B44">
        <v>49.781491987775603</v>
      </c>
      <c r="C44">
        <v>2001</v>
      </c>
      <c r="AC44">
        <v>680</v>
      </c>
      <c r="AD44">
        <v>11.3162412797156</v>
      </c>
      <c r="AE44">
        <v>6</v>
      </c>
      <c r="AF44">
        <v>1.01722196789785</v>
      </c>
      <c r="AG44" t="s">
        <v>81</v>
      </c>
      <c r="AH44">
        <v>910</v>
      </c>
      <c r="AI44">
        <v>0</v>
      </c>
      <c r="AJ44">
        <v>43</v>
      </c>
      <c r="AK44">
        <f>AJ44/$AA$17</f>
        <v>2.6875E-2</v>
      </c>
      <c r="AL44">
        <f>AD44*$AA$16</f>
        <v>11.3162412797156</v>
      </c>
      <c r="AM44">
        <f>AM43+(AL44/$AA$17)</f>
        <v>0.69801791078034381</v>
      </c>
    </row>
    <row r="45" spans="1:39" x14ac:dyDescent="0.25">
      <c r="A45">
        <v>119.362905075472</v>
      </c>
      <c r="B45">
        <v>67.759014810327699</v>
      </c>
      <c r="C45">
        <v>2001</v>
      </c>
      <c r="AC45">
        <v>745</v>
      </c>
      <c r="AD45">
        <v>11.284066800854401</v>
      </c>
      <c r="AE45">
        <v>8</v>
      </c>
      <c r="AF45">
        <v>1.01722196789785</v>
      </c>
      <c r="AG45" t="s">
        <v>81</v>
      </c>
      <c r="AH45">
        <v>985</v>
      </c>
      <c r="AI45">
        <v>9.9787223602304201E-2</v>
      </c>
      <c r="AJ45">
        <v>44</v>
      </c>
      <c r="AK45">
        <f>AJ45/$AA$17</f>
        <v>2.75E-2</v>
      </c>
      <c r="AL45">
        <f>AD45*$AA$16</f>
        <v>11.284066800854401</v>
      </c>
      <c r="AM45">
        <f>AM44+(AL45/$AA$17)</f>
        <v>0.70507045253087786</v>
      </c>
    </row>
    <row r="46" spans="1:39" x14ac:dyDescent="0.25">
      <c r="A46">
        <v>147.825842423279</v>
      </c>
      <c r="B46">
        <v>96.221952158134201</v>
      </c>
      <c r="C46">
        <v>2001</v>
      </c>
      <c r="AC46">
        <v>746</v>
      </c>
      <c r="AD46">
        <v>10.4644920259479</v>
      </c>
      <c r="AE46">
        <v>8</v>
      </c>
      <c r="AF46">
        <v>1.01722196789785</v>
      </c>
      <c r="AG46" t="s">
        <v>81</v>
      </c>
      <c r="AH46">
        <v>643</v>
      </c>
      <c r="AI46">
        <v>0.10038021386068</v>
      </c>
      <c r="AJ46">
        <v>45</v>
      </c>
      <c r="AK46">
        <f>AJ46/$AA$17</f>
        <v>2.8125000000000001E-2</v>
      </c>
      <c r="AL46">
        <f>AD46*$AA$16</f>
        <v>10.4644920259479</v>
      </c>
      <c r="AM46">
        <f>AM45+(AL46/$AA$17)</f>
        <v>0.71161076004709534</v>
      </c>
    </row>
    <row r="47" spans="1:39" x14ac:dyDescent="0.25">
      <c r="A47">
        <v>147.38882639882999</v>
      </c>
      <c r="B47">
        <v>96.658968182582996</v>
      </c>
      <c r="C47">
        <v>2000</v>
      </c>
      <c r="AC47">
        <v>940</v>
      </c>
      <c r="AD47">
        <v>8.3539588167396293</v>
      </c>
      <c r="AE47">
        <v>10</v>
      </c>
      <c r="AF47">
        <v>1.01722196789785</v>
      </c>
      <c r="AG47" t="s">
        <v>81</v>
      </c>
      <c r="AH47">
        <v>754</v>
      </c>
      <c r="AI47">
        <v>0.10613089671621601</v>
      </c>
      <c r="AJ47">
        <v>46</v>
      </c>
      <c r="AK47">
        <f>AJ47/$AA$17</f>
        <v>2.8750000000000001E-2</v>
      </c>
      <c r="AL47">
        <f>AD47*$AA$16</f>
        <v>8.3539588167396293</v>
      </c>
      <c r="AM47">
        <f>AM46+(AL47/$AA$17)</f>
        <v>0.71683198430755757</v>
      </c>
    </row>
    <row r="48" spans="1:39" x14ac:dyDescent="0.25">
      <c r="A48" t="s">
        <v>84</v>
      </c>
      <c r="AC48">
        <v>678</v>
      </c>
      <c r="AD48">
        <v>8.2785417036310207</v>
      </c>
      <c r="AE48">
        <v>6</v>
      </c>
      <c r="AF48">
        <v>1.01722196789785</v>
      </c>
      <c r="AG48" t="s">
        <v>81</v>
      </c>
      <c r="AH48">
        <v>868</v>
      </c>
      <c r="AI48">
        <v>0</v>
      </c>
      <c r="AJ48">
        <v>47</v>
      </c>
      <c r="AK48">
        <f>AJ48/$AA$17</f>
        <v>2.9374999999999998E-2</v>
      </c>
      <c r="AL48">
        <f>AD48*$AA$16</f>
        <v>8.2785417036310207</v>
      </c>
      <c r="AM48">
        <f>AM47+(AL48/$AA$17)</f>
        <v>0.72200607287232699</v>
      </c>
    </row>
    <row r="49" spans="1:39" x14ac:dyDescent="0.25">
      <c r="A49">
        <v>931</v>
      </c>
      <c r="B49">
        <v>0</v>
      </c>
      <c r="C49">
        <v>132.91765215091601</v>
      </c>
      <c r="D49">
        <v>3.3473144125176999</v>
      </c>
      <c r="E49">
        <v>12</v>
      </c>
      <c r="F49">
        <v>1.01722196789785</v>
      </c>
      <c r="G49" t="s">
        <v>82</v>
      </c>
      <c r="H49" t="s">
        <v>81</v>
      </c>
      <c r="I49">
        <v>0</v>
      </c>
      <c r="J49">
        <v>795</v>
      </c>
      <c r="K49">
        <v>0.105643180430783</v>
      </c>
      <c r="AC49">
        <v>1010</v>
      </c>
      <c r="AD49">
        <v>7.4856830648416501</v>
      </c>
      <c r="AE49">
        <v>6</v>
      </c>
      <c r="AF49">
        <v>1.01722196789785</v>
      </c>
      <c r="AG49" t="s">
        <v>81</v>
      </c>
      <c r="AH49">
        <v>660</v>
      </c>
      <c r="AI49">
        <v>0.11085732651601</v>
      </c>
      <c r="AJ49">
        <v>48</v>
      </c>
      <c r="AK49">
        <f>AJ49/$AA$17</f>
        <v>0.03</v>
      </c>
      <c r="AL49">
        <f>AD49*$AA$16</f>
        <v>7.4856830648416501</v>
      </c>
      <c r="AM49">
        <f>AM48+(AL49/$AA$17)</f>
        <v>0.72668462478785301</v>
      </c>
    </row>
    <row r="50" spans="1:39" x14ac:dyDescent="0.25">
      <c r="A50" t="s">
        <v>83</v>
      </c>
      <c r="AC50">
        <v>990</v>
      </c>
      <c r="AD50">
        <v>7.4661801260576803</v>
      </c>
      <c r="AE50">
        <v>10</v>
      </c>
      <c r="AF50">
        <v>1.01722196789785</v>
      </c>
      <c r="AG50" t="s">
        <v>81</v>
      </c>
      <c r="AH50">
        <v>900</v>
      </c>
      <c r="AI50">
        <v>0.108640479089613</v>
      </c>
      <c r="AJ50">
        <v>49</v>
      </c>
      <c r="AK50">
        <f>AJ50/$AA$17</f>
        <v>3.0624999999999999E-2</v>
      </c>
      <c r="AL50">
        <f>AD50*$AA$16</f>
        <v>7.4661801260576803</v>
      </c>
      <c r="AM50">
        <f>AM49+(AL50/$AA$17)</f>
        <v>0.73135098736663906</v>
      </c>
    </row>
    <row r="51" spans="1:39" x14ac:dyDescent="0.25">
      <c r="A51">
        <v>109.719671519347</v>
      </c>
      <c r="B51">
        <v>94.205481187531603</v>
      </c>
      <c r="C51">
        <v>2000</v>
      </c>
      <c r="AC51">
        <v>751</v>
      </c>
      <c r="AD51">
        <v>6.4594154246861004</v>
      </c>
      <c r="AE51">
        <v>6</v>
      </c>
      <c r="AF51">
        <v>1.01722196789785</v>
      </c>
      <c r="AG51" t="s">
        <v>81</v>
      </c>
      <c r="AH51">
        <v>900</v>
      </c>
      <c r="AI51">
        <v>0.101899323518764</v>
      </c>
      <c r="AJ51">
        <v>50</v>
      </c>
      <c r="AK51">
        <f>AJ51/$AA$17</f>
        <v>3.125E-2</v>
      </c>
      <c r="AL51">
        <f>AD51*$AA$16</f>
        <v>6.4594154246861004</v>
      </c>
      <c r="AM51">
        <f>AM50+(AL51/$AA$17)</f>
        <v>0.73538812200706782</v>
      </c>
    </row>
    <row r="52" spans="1:39" x14ac:dyDescent="0.25">
      <c r="A52">
        <v>99.781491987775595</v>
      </c>
      <c r="B52">
        <v>84.267301655960097</v>
      </c>
      <c r="C52">
        <v>2000</v>
      </c>
      <c r="AC52">
        <v>903</v>
      </c>
      <c r="AD52">
        <v>4.9624609472062797</v>
      </c>
      <c r="AE52">
        <v>8</v>
      </c>
      <c r="AF52">
        <v>1.01722196789785</v>
      </c>
      <c r="AG52" t="s">
        <v>81</v>
      </c>
      <c r="AH52">
        <v>798</v>
      </c>
      <c r="AI52">
        <v>0.104952687375285</v>
      </c>
      <c r="AJ52">
        <v>51</v>
      </c>
      <c r="AK52">
        <f>AJ52/$AA$17</f>
        <v>3.1875000000000001E-2</v>
      </c>
      <c r="AL52">
        <f>AD52*$AA$16</f>
        <v>4.9624609472062797</v>
      </c>
      <c r="AM52">
        <f>AM51+(AL52/$AA$17)</f>
        <v>0.7384896600990718</v>
      </c>
    </row>
    <row r="53" spans="1:39" x14ac:dyDescent="0.25">
      <c r="A53">
        <v>65.732698344039804</v>
      </c>
      <c r="B53">
        <v>50.218508012224397</v>
      </c>
      <c r="C53">
        <v>2000</v>
      </c>
      <c r="AC53">
        <v>1025</v>
      </c>
      <c r="AD53">
        <v>4.6214526438813799</v>
      </c>
      <c r="AE53">
        <v>6</v>
      </c>
      <c r="AF53">
        <v>1.01722196789785</v>
      </c>
      <c r="AG53" t="s">
        <v>81</v>
      </c>
      <c r="AH53">
        <v>673</v>
      </c>
      <c r="AI53">
        <v>0.11153635023422701</v>
      </c>
      <c r="AJ53">
        <v>52</v>
      </c>
      <c r="AK53">
        <f>AJ53/$AA$17</f>
        <v>3.2500000000000001E-2</v>
      </c>
      <c r="AL53">
        <f>AD53*$AA$16</f>
        <v>4.6214526438813799</v>
      </c>
      <c r="AM53">
        <f>AM52+(AL53/$AA$17)</f>
        <v>0.74137806800149764</v>
      </c>
    </row>
    <row r="54" spans="1:39" x14ac:dyDescent="0.25">
      <c r="A54">
        <v>49.711782659905801</v>
      </c>
      <c r="B54">
        <v>34.197592328090401</v>
      </c>
      <c r="C54">
        <v>2000</v>
      </c>
      <c r="AC54">
        <v>751</v>
      </c>
      <c r="AD54">
        <v>4.4879247688706396</v>
      </c>
      <c r="AE54">
        <v>6</v>
      </c>
      <c r="AF54">
        <v>1.01722196789785</v>
      </c>
      <c r="AG54" t="s">
        <v>81</v>
      </c>
      <c r="AH54">
        <v>844</v>
      </c>
      <c r="AI54">
        <v>0.101899323518764</v>
      </c>
      <c r="AJ54">
        <v>53</v>
      </c>
      <c r="AK54">
        <f>AJ54/$AA$17</f>
        <v>3.3125000000000002E-2</v>
      </c>
      <c r="AL54">
        <f>AD54*$AA$16</f>
        <v>4.4879247688706396</v>
      </c>
      <c r="AM54">
        <f>AM53+(AL54/$AA$17)</f>
        <v>0.74418302098204181</v>
      </c>
    </row>
    <row r="55" spans="1:39" x14ac:dyDescent="0.25">
      <c r="A55">
        <v>15.514190331815399</v>
      </c>
      <c r="B55">
        <v>0</v>
      </c>
      <c r="C55">
        <v>2000</v>
      </c>
      <c r="AC55">
        <v>672</v>
      </c>
      <c r="AD55">
        <v>2.9817251744729298</v>
      </c>
      <c r="AE55">
        <v>8</v>
      </c>
      <c r="AF55">
        <v>1.01722196789785</v>
      </c>
      <c r="AG55" t="s">
        <v>81</v>
      </c>
      <c r="AH55">
        <v>750</v>
      </c>
      <c r="AI55">
        <v>0</v>
      </c>
      <c r="AJ55">
        <v>54</v>
      </c>
      <c r="AK55">
        <f>AJ55/$AA$17</f>
        <v>3.3750000000000002E-2</v>
      </c>
      <c r="AL55">
        <f>AD55*$AA$16</f>
        <v>2.9817251744729298</v>
      </c>
      <c r="AM55">
        <f>AM54+(AL55/$AA$17)</f>
        <v>0.7460465992160874</v>
      </c>
    </row>
    <row r="56" spans="1:39" x14ac:dyDescent="0.25">
      <c r="A56">
        <v>16.388222380713099</v>
      </c>
      <c r="B56">
        <v>0</v>
      </c>
      <c r="C56">
        <v>2001</v>
      </c>
      <c r="AC56">
        <v>985</v>
      </c>
      <c r="AD56">
        <v>2.8242454698514998</v>
      </c>
      <c r="AE56">
        <v>8</v>
      </c>
      <c r="AF56">
        <v>1.01722196789785</v>
      </c>
      <c r="AG56" t="s">
        <v>81</v>
      </c>
      <c r="AH56">
        <v>1003</v>
      </c>
      <c r="AI56">
        <v>0.108516290029368</v>
      </c>
      <c r="AJ56">
        <v>55</v>
      </c>
      <c r="AK56">
        <f>AJ56/$AA$17</f>
        <v>3.4375000000000003E-2</v>
      </c>
      <c r="AL56">
        <f>AD56*$AA$16</f>
        <v>2.8242454698514998</v>
      </c>
      <c r="AM56">
        <f>AM55+(AL56/$AA$17)</f>
        <v>0.74781175263474464</v>
      </c>
    </row>
    <row r="57" spans="1:39" x14ac:dyDescent="0.25">
      <c r="A57">
        <v>50.288217340094199</v>
      </c>
      <c r="B57">
        <v>33.899994959381097</v>
      </c>
      <c r="C57">
        <v>2001</v>
      </c>
      <c r="AC57">
        <v>750</v>
      </c>
      <c r="AD57">
        <v>2.62346389548647</v>
      </c>
      <c r="AE57">
        <v>6</v>
      </c>
      <c r="AF57">
        <v>1.01722196789785</v>
      </c>
      <c r="AG57" t="s">
        <v>81</v>
      </c>
      <c r="AH57">
        <v>672</v>
      </c>
      <c r="AI57">
        <v>0.101658837564709</v>
      </c>
      <c r="AJ57">
        <v>56</v>
      </c>
      <c r="AK57">
        <f>AJ57/$AA$17</f>
        <v>3.5000000000000003E-2</v>
      </c>
      <c r="AL57">
        <f>AD57*$AA$16</f>
        <v>2.62346389548647</v>
      </c>
      <c r="AM57">
        <f>AM56+(AL57/$AA$17)</f>
        <v>0.74945141756942368</v>
      </c>
    </row>
    <row r="58" spans="1:39" x14ac:dyDescent="0.25">
      <c r="A58">
        <v>66.169714368488698</v>
      </c>
      <c r="B58">
        <v>49.781491987775603</v>
      </c>
      <c r="C58">
        <v>2001</v>
      </c>
      <c r="AC58">
        <v>1011</v>
      </c>
      <c r="AD58">
        <v>1.7367509792015201</v>
      </c>
      <c r="AE58">
        <v>10</v>
      </c>
      <c r="AF58">
        <v>1.01722196789785</v>
      </c>
      <c r="AG58" t="s">
        <v>81</v>
      </c>
      <c r="AH58">
        <v>750</v>
      </c>
      <c r="AI58">
        <v>0.110956953630095</v>
      </c>
      <c r="AJ58">
        <v>57</v>
      </c>
      <c r="AK58">
        <f>AJ58/$AA$17</f>
        <v>3.5624999999999997E-2</v>
      </c>
      <c r="AL58">
        <f>AD58*$AA$16</f>
        <v>1.7367509792015201</v>
      </c>
      <c r="AM58">
        <f>AM57+(AL58/$AA$17)</f>
        <v>0.75053688693142462</v>
      </c>
    </row>
    <row r="59" spans="1:39" x14ac:dyDescent="0.25">
      <c r="A59">
        <v>100.21850801222401</v>
      </c>
      <c r="B59">
        <v>83.830285631511302</v>
      </c>
      <c r="C59">
        <v>2001</v>
      </c>
      <c r="AC59">
        <v>910</v>
      </c>
      <c r="AD59">
        <v>1.59374260687473</v>
      </c>
      <c r="AE59">
        <v>10</v>
      </c>
      <c r="AF59">
        <v>1.01722196789785</v>
      </c>
      <c r="AG59" t="s">
        <v>81</v>
      </c>
      <c r="AH59">
        <v>680</v>
      </c>
      <c r="AI59">
        <v>0.105129910972954</v>
      </c>
      <c r="AJ59">
        <v>58</v>
      </c>
      <c r="AK59">
        <f>AJ59/$AA$17</f>
        <v>3.6249999999999998E-2</v>
      </c>
      <c r="AL59">
        <f>AD59*$AA$16</f>
        <v>1.59374260687473</v>
      </c>
      <c r="AM59">
        <f>AM58+(AL59/$AA$17)</f>
        <v>0.75153297606072134</v>
      </c>
    </row>
    <row r="60" spans="1:39" x14ac:dyDescent="0.25">
      <c r="A60">
        <v>110.156687543796</v>
      </c>
      <c r="B60">
        <v>93.768465163082894</v>
      </c>
      <c r="C60">
        <v>2001</v>
      </c>
      <c r="AC60">
        <v>658</v>
      </c>
      <c r="AD60">
        <v>0.63554406144682196</v>
      </c>
      <c r="AE60">
        <v>6</v>
      </c>
      <c r="AF60">
        <v>1.5707963267949001</v>
      </c>
      <c r="AG60" t="s">
        <v>85</v>
      </c>
      <c r="AH60">
        <v>0</v>
      </c>
      <c r="AI60">
        <v>0</v>
      </c>
      <c r="AJ60">
        <v>59</v>
      </c>
      <c r="AK60">
        <f>AJ60/$AA$17</f>
        <v>3.6874999999999998E-2</v>
      </c>
      <c r="AL60">
        <f>AD60*$AA$16</f>
        <v>0.63554406144682196</v>
      </c>
      <c r="AM60">
        <f>AM59+(AL60/$AA$17)</f>
        <v>0.75193019109912562</v>
      </c>
    </row>
    <row r="61" spans="1:39" x14ac:dyDescent="0.25">
      <c r="A61">
        <v>112.523596263651</v>
      </c>
      <c r="B61">
        <v>96.1353738829376</v>
      </c>
      <c r="C61">
        <v>2001</v>
      </c>
      <c r="AC61">
        <v>658</v>
      </c>
      <c r="AD61">
        <v>0.63554406144682196</v>
      </c>
      <c r="AE61">
        <v>6</v>
      </c>
      <c r="AF61">
        <v>1.5707963267949001</v>
      </c>
      <c r="AG61" t="s">
        <v>85</v>
      </c>
      <c r="AH61">
        <v>0</v>
      </c>
      <c r="AI61">
        <v>0</v>
      </c>
      <c r="AJ61">
        <v>60</v>
      </c>
      <c r="AK61">
        <f>AJ61/$AA$17</f>
        <v>3.7499999999999999E-2</v>
      </c>
      <c r="AL61">
        <f>AD61*$AA$16</f>
        <v>0.63554406144682196</v>
      </c>
      <c r="AM61">
        <f>AM60+(AL61/$AA$17)</f>
        <v>0.75232740613752991</v>
      </c>
    </row>
    <row r="62" spans="1:39" x14ac:dyDescent="0.25">
      <c r="A62">
        <v>112.08658023920199</v>
      </c>
      <c r="B62">
        <v>96.572389907386395</v>
      </c>
      <c r="C62">
        <v>2000</v>
      </c>
      <c r="AC62">
        <v>651</v>
      </c>
      <c r="AD62">
        <v>0.63554406144682196</v>
      </c>
      <c r="AE62">
        <v>6</v>
      </c>
      <c r="AF62">
        <v>1.5707963267949001</v>
      </c>
      <c r="AG62" t="s">
        <v>85</v>
      </c>
      <c r="AH62">
        <v>0</v>
      </c>
      <c r="AI62">
        <v>0</v>
      </c>
      <c r="AJ62">
        <v>61</v>
      </c>
      <c r="AK62">
        <f>AJ62/$AA$17</f>
        <v>3.8124999999999999E-2</v>
      </c>
      <c r="AL62">
        <f>AD62*$AA$16</f>
        <v>0.63554406144682196</v>
      </c>
      <c r="AM62">
        <f>AM61+(AL62/$AA$17)</f>
        <v>0.75272462117593419</v>
      </c>
    </row>
    <row r="63" spans="1:39" x14ac:dyDescent="0.25">
      <c r="A63" t="s">
        <v>84</v>
      </c>
      <c r="AC63">
        <v>651</v>
      </c>
      <c r="AD63">
        <v>0.63554406144682196</v>
      </c>
      <c r="AE63">
        <v>6</v>
      </c>
      <c r="AF63">
        <v>1.5707963267949001</v>
      </c>
      <c r="AG63" t="s">
        <v>85</v>
      </c>
      <c r="AH63">
        <v>0</v>
      </c>
      <c r="AI63">
        <v>0</v>
      </c>
      <c r="AJ63">
        <v>62</v>
      </c>
      <c r="AK63">
        <f>AJ63/$AA$17</f>
        <v>3.875E-2</v>
      </c>
      <c r="AL63">
        <f>AD63*$AA$16</f>
        <v>0.63554406144682196</v>
      </c>
      <c r="AM63">
        <f>AM62+(AL63/$AA$17)</f>
        <v>0.75312183621433848</v>
      </c>
    </row>
    <row r="64" spans="1:39" x14ac:dyDescent="0.25">
      <c r="A64">
        <v>189</v>
      </c>
      <c r="B64">
        <v>0</v>
      </c>
      <c r="C64">
        <v>6.6293832330870703</v>
      </c>
      <c r="D64">
        <v>125.91746340874499</v>
      </c>
      <c r="E64">
        <v>12</v>
      </c>
      <c r="F64">
        <v>1.01722196789785</v>
      </c>
      <c r="G64" t="s">
        <v>81</v>
      </c>
      <c r="H64" t="s">
        <v>82</v>
      </c>
      <c r="I64">
        <v>192</v>
      </c>
      <c r="J64">
        <v>0</v>
      </c>
      <c r="K64">
        <v>0</v>
      </c>
      <c r="AC64">
        <v>648</v>
      </c>
      <c r="AD64">
        <v>0.63554406144682196</v>
      </c>
      <c r="AE64">
        <v>6</v>
      </c>
      <c r="AF64">
        <v>1.5707963267949001</v>
      </c>
      <c r="AG64" t="s">
        <v>85</v>
      </c>
      <c r="AH64">
        <v>0</v>
      </c>
      <c r="AI64">
        <v>0</v>
      </c>
      <c r="AJ64">
        <v>63</v>
      </c>
      <c r="AK64">
        <f>AJ64/$AA$17</f>
        <v>3.9375E-2</v>
      </c>
      <c r="AL64">
        <f>AD64*$AA$16</f>
        <v>0.63554406144682196</v>
      </c>
      <c r="AM64">
        <f>AM63+(AL64/$AA$17)</f>
        <v>0.75351905125274277</v>
      </c>
    </row>
    <row r="65" spans="1:39" x14ac:dyDescent="0.25">
      <c r="A65" t="s">
        <v>83</v>
      </c>
      <c r="AC65">
        <v>648</v>
      </c>
      <c r="AD65">
        <v>0.63554406144682196</v>
      </c>
      <c r="AE65">
        <v>6</v>
      </c>
      <c r="AF65">
        <v>1.5707963267949001</v>
      </c>
      <c r="AG65" t="s">
        <v>85</v>
      </c>
      <c r="AH65">
        <v>0</v>
      </c>
      <c r="AI65">
        <v>0</v>
      </c>
      <c r="AJ65">
        <v>64</v>
      </c>
      <c r="AK65">
        <f>AJ65/$AA$17</f>
        <v>0.04</v>
      </c>
      <c r="AL65">
        <f>AD65*$AA$16</f>
        <v>0.63554406144682196</v>
      </c>
      <c r="AM65">
        <f>AM64+(AL65/$AA$17)</f>
        <v>0.75391626629114705</v>
      </c>
    </row>
    <row r="66" spans="1:39" x14ac:dyDescent="0.25">
      <c r="A66">
        <v>61.181415766091902</v>
      </c>
      <c r="B66">
        <v>45.827574905863599</v>
      </c>
      <c r="C66">
        <v>2000</v>
      </c>
      <c r="AC66">
        <v>650</v>
      </c>
      <c r="AD66">
        <v>0.63554406144682196</v>
      </c>
      <c r="AE66">
        <v>6</v>
      </c>
      <c r="AF66">
        <v>1.5707963267949001</v>
      </c>
      <c r="AG66" t="s">
        <v>85</v>
      </c>
      <c r="AH66">
        <v>0</v>
      </c>
      <c r="AI66">
        <v>0</v>
      </c>
      <c r="AJ66">
        <v>65</v>
      </c>
      <c r="AK66">
        <f>AJ66/$AA$17</f>
        <v>4.0625000000000001E-2</v>
      </c>
      <c r="AL66">
        <f>AD66*$AA$16</f>
        <v>0.63554406144682196</v>
      </c>
      <c r="AM66">
        <f>AM65+(AL66/$AA$17)</f>
        <v>0.75431348132955134</v>
      </c>
    </row>
    <row r="67" spans="1:39" x14ac:dyDescent="0.25">
      <c r="A67">
        <v>56.4937339268917</v>
      </c>
      <c r="B67">
        <v>41.139893066663298</v>
      </c>
      <c r="C67">
        <v>2000</v>
      </c>
      <c r="AC67">
        <v>643</v>
      </c>
      <c r="AD67">
        <v>0.63554406144682196</v>
      </c>
      <c r="AE67">
        <v>4</v>
      </c>
      <c r="AF67">
        <v>1.5707963267949001</v>
      </c>
      <c r="AG67" t="s">
        <v>85</v>
      </c>
      <c r="AH67">
        <v>0</v>
      </c>
      <c r="AI67">
        <v>0</v>
      </c>
      <c r="AJ67">
        <v>66</v>
      </c>
      <c r="AK67">
        <f>AJ67/$AA$17</f>
        <v>4.1250000000000002E-2</v>
      </c>
      <c r="AL67">
        <f>AD67*$AA$16</f>
        <v>0.63554406144682196</v>
      </c>
      <c r="AM67">
        <f>AM66+(AL67/$AA$17)</f>
        <v>0.75471069636795562</v>
      </c>
    </row>
    <row r="68" spans="1:39" x14ac:dyDescent="0.25">
      <c r="A68">
        <v>56.056717902442799</v>
      </c>
      <c r="B68">
        <v>41.5769090911121</v>
      </c>
      <c r="C68">
        <v>2001</v>
      </c>
      <c r="AC68">
        <v>652</v>
      </c>
      <c r="AD68">
        <v>0.63554406144682196</v>
      </c>
      <c r="AE68">
        <v>5</v>
      </c>
      <c r="AF68">
        <v>1.5707963267949001</v>
      </c>
      <c r="AG68" t="s">
        <v>85</v>
      </c>
      <c r="AH68">
        <v>0</v>
      </c>
      <c r="AI68">
        <v>0</v>
      </c>
      <c r="AJ68">
        <v>67</v>
      </c>
      <c r="AK68">
        <f>AJ68/$AA$17</f>
        <v>4.1875000000000002E-2</v>
      </c>
      <c r="AL68">
        <f>AD68*$AA$16</f>
        <v>0.63554406144682196</v>
      </c>
      <c r="AM68">
        <f>AM67+(AL68/$AA$17)</f>
        <v>0.75510791140635991</v>
      </c>
    </row>
    <row r="69" spans="1:39" x14ac:dyDescent="0.25">
      <c r="A69">
        <v>60.7443997416431</v>
      </c>
      <c r="B69">
        <v>46.264590930312401</v>
      </c>
      <c r="C69">
        <v>2001</v>
      </c>
      <c r="AC69">
        <v>653</v>
      </c>
      <c r="AD69">
        <v>0.63554406144682196</v>
      </c>
      <c r="AE69">
        <v>4</v>
      </c>
      <c r="AF69">
        <v>1.5707963267949001</v>
      </c>
      <c r="AG69" t="s">
        <v>85</v>
      </c>
      <c r="AH69">
        <v>0</v>
      </c>
      <c r="AI69">
        <v>0</v>
      </c>
      <c r="AJ69">
        <v>68</v>
      </c>
      <c r="AK69">
        <f>AJ69/$AA$17</f>
        <v>4.2500000000000003E-2</v>
      </c>
      <c r="AL69">
        <f>AD69*$AA$16</f>
        <v>0.63554406144682196</v>
      </c>
      <c r="AM69">
        <f>AM68+(AL69/$AA$17)</f>
        <v>0.7555051264447642</v>
      </c>
    </row>
    <row r="70" spans="1:39" x14ac:dyDescent="0.25">
      <c r="A70">
        <v>64.698316823555103</v>
      </c>
      <c r="B70">
        <v>50.218508012224397</v>
      </c>
      <c r="C70">
        <v>2001</v>
      </c>
      <c r="AC70">
        <v>645</v>
      </c>
      <c r="AD70">
        <v>0.63554406144682196</v>
      </c>
      <c r="AE70">
        <v>5</v>
      </c>
      <c r="AF70">
        <v>1.5707963267949001</v>
      </c>
      <c r="AG70" t="s">
        <v>85</v>
      </c>
      <c r="AH70">
        <v>0</v>
      </c>
      <c r="AI70">
        <v>0</v>
      </c>
      <c r="AJ70">
        <v>69</v>
      </c>
      <c r="AK70">
        <f>AJ70/$AA$17</f>
        <v>4.3124999999999997E-2</v>
      </c>
      <c r="AL70">
        <f>AD70*$AA$16</f>
        <v>0.63554406144682196</v>
      </c>
      <c r="AM70">
        <f>AM69+(AL70/$AA$17)</f>
        <v>0.75590234148316848</v>
      </c>
    </row>
    <row r="71" spans="1:39" x14ac:dyDescent="0.25">
      <c r="A71">
        <v>99.781491987775595</v>
      </c>
      <c r="B71">
        <v>85.301683176444897</v>
      </c>
      <c r="C71">
        <v>2001</v>
      </c>
      <c r="AC71">
        <v>641</v>
      </c>
      <c r="AD71">
        <v>0.63554406144682196</v>
      </c>
      <c r="AE71">
        <v>5</v>
      </c>
      <c r="AF71">
        <v>1.5707963267949001</v>
      </c>
      <c r="AG71" t="s">
        <v>85</v>
      </c>
      <c r="AH71">
        <v>0</v>
      </c>
      <c r="AI71">
        <v>0</v>
      </c>
      <c r="AJ71">
        <v>70</v>
      </c>
      <c r="AK71">
        <f>AJ71/$AA$17</f>
        <v>4.3749999999999997E-2</v>
      </c>
      <c r="AL71">
        <f>AD71*$AA$16</f>
        <v>0.63554406144682196</v>
      </c>
      <c r="AM71">
        <f>AM70+(AL71/$AA$17)</f>
        <v>0.75629955652157277</v>
      </c>
    </row>
    <row r="72" spans="1:39" x14ac:dyDescent="0.25">
      <c r="A72">
        <v>114.76350573842601</v>
      </c>
      <c r="B72">
        <v>100.283696927096</v>
      </c>
      <c r="C72">
        <v>2001</v>
      </c>
      <c r="AC72">
        <v>867</v>
      </c>
      <c r="AD72">
        <v>0.50415172292987598</v>
      </c>
      <c r="AE72">
        <v>6</v>
      </c>
      <c r="AF72">
        <v>1.01722196789785</v>
      </c>
      <c r="AG72" t="s">
        <v>81</v>
      </c>
      <c r="AH72">
        <v>748</v>
      </c>
      <c r="AI72">
        <v>0.104016298956218</v>
      </c>
      <c r="AJ72">
        <v>71</v>
      </c>
      <c r="AK72">
        <f>AJ72/$AA$17</f>
        <v>4.4374999999999998E-2</v>
      </c>
      <c r="AL72">
        <f>AD72*$AA$16</f>
        <v>0.50415172292987598</v>
      </c>
      <c r="AM72">
        <f>AM71+(AL72/$AA$17)</f>
        <v>0.75661465134840389</v>
      </c>
    </row>
    <row r="73" spans="1:39" x14ac:dyDescent="0.25">
      <c r="A73">
        <v>150</v>
      </c>
      <c r="B73">
        <v>135.520191188669</v>
      </c>
      <c r="C73">
        <v>2001</v>
      </c>
      <c r="AC73">
        <v>650</v>
      </c>
      <c r="AD73">
        <v>0.13999293059099199</v>
      </c>
      <c r="AE73">
        <v>6</v>
      </c>
      <c r="AF73">
        <v>1.5707963267949001</v>
      </c>
      <c r="AG73" t="s">
        <v>81</v>
      </c>
      <c r="AH73">
        <v>647</v>
      </c>
      <c r="AI73">
        <v>0</v>
      </c>
      <c r="AJ73">
        <v>72</v>
      </c>
      <c r="AK73">
        <f>AJ73/$AA$17</f>
        <v>4.4999999999999998E-2</v>
      </c>
      <c r="AL73">
        <f>AD73*$AA$16</f>
        <v>0.13999293059099199</v>
      </c>
      <c r="AM73">
        <f>AM72+(AL73/$AA$17)</f>
        <v>0.75670214693002325</v>
      </c>
    </row>
    <row r="74" spans="1:39" x14ac:dyDescent="0.25">
      <c r="A74">
        <v>150</v>
      </c>
      <c r="B74">
        <v>134.64615913977201</v>
      </c>
      <c r="C74">
        <v>2000</v>
      </c>
      <c r="AC74">
        <v>900</v>
      </c>
      <c r="AD74">
        <v>1.9058289531969301E-2</v>
      </c>
      <c r="AE74">
        <v>6</v>
      </c>
      <c r="AF74">
        <v>1.01722196789785</v>
      </c>
      <c r="AG74" t="s">
        <v>81</v>
      </c>
      <c r="AH74">
        <v>990</v>
      </c>
      <c r="AI74">
        <v>0.104772231836848</v>
      </c>
      <c r="AJ74">
        <v>73</v>
      </c>
      <c r="AK74">
        <f>AJ74/$AA$17</f>
        <v>4.5624999999999999E-2</v>
      </c>
      <c r="AL74">
        <f>AD74*$AA$16</f>
        <v>1.9058289531969301E-2</v>
      </c>
      <c r="AM74">
        <f>AM73+(AL74/$AA$17)</f>
        <v>0.75671405836098071</v>
      </c>
    </row>
    <row r="75" spans="1:39" x14ac:dyDescent="0.25">
      <c r="A75">
        <v>115.070143933133</v>
      </c>
      <c r="B75">
        <v>99.716303072904296</v>
      </c>
      <c r="C75">
        <v>2000</v>
      </c>
      <c r="AC75">
        <v>643</v>
      </c>
      <c r="AD75">
        <v>0</v>
      </c>
      <c r="AE75">
        <v>4</v>
      </c>
      <c r="AF75">
        <v>1.5707963267949001</v>
      </c>
      <c r="AG75" t="s">
        <v>81</v>
      </c>
      <c r="AH75">
        <v>746</v>
      </c>
      <c r="AI75">
        <v>0</v>
      </c>
      <c r="AJ75">
        <v>74</v>
      </c>
      <c r="AK75">
        <f>AJ75/$AA$17</f>
        <v>4.6249999999999999E-2</v>
      </c>
      <c r="AL75">
        <f>AD75*$AA$16</f>
        <v>0</v>
      </c>
      <c r="AM75">
        <f>AM74+(AL75/$AA$17)</f>
        <v>0.75671405836098071</v>
      </c>
    </row>
    <row r="76" spans="1:39" x14ac:dyDescent="0.25">
      <c r="A76">
        <v>100.21850801222401</v>
      </c>
      <c r="B76">
        <v>84.864667151996102</v>
      </c>
      <c r="C76">
        <v>2000</v>
      </c>
      <c r="AC76">
        <v>652</v>
      </c>
      <c r="AD76">
        <v>0</v>
      </c>
      <c r="AE76">
        <v>5</v>
      </c>
      <c r="AF76">
        <v>1.5707963267949001</v>
      </c>
      <c r="AG76" t="s">
        <v>81</v>
      </c>
      <c r="AH76">
        <v>919</v>
      </c>
      <c r="AI76">
        <v>0</v>
      </c>
      <c r="AJ76">
        <v>75</v>
      </c>
      <c r="AK76">
        <f>AJ76/$AA$17</f>
        <v>4.6875E-2</v>
      </c>
      <c r="AL76">
        <f>AD76*$AA$16</f>
        <v>0</v>
      </c>
      <c r="AM76">
        <f>AM75+(AL76/$AA$17)</f>
        <v>0.75671405836098071</v>
      </c>
    </row>
    <row r="77" spans="1:39" x14ac:dyDescent="0.25">
      <c r="A77">
        <v>65.135332848003898</v>
      </c>
      <c r="B77">
        <v>49.781491987775603</v>
      </c>
      <c r="C77">
        <v>2000</v>
      </c>
      <c r="AC77">
        <v>653</v>
      </c>
      <c r="AD77">
        <v>0</v>
      </c>
      <c r="AE77">
        <v>4</v>
      </c>
      <c r="AF77">
        <v>1.5707963267949001</v>
      </c>
      <c r="AG77" t="s">
        <v>81</v>
      </c>
      <c r="AH77">
        <v>952</v>
      </c>
      <c r="AI77">
        <v>0</v>
      </c>
      <c r="AJ77">
        <v>76</v>
      </c>
      <c r="AK77">
        <f>AJ77/$AA$17</f>
        <v>4.7500000000000001E-2</v>
      </c>
      <c r="AL77">
        <f>AD77*$AA$16</f>
        <v>0</v>
      </c>
      <c r="AM77">
        <f>AM76+(AL77/$AA$17)</f>
        <v>0.75671405836098071</v>
      </c>
    </row>
    <row r="78" spans="1:39" x14ac:dyDescent="0.25">
      <c r="A78" t="s">
        <v>84</v>
      </c>
      <c r="AC78">
        <v>645</v>
      </c>
      <c r="AD78">
        <v>0</v>
      </c>
      <c r="AE78">
        <v>5</v>
      </c>
      <c r="AF78">
        <v>1.5707963267949001</v>
      </c>
      <c r="AG78" t="s">
        <v>81</v>
      </c>
      <c r="AH78">
        <v>1006</v>
      </c>
      <c r="AI78">
        <v>0</v>
      </c>
      <c r="AJ78">
        <v>77</v>
      </c>
      <c r="AK78">
        <f>AJ78/$AA$17</f>
        <v>4.8125000000000001E-2</v>
      </c>
      <c r="AL78">
        <f>AD78*$AA$16</f>
        <v>0</v>
      </c>
      <c r="AM78">
        <f>AM77+(AL78/$AA$17)</f>
        <v>0.75671405836098071</v>
      </c>
    </row>
    <row r="79" spans="1:39" x14ac:dyDescent="0.25">
      <c r="A79">
        <v>114</v>
      </c>
      <c r="B79">
        <v>0</v>
      </c>
      <c r="C79">
        <v>14.7275390022461</v>
      </c>
      <c r="D79">
        <v>115.53138200542099</v>
      </c>
      <c r="E79">
        <v>12</v>
      </c>
      <c r="F79">
        <v>1.01722196789785</v>
      </c>
      <c r="G79" t="s">
        <v>81</v>
      </c>
      <c r="H79" t="s">
        <v>82</v>
      </c>
      <c r="I79">
        <v>887</v>
      </c>
      <c r="J79">
        <v>0</v>
      </c>
      <c r="K79">
        <v>0</v>
      </c>
      <c r="AC79">
        <v>641</v>
      </c>
      <c r="AD79">
        <v>0</v>
      </c>
      <c r="AE79">
        <v>5</v>
      </c>
      <c r="AF79">
        <v>1.5707963267949001</v>
      </c>
      <c r="AG79" t="s">
        <v>81</v>
      </c>
      <c r="AH79">
        <v>269</v>
      </c>
      <c r="AI79">
        <v>0</v>
      </c>
      <c r="AJ79">
        <v>78</v>
      </c>
      <c r="AK79">
        <f>AJ79/$AA$17</f>
        <v>4.8750000000000002E-2</v>
      </c>
      <c r="AL79">
        <f>AD79*$AA$16</f>
        <v>0</v>
      </c>
      <c r="AM79">
        <f>AM78+(AL79/$AA$17)</f>
        <v>0.75671405836098071</v>
      </c>
    </row>
    <row r="80" spans="1:39" x14ac:dyDescent="0.25">
      <c r="A80" t="s">
        <v>83</v>
      </c>
    </row>
    <row r="81" spans="1:11" x14ac:dyDescent="0.25">
      <c r="A81">
        <v>28.713010680266901</v>
      </c>
      <c r="B81">
        <v>68.525484356338097</v>
      </c>
      <c r="C81">
        <v>2000</v>
      </c>
    </row>
    <row r="82" spans="1:11" x14ac:dyDescent="0.25">
      <c r="A82">
        <v>18.299067981589399</v>
      </c>
      <c r="B82">
        <v>58.111541657660503</v>
      </c>
      <c r="C82">
        <v>2000</v>
      </c>
    </row>
    <row r="83" spans="1:11" x14ac:dyDescent="0.25">
      <c r="A83">
        <v>18.736084006038201</v>
      </c>
      <c r="B83">
        <v>57.674525633211701</v>
      </c>
      <c r="C83">
        <v>2001</v>
      </c>
    </row>
    <row r="84" spans="1:11" x14ac:dyDescent="0.25">
      <c r="A84">
        <v>29.150026704715799</v>
      </c>
      <c r="B84">
        <v>68.088468331889302</v>
      </c>
      <c r="C84">
        <v>2001</v>
      </c>
    </row>
    <row r="85" spans="1:11" x14ac:dyDescent="0.25">
      <c r="A85">
        <v>50.218508012224397</v>
      </c>
      <c r="B85">
        <v>89.156949639397894</v>
      </c>
      <c r="C85">
        <v>2001</v>
      </c>
    </row>
    <row r="86" spans="1:11" x14ac:dyDescent="0.25">
      <c r="A86">
        <v>60.843050360602099</v>
      </c>
      <c r="B86">
        <v>99.781491987775595</v>
      </c>
      <c r="C86">
        <v>2001</v>
      </c>
    </row>
    <row r="87" spans="1:11" x14ac:dyDescent="0.25">
      <c r="A87">
        <v>100.39058507186201</v>
      </c>
      <c r="B87">
        <v>139.32902669903601</v>
      </c>
      <c r="C87">
        <v>2001</v>
      </c>
    </row>
    <row r="88" spans="1:11" x14ac:dyDescent="0.25">
      <c r="A88">
        <v>111.06155837282699</v>
      </c>
      <c r="B88">
        <v>150</v>
      </c>
      <c r="C88">
        <v>2001</v>
      </c>
    </row>
    <row r="89" spans="1:11" x14ac:dyDescent="0.25">
      <c r="A89">
        <v>110.18752632392901</v>
      </c>
      <c r="B89">
        <v>150</v>
      </c>
      <c r="C89">
        <v>2000</v>
      </c>
    </row>
    <row r="90" spans="1:11" x14ac:dyDescent="0.25">
      <c r="A90">
        <v>99.609414928137895</v>
      </c>
      <c r="B90">
        <v>139.42188860420899</v>
      </c>
      <c r="C90">
        <v>2000</v>
      </c>
    </row>
    <row r="91" spans="1:11" x14ac:dyDescent="0.25">
      <c r="A91">
        <v>60.406034336153297</v>
      </c>
      <c r="B91">
        <v>100.21850801222401</v>
      </c>
      <c r="C91">
        <v>2000</v>
      </c>
    </row>
    <row r="92" spans="1:11" x14ac:dyDescent="0.25">
      <c r="A92">
        <v>49.781491987775603</v>
      </c>
      <c r="B92">
        <v>89.593965663846703</v>
      </c>
      <c r="C92">
        <v>2000</v>
      </c>
    </row>
    <row r="93" spans="1:11" x14ac:dyDescent="0.25">
      <c r="A93" t="s">
        <v>84</v>
      </c>
    </row>
    <row r="94" spans="1:11" x14ac:dyDescent="0.25">
      <c r="A94">
        <v>962</v>
      </c>
      <c r="B94">
        <v>0</v>
      </c>
      <c r="C94">
        <v>57.544982930611603</v>
      </c>
      <c r="D94">
        <v>72.705979375137005</v>
      </c>
      <c r="E94">
        <v>12</v>
      </c>
      <c r="F94">
        <v>1.01722196789785</v>
      </c>
      <c r="G94" t="s">
        <v>81</v>
      </c>
      <c r="H94" t="s">
        <v>81</v>
      </c>
      <c r="I94">
        <v>970</v>
      </c>
      <c r="J94">
        <v>265</v>
      </c>
      <c r="K94">
        <v>0.107182885561868</v>
      </c>
    </row>
    <row r="95" spans="1:11" x14ac:dyDescent="0.25">
      <c r="A95" t="s">
        <v>83</v>
      </c>
    </row>
    <row r="96" spans="1:11" x14ac:dyDescent="0.25">
      <c r="A96">
        <v>47.484528198602703</v>
      </c>
      <c r="B96">
        <v>78.249408880360306</v>
      </c>
      <c r="C96">
        <v>2000</v>
      </c>
    </row>
    <row r="97" spans="1:11" x14ac:dyDescent="0.25">
      <c r="A97">
        <v>19.453627330466698</v>
      </c>
      <c r="B97">
        <v>50.218508012224397</v>
      </c>
      <c r="C97">
        <v>2000</v>
      </c>
    </row>
    <row r="98" spans="1:11" x14ac:dyDescent="0.25">
      <c r="A98">
        <v>6.7940805451030197</v>
      </c>
      <c r="B98">
        <v>37.558961226860703</v>
      </c>
      <c r="C98">
        <v>2000</v>
      </c>
    </row>
    <row r="99" spans="1:11" x14ac:dyDescent="0.25">
      <c r="A99">
        <v>7.2310965695518403</v>
      </c>
      <c r="B99">
        <v>37.121945202411901</v>
      </c>
      <c r="C99">
        <v>2001</v>
      </c>
    </row>
    <row r="100" spans="1:11" x14ac:dyDescent="0.25">
      <c r="A100">
        <v>19.8906433549156</v>
      </c>
      <c r="B100">
        <v>49.781491987775603</v>
      </c>
      <c r="C100">
        <v>2001</v>
      </c>
    </row>
    <row r="101" spans="1:11" x14ac:dyDescent="0.25">
      <c r="A101">
        <v>47.921544223051498</v>
      </c>
      <c r="B101">
        <v>77.812392855911497</v>
      </c>
      <c r="C101">
        <v>2001</v>
      </c>
    </row>
    <row r="102" spans="1:11" x14ac:dyDescent="0.25">
      <c r="A102">
        <v>50.218508012224397</v>
      </c>
      <c r="B102">
        <v>80.109356645084404</v>
      </c>
      <c r="C102">
        <v>2001</v>
      </c>
    </row>
    <row r="103" spans="1:11" x14ac:dyDescent="0.25">
      <c r="A103">
        <v>69.890643354915596</v>
      </c>
      <c r="B103">
        <v>99.781491987775595</v>
      </c>
      <c r="C103">
        <v>2001</v>
      </c>
    </row>
    <row r="104" spans="1:11" x14ac:dyDescent="0.25">
      <c r="A104">
        <v>99.332435272020206</v>
      </c>
      <c r="B104">
        <v>129.22328390487999</v>
      </c>
      <c r="C104">
        <v>2001</v>
      </c>
    </row>
    <row r="105" spans="1:11" x14ac:dyDescent="0.25">
      <c r="A105">
        <v>98.895419247571397</v>
      </c>
      <c r="B105">
        <v>129.660299929329</v>
      </c>
      <c r="C105">
        <v>2000</v>
      </c>
    </row>
    <row r="106" spans="1:11" x14ac:dyDescent="0.25">
      <c r="A106">
        <v>69.453627330466801</v>
      </c>
      <c r="B106">
        <v>100.21850801222401</v>
      </c>
      <c r="C106">
        <v>2000</v>
      </c>
    </row>
    <row r="107" spans="1:11" x14ac:dyDescent="0.25">
      <c r="A107">
        <v>49.781491987775603</v>
      </c>
      <c r="B107">
        <v>80.546372669533199</v>
      </c>
      <c r="C107">
        <v>2000</v>
      </c>
    </row>
    <row r="108" spans="1:11" x14ac:dyDescent="0.25">
      <c r="A108" t="s">
        <v>84</v>
      </c>
    </row>
    <row r="109" spans="1:11" x14ac:dyDescent="0.25">
      <c r="A109">
        <v>107</v>
      </c>
      <c r="B109">
        <v>0</v>
      </c>
      <c r="C109">
        <v>32.6730512217529</v>
      </c>
      <c r="D109">
        <v>95.487003899843302</v>
      </c>
      <c r="E109">
        <v>10</v>
      </c>
      <c r="F109">
        <v>1.01722196789785</v>
      </c>
      <c r="G109" t="s">
        <v>82</v>
      </c>
      <c r="H109" t="s">
        <v>82</v>
      </c>
      <c r="I109">
        <v>0</v>
      </c>
      <c r="J109">
        <v>0</v>
      </c>
      <c r="K109">
        <v>0</v>
      </c>
    </row>
    <row r="110" spans="1:11" x14ac:dyDescent="0.25">
      <c r="A110" t="s">
        <v>83</v>
      </c>
    </row>
    <row r="111" spans="1:11" x14ac:dyDescent="0.25">
      <c r="A111">
        <v>23.227607637033199</v>
      </c>
      <c r="B111">
        <v>82.167747558862004</v>
      </c>
      <c r="C111">
        <v>2000</v>
      </c>
    </row>
    <row r="112" spans="1:11" x14ac:dyDescent="0.25">
      <c r="A112">
        <v>0</v>
      </c>
      <c r="B112">
        <v>58.940139921828802</v>
      </c>
      <c r="C112">
        <v>2000</v>
      </c>
    </row>
    <row r="113" spans="1:11" x14ac:dyDescent="0.25">
      <c r="A113">
        <v>0</v>
      </c>
      <c r="B113">
        <v>59.814171970726498</v>
      </c>
      <c r="C113">
        <v>2001</v>
      </c>
    </row>
    <row r="114" spans="1:11" x14ac:dyDescent="0.25">
      <c r="A114">
        <v>22.979064524880499</v>
      </c>
      <c r="B114">
        <v>82.793236495607005</v>
      </c>
      <c r="C114">
        <v>2001</v>
      </c>
    </row>
    <row r="115" spans="1:11" x14ac:dyDescent="0.25">
      <c r="A115">
        <v>40.404336041497999</v>
      </c>
      <c r="B115">
        <v>100.21850801222401</v>
      </c>
      <c r="C115">
        <v>2001</v>
      </c>
    </row>
    <row r="116" spans="1:11" x14ac:dyDescent="0.25">
      <c r="A116">
        <v>49.7405123136528</v>
      </c>
      <c r="B116">
        <v>109.55468428437899</v>
      </c>
      <c r="C116">
        <v>2001</v>
      </c>
    </row>
    <row r="117" spans="1:11" x14ac:dyDescent="0.25">
      <c r="A117">
        <v>90.185828029273594</v>
      </c>
      <c r="B117">
        <v>150</v>
      </c>
      <c r="C117">
        <v>2001</v>
      </c>
    </row>
    <row r="118" spans="1:11" x14ac:dyDescent="0.25">
      <c r="A118">
        <v>91.059860078171198</v>
      </c>
      <c r="B118">
        <v>150</v>
      </c>
      <c r="C118">
        <v>2000</v>
      </c>
    </row>
    <row r="119" spans="1:11" x14ac:dyDescent="0.25">
      <c r="A119">
        <v>50.2594876863472</v>
      </c>
      <c r="B119">
        <v>109.199627608176</v>
      </c>
      <c r="C119">
        <v>2000</v>
      </c>
    </row>
    <row r="120" spans="1:11" x14ac:dyDescent="0.25">
      <c r="A120">
        <v>40.841352065946801</v>
      </c>
      <c r="B120">
        <v>99.781491987775595</v>
      </c>
      <c r="C120">
        <v>2000</v>
      </c>
    </row>
    <row r="121" spans="1:11" x14ac:dyDescent="0.25">
      <c r="A121" t="s">
        <v>84</v>
      </c>
    </row>
    <row r="122" spans="1:11" x14ac:dyDescent="0.25">
      <c r="A122">
        <v>917</v>
      </c>
      <c r="B122">
        <v>0</v>
      </c>
      <c r="C122">
        <v>27.4337380201478</v>
      </c>
      <c r="D122">
        <v>99.984321304456202</v>
      </c>
      <c r="E122">
        <v>12</v>
      </c>
      <c r="F122">
        <v>1.01722196789785</v>
      </c>
      <c r="G122" t="s">
        <v>81</v>
      </c>
      <c r="H122" t="s">
        <v>82</v>
      </c>
      <c r="I122">
        <v>120</v>
      </c>
      <c r="J122">
        <v>0</v>
      </c>
      <c r="K122">
        <v>0.10530400139967799</v>
      </c>
    </row>
    <row r="123" spans="1:11" x14ac:dyDescent="0.25">
      <c r="A123" t="s">
        <v>83</v>
      </c>
    </row>
    <row r="124" spans="1:11" x14ac:dyDescent="0.25">
      <c r="A124">
        <v>42.953936080888099</v>
      </c>
      <c r="B124">
        <v>79.081900381060095</v>
      </c>
      <c r="C124">
        <v>2000</v>
      </c>
    </row>
    <row r="125" spans="1:11" x14ac:dyDescent="0.25">
      <c r="A125">
        <v>23.5553538935464</v>
      </c>
      <c r="B125">
        <v>59.683318193718399</v>
      </c>
      <c r="C125">
        <v>2000</v>
      </c>
    </row>
    <row r="126" spans="1:11" x14ac:dyDescent="0.25">
      <c r="A126">
        <v>23.118337869097498</v>
      </c>
      <c r="B126">
        <v>60.120334218167201</v>
      </c>
      <c r="C126">
        <v>2001</v>
      </c>
    </row>
    <row r="127" spans="1:11" x14ac:dyDescent="0.25">
      <c r="A127">
        <v>42.516920056439197</v>
      </c>
      <c r="B127">
        <v>79.518916405508904</v>
      </c>
      <c r="C127">
        <v>2001</v>
      </c>
    </row>
    <row r="128" spans="1:11" x14ac:dyDescent="0.25">
      <c r="A128">
        <v>49.781491987775603</v>
      </c>
      <c r="B128">
        <v>86.783488336845195</v>
      </c>
      <c r="C128">
        <v>2001</v>
      </c>
    </row>
    <row r="129" spans="1:11" x14ac:dyDescent="0.25">
      <c r="A129">
        <v>63.216511663154797</v>
      </c>
      <c r="B129">
        <v>100.21850801222401</v>
      </c>
      <c r="C129">
        <v>2001</v>
      </c>
    </row>
    <row r="130" spans="1:11" x14ac:dyDescent="0.25">
      <c r="A130">
        <v>99.621697164420496</v>
      </c>
      <c r="B130">
        <v>136.62369351349</v>
      </c>
      <c r="C130">
        <v>2001</v>
      </c>
    </row>
    <row r="131" spans="1:11" x14ac:dyDescent="0.25">
      <c r="A131">
        <v>112.99800365093</v>
      </c>
      <c r="B131">
        <v>150</v>
      </c>
      <c r="C131">
        <v>2001</v>
      </c>
    </row>
    <row r="132" spans="1:11" x14ac:dyDescent="0.25">
      <c r="A132">
        <v>113.872035699828</v>
      </c>
      <c r="B132">
        <v>150</v>
      </c>
      <c r="C132">
        <v>2000</v>
      </c>
    </row>
    <row r="133" spans="1:11" x14ac:dyDescent="0.25">
      <c r="A133">
        <v>100.37830283558</v>
      </c>
      <c r="B133">
        <v>136.50626713575201</v>
      </c>
      <c r="C133">
        <v>2000</v>
      </c>
    </row>
    <row r="134" spans="1:11" x14ac:dyDescent="0.25">
      <c r="A134">
        <v>63.653527687603599</v>
      </c>
      <c r="B134">
        <v>99.781491987775595</v>
      </c>
      <c r="C134">
        <v>2000</v>
      </c>
    </row>
    <row r="135" spans="1:11" x14ac:dyDescent="0.25">
      <c r="A135">
        <v>50.218508012224397</v>
      </c>
      <c r="B135">
        <v>86.346472312396401</v>
      </c>
      <c r="C135">
        <v>2000</v>
      </c>
    </row>
    <row r="136" spans="1:11" x14ac:dyDescent="0.25">
      <c r="A136" t="s">
        <v>84</v>
      </c>
    </row>
    <row r="137" spans="1:11" x14ac:dyDescent="0.25">
      <c r="A137">
        <v>941</v>
      </c>
      <c r="B137">
        <v>0</v>
      </c>
      <c r="C137">
        <v>123.50067062142899</v>
      </c>
      <c r="D137">
        <v>2.3925493108878002</v>
      </c>
      <c r="E137">
        <v>10</v>
      </c>
      <c r="F137">
        <v>1.01722196789785</v>
      </c>
      <c r="G137" t="s">
        <v>82</v>
      </c>
      <c r="H137" t="s">
        <v>82</v>
      </c>
      <c r="I137">
        <v>0</v>
      </c>
      <c r="J137">
        <v>0</v>
      </c>
      <c r="K137">
        <v>0.106288223876718</v>
      </c>
    </row>
    <row r="138" spans="1:11" x14ac:dyDescent="0.25">
      <c r="A138" t="s">
        <v>83</v>
      </c>
    </row>
    <row r="139" spans="1:11" x14ac:dyDescent="0.25">
      <c r="A139">
        <v>87.7557038506731</v>
      </c>
      <c r="B139">
        <v>148.29873830667401</v>
      </c>
      <c r="C139">
        <v>2000</v>
      </c>
    </row>
    <row r="140" spans="1:11" x14ac:dyDescent="0.25">
      <c r="A140">
        <v>50.218508012224397</v>
      </c>
      <c r="B140">
        <v>110.761542468225</v>
      </c>
      <c r="C140">
        <v>2000</v>
      </c>
    </row>
    <row r="141" spans="1:11" x14ac:dyDescent="0.25">
      <c r="A141">
        <v>39.190472951682601</v>
      </c>
      <c r="B141">
        <v>99.733507407683504</v>
      </c>
      <c r="C141">
        <v>2000</v>
      </c>
    </row>
    <row r="142" spans="1:11" x14ac:dyDescent="0.25">
      <c r="A142">
        <v>0</v>
      </c>
      <c r="B142">
        <v>60.543034456000797</v>
      </c>
      <c r="C142">
        <v>2000</v>
      </c>
    </row>
    <row r="143" spans="1:11" x14ac:dyDescent="0.25">
      <c r="A143">
        <v>0</v>
      </c>
      <c r="B143">
        <v>61.4170665048985</v>
      </c>
      <c r="C143">
        <v>2001</v>
      </c>
    </row>
    <row r="144" spans="1:11" x14ac:dyDescent="0.25">
      <c r="A144">
        <v>38.849426087418102</v>
      </c>
      <c r="B144">
        <v>100.26649259231699</v>
      </c>
      <c r="C144">
        <v>2001</v>
      </c>
    </row>
    <row r="145" spans="1:11" x14ac:dyDescent="0.25">
      <c r="A145">
        <v>49.781491987775603</v>
      </c>
      <c r="B145">
        <v>111.198558492674</v>
      </c>
      <c r="C145">
        <v>2001</v>
      </c>
    </row>
    <row r="146" spans="1:11" x14ac:dyDescent="0.25">
      <c r="A146">
        <v>86.900619504323799</v>
      </c>
      <c r="B146">
        <v>148.317686009222</v>
      </c>
      <c r="C146">
        <v>2001</v>
      </c>
    </row>
    <row r="147" spans="1:11" x14ac:dyDescent="0.25">
      <c r="A147">
        <v>88.582933495101599</v>
      </c>
      <c r="B147">
        <v>150</v>
      </c>
      <c r="C147">
        <v>2001</v>
      </c>
    </row>
    <row r="148" spans="1:11" x14ac:dyDescent="0.25">
      <c r="A148">
        <v>89.456965543999203</v>
      </c>
      <c r="B148">
        <v>150</v>
      </c>
      <c r="C148">
        <v>2000</v>
      </c>
    </row>
    <row r="149" spans="1:11" x14ac:dyDescent="0.25">
      <c r="A149" t="s">
        <v>84</v>
      </c>
    </row>
    <row r="150" spans="1:11" x14ac:dyDescent="0.25">
      <c r="A150">
        <v>1007</v>
      </c>
      <c r="B150">
        <v>0</v>
      </c>
      <c r="C150">
        <v>10.869869881691701</v>
      </c>
      <c r="D150">
        <v>113.672915698723</v>
      </c>
      <c r="E150">
        <v>10</v>
      </c>
      <c r="F150">
        <v>1.01722196789785</v>
      </c>
      <c r="G150" t="s">
        <v>82</v>
      </c>
      <c r="H150" t="s">
        <v>82</v>
      </c>
      <c r="I150">
        <v>0</v>
      </c>
      <c r="J150">
        <v>0</v>
      </c>
      <c r="K150">
        <v>0.110655289483339</v>
      </c>
    </row>
    <row r="151" spans="1:11" x14ac:dyDescent="0.25">
      <c r="A151" t="s">
        <v>83</v>
      </c>
    </row>
    <row r="152" spans="1:11" x14ac:dyDescent="0.25">
      <c r="A152">
        <v>7.6420371977994899</v>
      </c>
      <c r="B152">
        <v>70.014004990474703</v>
      </c>
      <c r="C152">
        <v>2000</v>
      </c>
    </row>
    <row r="153" spans="1:11" x14ac:dyDescent="0.25">
      <c r="A153">
        <v>0</v>
      </c>
      <c r="B153">
        <v>62.371967792675299</v>
      </c>
      <c r="C153">
        <v>2000</v>
      </c>
    </row>
    <row r="154" spans="1:11" x14ac:dyDescent="0.25">
      <c r="A154">
        <v>0</v>
      </c>
      <c r="B154">
        <v>61.497935743777603</v>
      </c>
      <c r="C154">
        <v>2001</v>
      </c>
    </row>
    <row r="155" spans="1:11" x14ac:dyDescent="0.25">
      <c r="A155">
        <v>7.7302802101197399</v>
      </c>
      <c r="B155">
        <v>69.228215953897305</v>
      </c>
      <c r="C155">
        <v>2001</v>
      </c>
    </row>
    <row r="156" spans="1:11" x14ac:dyDescent="0.25">
      <c r="A156">
        <v>38.283556243998</v>
      </c>
      <c r="B156">
        <v>99.781491987775595</v>
      </c>
      <c r="C156">
        <v>2001</v>
      </c>
    </row>
    <row r="157" spans="1:11" x14ac:dyDescent="0.25">
      <c r="A157">
        <v>50.2706656639618</v>
      </c>
      <c r="B157">
        <v>111.768601407739</v>
      </c>
      <c r="C157">
        <v>2001</v>
      </c>
    </row>
    <row r="158" spans="1:11" x14ac:dyDescent="0.25">
      <c r="A158">
        <v>88.502064256222496</v>
      </c>
      <c r="B158">
        <v>150</v>
      </c>
      <c r="C158">
        <v>2001</v>
      </c>
    </row>
    <row r="159" spans="1:11" x14ac:dyDescent="0.25">
      <c r="A159">
        <v>87.628032207324793</v>
      </c>
      <c r="B159">
        <v>150</v>
      </c>
      <c r="C159">
        <v>2000</v>
      </c>
    </row>
    <row r="160" spans="1:11" x14ac:dyDescent="0.25">
      <c r="A160">
        <v>49.7293343360382</v>
      </c>
      <c r="B160">
        <v>112.101302128713</v>
      </c>
      <c r="C160">
        <v>2000</v>
      </c>
    </row>
    <row r="161" spans="1:11" x14ac:dyDescent="0.25">
      <c r="A161">
        <v>37.846540219549198</v>
      </c>
      <c r="B161">
        <v>100.21850801222401</v>
      </c>
      <c r="C161">
        <v>2000</v>
      </c>
    </row>
    <row r="162" spans="1:11" x14ac:dyDescent="0.25">
      <c r="A162" t="s">
        <v>84</v>
      </c>
    </row>
    <row r="163" spans="1:11" x14ac:dyDescent="0.25">
      <c r="A163">
        <v>1005</v>
      </c>
      <c r="B163">
        <v>0</v>
      </c>
      <c r="C163">
        <v>1.19392553663295</v>
      </c>
      <c r="D163">
        <v>120.57595967580799</v>
      </c>
      <c r="E163">
        <v>10</v>
      </c>
      <c r="F163">
        <v>1.01722196789785</v>
      </c>
      <c r="G163" t="s">
        <v>82</v>
      </c>
      <c r="H163" t="s">
        <v>82</v>
      </c>
      <c r="I163">
        <v>0</v>
      </c>
      <c r="J163">
        <v>0</v>
      </c>
      <c r="K163">
        <v>0.110239492672438</v>
      </c>
    </row>
    <row r="164" spans="1:11" x14ac:dyDescent="0.25">
      <c r="A164" t="s">
        <v>83</v>
      </c>
    </row>
    <row r="165" spans="1:11" x14ac:dyDescent="0.25">
      <c r="A165">
        <v>0.84934225068660596</v>
      </c>
      <c r="B165">
        <v>64.308014648213501</v>
      </c>
      <c r="C165">
        <v>2000</v>
      </c>
    </row>
    <row r="166" spans="1:11" x14ac:dyDescent="0.25">
      <c r="A166">
        <v>0</v>
      </c>
      <c r="B166">
        <v>63.458672397526897</v>
      </c>
      <c r="C166">
        <v>2000</v>
      </c>
    </row>
    <row r="167" spans="1:11" x14ac:dyDescent="0.25">
      <c r="A167">
        <v>0</v>
      </c>
      <c r="B167">
        <v>64.332704446424501</v>
      </c>
      <c r="C167">
        <v>2001</v>
      </c>
    </row>
    <row r="168" spans="1:11" x14ac:dyDescent="0.25">
      <c r="A168">
        <v>0.83912343568329295</v>
      </c>
      <c r="B168">
        <v>65.171827882107806</v>
      </c>
      <c r="C168">
        <v>2001</v>
      </c>
    </row>
    <row r="169" spans="1:11" x14ac:dyDescent="0.25">
      <c r="A169">
        <v>35.885803565799897</v>
      </c>
      <c r="B169">
        <v>100.21850801222401</v>
      </c>
      <c r="C169">
        <v>2001</v>
      </c>
    </row>
    <row r="170" spans="1:11" x14ac:dyDescent="0.25">
      <c r="A170">
        <v>49.720765602664102</v>
      </c>
      <c r="B170">
        <v>114.053470049089</v>
      </c>
      <c r="C170">
        <v>2001</v>
      </c>
    </row>
    <row r="171" spans="1:11" x14ac:dyDescent="0.25">
      <c r="A171">
        <v>85.667295553575499</v>
      </c>
      <c r="B171">
        <v>150</v>
      </c>
      <c r="C171">
        <v>2001</v>
      </c>
    </row>
    <row r="172" spans="1:11" x14ac:dyDescent="0.25">
      <c r="A172">
        <v>86.541327602473203</v>
      </c>
      <c r="B172">
        <v>150</v>
      </c>
      <c r="C172">
        <v>2000</v>
      </c>
    </row>
    <row r="173" spans="1:11" x14ac:dyDescent="0.25">
      <c r="A173">
        <v>50.279234397335898</v>
      </c>
      <c r="B173">
        <v>113.73790679486299</v>
      </c>
      <c r="C173">
        <v>2000</v>
      </c>
    </row>
    <row r="174" spans="1:11" x14ac:dyDescent="0.25">
      <c r="A174">
        <v>36.322819590248699</v>
      </c>
      <c r="B174">
        <v>99.781491987775595</v>
      </c>
      <c r="C174">
        <v>2000</v>
      </c>
    </row>
    <row r="175" spans="1:11" x14ac:dyDescent="0.25">
      <c r="A175" t="s">
        <v>84</v>
      </c>
    </row>
    <row r="176" spans="1:11" x14ac:dyDescent="0.25">
      <c r="A176">
        <v>921</v>
      </c>
      <c r="B176">
        <v>0</v>
      </c>
      <c r="C176">
        <v>37.103311854364399</v>
      </c>
      <c r="D176">
        <v>80.413682727612098</v>
      </c>
      <c r="E176">
        <v>14</v>
      </c>
      <c r="F176">
        <v>1.01722196789785</v>
      </c>
      <c r="G176" t="s">
        <v>81</v>
      </c>
      <c r="H176" t="s">
        <v>81</v>
      </c>
      <c r="I176">
        <v>5</v>
      </c>
      <c r="J176">
        <v>737</v>
      </c>
      <c r="K176">
        <v>0.10547505826048501</v>
      </c>
    </row>
    <row r="177" spans="1:3" x14ac:dyDescent="0.25">
      <c r="A177" t="s">
        <v>83</v>
      </c>
    </row>
    <row r="178" spans="1:3" x14ac:dyDescent="0.25">
      <c r="A178">
        <v>76.279193691103501</v>
      </c>
      <c r="B178">
        <v>52.091608193750098</v>
      </c>
      <c r="C178">
        <v>2000</v>
      </c>
    </row>
    <row r="179" spans="1:3" x14ac:dyDescent="0.25">
      <c r="A179">
        <v>73.969077485129006</v>
      </c>
      <c r="B179">
        <v>49.781491987775603</v>
      </c>
      <c r="C179">
        <v>2000</v>
      </c>
    </row>
    <row r="180" spans="1:3" x14ac:dyDescent="0.25">
      <c r="A180">
        <v>50.218508012224397</v>
      </c>
      <c r="B180">
        <v>26.030922514871001</v>
      </c>
      <c r="C180">
        <v>2000</v>
      </c>
    </row>
    <row r="181" spans="1:3" x14ac:dyDescent="0.25">
      <c r="A181">
        <v>50.043190274403202</v>
      </c>
      <c r="B181">
        <v>25.855604777049798</v>
      </c>
      <c r="C181">
        <v>2000</v>
      </c>
    </row>
    <row r="182" spans="1:3" x14ac:dyDescent="0.25">
      <c r="A182">
        <v>49.6061742499544</v>
      </c>
      <c r="B182">
        <v>26.2926208014987</v>
      </c>
      <c r="C182">
        <v>2001</v>
      </c>
    </row>
    <row r="183" spans="1:3" x14ac:dyDescent="0.25">
      <c r="A183">
        <v>49.781491987775603</v>
      </c>
      <c r="B183">
        <v>26.4679385393198</v>
      </c>
      <c r="C183">
        <v>2001</v>
      </c>
    </row>
    <row r="184" spans="1:3" x14ac:dyDescent="0.25">
      <c r="A184">
        <v>73.532061460680197</v>
      </c>
      <c r="B184">
        <v>50.218508012224397</v>
      </c>
      <c r="C184">
        <v>2001</v>
      </c>
    </row>
    <row r="185" spans="1:3" x14ac:dyDescent="0.25">
      <c r="A185">
        <v>75.842177666654706</v>
      </c>
      <c r="B185">
        <v>52.5286242181989</v>
      </c>
      <c r="C185">
        <v>2001</v>
      </c>
    </row>
    <row r="186" spans="1:3" x14ac:dyDescent="0.25">
      <c r="A186">
        <v>99.781491987775595</v>
      </c>
      <c r="B186">
        <v>76.467938539319803</v>
      </c>
      <c r="C186">
        <v>2001</v>
      </c>
    </row>
    <row r="187" spans="1:3" x14ac:dyDescent="0.25">
      <c r="A187">
        <v>123.53206146068</v>
      </c>
      <c r="B187">
        <v>100.21850801222401</v>
      </c>
      <c r="C187">
        <v>2001</v>
      </c>
    </row>
    <row r="188" spans="1:3" x14ac:dyDescent="0.25">
      <c r="A188">
        <v>132.703238023533</v>
      </c>
      <c r="B188">
        <v>109.389684575077</v>
      </c>
      <c r="C188">
        <v>2001</v>
      </c>
    </row>
    <row r="189" spans="1:3" x14ac:dyDescent="0.25">
      <c r="A189">
        <v>133.14025404798201</v>
      </c>
      <c r="B189">
        <v>108.952668550628</v>
      </c>
      <c r="C189">
        <v>2000</v>
      </c>
    </row>
    <row r="190" spans="1:3" x14ac:dyDescent="0.25">
      <c r="A190">
        <v>123.96907748512901</v>
      </c>
      <c r="B190">
        <v>99.781491987775595</v>
      </c>
      <c r="C190">
        <v>2000</v>
      </c>
    </row>
    <row r="191" spans="1:3" x14ac:dyDescent="0.25">
      <c r="A191">
        <v>100.21850801222401</v>
      </c>
      <c r="B191">
        <v>76.030922514870994</v>
      </c>
      <c r="C191">
        <v>2000</v>
      </c>
    </row>
    <row r="192" spans="1:3" x14ac:dyDescent="0.25">
      <c r="A192" t="s">
        <v>84</v>
      </c>
    </row>
    <row r="193" spans="1:11" x14ac:dyDescent="0.25">
      <c r="A193">
        <v>104</v>
      </c>
      <c r="B193">
        <v>0</v>
      </c>
      <c r="C193">
        <v>39.646141209045197</v>
      </c>
      <c r="D193">
        <v>72.936861240192499</v>
      </c>
      <c r="E193">
        <v>10</v>
      </c>
      <c r="F193">
        <v>1.01722196789785</v>
      </c>
      <c r="G193" t="s">
        <v>81</v>
      </c>
      <c r="H193" t="s">
        <v>82</v>
      </c>
      <c r="I193">
        <v>802</v>
      </c>
      <c r="J193">
        <v>0</v>
      </c>
      <c r="K193">
        <v>0</v>
      </c>
    </row>
    <row r="194" spans="1:11" x14ac:dyDescent="0.25">
      <c r="A194" t="s">
        <v>83</v>
      </c>
    </row>
    <row r="195" spans="1:11" x14ac:dyDescent="0.25">
      <c r="A195">
        <v>45.661688970239901</v>
      </c>
      <c r="B195">
        <v>98.207342806373205</v>
      </c>
      <c r="C195">
        <v>2000</v>
      </c>
    </row>
    <row r="196" spans="1:11" x14ac:dyDescent="0.25">
      <c r="A196">
        <v>17.627633673444599</v>
      </c>
      <c r="B196">
        <v>70.173287509577904</v>
      </c>
      <c r="C196">
        <v>2000</v>
      </c>
    </row>
    <row r="197" spans="1:11" x14ac:dyDescent="0.25">
      <c r="A197">
        <v>17.190617648995701</v>
      </c>
      <c r="B197">
        <v>70.610303534026698</v>
      </c>
      <c r="C197">
        <v>2001</v>
      </c>
    </row>
    <row r="198" spans="1:11" x14ac:dyDescent="0.25">
      <c r="A198">
        <v>45.224672945790999</v>
      </c>
      <c r="B198">
        <v>98.644358830822</v>
      </c>
      <c r="C198">
        <v>2001</v>
      </c>
    </row>
    <row r="199" spans="1:11" x14ac:dyDescent="0.25">
      <c r="A199">
        <v>46.798822127193397</v>
      </c>
      <c r="B199">
        <v>100.21850801222401</v>
      </c>
      <c r="C199">
        <v>2001</v>
      </c>
    </row>
    <row r="200" spans="1:11" x14ac:dyDescent="0.25">
      <c r="A200">
        <v>49.768457242528399</v>
      </c>
      <c r="B200">
        <v>103.188143127559</v>
      </c>
      <c r="C200">
        <v>2001</v>
      </c>
    </row>
    <row r="201" spans="1:11" x14ac:dyDescent="0.25">
      <c r="A201">
        <v>96.580314114969099</v>
      </c>
      <c r="B201">
        <v>150</v>
      </c>
      <c r="C201">
        <v>2001</v>
      </c>
    </row>
    <row r="202" spans="1:11" x14ac:dyDescent="0.25">
      <c r="A202">
        <v>97.454346163866703</v>
      </c>
      <c r="B202">
        <v>150</v>
      </c>
      <c r="C202">
        <v>2000</v>
      </c>
    </row>
    <row r="203" spans="1:11" x14ac:dyDescent="0.25">
      <c r="A203">
        <v>50.231542757471601</v>
      </c>
      <c r="B203">
        <v>102.777196593605</v>
      </c>
      <c r="C203">
        <v>2000</v>
      </c>
    </row>
    <row r="204" spans="1:11" x14ac:dyDescent="0.25">
      <c r="A204">
        <v>47.235838151642199</v>
      </c>
      <c r="B204">
        <v>99.781491987775595</v>
      </c>
      <c r="C204">
        <v>2000</v>
      </c>
    </row>
    <row r="205" spans="1:11" x14ac:dyDescent="0.25">
      <c r="A205" t="s">
        <v>84</v>
      </c>
    </row>
    <row r="206" spans="1:11" x14ac:dyDescent="0.25">
      <c r="A206">
        <v>815</v>
      </c>
      <c r="B206">
        <v>0</v>
      </c>
      <c r="C206">
        <v>58.132418317585703</v>
      </c>
      <c r="D206">
        <v>53.124662023072503</v>
      </c>
      <c r="E206">
        <v>12</v>
      </c>
      <c r="F206">
        <v>1.01722196789785</v>
      </c>
      <c r="G206" t="s">
        <v>81</v>
      </c>
      <c r="H206" t="s">
        <v>82</v>
      </c>
      <c r="I206">
        <v>901</v>
      </c>
      <c r="J206">
        <v>0</v>
      </c>
      <c r="K206">
        <v>0.102777870221907</v>
      </c>
    </row>
    <row r="207" spans="1:11" x14ac:dyDescent="0.25">
      <c r="A207" t="s">
        <v>83</v>
      </c>
    </row>
    <row r="208" spans="1:11" x14ac:dyDescent="0.25">
      <c r="A208">
        <v>90.713439309473102</v>
      </c>
      <c r="B208">
        <v>112.623255121906</v>
      </c>
      <c r="C208">
        <v>2000</v>
      </c>
    </row>
    <row r="209" spans="1:11" x14ac:dyDescent="0.25">
      <c r="A209">
        <v>78.308692199791906</v>
      </c>
      <c r="B209">
        <v>100.21850801222401</v>
      </c>
      <c r="C209">
        <v>2000</v>
      </c>
    </row>
    <row r="210" spans="1:11" x14ac:dyDescent="0.25">
      <c r="A210">
        <v>49.781491987775603</v>
      </c>
      <c r="B210">
        <v>71.691307800208094</v>
      </c>
      <c r="C210">
        <v>2000</v>
      </c>
    </row>
    <row r="211" spans="1:11" x14ac:dyDescent="0.25">
      <c r="A211">
        <v>49.638056235896002</v>
      </c>
      <c r="B211">
        <v>71.5478720483285</v>
      </c>
      <c r="C211">
        <v>2000</v>
      </c>
    </row>
    <row r="212" spans="1:11" x14ac:dyDescent="0.25">
      <c r="A212">
        <v>50.075072260344797</v>
      </c>
      <c r="B212">
        <v>71.110856023879705</v>
      </c>
      <c r="C212">
        <v>2001</v>
      </c>
    </row>
    <row r="213" spans="1:11" x14ac:dyDescent="0.25">
      <c r="A213">
        <v>50.218508012224397</v>
      </c>
      <c r="B213">
        <v>71.254291775759299</v>
      </c>
      <c r="C213">
        <v>2001</v>
      </c>
    </row>
    <row r="214" spans="1:11" x14ac:dyDescent="0.25">
      <c r="A214">
        <v>78.745708224240701</v>
      </c>
      <c r="B214">
        <v>99.781491987775595</v>
      </c>
      <c r="C214">
        <v>2001</v>
      </c>
    </row>
    <row r="215" spans="1:11" x14ac:dyDescent="0.25">
      <c r="A215">
        <v>91.211343585043593</v>
      </c>
      <c r="B215">
        <v>112.247127348578</v>
      </c>
      <c r="C215">
        <v>2001</v>
      </c>
    </row>
    <row r="216" spans="1:11" x14ac:dyDescent="0.25">
      <c r="A216">
        <v>100.27107822208499</v>
      </c>
      <c r="B216">
        <v>121.30686198561899</v>
      </c>
      <c r="C216">
        <v>2001</v>
      </c>
    </row>
    <row r="217" spans="1:11" x14ac:dyDescent="0.25">
      <c r="A217">
        <v>128.96421623646501</v>
      </c>
      <c r="B217">
        <v>150</v>
      </c>
      <c r="C217">
        <v>2001</v>
      </c>
    </row>
    <row r="218" spans="1:11" x14ac:dyDescent="0.25">
      <c r="A218">
        <v>128.09018418756801</v>
      </c>
      <c r="B218">
        <v>150</v>
      </c>
      <c r="C218">
        <v>2000</v>
      </c>
    </row>
    <row r="219" spans="1:11" x14ac:dyDescent="0.25">
      <c r="A219">
        <v>99.728921777915403</v>
      </c>
      <c r="B219">
        <v>121.638737590348</v>
      </c>
      <c r="C219">
        <v>2000</v>
      </c>
    </row>
    <row r="220" spans="1:11" x14ac:dyDescent="0.25">
      <c r="A220" t="s">
        <v>84</v>
      </c>
    </row>
    <row r="221" spans="1:11" x14ac:dyDescent="0.25">
      <c r="A221">
        <v>1006</v>
      </c>
      <c r="B221">
        <v>0</v>
      </c>
      <c r="C221">
        <v>46.308327267841698</v>
      </c>
      <c r="D221">
        <v>60.972073049605299</v>
      </c>
      <c r="E221">
        <v>10</v>
      </c>
      <c r="F221">
        <v>1.01722196789785</v>
      </c>
      <c r="G221" t="s">
        <v>81</v>
      </c>
      <c r="H221" t="s">
        <v>82</v>
      </c>
      <c r="I221">
        <v>645</v>
      </c>
      <c r="J221">
        <v>0</v>
      </c>
      <c r="K221">
        <v>0.110449398876567</v>
      </c>
    </row>
    <row r="222" spans="1:11" x14ac:dyDescent="0.25">
      <c r="A222" t="s">
        <v>83</v>
      </c>
    </row>
    <row r="223" spans="1:11" x14ac:dyDescent="0.25">
      <c r="A223">
        <v>100.99088894717799</v>
      </c>
      <c r="B223">
        <v>107.098750785522</v>
      </c>
      <c r="C223">
        <v>2000</v>
      </c>
    </row>
    <row r="224" spans="1:11" x14ac:dyDescent="0.25">
      <c r="A224">
        <v>99.781491987775595</v>
      </c>
      <c r="B224">
        <v>105.88935382612</v>
      </c>
      <c r="C224">
        <v>2000</v>
      </c>
    </row>
    <row r="225" spans="1:11" x14ac:dyDescent="0.25">
      <c r="A225">
        <v>94.110646173879601</v>
      </c>
      <c r="B225">
        <v>100.21850801222401</v>
      </c>
      <c r="C225">
        <v>2000</v>
      </c>
    </row>
    <row r="226" spans="1:11" x14ac:dyDescent="0.25">
      <c r="A226">
        <v>68.251947621005399</v>
      </c>
      <c r="B226">
        <v>74.359809459350203</v>
      </c>
      <c r="C226">
        <v>2000</v>
      </c>
    </row>
    <row r="227" spans="1:11" x14ac:dyDescent="0.25">
      <c r="A227">
        <v>68.688963645454194</v>
      </c>
      <c r="B227">
        <v>73.922793434901394</v>
      </c>
      <c r="C227">
        <v>2001</v>
      </c>
    </row>
    <row r="228" spans="1:11" x14ac:dyDescent="0.25">
      <c r="A228">
        <v>94.547662198328396</v>
      </c>
      <c r="B228">
        <v>99.781491987775595</v>
      </c>
      <c r="C228">
        <v>2001</v>
      </c>
    </row>
    <row r="229" spans="1:11" x14ac:dyDescent="0.25">
      <c r="A229">
        <v>100.21850801222401</v>
      </c>
      <c r="B229">
        <v>105.452337801672</v>
      </c>
      <c r="C229">
        <v>2001</v>
      </c>
    </row>
    <row r="230" spans="1:11" x14ac:dyDescent="0.25">
      <c r="A230">
        <v>101.439886792276</v>
      </c>
      <c r="B230">
        <v>106.673716581723</v>
      </c>
      <c r="C230">
        <v>2001</v>
      </c>
    </row>
    <row r="231" spans="1:11" x14ac:dyDescent="0.25">
      <c r="A231">
        <v>144.76617021055301</v>
      </c>
      <c r="B231">
        <v>150</v>
      </c>
      <c r="C231">
        <v>2001</v>
      </c>
    </row>
    <row r="232" spans="1:11" x14ac:dyDescent="0.25">
      <c r="A232">
        <v>143.892138161655</v>
      </c>
      <c r="B232">
        <v>150</v>
      </c>
      <c r="C232">
        <v>2000</v>
      </c>
    </row>
    <row r="233" spans="1:11" x14ac:dyDescent="0.25">
      <c r="A233" t="s">
        <v>84</v>
      </c>
    </row>
    <row r="234" spans="1:11" x14ac:dyDescent="0.25">
      <c r="A234">
        <v>799</v>
      </c>
      <c r="B234">
        <v>0</v>
      </c>
      <c r="C234">
        <v>32.268428749487299</v>
      </c>
      <c r="D234">
        <v>74.647278855355793</v>
      </c>
      <c r="E234">
        <v>10</v>
      </c>
      <c r="F234">
        <v>1.01722196789785</v>
      </c>
      <c r="G234" t="s">
        <v>81</v>
      </c>
      <c r="H234" t="s">
        <v>81</v>
      </c>
      <c r="I234">
        <v>175</v>
      </c>
      <c r="J234">
        <v>580</v>
      </c>
      <c r="K234">
        <v>0.102343747528348</v>
      </c>
    </row>
    <row r="235" spans="1:11" x14ac:dyDescent="0.25">
      <c r="A235" t="s">
        <v>83</v>
      </c>
    </row>
    <row r="236" spans="1:11" x14ac:dyDescent="0.25">
      <c r="A236">
        <v>91.822324762964897</v>
      </c>
      <c r="B236">
        <v>29.7205268040905</v>
      </c>
      <c r="C236">
        <v>2000</v>
      </c>
    </row>
    <row r="237" spans="1:11" x14ac:dyDescent="0.25">
      <c r="A237">
        <v>69.005099975967497</v>
      </c>
      <c r="B237">
        <v>6.9033020170931199</v>
      </c>
      <c r="C237">
        <v>2000</v>
      </c>
    </row>
    <row r="238" spans="1:11" x14ac:dyDescent="0.25">
      <c r="A238">
        <v>68.568083951518702</v>
      </c>
      <c r="B238">
        <v>7.3403180415419396</v>
      </c>
      <c r="C238">
        <v>2001</v>
      </c>
    </row>
    <row r="239" spans="1:11" x14ac:dyDescent="0.25">
      <c r="A239">
        <v>91.385308738516102</v>
      </c>
      <c r="B239">
        <v>30.157542828539398</v>
      </c>
      <c r="C239">
        <v>2001</v>
      </c>
    </row>
    <row r="240" spans="1:11" x14ac:dyDescent="0.25">
      <c r="A240">
        <v>99.781491987775595</v>
      </c>
      <c r="B240">
        <v>38.5537260777988</v>
      </c>
      <c r="C240">
        <v>2001</v>
      </c>
    </row>
    <row r="241" spans="1:11" x14ac:dyDescent="0.25">
      <c r="A241">
        <v>111.446273922201</v>
      </c>
      <c r="B241">
        <v>50.218508012224397</v>
      </c>
      <c r="C241">
        <v>2001</v>
      </c>
    </row>
    <row r="242" spans="1:11" x14ac:dyDescent="0.25">
      <c r="A242">
        <v>144.168905814261</v>
      </c>
      <c r="B242">
        <v>82.941139904284597</v>
      </c>
      <c r="C242">
        <v>2001</v>
      </c>
    </row>
    <row r="243" spans="1:11" x14ac:dyDescent="0.25">
      <c r="A243">
        <v>144.60592183871</v>
      </c>
      <c r="B243">
        <v>82.504123879835802</v>
      </c>
      <c r="C243">
        <v>2000</v>
      </c>
    </row>
    <row r="244" spans="1:11" x14ac:dyDescent="0.25">
      <c r="A244">
        <v>111.88328994665</v>
      </c>
      <c r="B244">
        <v>49.781491987775603</v>
      </c>
      <c r="C244">
        <v>2000</v>
      </c>
    </row>
    <row r="245" spans="1:11" x14ac:dyDescent="0.25">
      <c r="A245">
        <v>100.21850801222401</v>
      </c>
      <c r="B245">
        <v>38.116710053349998</v>
      </c>
      <c r="C245">
        <v>2000</v>
      </c>
    </row>
    <row r="246" spans="1:11" x14ac:dyDescent="0.25">
      <c r="A246" t="s">
        <v>84</v>
      </c>
    </row>
    <row r="247" spans="1:11" x14ac:dyDescent="0.25">
      <c r="A247">
        <v>583</v>
      </c>
      <c r="B247">
        <v>0</v>
      </c>
      <c r="C247">
        <v>76.412487373608897</v>
      </c>
      <c r="D247">
        <v>29.790137239965201</v>
      </c>
      <c r="E247">
        <v>10</v>
      </c>
      <c r="F247">
        <v>1.01722196789785</v>
      </c>
      <c r="G247" t="s">
        <v>82</v>
      </c>
      <c r="H247" t="s">
        <v>82</v>
      </c>
      <c r="I247">
        <v>0</v>
      </c>
      <c r="J247">
        <v>0</v>
      </c>
      <c r="K247">
        <v>0</v>
      </c>
    </row>
    <row r="248" spans="1:11" x14ac:dyDescent="0.25">
      <c r="A248" t="s">
        <v>83</v>
      </c>
    </row>
    <row r="249" spans="1:11" x14ac:dyDescent="0.25">
      <c r="A249">
        <v>128.751787417777</v>
      </c>
      <c r="B249">
        <v>54.285399486293102</v>
      </c>
      <c r="C249">
        <v>2000</v>
      </c>
    </row>
    <row r="250" spans="1:11" x14ac:dyDescent="0.25">
      <c r="A250">
        <v>124.684895943708</v>
      </c>
      <c r="B250">
        <v>50.218508012224397</v>
      </c>
      <c r="C250">
        <v>2000</v>
      </c>
    </row>
    <row r="251" spans="1:11" x14ac:dyDescent="0.25">
      <c r="A251">
        <v>99.672660121854904</v>
      </c>
      <c r="B251">
        <v>25.206272190371301</v>
      </c>
      <c r="C251">
        <v>2000</v>
      </c>
    </row>
    <row r="252" spans="1:11" x14ac:dyDescent="0.25">
      <c r="A252">
        <v>74.466387931483595</v>
      </c>
      <c r="B252">
        <v>0</v>
      </c>
      <c r="C252">
        <v>2000</v>
      </c>
    </row>
    <row r="253" spans="1:11" x14ac:dyDescent="0.25">
      <c r="A253">
        <v>75.340419980381199</v>
      </c>
      <c r="B253">
        <v>0</v>
      </c>
      <c r="C253">
        <v>2001</v>
      </c>
    </row>
    <row r="254" spans="1:11" x14ac:dyDescent="0.25">
      <c r="A254">
        <v>100.327339878145</v>
      </c>
      <c r="B254">
        <v>24.986919897763801</v>
      </c>
      <c r="C254">
        <v>2001</v>
      </c>
    </row>
    <row r="255" spans="1:11" x14ac:dyDescent="0.25">
      <c r="A255">
        <v>125.12191196815699</v>
      </c>
      <c r="B255">
        <v>49.781491987775603</v>
      </c>
      <c r="C255">
        <v>2001</v>
      </c>
    </row>
    <row r="256" spans="1:11" x14ac:dyDescent="0.25">
      <c r="A256">
        <v>129.11859647250901</v>
      </c>
      <c r="B256">
        <v>53.778176492127301</v>
      </c>
      <c r="C256">
        <v>2001</v>
      </c>
    </row>
    <row r="257" spans="1:11" x14ac:dyDescent="0.25">
      <c r="A257">
        <v>150</v>
      </c>
      <c r="B257">
        <v>74.659580019618701</v>
      </c>
      <c r="C257">
        <v>2001</v>
      </c>
    </row>
    <row r="258" spans="1:11" x14ac:dyDescent="0.25">
      <c r="A258">
        <v>150</v>
      </c>
      <c r="B258">
        <v>75.533612068516405</v>
      </c>
      <c r="C258">
        <v>2000</v>
      </c>
    </row>
    <row r="259" spans="1:11" x14ac:dyDescent="0.25">
      <c r="A259" t="s">
        <v>84</v>
      </c>
    </row>
    <row r="260" spans="1:11" x14ac:dyDescent="0.25">
      <c r="A260">
        <v>936</v>
      </c>
      <c r="B260">
        <v>0</v>
      </c>
      <c r="C260">
        <v>65.761929244616795</v>
      </c>
      <c r="D260">
        <v>39.214135246063101</v>
      </c>
      <c r="E260">
        <v>10</v>
      </c>
      <c r="F260">
        <v>1.01722196789785</v>
      </c>
      <c r="G260" t="s">
        <v>81</v>
      </c>
      <c r="H260" t="s">
        <v>81</v>
      </c>
      <c r="I260">
        <v>756</v>
      </c>
      <c r="J260">
        <v>880</v>
      </c>
      <c r="K260">
        <v>0.10597100655396299</v>
      </c>
    </row>
    <row r="261" spans="1:11" x14ac:dyDescent="0.25">
      <c r="A261" t="s">
        <v>83</v>
      </c>
    </row>
    <row r="262" spans="1:11" x14ac:dyDescent="0.25">
      <c r="A262">
        <v>106.43222993911399</v>
      </c>
      <c r="B262">
        <v>68.426004615815202</v>
      </c>
      <c r="C262">
        <v>2000</v>
      </c>
    </row>
    <row r="263" spans="1:11" x14ac:dyDescent="0.25">
      <c r="A263">
        <v>100.21850801222401</v>
      </c>
      <c r="B263">
        <v>62.212282688925903</v>
      </c>
      <c r="C263">
        <v>2000</v>
      </c>
    </row>
    <row r="264" spans="1:11" x14ac:dyDescent="0.25">
      <c r="A264">
        <v>87.787717311074104</v>
      </c>
      <c r="B264">
        <v>49.781491987775603</v>
      </c>
      <c r="C264">
        <v>2000</v>
      </c>
    </row>
    <row r="265" spans="1:11" x14ac:dyDescent="0.25">
      <c r="A265">
        <v>59.931523826335201</v>
      </c>
      <c r="B265">
        <v>21.9252985030367</v>
      </c>
      <c r="C265">
        <v>2000</v>
      </c>
    </row>
    <row r="266" spans="1:11" x14ac:dyDescent="0.25">
      <c r="A266">
        <v>59.4945078018864</v>
      </c>
      <c r="B266">
        <v>22.362314527485601</v>
      </c>
      <c r="C266">
        <v>2001</v>
      </c>
    </row>
    <row r="267" spans="1:11" x14ac:dyDescent="0.25">
      <c r="A267">
        <v>87.350701286625295</v>
      </c>
      <c r="B267">
        <v>50.218508012224397</v>
      </c>
      <c r="C267">
        <v>2001</v>
      </c>
    </row>
    <row r="268" spans="1:11" x14ac:dyDescent="0.25">
      <c r="A268">
        <v>99.781491987775595</v>
      </c>
      <c r="B268">
        <v>62.649298713374698</v>
      </c>
      <c r="C268">
        <v>2001</v>
      </c>
    </row>
    <row r="269" spans="1:11" x14ac:dyDescent="0.25">
      <c r="A269">
        <v>105.995213914665</v>
      </c>
      <c r="B269">
        <v>68.863020640263997</v>
      </c>
      <c r="C269">
        <v>2001</v>
      </c>
    </row>
    <row r="270" spans="1:11" x14ac:dyDescent="0.25">
      <c r="A270">
        <v>133.723794865522</v>
      </c>
      <c r="B270">
        <v>96.591601591121602</v>
      </c>
      <c r="C270">
        <v>2001</v>
      </c>
    </row>
    <row r="271" spans="1:11" x14ac:dyDescent="0.25">
      <c r="A271">
        <v>134.160810889971</v>
      </c>
      <c r="B271">
        <v>96.154585566672793</v>
      </c>
      <c r="C271">
        <v>2000</v>
      </c>
    </row>
    <row r="272" spans="1:11" x14ac:dyDescent="0.25">
      <c r="A272" t="s">
        <v>84</v>
      </c>
    </row>
    <row r="273" spans="1:11" x14ac:dyDescent="0.25">
      <c r="A273">
        <v>935</v>
      </c>
      <c r="B273">
        <v>0</v>
      </c>
      <c r="C273">
        <v>87.537029916818497</v>
      </c>
      <c r="D273">
        <v>17.4020573177472</v>
      </c>
      <c r="E273">
        <v>10</v>
      </c>
      <c r="F273">
        <v>1.01722196789785</v>
      </c>
      <c r="G273" t="s">
        <v>81</v>
      </c>
      <c r="H273" t="s">
        <v>82</v>
      </c>
      <c r="I273">
        <v>87</v>
      </c>
      <c r="J273">
        <v>0</v>
      </c>
      <c r="K273">
        <v>0.10597100655396299</v>
      </c>
    </row>
    <row r="274" spans="1:11" x14ac:dyDescent="0.25">
      <c r="A274" t="s">
        <v>83</v>
      </c>
    </row>
    <row r="275" spans="1:11" x14ac:dyDescent="0.25">
      <c r="A275">
        <v>64.758210622229697</v>
      </c>
      <c r="B275">
        <v>137.793009459969</v>
      </c>
      <c r="C275">
        <v>2000</v>
      </c>
    </row>
    <row r="276" spans="1:11" x14ac:dyDescent="0.25">
      <c r="A276">
        <v>49.781491987775603</v>
      </c>
      <c r="B276">
        <v>122.816290825515</v>
      </c>
      <c r="C276">
        <v>2000</v>
      </c>
    </row>
    <row r="277" spans="1:11" x14ac:dyDescent="0.25">
      <c r="A277">
        <v>27.183709174484601</v>
      </c>
      <c r="B277">
        <v>100.21850801222401</v>
      </c>
      <c r="C277">
        <v>2000</v>
      </c>
    </row>
    <row r="278" spans="1:11" x14ac:dyDescent="0.25">
      <c r="A278">
        <v>2.9805689793965402</v>
      </c>
      <c r="B278">
        <v>76.015367817136394</v>
      </c>
      <c r="C278">
        <v>2000</v>
      </c>
    </row>
    <row r="279" spans="1:11" x14ac:dyDescent="0.25">
      <c r="A279">
        <v>3.4175850038453599</v>
      </c>
      <c r="B279">
        <v>75.578351792687599</v>
      </c>
      <c r="C279">
        <v>2001</v>
      </c>
    </row>
    <row r="280" spans="1:11" x14ac:dyDescent="0.25">
      <c r="A280">
        <v>27.6207251989334</v>
      </c>
      <c r="B280">
        <v>99.781491987775595</v>
      </c>
      <c r="C280">
        <v>2001</v>
      </c>
    </row>
    <row r="281" spans="1:11" x14ac:dyDescent="0.25">
      <c r="A281">
        <v>50.218508012224397</v>
      </c>
      <c r="B281">
        <v>122.379274801067</v>
      </c>
      <c r="C281">
        <v>2001</v>
      </c>
    </row>
    <row r="282" spans="1:11" x14ac:dyDescent="0.25">
      <c r="A282">
        <v>65.435998279236301</v>
      </c>
      <c r="B282">
        <v>137.59676506807801</v>
      </c>
      <c r="C282">
        <v>2001</v>
      </c>
    </row>
    <row r="283" spans="1:11" x14ac:dyDescent="0.25">
      <c r="A283">
        <v>77.839233211157904</v>
      </c>
      <c r="B283">
        <v>150</v>
      </c>
      <c r="C283">
        <v>2001</v>
      </c>
    </row>
    <row r="284" spans="1:11" x14ac:dyDescent="0.25">
      <c r="A284">
        <v>76.9652011622602</v>
      </c>
      <c r="B284">
        <v>150</v>
      </c>
      <c r="C284">
        <v>2000</v>
      </c>
    </row>
    <row r="285" spans="1:11" x14ac:dyDescent="0.25">
      <c r="A285" t="s">
        <v>84</v>
      </c>
    </row>
    <row r="286" spans="1:11" x14ac:dyDescent="0.25">
      <c r="A286">
        <v>184</v>
      </c>
      <c r="B286">
        <v>0</v>
      </c>
      <c r="C286">
        <v>17.648633695496301</v>
      </c>
      <c r="D286">
        <v>87.234156258932799</v>
      </c>
      <c r="E286">
        <v>10</v>
      </c>
      <c r="F286">
        <v>1.01722196789785</v>
      </c>
      <c r="G286" t="s">
        <v>81</v>
      </c>
      <c r="H286" t="s">
        <v>82</v>
      </c>
      <c r="I286">
        <v>889</v>
      </c>
      <c r="J286">
        <v>0</v>
      </c>
      <c r="K286">
        <v>0</v>
      </c>
    </row>
    <row r="287" spans="1:11" x14ac:dyDescent="0.25">
      <c r="A287" t="s">
        <v>83</v>
      </c>
    </row>
    <row r="288" spans="1:11" x14ac:dyDescent="0.25">
      <c r="A288">
        <v>88.534644570446105</v>
      </c>
      <c r="B288">
        <v>29.581737831044599</v>
      </c>
      <c r="C288">
        <v>2000</v>
      </c>
    </row>
    <row r="289" spans="1:11" x14ac:dyDescent="0.25">
      <c r="A289">
        <v>76.055176005683293</v>
      </c>
      <c r="B289">
        <v>17.102269266281802</v>
      </c>
      <c r="C289">
        <v>2000</v>
      </c>
    </row>
    <row r="290" spans="1:11" x14ac:dyDescent="0.25">
      <c r="A290">
        <v>75.618159981234498</v>
      </c>
      <c r="B290">
        <v>17.5392852907306</v>
      </c>
      <c r="C290">
        <v>2001</v>
      </c>
    </row>
    <row r="291" spans="1:11" x14ac:dyDescent="0.25">
      <c r="A291">
        <v>88.097628545997296</v>
      </c>
      <c r="B291">
        <v>30.018753855493401</v>
      </c>
      <c r="C291">
        <v>2001</v>
      </c>
    </row>
    <row r="292" spans="1:11" x14ac:dyDescent="0.25">
      <c r="A292">
        <v>99.781491987775595</v>
      </c>
      <c r="B292">
        <v>41.702617297271701</v>
      </c>
      <c r="C292">
        <v>2001</v>
      </c>
    </row>
    <row r="293" spans="1:11" x14ac:dyDescent="0.25">
      <c r="A293">
        <v>108.334598509777</v>
      </c>
      <c r="B293">
        <v>50.2557238192733</v>
      </c>
      <c r="C293">
        <v>2001</v>
      </c>
    </row>
    <row r="294" spans="1:11" x14ac:dyDescent="0.25">
      <c r="A294">
        <v>150</v>
      </c>
      <c r="B294">
        <v>91.921125309496105</v>
      </c>
      <c r="C294">
        <v>2001</v>
      </c>
    </row>
    <row r="295" spans="1:11" x14ac:dyDescent="0.25">
      <c r="A295">
        <v>150</v>
      </c>
      <c r="B295">
        <v>91.047093260598501</v>
      </c>
      <c r="C295">
        <v>2000</v>
      </c>
    </row>
    <row r="296" spans="1:11" x14ac:dyDescent="0.25">
      <c r="A296">
        <v>108.697182920128</v>
      </c>
      <c r="B296">
        <v>49.7442761807267</v>
      </c>
      <c r="C296">
        <v>2000</v>
      </c>
    </row>
    <row r="297" spans="1:11" x14ac:dyDescent="0.25">
      <c r="A297">
        <v>100.21850801222401</v>
      </c>
      <c r="B297">
        <v>41.265601272822899</v>
      </c>
      <c r="C297">
        <v>2000</v>
      </c>
    </row>
    <row r="298" spans="1:11" x14ac:dyDescent="0.25">
      <c r="A298" t="s">
        <v>84</v>
      </c>
    </row>
    <row r="299" spans="1:11" x14ac:dyDescent="0.25">
      <c r="A299">
        <v>113</v>
      </c>
      <c r="B299">
        <v>0</v>
      </c>
      <c r="C299">
        <v>13.146888078848599</v>
      </c>
      <c r="D299">
        <v>91.506458422249594</v>
      </c>
      <c r="E299">
        <v>10</v>
      </c>
      <c r="F299">
        <v>1.01722196789785</v>
      </c>
      <c r="G299" t="s">
        <v>82</v>
      </c>
      <c r="H299" t="s">
        <v>82</v>
      </c>
      <c r="I299">
        <v>0</v>
      </c>
      <c r="J299">
        <v>0</v>
      </c>
      <c r="K299">
        <v>0</v>
      </c>
    </row>
    <row r="300" spans="1:11" x14ac:dyDescent="0.25">
      <c r="A300" t="s">
        <v>83</v>
      </c>
    </row>
    <row r="301" spans="1:11" x14ac:dyDescent="0.25">
      <c r="A301">
        <v>9.2116198126603894</v>
      </c>
      <c r="B301">
        <v>85.647544852317196</v>
      </c>
      <c r="C301">
        <v>2000</v>
      </c>
    </row>
    <row r="302" spans="1:11" x14ac:dyDescent="0.25">
      <c r="A302">
        <v>0</v>
      </c>
      <c r="B302">
        <v>76.435925039656794</v>
      </c>
      <c r="C302">
        <v>2000</v>
      </c>
    </row>
    <row r="303" spans="1:11" x14ac:dyDescent="0.25">
      <c r="A303">
        <v>0</v>
      </c>
      <c r="B303">
        <v>75.561892990759205</v>
      </c>
      <c r="C303">
        <v>2001</v>
      </c>
    </row>
    <row r="304" spans="1:11" x14ac:dyDescent="0.25">
      <c r="A304">
        <v>9.3808876114485304</v>
      </c>
      <c r="B304">
        <v>84.942780602207705</v>
      </c>
      <c r="C304">
        <v>2001</v>
      </c>
    </row>
    <row r="305" spans="1:11" x14ac:dyDescent="0.25">
      <c r="A305">
        <v>24.219598997016401</v>
      </c>
      <c r="B305">
        <v>99.781491987775595</v>
      </c>
      <c r="C305">
        <v>2001</v>
      </c>
    </row>
    <row r="306" spans="1:11" x14ac:dyDescent="0.25">
      <c r="A306">
        <v>50.332127410802698</v>
      </c>
      <c r="B306">
        <v>125.894020401562</v>
      </c>
      <c r="C306">
        <v>2001</v>
      </c>
    </row>
    <row r="307" spans="1:11" x14ac:dyDescent="0.25">
      <c r="A307">
        <v>74.438107009240895</v>
      </c>
      <c r="B307">
        <v>150</v>
      </c>
      <c r="C307">
        <v>2001</v>
      </c>
    </row>
    <row r="308" spans="1:11" x14ac:dyDescent="0.25">
      <c r="A308">
        <v>73.564074960343206</v>
      </c>
      <c r="B308">
        <v>150</v>
      </c>
      <c r="C308">
        <v>2000</v>
      </c>
    </row>
    <row r="309" spans="1:11" x14ac:dyDescent="0.25">
      <c r="A309">
        <v>49.667872589197302</v>
      </c>
      <c r="B309">
        <v>126.103797628854</v>
      </c>
      <c r="C309">
        <v>2000</v>
      </c>
    </row>
    <row r="310" spans="1:11" x14ac:dyDescent="0.25">
      <c r="A310">
        <v>23.782582972567599</v>
      </c>
      <c r="B310">
        <v>100.21850801222401</v>
      </c>
      <c r="C310">
        <v>2000</v>
      </c>
    </row>
    <row r="311" spans="1:11" x14ac:dyDescent="0.25">
      <c r="A311" t="s">
        <v>84</v>
      </c>
    </row>
    <row r="312" spans="1:11" x14ac:dyDescent="0.25">
      <c r="A312">
        <v>969</v>
      </c>
      <c r="B312">
        <v>0</v>
      </c>
      <c r="C312">
        <v>47.793050613967502</v>
      </c>
      <c r="D312">
        <v>54.174095239006803</v>
      </c>
      <c r="E312">
        <v>10</v>
      </c>
      <c r="F312">
        <v>1.01722196789785</v>
      </c>
      <c r="G312" t="s">
        <v>81</v>
      </c>
      <c r="H312" t="s">
        <v>81</v>
      </c>
      <c r="I312">
        <v>887</v>
      </c>
      <c r="J312">
        <v>324</v>
      </c>
      <c r="K312">
        <v>0.107601745899833</v>
      </c>
    </row>
    <row r="313" spans="1:11" x14ac:dyDescent="0.25">
      <c r="A313" t="s">
        <v>83</v>
      </c>
    </row>
    <row r="314" spans="1:11" x14ac:dyDescent="0.25">
      <c r="A314">
        <v>53.261944214465302</v>
      </c>
      <c r="B314">
        <v>90.738245790241194</v>
      </c>
      <c r="C314">
        <v>2000</v>
      </c>
    </row>
    <row r="315" spans="1:11" x14ac:dyDescent="0.25">
      <c r="A315">
        <v>50.218508012224397</v>
      </c>
      <c r="B315">
        <v>87.694809588000396</v>
      </c>
      <c r="C315">
        <v>2000</v>
      </c>
    </row>
    <row r="316" spans="1:11" x14ac:dyDescent="0.25">
      <c r="A316">
        <v>19.4671540317369</v>
      </c>
      <c r="B316">
        <v>56.943455607512902</v>
      </c>
      <c r="C316">
        <v>2000</v>
      </c>
    </row>
    <row r="317" spans="1:11" x14ac:dyDescent="0.25">
      <c r="A317">
        <v>19.030138007288102</v>
      </c>
      <c r="B317">
        <v>57.380471631961797</v>
      </c>
      <c r="C317">
        <v>2001</v>
      </c>
    </row>
    <row r="318" spans="1:11" x14ac:dyDescent="0.25">
      <c r="A318">
        <v>49.781491987775603</v>
      </c>
      <c r="B318">
        <v>88.131825612449205</v>
      </c>
      <c r="C318">
        <v>2001</v>
      </c>
    </row>
    <row r="319" spans="1:11" x14ac:dyDescent="0.25">
      <c r="A319">
        <v>52.824928190016401</v>
      </c>
      <c r="B319">
        <v>91.175261814690103</v>
      </c>
      <c r="C319">
        <v>2001</v>
      </c>
    </row>
    <row r="320" spans="1:11" x14ac:dyDescent="0.25">
      <c r="A320">
        <v>61.868174387550802</v>
      </c>
      <c r="B320">
        <v>100.21850801222401</v>
      </c>
      <c r="C320">
        <v>2001</v>
      </c>
    </row>
    <row r="321" spans="1:11" x14ac:dyDescent="0.25">
      <c r="A321">
        <v>91.131798298164</v>
      </c>
      <c r="B321">
        <v>129.48213192283799</v>
      </c>
      <c r="C321">
        <v>2001</v>
      </c>
    </row>
    <row r="322" spans="1:11" x14ac:dyDescent="0.25">
      <c r="A322">
        <v>91.568814322612795</v>
      </c>
      <c r="B322">
        <v>129.04511589838901</v>
      </c>
      <c r="C322">
        <v>2000</v>
      </c>
    </row>
    <row r="323" spans="1:11" x14ac:dyDescent="0.25">
      <c r="A323">
        <v>62.305190411999597</v>
      </c>
      <c r="B323">
        <v>99.781491987775595</v>
      </c>
      <c r="C323">
        <v>2000</v>
      </c>
    </row>
    <row r="324" spans="1:11" x14ac:dyDescent="0.25">
      <c r="A324" t="s">
        <v>84</v>
      </c>
    </row>
    <row r="325" spans="1:11" x14ac:dyDescent="0.25">
      <c r="A325">
        <v>960</v>
      </c>
      <c r="B325">
        <v>0</v>
      </c>
      <c r="C325">
        <v>55.0763923318313</v>
      </c>
      <c r="D325">
        <v>46.818191705049898</v>
      </c>
      <c r="E325">
        <v>10</v>
      </c>
      <c r="F325">
        <v>1.01722196789785</v>
      </c>
      <c r="G325" t="s">
        <v>81</v>
      </c>
      <c r="H325" t="s">
        <v>82</v>
      </c>
      <c r="I325">
        <v>798</v>
      </c>
      <c r="J325">
        <v>0</v>
      </c>
      <c r="K325">
        <v>0.107182885561868</v>
      </c>
    </row>
    <row r="326" spans="1:11" x14ac:dyDescent="0.25">
      <c r="A326" t="s">
        <v>83</v>
      </c>
    </row>
    <row r="327" spans="1:11" x14ac:dyDescent="0.25">
      <c r="A327">
        <v>116.723995349719</v>
      </c>
      <c r="B327">
        <v>109.577140841439</v>
      </c>
      <c r="C327">
        <v>2000</v>
      </c>
    </row>
    <row r="328" spans="1:11" x14ac:dyDescent="0.25">
      <c r="A328">
        <v>107.36536252050399</v>
      </c>
      <c r="B328">
        <v>100.21850801222401</v>
      </c>
      <c r="C328">
        <v>2000</v>
      </c>
    </row>
    <row r="329" spans="1:11" x14ac:dyDescent="0.25">
      <c r="A329">
        <v>99.781491987775595</v>
      </c>
      <c r="B329">
        <v>92.634637479495694</v>
      </c>
      <c r="C329">
        <v>2000</v>
      </c>
    </row>
    <row r="330" spans="1:11" x14ac:dyDescent="0.25">
      <c r="A330">
        <v>77.731140649114394</v>
      </c>
      <c r="B330">
        <v>70.584286140834493</v>
      </c>
      <c r="C330">
        <v>2000</v>
      </c>
    </row>
    <row r="331" spans="1:11" x14ac:dyDescent="0.25">
      <c r="A331">
        <v>78.168156673563203</v>
      </c>
      <c r="B331">
        <v>70.147270116385698</v>
      </c>
      <c r="C331">
        <v>2001</v>
      </c>
    </row>
    <row r="332" spans="1:11" x14ac:dyDescent="0.25">
      <c r="A332">
        <v>100.21850801222401</v>
      </c>
      <c r="B332">
        <v>92.1976214550469</v>
      </c>
      <c r="C332">
        <v>2001</v>
      </c>
    </row>
    <row r="333" spans="1:11" x14ac:dyDescent="0.25">
      <c r="A333">
        <v>107.802378544953</v>
      </c>
      <c r="B333">
        <v>99.781491987775595</v>
      </c>
      <c r="C333">
        <v>2001</v>
      </c>
    </row>
    <row r="334" spans="1:11" x14ac:dyDescent="0.25">
      <c r="A334">
        <v>117.065082975216</v>
      </c>
      <c r="B334">
        <v>109.044196418038</v>
      </c>
      <c r="C334">
        <v>2001</v>
      </c>
    </row>
    <row r="335" spans="1:11" x14ac:dyDescent="0.25">
      <c r="A335">
        <v>150</v>
      </c>
      <c r="B335">
        <v>141.97911344282201</v>
      </c>
      <c r="C335">
        <v>2001</v>
      </c>
    </row>
    <row r="336" spans="1:11" x14ac:dyDescent="0.25">
      <c r="A336">
        <v>150</v>
      </c>
      <c r="B336">
        <v>142.85314549172</v>
      </c>
      <c r="C336">
        <v>2000</v>
      </c>
    </row>
    <row r="337" spans="1:11" x14ac:dyDescent="0.25">
      <c r="A337" t="s">
        <v>84</v>
      </c>
    </row>
    <row r="338" spans="1:11" x14ac:dyDescent="0.25">
      <c r="A338">
        <v>181</v>
      </c>
      <c r="B338">
        <v>0</v>
      </c>
      <c r="C338">
        <v>2.0588809117276599</v>
      </c>
      <c r="D338">
        <v>99.082802321730696</v>
      </c>
      <c r="E338">
        <v>10</v>
      </c>
      <c r="F338">
        <v>1.01722196789785</v>
      </c>
      <c r="G338" t="s">
        <v>81</v>
      </c>
      <c r="H338" t="s">
        <v>82</v>
      </c>
      <c r="I338">
        <v>186</v>
      </c>
      <c r="J338">
        <v>0</v>
      </c>
      <c r="K338">
        <v>0</v>
      </c>
    </row>
    <row r="339" spans="1:11" x14ac:dyDescent="0.25">
      <c r="A339" t="s">
        <v>83</v>
      </c>
    </row>
    <row r="340" spans="1:11" x14ac:dyDescent="0.25">
      <c r="A340">
        <v>79.7193705671136</v>
      </c>
      <c r="B340">
        <v>24.491830418110901</v>
      </c>
      <c r="C340">
        <v>2000</v>
      </c>
    </row>
    <row r="341" spans="1:11" x14ac:dyDescent="0.25">
      <c r="A341">
        <v>78.263521912775403</v>
      </c>
      <c r="B341">
        <v>23.035981763772799</v>
      </c>
      <c r="C341">
        <v>2000</v>
      </c>
    </row>
    <row r="342" spans="1:11" x14ac:dyDescent="0.25">
      <c r="A342">
        <v>78.700537937224297</v>
      </c>
      <c r="B342">
        <v>22.598965739323901</v>
      </c>
      <c r="C342">
        <v>2001</v>
      </c>
    </row>
    <row r="343" spans="1:11" x14ac:dyDescent="0.25">
      <c r="A343">
        <v>80.156386591562395</v>
      </c>
      <c r="B343">
        <v>24.054814393662099</v>
      </c>
      <c r="C343">
        <v>2001</v>
      </c>
    </row>
    <row r="344" spans="1:11" x14ac:dyDescent="0.25">
      <c r="A344">
        <v>100.21850801222401</v>
      </c>
      <c r="B344">
        <v>44.116935814324101</v>
      </c>
      <c r="C344">
        <v>2001</v>
      </c>
    </row>
    <row r="345" spans="1:11" x14ac:dyDescent="0.25">
      <c r="A345">
        <v>105.85830916748399</v>
      </c>
      <c r="B345">
        <v>49.756736969583699</v>
      </c>
      <c r="C345">
        <v>2001</v>
      </c>
    </row>
    <row r="346" spans="1:11" x14ac:dyDescent="0.25">
      <c r="A346">
        <v>150</v>
      </c>
      <c r="B346">
        <v>93.898427802099604</v>
      </c>
      <c r="C346">
        <v>2001</v>
      </c>
    </row>
    <row r="347" spans="1:11" x14ac:dyDescent="0.25">
      <c r="A347">
        <v>150</v>
      </c>
      <c r="B347">
        <v>94.772459850997294</v>
      </c>
      <c r="C347">
        <v>2000</v>
      </c>
    </row>
    <row r="348" spans="1:11" x14ac:dyDescent="0.25">
      <c r="A348">
        <v>105.47080317941899</v>
      </c>
      <c r="B348">
        <v>50.243263030416301</v>
      </c>
      <c r="C348">
        <v>2000</v>
      </c>
    </row>
    <row r="349" spans="1:11" x14ac:dyDescent="0.25">
      <c r="A349">
        <v>99.781491987775595</v>
      </c>
      <c r="B349">
        <v>44.553951838772903</v>
      </c>
      <c r="C349">
        <v>2000</v>
      </c>
    </row>
    <row r="350" spans="1:11" x14ac:dyDescent="0.25">
      <c r="A350" t="s">
        <v>84</v>
      </c>
    </row>
    <row r="351" spans="1:11" x14ac:dyDescent="0.25">
      <c r="A351">
        <v>593</v>
      </c>
      <c r="B351">
        <v>0</v>
      </c>
      <c r="C351">
        <v>80.744946688722806</v>
      </c>
      <c r="D351">
        <v>17.246871633641099</v>
      </c>
      <c r="E351">
        <v>10</v>
      </c>
      <c r="F351">
        <v>1.01722196789785</v>
      </c>
      <c r="G351" t="s">
        <v>81</v>
      </c>
      <c r="H351" t="s">
        <v>82</v>
      </c>
      <c r="I351">
        <v>973</v>
      </c>
      <c r="J351">
        <v>0</v>
      </c>
      <c r="K351">
        <v>0</v>
      </c>
    </row>
    <row r="352" spans="1:11" x14ac:dyDescent="0.25">
      <c r="A352" t="s">
        <v>83</v>
      </c>
    </row>
    <row r="353" spans="1:11" x14ac:dyDescent="0.25">
      <c r="A353">
        <v>137.66648147241199</v>
      </c>
      <c r="B353">
        <v>57.3941767334045</v>
      </c>
      <c r="C353">
        <v>2000</v>
      </c>
    </row>
    <row r="354" spans="1:11" x14ac:dyDescent="0.25">
      <c r="A354">
        <v>130.490812751232</v>
      </c>
      <c r="B354">
        <v>50.218508012224397</v>
      </c>
      <c r="C354">
        <v>2000</v>
      </c>
    </row>
    <row r="355" spans="1:11" x14ac:dyDescent="0.25">
      <c r="A355">
        <v>99.781491987775595</v>
      </c>
      <c r="B355">
        <v>19.5091872487681</v>
      </c>
      <c r="C355">
        <v>2000</v>
      </c>
    </row>
    <row r="356" spans="1:11" x14ac:dyDescent="0.25">
      <c r="A356">
        <v>80.4908127512319</v>
      </c>
      <c r="B356">
        <v>0.21850801222441099</v>
      </c>
      <c r="C356">
        <v>2000</v>
      </c>
    </row>
    <row r="357" spans="1:11" x14ac:dyDescent="0.25">
      <c r="A357">
        <v>80.927828775680695</v>
      </c>
      <c r="B357">
        <v>-0.21850801222441099</v>
      </c>
      <c r="C357">
        <v>2001</v>
      </c>
    </row>
    <row r="358" spans="1:11" x14ac:dyDescent="0.25">
      <c r="A358">
        <v>100.21850801222401</v>
      </c>
      <c r="B358">
        <v>19.072171224319298</v>
      </c>
      <c r="C358">
        <v>2001</v>
      </c>
    </row>
    <row r="359" spans="1:11" x14ac:dyDescent="0.25">
      <c r="A359">
        <v>130.92782877568101</v>
      </c>
      <c r="B359">
        <v>49.781491987775603</v>
      </c>
      <c r="C359">
        <v>2001</v>
      </c>
    </row>
    <row r="360" spans="1:11" x14ac:dyDescent="0.25">
      <c r="A360">
        <v>137.94275875478499</v>
      </c>
      <c r="B360">
        <v>56.796421966879699</v>
      </c>
      <c r="C360">
        <v>2001</v>
      </c>
    </row>
    <row r="361" spans="1:11" x14ac:dyDescent="0.25">
      <c r="A361">
        <v>150</v>
      </c>
      <c r="B361">
        <v>68.853663212094801</v>
      </c>
      <c r="C361">
        <v>2001</v>
      </c>
    </row>
    <row r="362" spans="1:11" x14ac:dyDescent="0.25">
      <c r="A362">
        <v>150</v>
      </c>
      <c r="B362">
        <v>69.727695260992505</v>
      </c>
      <c r="C362">
        <v>2000</v>
      </c>
    </row>
    <row r="363" spans="1:11" x14ac:dyDescent="0.25">
      <c r="A363" t="s">
        <v>84</v>
      </c>
    </row>
    <row r="364" spans="1:11" x14ac:dyDescent="0.25">
      <c r="A364">
        <v>1032</v>
      </c>
      <c r="B364">
        <v>0</v>
      </c>
      <c r="C364">
        <v>64.0512110195952</v>
      </c>
      <c r="D364">
        <v>33.218719950086999</v>
      </c>
      <c r="E364">
        <v>12</v>
      </c>
      <c r="F364">
        <v>1.01722196789785</v>
      </c>
      <c r="G364" t="s">
        <v>81</v>
      </c>
      <c r="H364" t="s">
        <v>82</v>
      </c>
      <c r="I364">
        <v>165</v>
      </c>
      <c r="J364">
        <v>0</v>
      </c>
      <c r="K364">
        <v>0.112264446699892</v>
      </c>
    </row>
    <row r="365" spans="1:11" x14ac:dyDescent="0.25">
      <c r="A365" t="s">
        <v>83</v>
      </c>
    </row>
    <row r="366" spans="1:11" x14ac:dyDescent="0.25">
      <c r="A366">
        <v>126.61802601056699</v>
      </c>
      <c r="B366">
        <v>77.864709349814007</v>
      </c>
      <c r="C366">
        <v>2000</v>
      </c>
    </row>
    <row r="367" spans="1:11" x14ac:dyDescent="0.25">
      <c r="A367">
        <v>100.21850801222401</v>
      </c>
      <c r="B367">
        <v>51.465191351470899</v>
      </c>
      <c r="C367">
        <v>2000</v>
      </c>
    </row>
    <row r="368" spans="1:11" x14ac:dyDescent="0.25">
      <c r="A368">
        <v>98.534808648529093</v>
      </c>
      <c r="B368">
        <v>49.781491987775603</v>
      </c>
      <c r="C368">
        <v>2000</v>
      </c>
    </row>
    <row r="369" spans="1:11" x14ac:dyDescent="0.25">
      <c r="A369">
        <v>81.438280218014796</v>
      </c>
      <c r="B369">
        <v>32.684963557261298</v>
      </c>
      <c r="C369">
        <v>2000</v>
      </c>
    </row>
    <row r="370" spans="1:11" x14ac:dyDescent="0.25">
      <c r="A370">
        <v>81.001264193566001</v>
      </c>
      <c r="B370">
        <v>33.1219795817101</v>
      </c>
      <c r="C370">
        <v>2001</v>
      </c>
    </row>
    <row r="371" spans="1:11" x14ac:dyDescent="0.25">
      <c r="A371">
        <v>98.097792624080299</v>
      </c>
      <c r="B371">
        <v>50.218508012224397</v>
      </c>
      <c r="C371">
        <v>2001</v>
      </c>
    </row>
    <row r="372" spans="1:11" x14ac:dyDescent="0.25">
      <c r="A372">
        <v>99.781491987775595</v>
      </c>
      <c r="B372">
        <v>51.902207375919701</v>
      </c>
      <c r="C372">
        <v>2001</v>
      </c>
    </row>
    <row r="373" spans="1:11" x14ac:dyDescent="0.25">
      <c r="A373">
        <v>126.40360971134599</v>
      </c>
      <c r="B373">
        <v>78.52432509949</v>
      </c>
      <c r="C373">
        <v>2001</v>
      </c>
    </row>
    <row r="374" spans="1:11" x14ac:dyDescent="0.25">
      <c r="A374">
        <v>148.30063803047301</v>
      </c>
      <c r="B374">
        <v>100.421353418617</v>
      </c>
      <c r="C374">
        <v>2001</v>
      </c>
    </row>
    <row r="375" spans="1:11" x14ac:dyDescent="0.25">
      <c r="A375">
        <v>150</v>
      </c>
      <c r="B375">
        <v>102.12071538814401</v>
      </c>
      <c r="C375">
        <v>2001</v>
      </c>
    </row>
    <row r="376" spans="1:11" x14ac:dyDescent="0.25">
      <c r="A376">
        <v>150</v>
      </c>
      <c r="B376">
        <v>101.246683339246</v>
      </c>
      <c r="C376">
        <v>2000</v>
      </c>
    </row>
    <row r="377" spans="1:11" x14ac:dyDescent="0.25">
      <c r="A377">
        <v>148.331963242136</v>
      </c>
      <c r="B377">
        <v>99.5786465813825</v>
      </c>
      <c r="C377">
        <v>2000</v>
      </c>
    </row>
    <row r="378" spans="1:11" x14ac:dyDescent="0.25">
      <c r="A378" t="s">
        <v>84</v>
      </c>
    </row>
    <row r="379" spans="1:11" x14ac:dyDescent="0.25">
      <c r="A379">
        <v>599</v>
      </c>
      <c r="B379">
        <v>0</v>
      </c>
      <c r="C379">
        <v>87.405167179163499</v>
      </c>
      <c r="D379">
        <v>8.2494852278964306</v>
      </c>
      <c r="E379">
        <v>12</v>
      </c>
      <c r="F379">
        <v>1.01722196789785</v>
      </c>
      <c r="G379" t="s">
        <v>81</v>
      </c>
      <c r="H379" t="s">
        <v>82</v>
      </c>
      <c r="I379">
        <v>169</v>
      </c>
      <c r="J379">
        <v>0</v>
      </c>
      <c r="K379">
        <v>0</v>
      </c>
    </row>
    <row r="380" spans="1:11" x14ac:dyDescent="0.25">
      <c r="A380" t="s">
        <v>83</v>
      </c>
    </row>
    <row r="381" spans="1:11" x14ac:dyDescent="0.25">
      <c r="A381">
        <v>144.300458956765</v>
      </c>
      <c r="B381">
        <v>97.311125786778305</v>
      </c>
      <c r="C381">
        <v>2000</v>
      </c>
    </row>
    <row r="382" spans="1:11" x14ac:dyDescent="0.25">
      <c r="A382">
        <v>100.21850801222401</v>
      </c>
      <c r="B382">
        <v>53.229174842237803</v>
      </c>
      <c r="C382">
        <v>2000</v>
      </c>
    </row>
    <row r="383" spans="1:11" x14ac:dyDescent="0.25">
      <c r="A383">
        <v>96.770825157762104</v>
      </c>
      <c r="B383">
        <v>49.781491987775603</v>
      </c>
      <c r="C383">
        <v>2000</v>
      </c>
    </row>
    <row r="384" spans="1:11" x14ac:dyDescent="0.25">
      <c r="A384">
        <v>82.580454643150205</v>
      </c>
      <c r="B384">
        <v>35.591121473163703</v>
      </c>
      <c r="C384">
        <v>2000</v>
      </c>
    </row>
    <row r="385" spans="1:11" x14ac:dyDescent="0.25">
      <c r="A385">
        <v>82.143438618701396</v>
      </c>
      <c r="B385">
        <v>36.028137497612498</v>
      </c>
      <c r="C385">
        <v>2001</v>
      </c>
    </row>
    <row r="386" spans="1:11" x14ac:dyDescent="0.25">
      <c r="A386">
        <v>96.333809133313295</v>
      </c>
      <c r="B386">
        <v>50.218508012224397</v>
      </c>
      <c r="C386">
        <v>2001</v>
      </c>
    </row>
    <row r="387" spans="1:11" x14ac:dyDescent="0.25">
      <c r="A387">
        <v>99.781491987775595</v>
      </c>
      <c r="B387">
        <v>53.666190866686698</v>
      </c>
      <c r="C387">
        <v>2001</v>
      </c>
    </row>
    <row r="388" spans="1:11" x14ac:dyDescent="0.25">
      <c r="A388">
        <v>144.03300715134699</v>
      </c>
      <c r="B388">
        <v>97.917706030258501</v>
      </c>
      <c r="C388">
        <v>2001</v>
      </c>
    </row>
    <row r="389" spans="1:11" x14ac:dyDescent="0.25">
      <c r="A389">
        <v>146.42317059107901</v>
      </c>
      <c r="B389">
        <v>100.30786946999</v>
      </c>
      <c r="C389">
        <v>2001</v>
      </c>
    </row>
    <row r="390" spans="1:11" x14ac:dyDescent="0.25">
      <c r="A390">
        <v>150</v>
      </c>
      <c r="B390">
        <v>103.884698878911</v>
      </c>
      <c r="C390">
        <v>2001</v>
      </c>
    </row>
    <row r="391" spans="1:11" x14ac:dyDescent="0.25">
      <c r="A391">
        <v>150</v>
      </c>
      <c r="B391">
        <v>103.01066683001299</v>
      </c>
      <c r="C391">
        <v>2000</v>
      </c>
    </row>
    <row r="392" spans="1:11" x14ac:dyDescent="0.25">
      <c r="A392">
        <v>146.68146369999701</v>
      </c>
      <c r="B392">
        <v>99.692130530010303</v>
      </c>
      <c r="C392">
        <v>2000</v>
      </c>
    </row>
    <row r="393" spans="1:11" x14ac:dyDescent="0.25">
      <c r="A393" t="s">
        <v>84</v>
      </c>
    </row>
    <row r="394" spans="1:11" x14ac:dyDescent="0.25">
      <c r="A394">
        <v>797</v>
      </c>
      <c r="B394">
        <v>0</v>
      </c>
      <c r="C394">
        <v>71.273759372941598</v>
      </c>
      <c r="D394">
        <v>23.5813317924332</v>
      </c>
      <c r="E394">
        <v>12</v>
      </c>
      <c r="F394">
        <v>1.01722196789785</v>
      </c>
      <c r="G394" t="s">
        <v>82</v>
      </c>
      <c r="H394" t="s">
        <v>81</v>
      </c>
      <c r="I394">
        <v>0</v>
      </c>
      <c r="J394">
        <v>841</v>
      </c>
      <c r="K394">
        <v>0.102343747528348</v>
      </c>
    </row>
    <row r="395" spans="1:11" x14ac:dyDescent="0.25">
      <c r="A395" t="s">
        <v>83</v>
      </c>
    </row>
    <row r="396" spans="1:11" x14ac:dyDescent="0.25">
      <c r="A396">
        <v>50.179650561040901</v>
      </c>
      <c r="B396">
        <v>97.068906577797307</v>
      </c>
      <c r="C396">
        <v>2000</v>
      </c>
    </row>
    <row r="397" spans="1:11" x14ac:dyDescent="0.25">
      <c r="A397">
        <v>49.781491987775603</v>
      </c>
      <c r="B397">
        <v>96.670748004532001</v>
      </c>
      <c r="C397">
        <v>2000</v>
      </c>
    </row>
    <row r="398" spans="1:11" x14ac:dyDescent="0.25">
      <c r="A398">
        <v>3.5322557279497402</v>
      </c>
      <c r="B398">
        <v>50.421511744706201</v>
      </c>
      <c r="C398">
        <v>2000</v>
      </c>
    </row>
    <row r="399" spans="1:11" x14ac:dyDescent="0.25">
      <c r="A399">
        <v>0</v>
      </c>
      <c r="B399">
        <v>46.889256016756498</v>
      </c>
      <c r="C399">
        <v>2000</v>
      </c>
    </row>
    <row r="400" spans="1:11" x14ac:dyDescent="0.25">
      <c r="A400">
        <v>0</v>
      </c>
      <c r="B400">
        <v>46.015223967858802</v>
      </c>
      <c r="C400">
        <v>2001</v>
      </c>
    </row>
    <row r="401" spans="1:11" x14ac:dyDescent="0.25">
      <c r="A401">
        <v>3.5632642874349401</v>
      </c>
      <c r="B401">
        <v>49.578488255293799</v>
      </c>
      <c r="C401">
        <v>2001</v>
      </c>
    </row>
    <row r="402" spans="1:11" x14ac:dyDescent="0.25">
      <c r="A402">
        <v>50.218508012224397</v>
      </c>
      <c r="B402">
        <v>96.233731980083206</v>
      </c>
      <c r="C402">
        <v>2001</v>
      </c>
    </row>
    <row r="403" spans="1:11" x14ac:dyDescent="0.25">
      <c r="A403">
        <v>50.616666585489703</v>
      </c>
      <c r="B403">
        <v>96.631890553348498</v>
      </c>
      <c r="C403">
        <v>2001</v>
      </c>
    </row>
    <row r="404" spans="1:11" x14ac:dyDescent="0.25">
      <c r="A404">
        <v>53.766268019916801</v>
      </c>
      <c r="B404">
        <v>99.781491987775595</v>
      </c>
      <c r="C404">
        <v>2001</v>
      </c>
    </row>
    <row r="405" spans="1:11" x14ac:dyDescent="0.25">
      <c r="A405">
        <v>67.291186205329097</v>
      </c>
      <c r="B405">
        <v>113.306410173188</v>
      </c>
      <c r="C405">
        <v>2001</v>
      </c>
    </row>
    <row r="406" spans="1:11" x14ac:dyDescent="0.25">
      <c r="A406">
        <v>66.854170180880303</v>
      </c>
      <c r="B406">
        <v>113.74342619763701</v>
      </c>
      <c r="C406">
        <v>2000</v>
      </c>
    </row>
    <row r="407" spans="1:11" x14ac:dyDescent="0.25">
      <c r="A407">
        <v>53.329251995467999</v>
      </c>
      <c r="B407">
        <v>100.21850801222401</v>
      </c>
      <c r="C407">
        <v>2000</v>
      </c>
    </row>
    <row r="408" spans="1:11" x14ac:dyDescent="0.25">
      <c r="A408" t="s">
        <v>84</v>
      </c>
    </row>
    <row r="409" spans="1:11" x14ac:dyDescent="0.25">
      <c r="A409">
        <v>997</v>
      </c>
      <c r="B409">
        <v>0</v>
      </c>
      <c r="C409">
        <v>48.791528621799799</v>
      </c>
      <c r="D409">
        <v>45.207448093938702</v>
      </c>
      <c r="E409">
        <v>10</v>
      </c>
      <c r="F409">
        <v>1.01722196789785</v>
      </c>
      <c r="G409" t="s">
        <v>82</v>
      </c>
      <c r="H409" t="s">
        <v>81</v>
      </c>
      <c r="I409">
        <v>0</v>
      </c>
      <c r="J409">
        <v>564</v>
      </c>
      <c r="K409">
        <v>0.10969591193817101</v>
      </c>
    </row>
    <row r="410" spans="1:11" x14ac:dyDescent="0.25">
      <c r="A410" t="s">
        <v>83</v>
      </c>
    </row>
    <row r="411" spans="1:11" x14ac:dyDescent="0.25">
      <c r="A411">
        <v>95.056770286648103</v>
      </c>
      <c r="B411">
        <v>34.3108864946023</v>
      </c>
      <c r="C411">
        <v>2000</v>
      </c>
    </row>
    <row r="412" spans="1:11" x14ac:dyDescent="0.25">
      <c r="A412">
        <v>60.745883792045802</v>
      </c>
      <c r="B412">
        <v>0</v>
      </c>
      <c r="C412">
        <v>2000</v>
      </c>
    </row>
    <row r="413" spans="1:11" x14ac:dyDescent="0.25">
      <c r="A413">
        <v>59.871851743148198</v>
      </c>
      <c r="B413">
        <v>0</v>
      </c>
      <c r="C413">
        <v>2001</v>
      </c>
    </row>
    <row r="414" spans="1:11" x14ac:dyDescent="0.25">
      <c r="A414">
        <v>94.562606754410197</v>
      </c>
      <c r="B414">
        <v>34.690755011261999</v>
      </c>
      <c r="C414">
        <v>2001</v>
      </c>
    </row>
    <row r="415" spans="1:11" x14ac:dyDescent="0.25">
      <c r="A415">
        <v>99.781491987775595</v>
      </c>
      <c r="B415">
        <v>39.909640244627397</v>
      </c>
      <c r="C415">
        <v>2001</v>
      </c>
    </row>
    <row r="416" spans="1:11" x14ac:dyDescent="0.25">
      <c r="A416">
        <v>110.090359755373</v>
      </c>
      <c r="B416">
        <v>50.218508012224397</v>
      </c>
      <c r="C416">
        <v>2001</v>
      </c>
    </row>
    <row r="417" spans="1:11" x14ac:dyDescent="0.25">
      <c r="A417">
        <v>126.55767361566799</v>
      </c>
      <c r="B417">
        <v>66.685821872519398</v>
      </c>
      <c r="C417">
        <v>2001</v>
      </c>
    </row>
    <row r="418" spans="1:11" x14ac:dyDescent="0.25">
      <c r="A418">
        <v>126.99468964011599</v>
      </c>
      <c r="B418">
        <v>66.248805848070603</v>
      </c>
      <c r="C418">
        <v>2000</v>
      </c>
    </row>
    <row r="419" spans="1:11" x14ac:dyDescent="0.25">
      <c r="A419">
        <v>110.527375779821</v>
      </c>
      <c r="B419">
        <v>49.781491987775603</v>
      </c>
      <c r="C419">
        <v>2000</v>
      </c>
    </row>
    <row r="420" spans="1:11" x14ac:dyDescent="0.25">
      <c r="A420">
        <v>100.21850801222401</v>
      </c>
      <c r="B420">
        <v>39.472624220178602</v>
      </c>
      <c r="C420">
        <v>2000</v>
      </c>
    </row>
    <row r="421" spans="1:11" x14ac:dyDescent="0.25">
      <c r="A421" t="s">
        <v>84</v>
      </c>
    </row>
    <row r="422" spans="1:11" x14ac:dyDescent="0.25">
      <c r="A422">
        <v>726</v>
      </c>
      <c r="B422">
        <v>0</v>
      </c>
      <c r="C422">
        <v>64.913158902461703</v>
      </c>
      <c r="D422">
        <v>27.9838086593154</v>
      </c>
      <c r="E422">
        <v>10</v>
      </c>
      <c r="F422">
        <v>1.01722196789785</v>
      </c>
      <c r="G422" t="s">
        <v>82</v>
      </c>
      <c r="H422" t="s">
        <v>82</v>
      </c>
      <c r="I422">
        <v>0</v>
      </c>
      <c r="J422">
        <v>0</v>
      </c>
      <c r="K422">
        <v>0.101658837564709</v>
      </c>
    </row>
    <row r="423" spans="1:11" x14ac:dyDescent="0.25">
      <c r="A423" t="s">
        <v>83</v>
      </c>
    </row>
    <row r="424" spans="1:11" x14ac:dyDescent="0.25">
      <c r="A424">
        <v>130.408290299101</v>
      </c>
      <c r="B424">
        <v>45.659349989251702</v>
      </c>
      <c r="C424">
        <v>2000</v>
      </c>
    </row>
    <row r="425" spans="1:11" x14ac:dyDescent="0.25">
      <c r="A425">
        <v>100.36233344719</v>
      </c>
      <c r="B425">
        <v>15.6133931373405</v>
      </c>
      <c r="C425">
        <v>2000</v>
      </c>
    </row>
    <row r="426" spans="1:11" x14ac:dyDescent="0.25">
      <c r="A426">
        <v>84.748940309849402</v>
      </c>
      <c r="B426">
        <v>0</v>
      </c>
      <c r="C426">
        <v>2000</v>
      </c>
    </row>
    <row r="427" spans="1:11" x14ac:dyDescent="0.25">
      <c r="A427">
        <v>83.874908260951798</v>
      </c>
      <c r="B427">
        <v>0</v>
      </c>
      <c r="C427">
        <v>2001</v>
      </c>
    </row>
    <row r="428" spans="1:11" x14ac:dyDescent="0.25">
      <c r="A428">
        <v>99.637666552810103</v>
      </c>
      <c r="B428">
        <v>15.762758291858299</v>
      </c>
      <c r="C428">
        <v>2001</v>
      </c>
    </row>
    <row r="429" spans="1:11" x14ac:dyDescent="0.25">
      <c r="A429">
        <v>130.01662796804101</v>
      </c>
      <c r="B429">
        <v>46.1417197070895</v>
      </c>
      <c r="C429">
        <v>2001</v>
      </c>
    </row>
    <row r="430" spans="1:11" x14ac:dyDescent="0.25">
      <c r="A430">
        <v>134.138685464914</v>
      </c>
      <c r="B430">
        <v>50.263777203962597</v>
      </c>
      <c r="C430">
        <v>2001</v>
      </c>
    </row>
    <row r="431" spans="1:11" x14ac:dyDescent="0.25">
      <c r="A431">
        <v>150</v>
      </c>
      <c r="B431">
        <v>66.125091739048202</v>
      </c>
      <c r="C431">
        <v>2001</v>
      </c>
    </row>
    <row r="432" spans="1:11" x14ac:dyDescent="0.25">
      <c r="A432">
        <v>150</v>
      </c>
      <c r="B432">
        <v>65.251059690150498</v>
      </c>
      <c r="C432">
        <v>2000</v>
      </c>
    </row>
    <row r="433" spans="1:11" x14ac:dyDescent="0.25">
      <c r="A433">
        <v>134.48516310588701</v>
      </c>
      <c r="B433">
        <v>49.736222796037403</v>
      </c>
      <c r="C433">
        <v>2000</v>
      </c>
    </row>
    <row r="434" spans="1:11" x14ac:dyDescent="0.25">
      <c r="A434" t="s">
        <v>84</v>
      </c>
    </row>
    <row r="435" spans="1:11" x14ac:dyDescent="0.25">
      <c r="A435">
        <v>874</v>
      </c>
      <c r="B435">
        <v>0</v>
      </c>
      <c r="C435">
        <v>33.173285269359198</v>
      </c>
      <c r="D435">
        <v>58.174275602680297</v>
      </c>
      <c r="E435">
        <v>12</v>
      </c>
      <c r="F435">
        <v>1.01722196789785</v>
      </c>
      <c r="G435" t="s">
        <v>81</v>
      </c>
      <c r="H435" t="s">
        <v>81</v>
      </c>
      <c r="I435">
        <v>1041</v>
      </c>
      <c r="J435">
        <v>261</v>
      </c>
      <c r="K435">
        <v>0.104210552406962</v>
      </c>
    </row>
    <row r="436" spans="1:11" x14ac:dyDescent="0.25">
      <c r="A436" t="s">
        <v>83</v>
      </c>
    </row>
    <row r="437" spans="1:11" x14ac:dyDescent="0.25">
      <c r="A437">
        <v>78.561501587075696</v>
      </c>
      <c r="B437">
        <v>59.771963775978598</v>
      </c>
      <c r="C437">
        <v>2000</v>
      </c>
    </row>
    <row r="438" spans="1:11" x14ac:dyDescent="0.25">
      <c r="A438">
        <v>69.008045823321496</v>
      </c>
      <c r="B438">
        <v>50.218508012224397</v>
      </c>
      <c r="C438">
        <v>2000</v>
      </c>
    </row>
    <row r="439" spans="1:11" x14ac:dyDescent="0.25">
      <c r="A439">
        <v>55.104446618875997</v>
      </c>
      <c r="B439">
        <v>36.314908807778899</v>
      </c>
      <c r="C439">
        <v>2000</v>
      </c>
    </row>
    <row r="440" spans="1:11" x14ac:dyDescent="0.25">
      <c r="A440">
        <v>55.541462643324799</v>
      </c>
      <c r="B440">
        <v>35.877892783330097</v>
      </c>
      <c r="C440">
        <v>2001</v>
      </c>
    </row>
    <row r="441" spans="1:11" x14ac:dyDescent="0.25">
      <c r="A441">
        <v>69.445061847770305</v>
      </c>
      <c r="B441">
        <v>49.781491987775603</v>
      </c>
      <c r="C441">
        <v>2001</v>
      </c>
    </row>
    <row r="442" spans="1:11" x14ac:dyDescent="0.25">
      <c r="A442">
        <v>78.998517611524505</v>
      </c>
      <c r="B442">
        <v>59.334947751529803</v>
      </c>
      <c r="C442">
        <v>2001</v>
      </c>
    </row>
    <row r="443" spans="1:11" x14ac:dyDescent="0.25">
      <c r="A443">
        <v>100.21850801222401</v>
      </c>
      <c r="B443">
        <v>80.554938152229695</v>
      </c>
      <c r="C443">
        <v>2001</v>
      </c>
    </row>
    <row r="444" spans="1:11" x14ac:dyDescent="0.25">
      <c r="A444">
        <v>119.44506184777001</v>
      </c>
      <c r="B444">
        <v>99.781491987775595</v>
      </c>
      <c r="C444">
        <v>2001</v>
      </c>
    </row>
    <row r="445" spans="1:11" x14ac:dyDescent="0.25">
      <c r="A445">
        <v>120.13394238079501</v>
      </c>
      <c r="B445">
        <v>100.4703725208</v>
      </c>
      <c r="C445">
        <v>2001</v>
      </c>
    </row>
    <row r="446" spans="1:11" x14ac:dyDescent="0.25">
      <c r="A446">
        <v>119.696926356346</v>
      </c>
      <c r="B446">
        <v>100.90738854524901</v>
      </c>
      <c r="C446">
        <v>2000</v>
      </c>
    </row>
    <row r="447" spans="1:11" x14ac:dyDescent="0.25">
      <c r="A447">
        <v>119.00804582332201</v>
      </c>
      <c r="B447">
        <v>100.21850801222401</v>
      </c>
      <c r="C447">
        <v>2000</v>
      </c>
    </row>
    <row r="448" spans="1:11" x14ac:dyDescent="0.25">
      <c r="A448">
        <v>99.781491987775595</v>
      </c>
      <c r="B448">
        <v>80.991954176678504</v>
      </c>
      <c r="C448">
        <v>2000</v>
      </c>
    </row>
    <row r="449" spans="1:11" x14ac:dyDescent="0.25">
      <c r="A449" t="s">
        <v>84</v>
      </c>
    </row>
    <row r="450" spans="1:11" x14ac:dyDescent="0.25">
      <c r="A450">
        <v>32</v>
      </c>
      <c r="B450">
        <v>0</v>
      </c>
      <c r="C450">
        <v>18.708978110773</v>
      </c>
      <c r="D450">
        <v>71.989006751077</v>
      </c>
      <c r="E450">
        <v>10</v>
      </c>
      <c r="F450">
        <v>1.01722196789785</v>
      </c>
      <c r="G450" t="s">
        <v>82</v>
      </c>
      <c r="H450" t="s">
        <v>81</v>
      </c>
      <c r="I450">
        <v>0</v>
      </c>
      <c r="J450">
        <v>821</v>
      </c>
      <c r="K450">
        <v>0</v>
      </c>
    </row>
    <row r="451" spans="1:11" x14ac:dyDescent="0.25">
      <c r="A451" t="s">
        <v>83</v>
      </c>
    </row>
    <row r="452" spans="1:11" x14ac:dyDescent="0.25">
      <c r="A452">
        <v>24.9565816673088</v>
      </c>
      <c r="B452">
        <v>13.1544243603662</v>
      </c>
      <c r="C452">
        <v>2000</v>
      </c>
    </row>
    <row r="453" spans="1:11" x14ac:dyDescent="0.25">
      <c r="A453">
        <v>11.8021573069426</v>
      </c>
      <c r="B453">
        <v>0</v>
      </c>
      <c r="C453">
        <v>2000</v>
      </c>
    </row>
    <row r="454" spans="1:11" x14ac:dyDescent="0.25">
      <c r="A454">
        <v>10.928125258044901</v>
      </c>
      <c r="B454">
        <v>0</v>
      </c>
      <c r="C454">
        <v>2001</v>
      </c>
    </row>
    <row r="455" spans="1:11" x14ac:dyDescent="0.25">
      <c r="A455">
        <v>24.232191480075301</v>
      </c>
      <c r="B455">
        <v>13.304066222030301</v>
      </c>
      <c r="C455">
        <v>2001</v>
      </c>
    </row>
    <row r="456" spans="1:11" x14ac:dyDescent="0.25">
      <c r="A456">
        <v>49.781491987775603</v>
      </c>
      <c r="B456">
        <v>38.853366729730602</v>
      </c>
      <c r="C456">
        <v>2001</v>
      </c>
    </row>
    <row r="457" spans="1:11" x14ac:dyDescent="0.25">
      <c r="A457">
        <v>61.146633270269398</v>
      </c>
      <c r="B457">
        <v>50.218508012224397</v>
      </c>
      <c r="C457">
        <v>2001</v>
      </c>
    </row>
    <row r="458" spans="1:11" x14ac:dyDescent="0.25">
      <c r="A458">
        <v>75.279793406038294</v>
      </c>
      <c r="B458">
        <v>64.351668147993294</v>
      </c>
      <c r="C458">
        <v>2001</v>
      </c>
    </row>
    <row r="459" spans="1:11" x14ac:dyDescent="0.25">
      <c r="A459">
        <v>75.716809430487103</v>
      </c>
      <c r="B459">
        <v>63.914652123544499</v>
      </c>
      <c r="C459">
        <v>2000</v>
      </c>
    </row>
    <row r="460" spans="1:11" x14ac:dyDescent="0.25">
      <c r="A460">
        <v>61.583649294718199</v>
      </c>
      <c r="B460">
        <v>49.781491987775603</v>
      </c>
      <c r="C460">
        <v>2000</v>
      </c>
    </row>
    <row r="461" spans="1:11" x14ac:dyDescent="0.25">
      <c r="A461">
        <v>50.218508012224397</v>
      </c>
      <c r="B461">
        <v>38.416350705281801</v>
      </c>
      <c r="C461">
        <v>2000</v>
      </c>
    </row>
    <row r="462" spans="1:11" x14ac:dyDescent="0.25">
      <c r="A462" t="s">
        <v>84</v>
      </c>
    </row>
    <row r="463" spans="1:11" x14ac:dyDescent="0.25">
      <c r="A463">
        <v>968</v>
      </c>
      <c r="B463">
        <v>0</v>
      </c>
      <c r="C463">
        <v>12.0527149953824</v>
      </c>
      <c r="D463">
        <v>78.226981329935001</v>
      </c>
      <c r="E463">
        <v>10</v>
      </c>
      <c r="F463">
        <v>1.01722196789785</v>
      </c>
      <c r="G463" t="s">
        <v>82</v>
      </c>
      <c r="H463" t="s">
        <v>81</v>
      </c>
      <c r="I463">
        <v>0</v>
      </c>
      <c r="J463">
        <v>657</v>
      </c>
      <c r="K463">
        <v>0.107601745899833</v>
      </c>
    </row>
    <row r="464" spans="1:11" x14ac:dyDescent="0.25">
      <c r="A464" t="s">
        <v>83</v>
      </c>
    </row>
    <row r="465" spans="1:11" x14ac:dyDescent="0.25">
      <c r="A465">
        <v>8.4526852253972198</v>
      </c>
      <c r="B465">
        <v>32.237163997719499</v>
      </c>
      <c r="C465">
        <v>2000</v>
      </c>
    </row>
    <row r="466" spans="1:11" x14ac:dyDescent="0.25">
      <c r="A466">
        <v>0</v>
      </c>
      <c r="B466">
        <v>23.784478772322299</v>
      </c>
      <c r="C466">
        <v>2000</v>
      </c>
    </row>
    <row r="467" spans="1:11" x14ac:dyDescent="0.25">
      <c r="A467">
        <v>0</v>
      </c>
      <c r="B467">
        <v>22.910446723424698</v>
      </c>
      <c r="C467">
        <v>2001</v>
      </c>
    </row>
    <row r="468" spans="1:11" x14ac:dyDescent="0.25">
      <c r="A468">
        <v>8.5924277844901091</v>
      </c>
      <c r="B468">
        <v>31.5028745079148</v>
      </c>
      <c r="C468">
        <v>2001</v>
      </c>
    </row>
    <row r="469" spans="1:11" x14ac:dyDescent="0.25">
      <c r="A469">
        <v>26.871045264350901</v>
      </c>
      <c r="B469">
        <v>49.781491987775603</v>
      </c>
      <c r="C469">
        <v>2001</v>
      </c>
    </row>
    <row r="470" spans="1:11" x14ac:dyDescent="0.25">
      <c r="A470">
        <v>50.218508012224397</v>
      </c>
      <c r="B470">
        <v>73.128954735649103</v>
      </c>
      <c r="C470">
        <v>2001</v>
      </c>
    </row>
    <row r="471" spans="1:11" x14ac:dyDescent="0.25">
      <c r="A471">
        <v>64.055893487318599</v>
      </c>
      <c r="B471">
        <v>86.966340210743198</v>
      </c>
      <c r="C471">
        <v>2001</v>
      </c>
    </row>
    <row r="472" spans="1:11" x14ac:dyDescent="0.25">
      <c r="A472">
        <v>63.618877462869698</v>
      </c>
      <c r="B472">
        <v>87.403356235192007</v>
      </c>
      <c r="C472">
        <v>2000</v>
      </c>
    </row>
    <row r="473" spans="1:11" x14ac:dyDescent="0.25">
      <c r="A473">
        <v>49.781491987775603</v>
      </c>
      <c r="B473">
        <v>73.565970760097898</v>
      </c>
      <c r="C473">
        <v>2000</v>
      </c>
    </row>
    <row r="474" spans="1:11" x14ac:dyDescent="0.25">
      <c r="A474">
        <v>26.434029239902099</v>
      </c>
      <c r="B474">
        <v>50.218508012224397</v>
      </c>
      <c r="C474">
        <v>2000</v>
      </c>
    </row>
    <row r="475" spans="1:11" x14ac:dyDescent="0.25">
      <c r="A475" t="s">
        <v>84</v>
      </c>
    </row>
    <row r="476" spans="1:11" x14ac:dyDescent="0.25">
      <c r="A476">
        <v>878</v>
      </c>
      <c r="B476">
        <v>0</v>
      </c>
      <c r="C476">
        <v>3.6632023716693398</v>
      </c>
      <c r="D476">
        <v>85.690402783612697</v>
      </c>
      <c r="E476">
        <v>10</v>
      </c>
      <c r="F476">
        <v>1.01722196789785</v>
      </c>
      <c r="G476" t="s">
        <v>81</v>
      </c>
      <c r="H476" t="s">
        <v>81</v>
      </c>
      <c r="I476">
        <v>776</v>
      </c>
      <c r="J476">
        <v>1036</v>
      </c>
      <c r="K476">
        <v>0.104210552406962</v>
      </c>
    </row>
    <row r="477" spans="1:11" x14ac:dyDescent="0.25">
      <c r="A477" t="s">
        <v>83</v>
      </c>
    </row>
    <row r="478" spans="1:11" x14ac:dyDescent="0.25">
      <c r="A478">
        <v>19.8501051225977</v>
      </c>
      <c r="B478">
        <v>35.8448450424873</v>
      </c>
      <c r="C478">
        <v>2000</v>
      </c>
    </row>
    <row r="479" spans="1:11" x14ac:dyDescent="0.25">
      <c r="A479">
        <v>17.259829884731701</v>
      </c>
      <c r="B479">
        <v>33.254569804621198</v>
      </c>
      <c r="C479">
        <v>2000</v>
      </c>
    </row>
    <row r="480" spans="1:11" x14ac:dyDescent="0.25">
      <c r="A480">
        <v>17.696845909180499</v>
      </c>
      <c r="B480">
        <v>32.817553780172403</v>
      </c>
      <c r="C480">
        <v>2001</v>
      </c>
    </row>
    <row r="481" spans="1:11" x14ac:dyDescent="0.25">
      <c r="A481">
        <v>20.287121147046602</v>
      </c>
      <c r="B481">
        <v>35.407829018038399</v>
      </c>
      <c r="C481">
        <v>2001</v>
      </c>
    </row>
    <row r="482" spans="1:11" x14ac:dyDescent="0.25">
      <c r="A482">
        <v>34.660784116783702</v>
      </c>
      <c r="B482">
        <v>49.781491987775603</v>
      </c>
      <c r="C482">
        <v>2001</v>
      </c>
    </row>
    <row r="483" spans="1:11" x14ac:dyDescent="0.25">
      <c r="A483">
        <v>50.218508012224397</v>
      </c>
      <c r="B483">
        <v>65.339215883216298</v>
      </c>
      <c r="C483">
        <v>2001</v>
      </c>
    </row>
    <row r="484" spans="1:11" x14ac:dyDescent="0.25">
      <c r="A484">
        <v>80.879386037945693</v>
      </c>
      <c r="B484">
        <v>96.000093908937501</v>
      </c>
      <c r="C484">
        <v>2001</v>
      </c>
    </row>
    <row r="485" spans="1:11" x14ac:dyDescent="0.25">
      <c r="A485">
        <v>80.442370013496898</v>
      </c>
      <c r="B485">
        <v>96.437109933386395</v>
      </c>
      <c r="C485">
        <v>2000</v>
      </c>
    </row>
    <row r="486" spans="1:11" x14ac:dyDescent="0.25">
      <c r="A486">
        <v>49.781491987775603</v>
      </c>
      <c r="B486">
        <v>65.776231907665107</v>
      </c>
      <c r="C486">
        <v>2000</v>
      </c>
    </row>
    <row r="487" spans="1:11" x14ac:dyDescent="0.25">
      <c r="A487">
        <v>34.2237680923349</v>
      </c>
      <c r="B487">
        <v>50.218508012224397</v>
      </c>
      <c r="C487">
        <v>2000</v>
      </c>
    </row>
    <row r="488" spans="1:11" x14ac:dyDescent="0.25">
      <c r="A488" t="s">
        <v>84</v>
      </c>
    </row>
    <row r="489" spans="1:11" x14ac:dyDescent="0.25">
      <c r="A489">
        <v>430</v>
      </c>
      <c r="B489">
        <v>0</v>
      </c>
      <c r="C489">
        <v>29.866713651497001</v>
      </c>
      <c r="D489">
        <v>59.043621023192998</v>
      </c>
      <c r="E489">
        <v>10</v>
      </c>
      <c r="F489">
        <v>1.01722196789785</v>
      </c>
      <c r="G489" t="s">
        <v>82</v>
      </c>
      <c r="H489" t="s">
        <v>81</v>
      </c>
      <c r="I489">
        <v>0</v>
      </c>
      <c r="J489">
        <v>359</v>
      </c>
      <c r="K489">
        <v>0</v>
      </c>
    </row>
    <row r="490" spans="1:11" x14ac:dyDescent="0.25">
      <c r="A490" t="s">
        <v>83</v>
      </c>
    </row>
    <row r="491" spans="1:11" x14ac:dyDescent="0.25">
      <c r="A491">
        <v>20.919195818342001</v>
      </c>
      <c r="B491">
        <v>102.17056826056501</v>
      </c>
      <c r="C491">
        <v>2000</v>
      </c>
    </row>
    <row r="492" spans="1:11" x14ac:dyDescent="0.25">
      <c r="A492">
        <v>18.987138651816799</v>
      </c>
      <c r="B492">
        <v>100.23851109404001</v>
      </c>
      <c r="C492">
        <v>2000</v>
      </c>
    </row>
    <row r="493" spans="1:11" x14ac:dyDescent="0.25">
      <c r="A493">
        <v>0</v>
      </c>
      <c r="B493">
        <v>81.2513724422232</v>
      </c>
      <c r="C493">
        <v>2000</v>
      </c>
    </row>
    <row r="494" spans="1:11" x14ac:dyDescent="0.25">
      <c r="A494">
        <v>0</v>
      </c>
      <c r="B494">
        <v>80.377340393325596</v>
      </c>
      <c r="C494">
        <v>2001</v>
      </c>
    </row>
    <row r="495" spans="1:11" x14ac:dyDescent="0.25">
      <c r="A495">
        <v>19.384148512634301</v>
      </c>
      <c r="B495">
        <v>99.761488905959894</v>
      </c>
      <c r="C495">
        <v>2001</v>
      </c>
    </row>
    <row r="496" spans="1:11" x14ac:dyDescent="0.25">
      <c r="A496">
        <v>21.318715691118701</v>
      </c>
      <c r="B496">
        <v>101.696056084444</v>
      </c>
      <c r="C496">
        <v>2001</v>
      </c>
    </row>
    <row r="497" spans="1:11" x14ac:dyDescent="0.25">
      <c r="A497">
        <v>50.218508012224397</v>
      </c>
      <c r="B497">
        <v>130.59584840554999</v>
      </c>
      <c r="C497">
        <v>2001</v>
      </c>
    </row>
    <row r="498" spans="1:11" x14ac:dyDescent="0.25">
      <c r="A498">
        <v>63.087608578263101</v>
      </c>
      <c r="B498">
        <v>143.464948971589</v>
      </c>
      <c r="C498">
        <v>2001</v>
      </c>
    </row>
    <row r="499" spans="1:11" x14ac:dyDescent="0.25">
      <c r="A499">
        <v>62.650592553814299</v>
      </c>
      <c r="B499">
        <v>143.901964996038</v>
      </c>
      <c r="C499">
        <v>2000</v>
      </c>
    </row>
    <row r="500" spans="1:11" x14ac:dyDescent="0.25">
      <c r="A500">
        <v>49.781491987775603</v>
      </c>
      <c r="B500">
        <v>131.03286442999899</v>
      </c>
      <c r="C500">
        <v>2000</v>
      </c>
    </row>
    <row r="501" spans="1:11" x14ac:dyDescent="0.25">
      <c r="A501" t="s">
        <v>84</v>
      </c>
    </row>
    <row r="502" spans="1:11" x14ac:dyDescent="0.25">
      <c r="A502">
        <v>676</v>
      </c>
      <c r="B502">
        <v>0</v>
      </c>
      <c r="C502">
        <v>73.1515881394172</v>
      </c>
      <c r="D502">
        <v>15.1378061635849</v>
      </c>
      <c r="E502">
        <v>12</v>
      </c>
      <c r="F502">
        <v>1.01722196789785</v>
      </c>
      <c r="G502" t="s">
        <v>82</v>
      </c>
      <c r="H502" t="s">
        <v>81</v>
      </c>
      <c r="I502">
        <v>0</v>
      </c>
      <c r="J502">
        <v>584</v>
      </c>
      <c r="K502">
        <v>0</v>
      </c>
    </row>
    <row r="503" spans="1:11" x14ac:dyDescent="0.25">
      <c r="A503" t="s">
        <v>83</v>
      </c>
    </row>
    <row r="504" spans="1:11" x14ac:dyDescent="0.25">
      <c r="A504">
        <v>93.283559079875204</v>
      </c>
      <c r="B504">
        <v>51.507476015722901</v>
      </c>
      <c r="C504">
        <v>2000</v>
      </c>
    </row>
    <row r="505" spans="1:11" x14ac:dyDescent="0.25">
      <c r="A505">
        <v>91.557575051927898</v>
      </c>
      <c r="B505">
        <v>49.781491987775603</v>
      </c>
      <c r="C505">
        <v>2000</v>
      </c>
    </row>
    <row r="506" spans="1:11" x14ac:dyDescent="0.25">
      <c r="A506">
        <v>50.399166359545497</v>
      </c>
      <c r="B506">
        <v>8.6230832953932399</v>
      </c>
      <c r="C506">
        <v>2000</v>
      </c>
    </row>
    <row r="507" spans="1:11" x14ac:dyDescent="0.25">
      <c r="A507">
        <v>41.776083064152303</v>
      </c>
      <c r="B507">
        <v>0</v>
      </c>
      <c r="C507">
        <v>2000</v>
      </c>
    </row>
    <row r="508" spans="1:11" x14ac:dyDescent="0.25">
      <c r="A508">
        <v>40.902051015254699</v>
      </c>
      <c r="B508">
        <v>0</v>
      </c>
      <c r="C508">
        <v>2001</v>
      </c>
    </row>
    <row r="509" spans="1:11" x14ac:dyDescent="0.25">
      <c r="A509">
        <v>49.600833640454397</v>
      </c>
      <c r="B509">
        <v>8.6987826251997706</v>
      </c>
      <c r="C509">
        <v>2001</v>
      </c>
    </row>
    <row r="510" spans="1:11" x14ac:dyDescent="0.25">
      <c r="A510">
        <v>91.120559027479104</v>
      </c>
      <c r="B510">
        <v>50.218508012224397</v>
      </c>
      <c r="C510">
        <v>2001</v>
      </c>
    </row>
    <row r="511" spans="1:11" x14ac:dyDescent="0.25">
      <c r="A511">
        <v>92.846543055426395</v>
      </c>
      <c r="B511">
        <v>51.944492040171703</v>
      </c>
      <c r="C511">
        <v>2001</v>
      </c>
    </row>
    <row r="512" spans="1:11" x14ac:dyDescent="0.25">
      <c r="A512">
        <v>99.781491987775595</v>
      </c>
      <c r="B512">
        <v>58.879440972520896</v>
      </c>
      <c r="C512">
        <v>2001</v>
      </c>
    </row>
    <row r="513" spans="1:11" x14ac:dyDescent="0.25">
      <c r="A513">
        <v>103.550588445985</v>
      </c>
      <c r="B513">
        <v>62.648537430730102</v>
      </c>
      <c r="C513">
        <v>2001</v>
      </c>
    </row>
    <row r="514" spans="1:11" x14ac:dyDescent="0.25">
      <c r="A514">
        <v>103.98760447043399</v>
      </c>
      <c r="B514">
        <v>62.2115214062813</v>
      </c>
      <c r="C514">
        <v>2000</v>
      </c>
    </row>
    <row r="515" spans="1:11" x14ac:dyDescent="0.25">
      <c r="A515">
        <v>100.21850801222401</v>
      </c>
      <c r="B515">
        <v>58.442424948072102</v>
      </c>
      <c r="C515">
        <v>2000</v>
      </c>
    </row>
    <row r="516" spans="1:11" x14ac:dyDescent="0.25">
      <c r="A516" t="s">
        <v>84</v>
      </c>
    </row>
    <row r="517" spans="1:11" x14ac:dyDescent="0.25">
      <c r="A517">
        <v>761</v>
      </c>
      <c r="B517">
        <v>0</v>
      </c>
      <c r="C517">
        <v>68.381541079214102</v>
      </c>
      <c r="D517">
        <v>18.321883063466402</v>
      </c>
      <c r="E517">
        <v>12</v>
      </c>
      <c r="F517">
        <v>1.01722196789785</v>
      </c>
      <c r="G517" t="s">
        <v>82</v>
      </c>
      <c r="H517" t="s">
        <v>81</v>
      </c>
      <c r="I517">
        <v>0</v>
      </c>
      <c r="J517">
        <v>927</v>
      </c>
      <c r="K517">
        <v>9.9787223602304201E-2</v>
      </c>
    </row>
    <row r="518" spans="1:11" x14ac:dyDescent="0.25">
      <c r="A518" t="s">
        <v>83</v>
      </c>
    </row>
    <row r="519" spans="1:11" x14ac:dyDescent="0.25">
      <c r="A519">
        <v>48.141706734726</v>
      </c>
      <c r="B519">
        <v>92.475080308480997</v>
      </c>
      <c r="C519">
        <v>2000</v>
      </c>
    </row>
    <row r="520" spans="1:11" x14ac:dyDescent="0.25">
      <c r="A520">
        <v>6.0760600181384001</v>
      </c>
      <c r="B520">
        <v>50.409433591893396</v>
      </c>
      <c r="C520">
        <v>2000</v>
      </c>
    </row>
    <row r="521" spans="1:11" x14ac:dyDescent="0.25">
      <c r="A521">
        <v>0</v>
      </c>
      <c r="B521">
        <v>44.333373573754997</v>
      </c>
      <c r="C521">
        <v>2000</v>
      </c>
    </row>
    <row r="522" spans="1:11" x14ac:dyDescent="0.25">
      <c r="A522">
        <v>0</v>
      </c>
      <c r="B522">
        <v>43.4593415248574</v>
      </c>
      <c r="C522">
        <v>2001</v>
      </c>
    </row>
    <row r="523" spans="1:11" x14ac:dyDescent="0.25">
      <c r="A523">
        <v>6.1312248832492298</v>
      </c>
      <c r="B523">
        <v>49.590566408106604</v>
      </c>
      <c r="C523">
        <v>2001</v>
      </c>
    </row>
    <row r="524" spans="1:11" x14ac:dyDescent="0.25">
      <c r="A524">
        <v>48.564396075471599</v>
      </c>
      <c r="B524">
        <v>92.0237376003289</v>
      </c>
      <c r="C524">
        <v>2001</v>
      </c>
    </row>
    <row r="525" spans="1:11" x14ac:dyDescent="0.25">
      <c r="A525">
        <v>50.218508012224397</v>
      </c>
      <c r="B525">
        <v>93.677849537081698</v>
      </c>
      <c r="C525">
        <v>2001</v>
      </c>
    </row>
    <row r="526" spans="1:11" x14ac:dyDescent="0.25">
      <c r="A526">
        <v>56.322150462918202</v>
      </c>
      <c r="B526">
        <v>99.781491987775595</v>
      </c>
      <c r="C526">
        <v>2001</v>
      </c>
    </row>
    <row r="527" spans="1:11" x14ac:dyDescent="0.25">
      <c r="A527">
        <v>61.527087175607299</v>
      </c>
      <c r="B527">
        <v>104.986428700465</v>
      </c>
      <c r="C527">
        <v>2001</v>
      </c>
    </row>
    <row r="528" spans="1:11" x14ac:dyDescent="0.25">
      <c r="A528">
        <v>61.090071151158398</v>
      </c>
      <c r="B528">
        <v>105.423444724913</v>
      </c>
      <c r="C528">
        <v>2000</v>
      </c>
    </row>
    <row r="529" spans="1:11" x14ac:dyDescent="0.25">
      <c r="A529">
        <v>55.8851344384694</v>
      </c>
      <c r="B529">
        <v>100.21850801222401</v>
      </c>
      <c r="C529">
        <v>2000</v>
      </c>
    </row>
    <row r="530" spans="1:11" x14ac:dyDescent="0.25">
      <c r="A530">
        <v>49.781491987775603</v>
      </c>
      <c r="B530">
        <v>94.114865561530607</v>
      </c>
      <c r="C530">
        <v>2000</v>
      </c>
    </row>
    <row r="531" spans="1:11" x14ac:dyDescent="0.25">
      <c r="A531" t="s">
        <v>84</v>
      </c>
    </row>
    <row r="532" spans="1:11" x14ac:dyDescent="0.25">
      <c r="A532">
        <v>888</v>
      </c>
      <c r="B532">
        <v>0</v>
      </c>
      <c r="C532">
        <v>62.161178485902298</v>
      </c>
      <c r="D532">
        <v>20.357868739236501</v>
      </c>
      <c r="E532">
        <v>10</v>
      </c>
      <c r="F532">
        <v>1.01722196789785</v>
      </c>
      <c r="G532" t="s">
        <v>81</v>
      </c>
      <c r="H532" t="s">
        <v>81</v>
      </c>
      <c r="I532">
        <v>818</v>
      </c>
      <c r="J532">
        <v>1022</v>
      </c>
      <c r="K532">
        <v>0.10458844867092799</v>
      </c>
    </row>
    <row r="533" spans="1:11" x14ac:dyDescent="0.25">
      <c r="A533" t="s">
        <v>83</v>
      </c>
    </row>
    <row r="534" spans="1:11" x14ac:dyDescent="0.25">
      <c r="A534">
        <v>85.000921286181807</v>
      </c>
      <c r="B534">
        <v>114.76442381867901</v>
      </c>
      <c r="C534">
        <v>2000</v>
      </c>
    </row>
    <row r="535" spans="1:11" x14ac:dyDescent="0.25">
      <c r="A535">
        <v>70.455005479727205</v>
      </c>
      <c r="B535">
        <v>100.21850801222401</v>
      </c>
      <c r="C535">
        <v>2000</v>
      </c>
    </row>
    <row r="536" spans="1:11" x14ac:dyDescent="0.25">
      <c r="A536">
        <v>49.781491987775603</v>
      </c>
      <c r="B536">
        <v>79.544994520272795</v>
      </c>
      <c r="C536">
        <v>2000</v>
      </c>
    </row>
    <row r="537" spans="1:11" x14ac:dyDescent="0.25">
      <c r="A537">
        <v>41.046330452252903</v>
      </c>
      <c r="B537">
        <v>70.809832984750102</v>
      </c>
      <c r="C537">
        <v>2000</v>
      </c>
    </row>
    <row r="538" spans="1:11" x14ac:dyDescent="0.25">
      <c r="A538">
        <v>41.483346476701698</v>
      </c>
      <c r="B538">
        <v>70.372816960301293</v>
      </c>
      <c r="C538">
        <v>2001</v>
      </c>
    </row>
    <row r="539" spans="1:11" x14ac:dyDescent="0.25">
      <c r="A539">
        <v>50.218508012224397</v>
      </c>
      <c r="B539">
        <v>79.107978495824</v>
      </c>
      <c r="C539">
        <v>2001</v>
      </c>
    </row>
    <row r="540" spans="1:11" x14ac:dyDescent="0.25">
      <c r="A540">
        <v>70.892021504176</v>
      </c>
      <c r="B540">
        <v>99.781491987775595</v>
      </c>
      <c r="C540">
        <v>2001</v>
      </c>
    </row>
    <row r="541" spans="1:11" x14ac:dyDescent="0.25">
      <c r="A541">
        <v>85.437937310630602</v>
      </c>
      <c r="B541">
        <v>114.32740779423</v>
      </c>
      <c r="C541">
        <v>2001</v>
      </c>
    </row>
    <row r="542" spans="1:11" x14ac:dyDescent="0.25">
      <c r="A542">
        <v>99.833124346650393</v>
      </c>
      <c r="B542">
        <v>128.72259483024999</v>
      </c>
      <c r="C542">
        <v>2001</v>
      </c>
    </row>
    <row r="543" spans="1:11" x14ac:dyDescent="0.25">
      <c r="A543">
        <v>99.396108322201599</v>
      </c>
      <c r="B543">
        <v>129.159610854699</v>
      </c>
      <c r="C543">
        <v>2000</v>
      </c>
    </row>
    <row r="544" spans="1:11" x14ac:dyDescent="0.25">
      <c r="A544" t="s">
        <v>84</v>
      </c>
    </row>
    <row r="545" spans="1:11" x14ac:dyDescent="0.25">
      <c r="A545">
        <v>598</v>
      </c>
      <c r="B545">
        <v>0</v>
      </c>
      <c r="C545">
        <v>25.881610396612601</v>
      </c>
      <c r="D545">
        <v>56.606770243011098</v>
      </c>
      <c r="E545">
        <v>10</v>
      </c>
      <c r="F545">
        <v>1.01722196789785</v>
      </c>
      <c r="G545" t="s">
        <v>81</v>
      </c>
      <c r="H545" t="s">
        <v>81</v>
      </c>
      <c r="I545">
        <v>195</v>
      </c>
      <c r="J545">
        <v>249</v>
      </c>
      <c r="K545">
        <v>0</v>
      </c>
    </row>
    <row r="546" spans="1:11" x14ac:dyDescent="0.25">
      <c r="A546" t="s">
        <v>83</v>
      </c>
    </row>
    <row r="547" spans="1:11" x14ac:dyDescent="0.25">
      <c r="A547">
        <v>107.142282726771</v>
      </c>
      <c r="B547">
        <v>73.493755406468793</v>
      </c>
      <c r="C547">
        <v>2000</v>
      </c>
    </row>
    <row r="548" spans="1:11" x14ac:dyDescent="0.25">
      <c r="A548">
        <v>100.21850801222401</v>
      </c>
      <c r="B548">
        <v>66.569980691922595</v>
      </c>
      <c r="C548">
        <v>2000</v>
      </c>
    </row>
    <row r="549" spans="1:11" x14ac:dyDescent="0.25">
      <c r="A549">
        <v>88.841220507297507</v>
      </c>
      <c r="B549">
        <v>55.192693186995797</v>
      </c>
      <c r="C549">
        <v>2000</v>
      </c>
    </row>
    <row r="550" spans="1:11" x14ac:dyDescent="0.25">
      <c r="A550">
        <v>88.404204482848698</v>
      </c>
      <c r="B550">
        <v>55.629709211444599</v>
      </c>
      <c r="C550">
        <v>2001</v>
      </c>
    </row>
    <row r="551" spans="1:11" x14ac:dyDescent="0.25">
      <c r="A551">
        <v>99.781491987775595</v>
      </c>
      <c r="B551">
        <v>67.006996716371404</v>
      </c>
      <c r="C551">
        <v>2001</v>
      </c>
    </row>
    <row r="552" spans="1:11" x14ac:dyDescent="0.25">
      <c r="A552">
        <v>106.70526670232201</v>
      </c>
      <c r="B552">
        <v>73.930771430917602</v>
      </c>
      <c r="C552">
        <v>2001</v>
      </c>
    </row>
    <row r="553" spans="1:11" x14ac:dyDescent="0.25">
      <c r="A553">
        <v>132.99300328362901</v>
      </c>
      <c r="B553">
        <v>100.21850801222401</v>
      </c>
      <c r="C553">
        <v>2001</v>
      </c>
    </row>
    <row r="554" spans="1:11" x14ac:dyDescent="0.25">
      <c r="A554">
        <v>146.732297802224</v>
      </c>
      <c r="B554">
        <v>113.95780253082</v>
      </c>
      <c r="C554">
        <v>2001</v>
      </c>
    </row>
    <row r="555" spans="1:11" x14ac:dyDescent="0.25">
      <c r="A555">
        <v>147.169313826673</v>
      </c>
      <c r="B555">
        <v>113.520786506371</v>
      </c>
      <c r="C555">
        <v>2000</v>
      </c>
    </row>
    <row r="556" spans="1:11" x14ac:dyDescent="0.25">
      <c r="A556">
        <v>133.43001930807699</v>
      </c>
      <c r="B556">
        <v>99.781491987775595</v>
      </c>
      <c r="C556">
        <v>2000</v>
      </c>
    </row>
    <row r="557" spans="1:11" x14ac:dyDescent="0.25">
      <c r="A557" t="s">
        <v>84</v>
      </c>
    </row>
    <row r="558" spans="1:11" x14ac:dyDescent="0.25">
      <c r="A558">
        <v>1034</v>
      </c>
      <c r="B558">
        <v>0</v>
      </c>
      <c r="C558">
        <v>75.240912919905298</v>
      </c>
      <c r="D558">
        <v>6.4275011674327196</v>
      </c>
      <c r="E558">
        <v>10</v>
      </c>
      <c r="F558">
        <v>1.01722196789785</v>
      </c>
      <c r="G558" t="s">
        <v>82</v>
      </c>
      <c r="H558" t="s">
        <v>82</v>
      </c>
      <c r="I558">
        <v>0</v>
      </c>
      <c r="J558">
        <v>0</v>
      </c>
      <c r="K558">
        <v>0.11217599016186</v>
      </c>
    </row>
    <row r="559" spans="1:11" x14ac:dyDescent="0.25">
      <c r="A559" t="s">
        <v>83</v>
      </c>
    </row>
    <row r="560" spans="1:11" x14ac:dyDescent="0.25">
      <c r="A560">
        <v>53.512205089741499</v>
      </c>
      <c r="B560">
        <v>145.32689965538501</v>
      </c>
      <c r="C560">
        <v>2000</v>
      </c>
    </row>
    <row r="561" spans="1:11" x14ac:dyDescent="0.25">
      <c r="A561">
        <v>50.218508012224397</v>
      </c>
      <c r="B561">
        <v>142.033202577868</v>
      </c>
      <c r="C561">
        <v>2000</v>
      </c>
    </row>
    <row r="562" spans="1:11" x14ac:dyDescent="0.25">
      <c r="A562">
        <v>7.7821506762495902</v>
      </c>
      <c r="B562">
        <v>99.596845241893107</v>
      </c>
      <c r="C562">
        <v>2000</v>
      </c>
    </row>
    <row r="563" spans="1:11" x14ac:dyDescent="0.25">
      <c r="A563">
        <v>0</v>
      </c>
      <c r="B563">
        <v>91.814694565643606</v>
      </c>
      <c r="C563">
        <v>2000</v>
      </c>
    </row>
    <row r="564" spans="1:11" x14ac:dyDescent="0.25">
      <c r="A564">
        <v>0</v>
      </c>
      <c r="B564">
        <v>92.688726614541196</v>
      </c>
      <c r="C564">
        <v>2001</v>
      </c>
    </row>
    <row r="565" spans="1:11" x14ac:dyDescent="0.25">
      <c r="A565">
        <v>7.7144281435656499</v>
      </c>
      <c r="B565">
        <v>100.40315475810699</v>
      </c>
      <c r="C565">
        <v>2001</v>
      </c>
    </row>
    <row r="566" spans="1:11" x14ac:dyDescent="0.25">
      <c r="A566">
        <v>49.781491987775603</v>
      </c>
      <c r="B566">
        <v>142.470218602317</v>
      </c>
      <c r="C566">
        <v>2001</v>
      </c>
    </row>
    <row r="567" spans="1:11" x14ac:dyDescent="0.25">
      <c r="A567">
        <v>52.894514406921601</v>
      </c>
      <c r="B567">
        <v>145.58324102146301</v>
      </c>
      <c r="C567">
        <v>2001</v>
      </c>
    </row>
    <row r="568" spans="1:11" x14ac:dyDescent="0.25">
      <c r="A568">
        <v>57.311273385458797</v>
      </c>
      <c r="B568">
        <v>150</v>
      </c>
      <c r="C568">
        <v>2001</v>
      </c>
    </row>
    <row r="569" spans="1:11" x14ac:dyDescent="0.25">
      <c r="A569">
        <v>58.185305434356501</v>
      </c>
      <c r="B569">
        <v>150</v>
      </c>
      <c r="C569">
        <v>2000</v>
      </c>
    </row>
    <row r="570" spans="1:11" x14ac:dyDescent="0.25">
      <c r="A570" t="s">
        <v>84</v>
      </c>
    </row>
    <row r="571" spans="1:11" x14ac:dyDescent="0.25">
      <c r="A571">
        <v>824</v>
      </c>
      <c r="B571">
        <v>0</v>
      </c>
      <c r="C571">
        <v>77.952948151345097</v>
      </c>
      <c r="D571">
        <v>2.48916434592795</v>
      </c>
      <c r="E571">
        <v>10</v>
      </c>
      <c r="F571">
        <v>1.01722196789785</v>
      </c>
      <c r="G571" t="s">
        <v>81</v>
      </c>
      <c r="H571" t="s">
        <v>81</v>
      </c>
      <c r="I571">
        <v>100</v>
      </c>
      <c r="J571">
        <v>730</v>
      </c>
      <c r="K571">
        <v>0.10299214925957</v>
      </c>
    </row>
    <row r="572" spans="1:11" x14ac:dyDescent="0.25">
      <c r="A572" t="s">
        <v>83</v>
      </c>
    </row>
    <row r="573" spans="1:11" x14ac:dyDescent="0.25">
      <c r="A573">
        <v>77.4563209784435</v>
      </c>
      <c r="B573">
        <v>124.709376141764</v>
      </c>
      <c r="C573">
        <v>2000</v>
      </c>
    </row>
    <row r="574" spans="1:11" x14ac:dyDescent="0.25">
      <c r="A574">
        <v>52.528436824455298</v>
      </c>
      <c r="B574">
        <v>99.781491987775595</v>
      </c>
      <c r="C574">
        <v>2000</v>
      </c>
    </row>
    <row r="575" spans="1:11" x14ac:dyDescent="0.25">
      <c r="A575">
        <v>50.218508012224397</v>
      </c>
      <c r="B575">
        <v>97.471563175544702</v>
      </c>
      <c r="C575">
        <v>2000</v>
      </c>
    </row>
    <row r="576" spans="1:11" x14ac:dyDescent="0.25">
      <c r="A576">
        <v>22.335262727143999</v>
      </c>
      <c r="B576">
        <v>69.588317890464296</v>
      </c>
      <c r="C576">
        <v>2000</v>
      </c>
    </row>
    <row r="577" spans="1:11" x14ac:dyDescent="0.25">
      <c r="A577">
        <v>21.8982467026952</v>
      </c>
      <c r="B577">
        <v>70.025333914913105</v>
      </c>
      <c r="C577">
        <v>2001</v>
      </c>
    </row>
    <row r="578" spans="1:11" x14ac:dyDescent="0.25">
      <c r="A578">
        <v>49.781491987775603</v>
      </c>
      <c r="B578">
        <v>97.908579199993497</v>
      </c>
      <c r="C578">
        <v>2001</v>
      </c>
    </row>
    <row r="579" spans="1:11" x14ac:dyDescent="0.25">
      <c r="A579">
        <v>52.091420800006503</v>
      </c>
      <c r="B579">
        <v>100.21850801222401</v>
      </c>
      <c r="C579">
        <v>2001</v>
      </c>
    </row>
    <row r="580" spans="1:11" x14ac:dyDescent="0.25">
      <c r="A580">
        <v>77.019304953994705</v>
      </c>
      <c r="B580">
        <v>125.146392166213</v>
      </c>
      <c r="C580">
        <v>2001</v>
      </c>
    </row>
    <row r="581" spans="1:11" x14ac:dyDescent="0.25">
      <c r="A581">
        <v>78.779409942488101</v>
      </c>
      <c r="B581">
        <v>126.906497154706</v>
      </c>
      <c r="C581">
        <v>2001</v>
      </c>
    </row>
    <row r="582" spans="1:11" x14ac:dyDescent="0.25">
      <c r="A582">
        <v>79.216425966936896</v>
      </c>
      <c r="B582">
        <v>126.46948113025699</v>
      </c>
      <c r="C582">
        <v>2000</v>
      </c>
    </row>
    <row r="583" spans="1:11" x14ac:dyDescent="0.25">
      <c r="A583" t="s">
        <v>84</v>
      </c>
    </row>
    <row r="584" spans="1:11" x14ac:dyDescent="0.25">
      <c r="A584">
        <v>853</v>
      </c>
      <c r="B584">
        <v>0</v>
      </c>
      <c r="C584">
        <v>11.220863090453101</v>
      </c>
      <c r="D584">
        <v>69.221249406819993</v>
      </c>
      <c r="E584">
        <v>10</v>
      </c>
      <c r="F584">
        <v>1.01722196789785</v>
      </c>
      <c r="G584" t="s">
        <v>81</v>
      </c>
      <c r="H584" t="s">
        <v>81</v>
      </c>
      <c r="I584">
        <v>105</v>
      </c>
      <c r="J584">
        <v>730</v>
      </c>
      <c r="K584">
        <v>0.10361701455149699</v>
      </c>
    </row>
    <row r="585" spans="1:11" x14ac:dyDescent="0.25">
      <c r="A585" t="s">
        <v>83</v>
      </c>
    </row>
    <row r="586" spans="1:11" x14ac:dyDescent="0.25">
      <c r="A586">
        <v>29.6324575495081</v>
      </c>
      <c r="B586">
        <v>78.159819832150603</v>
      </c>
      <c r="C586">
        <v>2000</v>
      </c>
    </row>
    <row r="587" spans="1:11" x14ac:dyDescent="0.25">
      <c r="A587">
        <v>21.698109167482901</v>
      </c>
      <c r="B587">
        <v>70.225471450125397</v>
      </c>
      <c r="C587">
        <v>2000</v>
      </c>
    </row>
    <row r="588" spans="1:11" x14ac:dyDescent="0.25">
      <c r="A588">
        <v>21.261093143034099</v>
      </c>
      <c r="B588">
        <v>70.662487474574206</v>
      </c>
      <c r="C588">
        <v>2001</v>
      </c>
    </row>
    <row r="589" spans="1:11" x14ac:dyDescent="0.25">
      <c r="A589">
        <v>29.195441525059302</v>
      </c>
      <c r="B589">
        <v>78.596835856599398</v>
      </c>
      <c r="C589">
        <v>2001</v>
      </c>
    </row>
    <row r="590" spans="1:11" x14ac:dyDescent="0.25">
      <c r="A590">
        <v>49.781491987775603</v>
      </c>
      <c r="B590">
        <v>99.1828863193156</v>
      </c>
      <c r="C590">
        <v>2001</v>
      </c>
    </row>
    <row r="591" spans="1:11" x14ac:dyDescent="0.25">
      <c r="A591">
        <v>50.817113680684301</v>
      </c>
      <c r="B591">
        <v>100.21850801222401</v>
      </c>
      <c r="C591">
        <v>2001</v>
      </c>
    </row>
    <row r="592" spans="1:11" x14ac:dyDescent="0.25">
      <c r="A592">
        <v>78.142256382827</v>
      </c>
      <c r="B592">
        <v>127.543650714367</v>
      </c>
      <c r="C592">
        <v>2001</v>
      </c>
    </row>
    <row r="593" spans="1:11" x14ac:dyDescent="0.25">
      <c r="A593">
        <v>78.579272407275795</v>
      </c>
      <c r="B593">
        <v>127.106634689918</v>
      </c>
      <c r="C593">
        <v>2000</v>
      </c>
    </row>
    <row r="594" spans="1:11" x14ac:dyDescent="0.25">
      <c r="A594">
        <v>51.254129705133202</v>
      </c>
      <c r="B594">
        <v>99.781491987775595</v>
      </c>
      <c r="C594">
        <v>2000</v>
      </c>
    </row>
    <row r="595" spans="1:11" x14ac:dyDescent="0.25">
      <c r="A595">
        <v>50.218508012224397</v>
      </c>
      <c r="B595">
        <v>98.745870294866805</v>
      </c>
      <c r="C595">
        <v>2000</v>
      </c>
    </row>
    <row r="596" spans="1:11" x14ac:dyDescent="0.25">
      <c r="A596" t="s">
        <v>84</v>
      </c>
    </row>
    <row r="597" spans="1:11" x14ac:dyDescent="0.25">
      <c r="A597">
        <v>821</v>
      </c>
      <c r="B597">
        <v>0</v>
      </c>
      <c r="C597">
        <v>71.5046951782995</v>
      </c>
      <c r="D597">
        <v>8.4402177717057594</v>
      </c>
      <c r="E597">
        <v>10</v>
      </c>
      <c r="F597">
        <v>1.01722196789785</v>
      </c>
      <c r="G597" t="s">
        <v>81</v>
      </c>
      <c r="H597" t="s">
        <v>81</v>
      </c>
      <c r="I597">
        <v>32</v>
      </c>
      <c r="J597">
        <v>270</v>
      </c>
      <c r="K597">
        <v>0.10299214925957</v>
      </c>
    </row>
    <row r="598" spans="1:11" x14ac:dyDescent="0.25">
      <c r="A598" t="s">
        <v>83</v>
      </c>
    </row>
    <row r="599" spans="1:11" x14ac:dyDescent="0.25">
      <c r="A599">
        <v>125.551812894438</v>
      </c>
      <c r="B599">
        <v>115.202558354099</v>
      </c>
      <c r="C599">
        <v>2000</v>
      </c>
    </row>
    <row r="600" spans="1:11" x14ac:dyDescent="0.25">
      <c r="A600">
        <v>110.56776255256401</v>
      </c>
      <c r="B600">
        <v>100.21850801222401</v>
      </c>
      <c r="C600">
        <v>2000</v>
      </c>
    </row>
    <row r="601" spans="1:11" x14ac:dyDescent="0.25">
      <c r="A601">
        <v>99.781491987775595</v>
      </c>
      <c r="B601">
        <v>89.432237447436194</v>
      </c>
      <c r="C601">
        <v>2000</v>
      </c>
    </row>
    <row r="602" spans="1:11" x14ac:dyDescent="0.25">
      <c r="A602">
        <v>74.990358047185495</v>
      </c>
      <c r="B602">
        <v>64.641103506846207</v>
      </c>
      <c r="C602">
        <v>2000</v>
      </c>
    </row>
    <row r="603" spans="1:11" x14ac:dyDescent="0.25">
      <c r="A603">
        <v>75.427374071634304</v>
      </c>
      <c r="B603">
        <v>64.204087482397298</v>
      </c>
      <c r="C603">
        <v>2001</v>
      </c>
    </row>
    <row r="604" spans="1:11" x14ac:dyDescent="0.25">
      <c r="A604">
        <v>100.21850801222401</v>
      </c>
      <c r="B604">
        <v>88.995221422987399</v>
      </c>
      <c r="C604">
        <v>2001</v>
      </c>
    </row>
    <row r="605" spans="1:11" x14ac:dyDescent="0.25">
      <c r="A605">
        <v>111.004778577013</v>
      </c>
      <c r="B605">
        <v>99.781491987775595</v>
      </c>
      <c r="C605">
        <v>2001</v>
      </c>
    </row>
    <row r="606" spans="1:11" x14ac:dyDescent="0.25">
      <c r="A606">
        <v>125.98882891888699</v>
      </c>
      <c r="B606">
        <v>114.76554232965</v>
      </c>
      <c r="C606">
        <v>2001</v>
      </c>
    </row>
    <row r="607" spans="1:11" x14ac:dyDescent="0.25">
      <c r="A607">
        <v>131.956964139951</v>
      </c>
      <c r="B607">
        <v>120.73367755071401</v>
      </c>
      <c r="C607">
        <v>2001</v>
      </c>
    </row>
    <row r="608" spans="1:11" x14ac:dyDescent="0.25">
      <c r="A608">
        <v>131.51994811550199</v>
      </c>
      <c r="B608">
        <v>121.170693575163</v>
      </c>
      <c r="C608">
        <v>2000</v>
      </c>
    </row>
    <row r="609" spans="1:11" x14ac:dyDescent="0.25">
      <c r="A609" t="s">
        <v>84</v>
      </c>
    </row>
    <row r="610" spans="1:11" x14ac:dyDescent="0.25">
      <c r="A610">
        <v>764</v>
      </c>
      <c r="B610">
        <v>0</v>
      </c>
      <c r="C610">
        <v>45.5362652773645</v>
      </c>
      <c r="D610">
        <v>34.318691061620001</v>
      </c>
      <c r="E610">
        <v>10</v>
      </c>
      <c r="F610">
        <v>1.01722196789785</v>
      </c>
      <c r="G610" t="s">
        <v>82</v>
      </c>
      <c r="H610" t="s">
        <v>81</v>
      </c>
      <c r="I610">
        <v>0</v>
      </c>
      <c r="J610">
        <v>828</v>
      </c>
      <c r="K610">
        <v>0.101113411737407</v>
      </c>
    </row>
    <row r="611" spans="1:11" x14ac:dyDescent="0.25">
      <c r="A611" t="s">
        <v>83</v>
      </c>
    </row>
    <row r="612" spans="1:11" x14ac:dyDescent="0.25">
      <c r="A612">
        <v>31.987888323941402</v>
      </c>
      <c r="B612">
        <v>99.098115061784796</v>
      </c>
      <c r="C612">
        <v>2000</v>
      </c>
    </row>
    <row r="613" spans="1:11" x14ac:dyDescent="0.25">
      <c r="A613">
        <v>0</v>
      </c>
      <c r="B613">
        <v>67.110226737843405</v>
      </c>
      <c r="C613">
        <v>2000</v>
      </c>
    </row>
    <row r="614" spans="1:11" x14ac:dyDescent="0.25">
      <c r="A614">
        <v>0</v>
      </c>
      <c r="B614">
        <v>66.236194688945702</v>
      </c>
      <c r="C614">
        <v>2001</v>
      </c>
    </row>
    <row r="615" spans="1:11" x14ac:dyDescent="0.25">
      <c r="A615">
        <v>32.4101156111265</v>
      </c>
      <c r="B615">
        <v>98.646310300072201</v>
      </c>
      <c r="C615">
        <v>2001</v>
      </c>
    </row>
    <row r="616" spans="1:11" x14ac:dyDescent="0.25">
      <c r="A616">
        <v>33.545297298829901</v>
      </c>
      <c r="B616">
        <v>99.781491987775595</v>
      </c>
      <c r="C616">
        <v>2001</v>
      </c>
    </row>
    <row r="617" spans="1:11" x14ac:dyDescent="0.25">
      <c r="A617">
        <v>50.218508012224397</v>
      </c>
      <c r="B617">
        <v>116.45470270117001</v>
      </c>
      <c r="C617">
        <v>2001</v>
      </c>
    </row>
    <row r="618" spans="1:11" x14ac:dyDescent="0.25">
      <c r="A618">
        <v>56.684489150875997</v>
      </c>
      <c r="B618">
        <v>122.920683839822</v>
      </c>
      <c r="C618">
        <v>2001</v>
      </c>
    </row>
    <row r="619" spans="1:11" x14ac:dyDescent="0.25">
      <c r="A619">
        <v>56.247473126427202</v>
      </c>
      <c r="B619">
        <v>123.357699864271</v>
      </c>
      <c r="C619">
        <v>2000</v>
      </c>
    </row>
    <row r="620" spans="1:11" x14ac:dyDescent="0.25">
      <c r="A620">
        <v>49.781491987775603</v>
      </c>
      <c r="B620">
        <v>116.891718725619</v>
      </c>
      <c r="C620">
        <v>2000</v>
      </c>
    </row>
    <row r="621" spans="1:11" x14ac:dyDescent="0.25">
      <c r="A621">
        <v>33.108281274381</v>
      </c>
      <c r="B621">
        <v>100.21850801222401</v>
      </c>
      <c r="C621">
        <v>2000</v>
      </c>
    </row>
    <row r="622" spans="1:11" x14ac:dyDescent="0.25">
      <c r="A622" t="s">
        <v>84</v>
      </c>
    </row>
    <row r="623" spans="1:11" x14ac:dyDescent="0.25">
      <c r="A623">
        <v>844</v>
      </c>
      <c r="B623">
        <v>0</v>
      </c>
      <c r="C623">
        <v>76.244700176918698</v>
      </c>
      <c r="D623">
        <v>3.2531847275331098</v>
      </c>
      <c r="E623">
        <v>10</v>
      </c>
      <c r="F623">
        <v>1.01722196789785</v>
      </c>
      <c r="G623" t="s">
        <v>82</v>
      </c>
      <c r="H623" t="s">
        <v>81</v>
      </c>
      <c r="I623">
        <v>0</v>
      </c>
      <c r="J623">
        <v>751</v>
      </c>
      <c r="K623">
        <v>0.10341204281958701</v>
      </c>
    </row>
    <row r="624" spans="1:11" x14ac:dyDescent="0.25">
      <c r="A624" t="s">
        <v>83</v>
      </c>
    </row>
    <row r="625" spans="1:11" x14ac:dyDescent="0.25">
      <c r="A625">
        <v>54.131652536858802</v>
      </c>
      <c r="B625">
        <v>54.631745324768801</v>
      </c>
      <c r="C625">
        <v>2000</v>
      </c>
    </row>
    <row r="626" spans="1:11" x14ac:dyDescent="0.25">
      <c r="A626">
        <v>50.218508012224397</v>
      </c>
      <c r="B626">
        <v>50.718600800134404</v>
      </c>
      <c r="C626">
        <v>2000</v>
      </c>
    </row>
    <row r="627" spans="1:11" x14ac:dyDescent="0.25">
      <c r="A627">
        <v>49.277303884189102</v>
      </c>
      <c r="B627">
        <v>49.777396672099101</v>
      </c>
      <c r="C627">
        <v>2000</v>
      </c>
    </row>
    <row r="628" spans="1:11" x14ac:dyDescent="0.25">
      <c r="A628">
        <v>0</v>
      </c>
      <c r="B628">
        <v>0.50009278790996503</v>
      </c>
      <c r="C628">
        <v>2000</v>
      </c>
    </row>
    <row r="629" spans="1:11" x14ac:dyDescent="0.25">
      <c r="A629">
        <v>0</v>
      </c>
      <c r="B629">
        <v>1.37412483680762</v>
      </c>
      <c r="C629">
        <v>2001</v>
      </c>
    </row>
    <row r="630" spans="1:11" x14ac:dyDescent="0.25">
      <c r="A630">
        <v>48.848478491093402</v>
      </c>
      <c r="B630">
        <v>50.222603327900998</v>
      </c>
      <c r="C630">
        <v>2001</v>
      </c>
    </row>
    <row r="631" spans="1:11" x14ac:dyDescent="0.25">
      <c r="A631">
        <v>49.781491987775603</v>
      </c>
      <c r="B631">
        <v>51.155616824583198</v>
      </c>
      <c r="C631">
        <v>2001</v>
      </c>
    </row>
    <row r="632" spans="1:11" x14ac:dyDescent="0.25">
      <c r="A632">
        <v>53.69463651241</v>
      </c>
      <c r="B632">
        <v>55.068761349217603</v>
      </c>
      <c r="C632">
        <v>2001</v>
      </c>
    </row>
    <row r="633" spans="1:11" x14ac:dyDescent="0.25">
      <c r="A633">
        <v>55.994985493701201</v>
      </c>
      <c r="B633">
        <v>57.369110330508803</v>
      </c>
      <c r="C633">
        <v>2001</v>
      </c>
    </row>
    <row r="634" spans="1:11" x14ac:dyDescent="0.25">
      <c r="A634">
        <v>56.432001518150003</v>
      </c>
      <c r="B634">
        <v>56.932094306059902</v>
      </c>
      <c r="C634">
        <v>2000</v>
      </c>
    </row>
    <row r="635" spans="1:11" x14ac:dyDescent="0.25">
      <c r="A635" t="s">
        <v>84</v>
      </c>
    </row>
    <row r="636" spans="1:11" x14ac:dyDescent="0.25">
      <c r="A636">
        <v>779</v>
      </c>
      <c r="B636">
        <v>0</v>
      </c>
      <c r="C636">
        <v>49.511780047274499</v>
      </c>
      <c r="D636">
        <v>28.703482462805098</v>
      </c>
      <c r="E636">
        <v>12</v>
      </c>
      <c r="F636">
        <v>1.01722196789785</v>
      </c>
      <c r="G636" t="s">
        <v>81</v>
      </c>
      <c r="H636" t="s">
        <v>82</v>
      </c>
      <c r="I636">
        <v>187</v>
      </c>
      <c r="J636">
        <v>0</v>
      </c>
      <c r="K636">
        <v>0.100785207567138</v>
      </c>
    </row>
    <row r="637" spans="1:11" x14ac:dyDescent="0.25">
      <c r="A637" t="s">
        <v>83</v>
      </c>
    </row>
    <row r="638" spans="1:11" x14ac:dyDescent="0.25">
      <c r="A638">
        <v>129.79495387744399</v>
      </c>
      <c r="B638">
        <v>80.054080499803206</v>
      </c>
      <c r="C638">
        <v>2000</v>
      </c>
    </row>
    <row r="639" spans="1:11" x14ac:dyDescent="0.25">
      <c r="A639">
        <v>100.21850801222401</v>
      </c>
      <c r="B639">
        <v>50.477634634583801</v>
      </c>
      <c r="C639">
        <v>2000</v>
      </c>
    </row>
    <row r="640" spans="1:11" x14ac:dyDescent="0.25">
      <c r="A640">
        <v>99.522365365416107</v>
      </c>
      <c r="B640">
        <v>49.781491987775603</v>
      </c>
      <c r="C640">
        <v>2000</v>
      </c>
    </row>
    <row r="641" spans="1:11" x14ac:dyDescent="0.25">
      <c r="A641">
        <v>94.911965499061196</v>
      </c>
      <c r="B641">
        <v>45.1710921214206</v>
      </c>
      <c r="C641">
        <v>2000</v>
      </c>
    </row>
    <row r="642" spans="1:11" x14ac:dyDescent="0.25">
      <c r="A642">
        <v>94.474949474612401</v>
      </c>
      <c r="B642">
        <v>45.608108145869501</v>
      </c>
      <c r="C642">
        <v>2001</v>
      </c>
    </row>
    <row r="643" spans="1:11" x14ac:dyDescent="0.25">
      <c r="A643">
        <v>99.085349340967397</v>
      </c>
      <c r="B643">
        <v>50.218508012224397</v>
      </c>
      <c r="C643">
        <v>2001</v>
      </c>
    </row>
    <row r="644" spans="1:11" x14ac:dyDescent="0.25">
      <c r="A644">
        <v>99.781491987775595</v>
      </c>
      <c r="B644">
        <v>50.914650659032702</v>
      </c>
      <c r="C644">
        <v>2001</v>
      </c>
    </row>
    <row r="645" spans="1:11" x14ac:dyDescent="0.25">
      <c r="A645">
        <v>129.61219193631899</v>
      </c>
      <c r="B645">
        <v>80.745350607576</v>
      </c>
      <c r="C645">
        <v>2001</v>
      </c>
    </row>
    <row r="646" spans="1:11" x14ac:dyDescent="0.25">
      <c r="A646">
        <v>149.29636279539201</v>
      </c>
      <c r="B646">
        <v>100.42952146664901</v>
      </c>
      <c r="C646">
        <v>2001</v>
      </c>
    </row>
    <row r="647" spans="1:11" x14ac:dyDescent="0.25">
      <c r="A647">
        <v>150</v>
      </c>
      <c r="B647">
        <v>101.13315867125699</v>
      </c>
      <c r="C647">
        <v>2001</v>
      </c>
    </row>
    <row r="648" spans="1:11" x14ac:dyDescent="0.25">
      <c r="A648">
        <v>150</v>
      </c>
      <c r="B648">
        <v>100.25912662235901</v>
      </c>
      <c r="C648">
        <v>2000</v>
      </c>
    </row>
    <row r="649" spans="1:11" x14ac:dyDescent="0.25">
      <c r="A649">
        <v>149.31135191099199</v>
      </c>
      <c r="B649">
        <v>99.570478533350993</v>
      </c>
      <c r="C649">
        <v>2000</v>
      </c>
    </row>
    <row r="650" spans="1:11" x14ac:dyDescent="0.25">
      <c r="A650" t="s">
        <v>84</v>
      </c>
    </row>
    <row r="651" spans="1:11" x14ac:dyDescent="0.25">
      <c r="A651">
        <v>101</v>
      </c>
      <c r="B651">
        <v>0</v>
      </c>
      <c r="C651">
        <v>5.7272474463658103</v>
      </c>
      <c r="D651">
        <v>71.989006751077</v>
      </c>
      <c r="E651">
        <v>10</v>
      </c>
      <c r="F651">
        <v>1.01722196789785</v>
      </c>
      <c r="G651" t="s">
        <v>82</v>
      </c>
      <c r="H651" t="s">
        <v>81</v>
      </c>
      <c r="I651">
        <v>0</v>
      </c>
      <c r="J651">
        <v>958</v>
      </c>
      <c r="K651">
        <v>0</v>
      </c>
    </row>
    <row r="652" spans="1:11" x14ac:dyDescent="0.25">
      <c r="A652" t="s">
        <v>83</v>
      </c>
    </row>
    <row r="653" spans="1:11" x14ac:dyDescent="0.25">
      <c r="A653">
        <v>4.0244088040367796</v>
      </c>
      <c r="B653">
        <v>69.576780885024704</v>
      </c>
      <c r="C653">
        <v>2000</v>
      </c>
    </row>
    <row r="654" spans="1:11" x14ac:dyDescent="0.25">
      <c r="A654">
        <v>0</v>
      </c>
      <c r="B654">
        <v>65.552372080987894</v>
      </c>
      <c r="C654">
        <v>2000</v>
      </c>
    </row>
    <row r="655" spans="1:11" x14ac:dyDescent="0.25">
      <c r="A655">
        <v>0</v>
      </c>
      <c r="B655">
        <v>64.678340032090205</v>
      </c>
      <c r="C655">
        <v>2001</v>
      </c>
    </row>
    <row r="656" spans="1:11" x14ac:dyDescent="0.25">
      <c r="A656">
        <v>4.0751422096804202</v>
      </c>
      <c r="B656">
        <v>68.753482241770698</v>
      </c>
      <c r="C656">
        <v>2001</v>
      </c>
    </row>
    <row r="657" spans="1:11" x14ac:dyDescent="0.25">
      <c r="A657">
        <v>35.103151955685398</v>
      </c>
      <c r="B657">
        <v>99.781491987775595</v>
      </c>
      <c r="C657">
        <v>2001</v>
      </c>
    </row>
    <row r="658" spans="1:11" x14ac:dyDescent="0.25">
      <c r="A658">
        <v>50.218508012224397</v>
      </c>
      <c r="B658">
        <v>114.89684804431501</v>
      </c>
      <c r="C658">
        <v>2001</v>
      </c>
    </row>
    <row r="659" spans="1:11" x14ac:dyDescent="0.25">
      <c r="A659">
        <v>55.172198363653699</v>
      </c>
      <c r="B659">
        <v>119.850538395744</v>
      </c>
      <c r="C659">
        <v>2001</v>
      </c>
    </row>
    <row r="660" spans="1:11" x14ac:dyDescent="0.25">
      <c r="A660">
        <v>54.735182339204897</v>
      </c>
      <c r="B660">
        <v>120.287554420193</v>
      </c>
      <c r="C660">
        <v>2000</v>
      </c>
    </row>
    <row r="661" spans="1:11" x14ac:dyDescent="0.25">
      <c r="A661">
        <v>49.781491987775603</v>
      </c>
      <c r="B661">
        <v>115.33386406876301</v>
      </c>
      <c r="C661">
        <v>2000</v>
      </c>
    </row>
    <row r="662" spans="1:11" x14ac:dyDescent="0.25">
      <c r="A662">
        <v>34.666135931236603</v>
      </c>
      <c r="B662">
        <v>100.21850801222401</v>
      </c>
      <c r="C662">
        <v>2000</v>
      </c>
    </row>
    <row r="663" spans="1:11" x14ac:dyDescent="0.25">
      <c r="A663" t="s">
        <v>84</v>
      </c>
    </row>
    <row r="664" spans="1:11" x14ac:dyDescent="0.25">
      <c r="A664">
        <v>854</v>
      </c>
      <c r="B664">
        <v>0</v>
      </c>
      <c r="C664">
        <v>56.833815414826702</v>
      </c>
      <c r="D664">
        <v>20.828343781950199</v>
      </c>
      <c r="E664">
        <v>10</v>
      </c>
      <c r="F664">
        <v>1.01722196789785</v>
      </c>
      <c r="G664" t="s">
        <v>82</v>
      </c>
      <c r="H664" t="s">
        <v>82</v>
      </c>
      <c r="I664">
        <v>0</v>
      </c>
      <c r="J664">
        <v>0</v>
      </c>
      <c r="K664">
        <v>0.103818452298958</v>
      </c>
    </row>
    <row r="665" spans="1:11" x14ac:dyDescent="0.25">
      <c r="A665" t="s">
        <v>83</v>
      </c>
    </row>
    <row r="666" spans="1:11" x14ac:dyDescent="0.25">
      <c r="A666">
        <v>39.896912751458302</v>
      </c>
      <c r="B666">
        <v>135.41848936627699</v>
      </c>
      <c r="C666">
        <v>2000</v>
      </c>
    </row>
    <row r="667" spans="1:11" x14ac:dyDescent="0.25">
      <c r="A667">
        <v>4.8887131674922104</v>
      </c>
      <c r="B667">
        <v>100.410289782311</v>
      </c>
      <c r="C667">
        <v>2000</v>
      </c>
    </row>
    <row r="668" spans="1:11" x14ac:dyDescent="0.25">
      <c r="A668">
        <v>0</v>
      </c>
      <c r="B668">
        <v>95.521576614818699</v>
      </c>
      <c r="C668">
        <v>2000</v>
      </c>
    </row>
    <row r="669" spans="1:11" x14ac:dyDescent="0.25">
      <c r="A669">
        <v>0</v>
      </c>
      <c r="B669">
        <v>94.647544565921095</v>
      </c>
      <c r="C669">
        <v>2001</v>
      </c>
    </row>
    <row r="670" spans="1:11" x14ac:dyDescent="0.25">
      <c r="A670">
        <v>4.9421656517679704</v>
      </c>
      <c r="B670">
        <v>99.589710217689102</v>
      </c>
      <c r="C670">
        <v>2001</v>
      </c>
    </row>
    <row r="671" spans="1:11" x14ac:dyDescent="0.25">
      <c r="A671">
        <v>40.478239809598698</v>
      </c>
      <c r="B671">
        <v>135.12578437552</v>
      </c>
      <c r="C671">
        <v>2001</v>
      </c>
    </row>
    <row r="672" spans="1:11" x14ac:dyDescent="0.25">
      <c r="A672">
        <v>50.364088751483798</v>
      </c>
      <c r="B672">
        <v>145.011633317405</v>
      </c>
      <c r="C672">
        <v>2001</v>
      </c>
    </row>
    <row r="673" spans="1:11" x14ac:dyDescent="0.25">
      <c r="A673">
        <v>55.352455434078998</v>
      </c>
      <c r="B673">
        <v>150</v>
      </c>
      <c r="C673">
        <v>2001</v>
      </c>
    </row>
    <row r="674" spans="1:11" x14ac:dyDescent="0.25">
      <c r="A674">
        <v>54.478423385181301</v>
      </c>
      <c r="B674">
        <v>150</v>
      </c>
      <c r="C674">
        <v>2000</v>
      </c>
    </row>
    <row r="675" spans="1:11" x14ac:dyDescent="0.25">
      <c r="A675">
        <v>49.635911248516202</v>
      </c>
      <c r="B675">
        <v>145.15748786333501</v>
      </c>
      <c r="C675">
        <v>2000</v>
      </c>
    </row>
    <row r="676" spans="1:11" x14ac:dyDescent="0.25">
      <c r="A676" t="s">
        <v>84</v>
      </c>
    </row>
    <row r="677" spans="1:11" x14ac:dyDescent="0.25">
      <c r="A677">
        <v>767</v>
      </c>
      <c r="B677">
        <v>0</v>
      </c>
      <c r="C677">
        <v>27.4237840229002</v>
      </c>
      <c r="D677">
        <v>50.084765489103098</v>
      </c>
      <c r="E677">
        <v>10</v>
      </c>
      <c r="F677">
        <v>1.01722196789785</v>
      </c>
      <c r="G677" t="s">
        <v>82</v>
      </c>
      <c r="H677" t="s">
        <v>81</v>
      </c>
      <c r="I677">
        <v>0</v>
      </c>
      <c r="J677">
        <v>855</v>
      </c>
      <c r="K677">
        <v>0.101899323518764</v>
      </c>
    </row>
    <row r="678" spans="1:11" x14ac:dyDescent="0.25">
      <c r="A678" t="s">
        <v>83</v>
      </c>
    </row>
    <row r="679" spans="1:11" x14ac:dyDescent="0.25">
      <c r="A679">
        <v>19.296689366532199</v>
      </c>
      <c r="B679">
        <v>75.063000245443803</v>
      </c>
      <c r="C679">
        <v>2000</v>
      </c>
    </row>
    <row r="680" spans="1:11" x14ac:dyDescent="0.25">
      <c r="A680">
        <v>0</v>
      </c>
      <c r="B680">
        <v>55.766310878911597</v>
      </c>
      <c r="C680">
        <v>2000</v>
      </c>
    </row>
    <row r="681" spans="1:11" x14ac:dyDescent="0.25">
      <c r="A681">
        <v>0</v>
      </c>
      <c r="B681">
        <v>54.892278830014</v>
      </c>
      <c r="C681">
        <v>2001</v>
      </c>
    </row>
    <row r="682" spans="1:11" x14ac:dyDescent="0.25">
      <c r="A682">
        <v>19.4863979302438</v>
      </c>
      <c r="B682">
        <v>74.378676760257804</v>
      </c>
      <c r="C682">
        <v>2001</v>
      </c>
    </row>
    <row r="683" spans="1:11" x14ac:dyDescent="0.25">
      <c r="A683">
        <v>44.889213157761702</v>
      </c>
      <c r="B683">
        <v>99.781491987775595</v>
      </c>
      <c r="C683">
        <v>2001</v>
      </c>
    </row>
    <row r="684" spans="1:11" x14ac:dyDescent="0.25">
      <c r="A684">
        <v>50.218508012224397</v>
      </c>
      <c r="B684">
        <v>105.110786842238</v>
      </c>
      <c r="C684">
        <v>2001</v>
      </c>
    </row>
    <row r="685" spans="1:11" x14ac:dyDescent="0.25">
      <c r="A685">
        <v>55.025328972095203</v>
      </c>
      <c r="B685">
        <v>109.917607802109</v>
      </c>
      <c r="C685">
        <v>2001</v>
      </c>
    </row>
    <row r="686" spans="1:11" x14ac:dyDescent="0.25">
      <c r="A686">
        <v>54.588312947646401</v>
      </c>
      <c r="B686">
        <v>110.354623826558</v>
      </c>
      <c r="C686">
        <v>2000</v>
      </c>
    </row>
    <row r="687" spans="1:11" x14ac:dyDescent="0.25">
      <c r="A687">
        <v>49.781491987775603</v>
      </c>
      <c r="B687">
        <v>105.54780286668699</v>
      </c>
      <c r="C687">
        <v>2000</v>
      </c>
    </row>
    <row r="688" spans="1:11" x14ac:dyDescent="0.25">
      <c r="A688">
        <v>44.452197133312801</v>
      </c>
      <c r="B688">
        <v>100.21850801222401</v>
      </c>
      <c r="C688">
        <v>2000</v>
      </c>
    </row>
    <row r="689" spans="1:11" x14ac:dyDescent="0.25">
      <c r="A689" t="s">
        <v>84</v>
      </c>
    </row>
    <row r="690" spans="1:11" x14ac:dyDescent="0.25">
      <c r="A690">
        <v>663</v>
      </c>
      <c r="B690">
        <v>0</v>
      </c>
      <c r="C690">
        <v>31.051646280529798</v>
      </c>
      <c r="D690">
        <v>45.657210713551898</v>
      </c>
      <c r="E690">
        <v>10</v>
      </c>
      <c r="F690">
        <v>1.01722196789785</v>
      </c>
      <c r="G690" t="s">
        <v>81</v>
      </c>
      <c r="H690" t="s">
        <v>81</v>
      </c>
      <c r="I690">
        <v>835</v>
      </c>
      <c r="J690">
        <v>259</v>
      </c>
      <c r="K690">
        <v>0</v>
      </c>
    </row>
    <row r="691" spans="1:11" x14ac:dyDescent="0.25">
      <c r="A691" t="s">
        <v>83</v>
      </c>
    </row>
    <row r="692" spans="1:11" x14ac:dyDescent="0.25">
      <c r="A692">
        <v>86.558892078962401</v>
      </c>
      <c r="B692">
        <v>91.666618664589294</v>
      </c>
      <c r="C692">
        <v>2000</v>
      </c>
    </row>
    <row r="693" spans="1:11" x14ac:dyDescent="0.25">
      <c r="A693">
        <v>64.602062426993797</v>
      </c>
      <c r="B693">
        <v>69.709789012620604</v>
      </c>
      <c r="C693">
        <v>2000</v>
      </c>
    </row>
    <row r="694" spans="1:11" x14ac:dyDescent="0.25">
      <c r="A694">
        <v>65.039078451442606</v>
      </c>
      <c r="B694">
        <v>69.272772988171795</v>
      </c>
      <c r="C694">
        <v>2001</v>
      </c>
    </row>
    <row r="695" spans="1:11" x14ac:dyDescent="0.25">
      <c r="A695">
        <v>86.995908103411196</v>
      </c>
      <c r="B695">
        <v>91.229602640140399</v>
      </c>
      <c r="C695">
        <v>2001</v>
      </c>
    </row>
    <row r="696" spans="1:11" x14ac:dyDescent="0.25">
      <c r="A696">
        <v>95.547797451046407</v>
      </c>
      <c r="B696">
        <v>99.781491987775595</v>
      </c>
      <c r="C696">
        <v>2001</v>
      </c>
    </row>
    <row r="697" spans="1:11" x14ac:dyDescent="0.25">
      <c r="A697">
        <v>100.21850801222401</v>
      </c>
      <c r="B697">
        <v>104.45220254895401</v>
      </c>
      <c r="C697">
        <v>2001</v>
      </c>
    </row>
    <row r="698" spans="1:11" x14ac:dyDescent="0.25">
      <c r="A698">
        <v>119.280431409027</v>
      </c>
      <c r="B698">
        <v>123.51412594575601</v>
      </c>
      <c r="C698">
        <v>2001</v>
      </c>
    </row>
    <row r="699" spans="1:11" x14ac:dyDescent="0.25">
      <c r="A699">
        <v>118.84341538457799</v>
      </c>
      <c r="B699">
        <v>123.951141970205</v>
      </c>
      <c r="C699">
        <v>2000</v>
      </c>
    </row>
    <row r="700" spans="1:11" x14ac:dyDescent="0.25">
      <c r="A700">
        <v>99.781491987775595</v>
      </c>
      <c r="B700">
        <v>104.889218573402</v>
      </c>
      <c r="C700">
        <v>2000</v>
      </c>
    </row>
    <row r="701" spans="1:11" x14ac:dyDescent="0.25">
      <c r="A701">
        <v>95.110781426597597</v>
      </c>
      <c r="B701">
        <v>100.21850801222401</v>
      </c>
      <c r="C701">
        <v>2000</v>
      </c>
    </row>
    <row r="702" spans="1:11" x14ac:dyDescent="0.25">
      <c r="A702" t="s">
        <v>84</v>
      </c>
    </row>
    <row r="703" spans="1:11" x14ac:dyDescent="0.25">
      <c r="A703">
        <v>185</v>
      </c>
      <c r="B703">
        <v>0</v>
      </c>
      <c r="C703">
        <v>60.861783703206299</v>
      </c>
      <c r="D703">
        <v>15.483422642738701</v>
      </c>
      <c r="E703">
        <v>10</v>
      </c>
      <c r="F703">
        <v>1.01722196789785</v>
      </c>
      <c r="G703" t="s">
        <v>82</v>
      </c>
      <c r="H703" t="s">
        <v>81</v>
      </c>
      <c r="I703">
        <v>0</v>
      </c>
      <c r="J703">
        <v>867</v>
      </c>
      <c r="K703">
        <v>0</v>
      </c>
    </row>
    <row r="704" spans="1:11" x14ac:dyDescent="0.25">
      <c r="A704" t="s">
        <v>83</v>
      </c>
    </row>
    <row r="705" spans="1:11" x14ac:dyDescent="0.25">
      <c r="A705">
        <v>74.552382841678394</v>
      </c>
      <c r="B705">
        <v>42.844756866922502</v>
      </c>
      <c r="C705">
        <v>2000</v>
      </c>
    </row>
    <row r="706" spans="1:11" x14ac:dyDescent="0.25">
      <c r="A706">
        <v>50.341920227587899</v>
      </c>
      <c r="B706">
        <v>18.634294252831999</v>
      </c>
      <c r="C706">
        <v>2000</v>
      </c>
    </row>
    <row r="707" spans="1:11" x14ac:dyDescent="0.25">
      <c r="A707">
        <v>31.707625974755899</v>
      </c>
      <c r="B707">
        <v>0</v>
      </c>
      <c r="C707">
        <v>2000</v>
      </c>
    </row>
    <row r="708" spans="1:11" x14ac:dyDescent="0.25">
      <c r="A708">
        <v>30.833593925858199</v>
      </c>
      <c r="B708">
        <v>0</v>
      </c>
      <c r="C708">
        <v>2001</v>
      </c>
    </row>
    <row r="709" spans="1:11" x14ac:dyDescent="0.25">
      <c r="A709">
        <v>49.658079772412101</v>
      </c>
      <c r="B709">
        <v>18.824485846553799</v>
      </c>
      <c r="C709">
        <v>2001</v>
      </c>
    </row>
    <row r="710" spans="1:11" x14ac:dyDescent="0.25">
      <c r="A710">
        <v>74.060397002227901</v>
      </c>
      <c r="B710">
        <v>43.226803076369698</v>
      </c>
      <c r="C710">
        <v>2001</v>
      </c>
    </row>
    <row r="711" spans="1:11" x14ac:dyDescent="0.25">
      <c r="A711">
        <v>81.0521019380827</v>
      </c>
      <c r="B711">
        <v>50.218508012224397</v>
      </c>
      <c r="C711">
        <v>2001</v>
      </c>
    </row>
    <row r="712" spans="1:11" x14ac:dyDescent="0.25">
      <c r="A712">
        <v>85.036315056386599</v>
      </c>
      <c r="B712">
        <v>54.202721130528303</v>
      </c>
      <c r="C712">
        <v>2001</v>
      </c>
    </row>
    <row r="713" spans="1:11" x14ac:dyDescent="0.25">
      <c r="A713">
        <v>85.473331080835493</v>
      </c>
      <c r="B713">
        <v>53.765705106079501</v>
      </c>
      <c r="C713">
        <v>2000</v>
      </c>
    </row>
    <row r="714" spans="1:11" x14ac:dyDescent="0.25">
      <c r="A714">
        <v>81.489117962531495</v>
      </c>
      <c r="B714">
        <v>49.781491987775603</v>
      </c>
      <c r="C714">
        <v>2000</v>
      </c>
    </row>
    <row r="715" spans="1:11" x14ac:dyDescent="0.25">
      <c r="A715" t="s">
        <v>84</v>
      </c>
    </row>
    <row r="716" spans="1:11" x14ac:dyDescent="0.25">
      <c r="A716">
        <v>838</v>
      </c>
      <c r="B716">
        <v>0</v>
      </c>
      <c r="C716">
        <v>75.555715732895493</v>
      </c>
      <c r="D716">
        <v>0.62643144485266999</v>
      </c>
      <c r="E716">
        <v>10</v>
      </c>
      <c r="F716">
        <v>1.01722196789785</v>
      </c>
      <c r="G716" t="s">
        <v>82</v>
      </c>
      <c r="H716" t="s">
        <v>81</v>
      </c>
      <c r="I716">
        <v>0</v>
      </c>
      <c r="J716">
        <v>781</v>
      </c>
      <c r="K716">
        <v>0.10341204281958701</v>
      </c>
    </row>
    <row r="717" spans="1:11" x14ac:dyDescent="0.25">
      <c r="A717" t="s">
        <v>83</v>
      </c>
    </row>
    <row r="718" spans="1:11" x14ac:dyDescent="0.25">
      <c r="A718">
        <v>126.714421864005</v>
      </c>
      <c r="B718">
        <v>53.644466964357903</v>
      </c>
      <c r="C718">
        <v>2000</v>
      </c>
    </row>
    <row r="719" spans="1:11" x14ac:dyDescent="0.25">
      <c r="A719">
        <v>123.28846291187099</v>
      </c>
      <c r="B719">
        <v>50.218508012224397</v>
      </c>
      <c r="C719">
        <v>2000</v>
      </c>
    </row>
    <row r="720" spans="1:11" x14ac:dyDescent="0.25">
      <c r="A720">
        <v>99.678762757974795</v>
      </c>
      <c r="B720">
        <v>26.6088078583279</v>
      </c>
      <c r="C720">
        <v>2000</v>
      </c>
    </row>
    <row r="721" spans="1:11" x14ac:dyDescent="0.25">
      <c r="A721">
        <v>73.069954899646902</v>
      </c>
      <c r="B721">
        <v>0</v>
      </c>
      <c r="C721">
        <v>2000</v>
      </c>
    </row>
    <row r="722" spans="1:11" x14ac:dyDescent="0.25">
      <c r="A722">
        <v>73.943986948544506</v>
      </c>
      <c r="B722">
        <v>0</v>
      </c>
      <c r="C722">
        <v>2001</v>
      </c>
    </row>
    <row r="723" spans="1:11" x14ac:dyDescent="0.25">
      <c r="A723">
        <v>100.32123724202501</v>
      </c>
      <c r="B723">
        <v>26.377250293480699</v>
      </c>
      <c r="C723">
        <v>2001</v>
      </c>
    </row>
    <row r="724" spans="1:11" x14ac:dyDescent="0.25">
      <c r="A724">
        <v>123.72547893632</v>
      </c>
      <c r="B724">
        <v>49.781491987775603</v>
      </c>
      <c r="C724">
        <v>2001</v>
      </c>
    </row>
    <row r="725" spans="1:11" x14ac:dyDescent="0.25">
      <c r="A725">
        <v>127.151437888454</v>
      </c>
      <c r="B725">
        <v>53.207450939909101</v>
      </c>
      <c r="C725">
        <v>2001</v>
      </c>
    </row>
    <row r="726" spans="1:11" x14ac:dyDescent="0.25">
      <c r="A726">
        <v>127.59439181105699</v>
      </c>
      <c r="B726">
        <v>53.6504048625129</v>
      </c>
      <c r="C726">
        <v>2001</v>
      </c>
    </row>
    <row r="727" spans="1:11" x14ac:dyDescent="0.25">
      <c r="A727">
        <v>127.15737578660899</v>
      </c>
      <c r="B727">
        <v>54.087420886961702</v>
      </c>
      <c r="C727">
        <v>2000</v>
      </c>
    </row>
    <row r="728" spans="1:11" x14ac:dyDescent="0.25">
      <c r="A728" t="s">
        <v>84</v>
      </c>
    </row>
    <row r="729" spans="1:11" x14ac:dyDescent="0.25">
      <c r="A729">
        <v>510</v>
      </c>
      <c r="B729">
        <v>0</v>
      </c>
      <c r="C729">
        <v>27.4039250534899</v>
      </c>
      <c r="D729">
        <v>48.602290128005599</v>
      </c>
      <c r="E729">
        <v>10</v>
      </c>
      <c r="F729">
        <v>1.01722196789785</v>
      </c>
      <c r="G729" t="s">
        <v>81</v>
      </c>
      <c r="H729" t="s">
        <v>82</v>
      </c>
      <c r="I729">
        <v>173</v>
      </c>
      <c r="J729">
        <v>0</v>
      </c>
      <c r="K729">
        <v>0</v>
      </c>
    </row>
    <row r="730" spans="1:11" x14ac:dyDescent="0.25">
      <c r="A730" t="s">
        <v>83</v>
      </c>
    </row>
    <row r="731" spans="1:11" x14ac:dyDescent="0.25">
      <c r="A731">
        <v>115.45583761965599</v>
      </c>
      <c r="B731">
        <v>39.121293506585502</v>
      </c>
      <c r="C731">
        <v>2000</v>
      </c>
    </row>
    <row r="732" spans="1:11" x14ac:dyDescent="0.25">
      <c r="A732">
        <v>99.781491987775595</v>
      </c>
      <c r="B732">
        <v>23.446947874705</v>
      </c>
      <c r="C732">
        <v>2000</v>
      </c>
    </row>
    <row r="733" spans="1:11" x14ac:dyDescent="0.25">
      <c r="A733">
        <v>96.036981820616205</v>
      </c>
      <c r="B733">
        <v>19.702437707545599</v>
      </c>
      <c r="C733">
        <v>2000</v>
      </c>
    </row>
    <row r="734" spans="1:11" x14ac:dyDescent="0.25">
      <c r="A734">
        <v>96.473997845065</v>
      </c>
      <c r="B734">
        <v>19.2654216830968</v>
      </c>
      <c r="C734">
        <v>2001</v>
      </c>
    </row>
    <row r="735" spans="1:11" x14ac:dyDescent="0.25">
      <c r="A735">
        <v>100.21850801222401</v>
      </c>
      <c r="B735">
        <v>23.009931850256201</v>
      </c>
      <c r="C735">
        <v>2001</v>
      </c>
    </row>
    <row r="736" spans="1:11" x14ac:dyDescent="0.25">
      <c r="A736">
        <v>115.81014451892599</v>
      </c>
      <c r="B736">
        <v>38.601568356958197</v>
      </c>
      <c r="C736">
        <v>2001</v>
      </c>
    </row>
    <row r="737" spans="1:11" x14ac:dyDescent="0.25">
      <c r="A737">
        <v>126.919248294835</v>
      </c>
      <c r="B737">
        <v>49.710672132866698</v>
      </c>
      <c r="C737">
        <v>2001</v>
      </c>
    </row>
    <row r="738" spans="1:11" x14ac:dyDescent="0.25">
      <c r="A738">
        <v>150</v>
      </c>
      <c r="B738">
        <v>72.791423838031804</v>
      </c>
      <c r="C738">
        <v>2001</v>
      </c>
    </row>
    <row r="739" spans="1:11" x14ac:dyDescent="0.25">
      <c r="A739">
        <v>150</v>
      </c>
      <c r="B739">
        <v>73.665455886929394</v>
      </c>
      <c r="C739">
        <v>2000</v>
      </c>
    </row>
    <row r="740" spans="1:11" x14ac:dyDescent="0.25">
      <c r="A740">
        <v>126.623871980204</v>
      </c>
      <c r="B740">
        <v>50.289327867133203</v>
      </c>
      <c r="C740">
        <v>2000</v>
      </c>
    </row>
    <row r="741" spans="1:11" x14ac:dyDescent="0.25">
      <c r="A741" t="s">
        <v>84</v>
      </c>
    </row>
    <row r="742" spans="1:11" x14ac:dyDescent="0.25">
      <c r="A742">
        <v>951</v>
      </c>
      <c r="B742">
        <v>0</v>
      </c>
      <c r="C742">
        <v>45.389851012758903</v>
      </c>
      <c r="D742">
        <v>30.225686460528902</v>
      </c>
      <c r="E742">
        <v>10</v>
      </c>
      <c r="F742">
        <v>1.01722196789785</v>
      </c>
      <c r="G742" t="s">
        <v>81</v>
      </c>
      <c r="H742" t="s">
        <v>82</v>
      </c>
      <c r="I742">
        <v>811</v>
      </c>
      <c r="J742">
        <v>0</v>
      </c>
      <c r="K742">
        <v>0.106745660282727</v>
      </c>
    </row>
    <row r="743" spans="1:11" x14ac:dyDescent="0.25">
      <c r="A743" t="s">
        <v>83</v>
      </c>
    </row>
    <row r="744" spans="1:11" x14ac:dyDescent="0.25">
      <c r="A744">
        <v>117.508102605151</v>
      </c>
      <c r="B744">
        <v>128.50611454205799</v>
      </c>
      <c r="C744">
        <v>2000</v>
      </c>
    </row>
    <row r="745" spans="1:11" x14ac:dyDescent="0.25">
      <c r="A745">
        <v>100.21850801222401</v>
      </c>
      <c r="B745">
        <v>111.21651994913201</v>
      </c>
      <c r="C745">
        <v>2000</v>
      </c>
    </row>
    <row r="746" spans="1:11" x14ac:dyDescent="0.25">
      <c r="A746">
        <v>88.783480050868306</v>
      </c>
      <c r="B746">
        <v>99.781491987775595</v>
      </c>
      <c r="C746">
        <v>2000</v>
      </c>
    </row>
    <row r="747" spans="1:11" x14ac:dyDescent="0.25">
      <c r="A747">
        <v>85.315220740441006</v>
      </c>
      <c r="B747">
        <v>96.313232677348296</v>
      </c>
      <c r="C747">
        <v>2000</v>
      </c>
    </row>
    <row r="748" spans="1:11" x14ac:dyDescent="0.25">
      <c r="A748">
        <v>84.878204715992197</v>
      </c>
      <c r="B748">
        <v>96.750248701797105</v>
      </c>
      <c r="C748">
        <v>2001</v>
      </c>
    </row>
    <row r="749" spans="1:11" x14ac:dyDescent="0.25">
      <c r="A749">
        <v>88.346464026419497</v>
      </c>
      <c r="B749">
        <v>100.21850801222401</v>
      </c>
      <c r="C749">
        <v>2001</v>
      </c>
    </row>
    <row r="750" spans="1:11" x14ac:dyDescent="0.25">
      <c r="A750">
        <v>99.781491987775595</v>
      </c>
      <c r="B750">
        <v>111.653535973581</v>
      </c>
      <c r="C750">
        <v>2001</v>
      </c>
    </row>
    <row r="751" spans="1:11" x14ac:dyDescent="0.25">
      <c r="A751">
        <v>116.87626574762</v>
      </c>
      <c r="B751">
        <v>128.748309733425</v>
      </c>
      <c r="C751">
        <v>2001</v>
      </c>
    </row>
    <row r="752" spans="1:11" x14ac:dyDescent="0.25">
      <c r="A752">
        <v>138.12795601419501</v>
      </c>
      <c r="B752">
        <v>150</v>
      </c>
      <c r="C752">
        <v>2001</v>
      </c>
    </row>
    <row r="753" spans="1:11" x14ac:dyDescent="0.25">
      <c r="A753">
        <v>139.00198806309299</v>
      </c>
      <c r="B753">
        <v>150</v>
      </c>
      <c r="C753">
        <v>2000</v>
      </c>
    </row>
    <row r="754" spans="1:11" x14ac:dyDescent="0.25">
      <c r="A754" t="s">
        <v>84</v>
      </c>
    </row>
    <row r="755" spans="1:11" x14ac:dyDescent="0.25">
      <c r="A755">
        <v>980</v>
      </c>
      <c r="B755">
        <v>0</v>
      </c>
      <c r="C755">
        <v>28.9945859053033</v>
      </c>
      <c r="D755">
        <v>46.528939068965002</v>
      </c>
      <c r="E755">
        <v>10</v>
      </c>
      <c r="F755">
        <v>1.01722196789785</v>
      </c>
      <c r="G755" t="s">
        <v>82</v>
      </c>
      <c r="H755" t="s">
        <v>81</v>
      </c>
      <c r="I755">
        <v>0</v>
      </c>
      <c r="J755">
        <v>1019</v>
      </c>
      <c r="K755">
        <v>0.10826329407025199</v>
      </c>
    </row>
    <row r="756" spans="1:11" x14ac:dyDescent="0.25">
      <c r="A756" t="s">
        <v>83</v>
      </c>
    </row>
    <row r="757" spans="1:11" x14ac:dyDescent="0.25">
      <c r="A757">
        <v>105.99599582276601</v>
      </c>
      <c r="B757">
        <v>20.665669168120601</v>
      </c>
      <c r="C757">
        <v>2000</v>
      </c>
    </row>
    <row r="758" spans="1:11" x14ac:dyDescent="0.25">
      <c r="A758">
        <v>99.714672052823204</v>
      </c>
      <c r="B758">
        <v>14.3843453981778</v>
      </c>
      <c r="C758">
        <v>2000</v>
      </c>
    </row>
    <row r="759" spans="1:11" x14ac:dyDescent="0.25">
      <c r="A759">
        <v>85.330326654645404</v>
      </c>
      <c r="B759">
        <v>0</v>
      </c>
      <c r="C759">
        <v>2000</v>
      </c>
    </row>
    <row r="760" spans="1:11" x14ac:dyDescent="0.25">
      <c r="A760">
        <v>86.204358703542994</v>
      </c>
      <c r="B760">
        <v>0</v>
      </c>
      <c r="C760">
        <v>2001</v>
      </c>
    </row>
    <row r="761" spans="1:11" x14ac:dyDescent="0.25">
      <c r="A761">
        <v>100.285327947177</v>
      </c>
      <c r="B761">
        <v>14.0809692436337</v>
      </c>
      <c r="C761">
        <v>2001</v>
      </c>
    </row>
    <row r="762" spans="1:11" x14ac:dyDescent="0.25">
      <c r="A762">
        <v>106.543226158094</v>
      </c>
      <c r="B762">
        <v>20.338867454551</v>
      </c>
      <c r="C762">
        <v>2001</v>
      </c>
    </row>
    <row r="763" spans="1:11" x14ac:dyDescent="0.25">
      <c r="A763">
        <v>135.985850691319</v>
      </c>
      <c r="B763">
        <v>49.781491987775603</v>
      </c>
      <c r="C763">
        <v>2001</v>
      </c>
    </row>
    <row r="764" spans="1:11" x14ac:dyDescent="0.25">
      <c r="A764">
        <v>139.38904733973499</v>
      </c>
      <c r="B764">
        <v>53.184688636192199</v>
      </c>
      <c r="C764">
        <v>2001</v>
      </c>
    </row>
    <row r="765" spans="1:11" x14ac:dyDescent="0.25">
      <c r="A765">
        <v>138.95203131528601</v>
      </c>
      <c r="B765">
        <v>53.6217046606411</v>
      </c>
      <c r="C765">
        <v>2000</v>
      </c>
    </row>
    <row r="766" spans="1:11" x14ac:dyDescent="0.25">
      <c r="A766">
        <v>135.54883466686999</v>
      </c>
      <c r="B766">
        <v>50.218508012224397</v>
      </c>
      <c r="C766">
        <v>2000</v>
      </c>
    </row>
    <row r="767" spans="1:11" x14ac:dyDescent="0.25">
      <c r="A767" t="s">
        <v>84</v>
      </c>
    </row>
    <row r="768" spans="1:11" x14ac:dyDescent="0.25">
      <c r="A768">
        <v>920</v>
      </c>
      <c r="B768">
        <v>0</v>
      </c>
      <c r="C768">
        <v>41.348037680423602</v>
      </c>
      <c r="D768">
        <v>33.961194441305501</v>
      </c>
      <c r="E768">
        <v>10</v>
      </c>
      <c r="F768">
        <v>1.01722196789785</v>
      </c>
      <c r="G768" t="s">
        <v>81</v>
      </c>
      <c r="H768" t="s">
        <v>82</v>
      </c>
      <c r="I768">
        <v>649</v>
      </c>
      <c r="J768">
        <v>0</v>
      </c>
      <c r="K768">
        <v>0.10547505826048501</v>
      </c>
    </row>
    <row r="769" spans="1:11" x14ac:dyDescent="0.25">
      <c r="A769" t="s">
        <v>83</v>
      </c>
    </row>
    <row r="770" spans="1:11" x14ac:dyDescent="0.25">
      <c r="A770">
        <v>126.158835378541</v>
      </c>
      <c r="B770">
        <v>93.547063473401593</v>
      </c>
      <c r="C770">
        <v>2000</v>
      </c>
    </row>
    <row r="771" spans="1:11" x14ac:dyDescent="0.25">
      <c r="A771">
        <v>100.21850801222401</v>
      </c>
      <c r="B771">
        <v>67.606736107085098</v>
      </c>
      <c r="C771">
        <v>2000</v>
      </c>
    </row>
    <row r="772" spans="1:11" x14ac:dyDescent="0.25">
      <c r="A772">
        <v>96.966839292998102</v>
      </c>
      <c r="B772">
        <v>64.355067387858696</v>
      </c>
      <c r="C772">
        <v>2000</v>
      </c>
    </row>
    <row r="773" spans="1:11" x14ac:dyDescent="0.25">
      <c r="A773">
        <v>96.529823268549293</v>
      </c>
      <c r="B773">
        <v>64.792083412307505</v>
      </c>
      <c r="C773">
        <v>2001</v>
      </c>
    </row>
    <row r="774" spans="1:11" x14ac:dyDescent="0.25">
      <c r="A774">
        <v>99.781491987775595</v>
      </c>
      <c r="B774">
        <v>68.043752131533907</v>
      </c>
      <c r="C774">
        <v>2001</v>
      </c>
    </row>
    <row r="775" spans="1:11" x14ac:dyDescent="0.25">
      <c r="A775">
        <v>125.812782848175</v>
      </c>
      <c r="B775">
        <v>94.075042991933401</v>
      </c>
      <c r="C775">
        <v>2001</v>
      </c>
    </row>
    <row r="776" spans="1:11" x14ac:dyDescent="0.25">
      <c r="A776">
        <v>132.01256183974601</v>
      </c>
      <c r="B776">
        <v>100.274821983504</v>
      </c>
      <c r="C776">
        <v>2001</v>
      </c>
    </row>
    <row r="777" spans="1:11" x14ac:dyDescent="0.25">
      <c r="A777">
        <v>150</v>
      </c>
      <c r="B777">
        <v>118.262260143758</v>
      </c>
      <c r="C777">
        <v>2001</v>
      </c>
    </row>
    <row r="778" spans="1:11" x14ac:dyDescent="0.25">
      <c r="A778">
        <v>150</v>
      </c>
      <c r="B778">
        <v>117.38822809486101</v>
      </c>
      <c r="C778">
        <v>2000</v>
      </c>
    </row>
    <row r="779" spans="1:11" x14ac:dyDescent="0.25">
      <c r="A779">
        <v>132.33694992163501</v>
      </c>
      <c r="B779">
        <v>99.725178016496002</v>
      </c>
      <c r="C779">
        <v>2000</v>
      </c>
    </row>
    <row r="780" spans="1:11" x14ac:dyDescent="0.25">
      <c r="A780" t="s">
        <v>84</v>
      </c>
    </row>
    <row r="781" spans="1:11" x14ac:dyDescent="0.25">
      <c r="A781">
        <v>859</v>
      </c>
      <c r="B781">
        <v>0</v>
      </c>
      <c r="C781">
        <v>72.228530569513097</v>
      </c>
      <c r="D781">
        <v>2.4966427452465298</v>
      </c>
      <c r="E781">
        <v>10</v>
      </c>
      <c r="F781">
        <v>1.01722196789785</v>
      </c>
      <c r="G781" t="s">
        <v>82</v>
      </c>
      <c r="H781" t="s">
        <v>81</v>
      </c>
      <c r="I781">
        <v>0</v>
      </c>
      <c r="J781">
        <v>934</v>
      </c>
      <c r="K781">
        <v>0.103818452298958</v>
      </c>
    </row>
    <row r="782" spans="1:11" x14ac:dyDescent="0.25">
      <c r="A782" t="s">
        <v>83</v>
      </c>
    </row>
    <row r="783" spans="1:11" x14ac:dyDescent="0.25">
      <c r="A783">
        <v>79.115767957226396</v>
      </c>
      <c r="B783">
        <v>50.854775748618103</v>
      </c>
      <c r="C783">
        <v>2000</v>
      </c>
    </row>
    <row r="784" spans="1:11" x14ac:dyDescent="0.25">
      <c r="A784">
        <v>78.042484196383896</v>
      </c>
      <c r="B784">
        <v>49.781491987775603</v>
      </c>
      <c r="C784">
        <v>2000</v>
      </c>
    </row>
    <row r="785" spans="1:11" x14ac:dyDescent="0.25">
      <c r="A785">
        <v>50.340103246787997</v>
      </c>
      <c r="B785">
        <v>22.0791110381797</v>
      </c>
      <c r="C785">
        <v>2000</v>
      </c>
    </row>
    <row r="786" spans="1:11" x14ac:dyDescent="0.25">
      <c r="A786">
        <v>28.2609922086083</v>
      </c>
      <c r="B786">
        <v>0</v>
      </c>
      <c r="C786">
        <v>2000</v>
      </c>
    </row>
    <row r="787" spans="1:11" x14ac:dyDescent="0.25">
      <c r="A787">
        <v>27.3869601597107</v>
      </c>
      <c r="B787">
        <v>0</v>
      </c>
      <c r="C787">
        <v>2001</v>
      </c>
    </row>
    <row r="788" spans="1:11" x14ac:dyDescent="0.25">
      <c r="A788">
        <v>49.659896753212003</v>
      </c>
      <c r="B788">
        <v>22.272936593501299</v>
      </c>
      <c r="C788">
        <v>2001</v>
      </c>
    </row>
    <row r="789" spans="1:11" x14ac:dyDescent="0.25">
      <c r="A789">
        <v>77.605468171935101</v>
      </c>
      <c r="B789">
        <v>50.218508012224397</v>
      </c>
      <c r="C789">
        <v>2001</v>
      </c>
    </row>
    <row r="790" spans="1:11" x14ac:dyDescent="0.25">
      <c r="A790">
        <v>78.678751932777601</v>
      </c>
      <c r="B790">
        <v>51.291791773066898</v>
      </c>
      <c r="C790">
        <v>2001</v>
      </c>
    </row>
    <row r="791" spans="1:11" x14ac:dyDescent="0.25">
      <c r="A791">
        <v>80.444144948141698</v>
      </c>
      <c r="B791">
        <v>53.057184788431002</v>
      </c>
      <c r="C791">
        <v>2001</v>
      </c>
    </row>
    <row r="792" spans="1:11" x14ac:dyDescent="0.25">
      <c r="A792">
        <v>80.881160972590493</v>
      </c>
      <c r="B792">
        <v>52.6201687639821</v>
      </c>
      <c r="C792">
        <v>2000</v>
      </c>
    </row>
    <row r="793" spans="1:11" x14ac:dyDescent="0.25">
      <c r="A793" t="s">
        <v>84</v>
      </c>
    </row>
    <row r="794" spans="1:11" x14ac:dyDescent="0.25">
      <c r="A794">
        <v>822</v>
      </c>
      <c r="B794">
        <v>0</v>
      </c>
      <c r="C794">
        <v>73.8960552875361</v>
      </c>
      <c r="D794">
        <v>0.70460121327275305</v>
      </c>
      <c r="E794">
        <v>10</v>
      </c>
      <c r="F794">
        <v>1.01722196789785</v>
      </c>
      <c r="G794" t="s">
        <v>82</v>
      </c>
      <c r="H794" t="s">
        <v>81</v>
      </c>
      <c r="I794">
        <v>0</v>
      </c>
      <c r="J794">
        <v>752</v>
      </c>
      <c r="K794">
        <v>0.10299214925957</v>
      </c>
    </row>
    <row r="795" spans="1:11" x14ac:dyDescent="0.25">
      <c r="A795" t="s">
        <v>83</v>
      </c>
    </row>
    <row r="796" spans="1:11" x14ac:dyDescent="0.25">
      <c r="A796">
        <v>52.206836684707802</v>
      </c>
      <c r="B796">
        <v>52.470909808977197</v>
      </c>
      <c r="C796">
        <v>2000</v>
      </c>
    </row>
    <row r="797" spans="1:11" x14ac:dyDescent="0.25">
      <c r="A797">
        <v>49.954434887955003</v>
      </c>
      <c r="B797">
        <v>50.218508012224397</v>
      </c>
      <c r="C797">
        <v>2000</v>
      </c>
    </row>
    <row r="798" spans="1:11" x14ac:dyDescent="0.25">
      <c r="A798">
        <v>49.781491987775603</v>
      </c>
      <c r="B798">
        <v>50.045565112044997</v>
      </c>
      <c r="C798">
        <v>2000</v>
      </c>
    </row>
    <row r="799" spans="1:11" x14ac:dyDescent="0.25">
      <c r="A799">
        <v>-4.5565112045054E-2</v>
      </c>
      <c r="B799">
        <v>0.21850801222441099</v>
      </c>
      <c r="C799">
        <v>2000</v>
      </c>
    </row>
    <row r="800" spans="1:11" x14ac:dyDescent="0.25">
      <c r="A800">
        <v>0.60995892462818102</v>
      </c>
      <c r="B800">
        <v>0</v>
      </c>
      <c r="C800">
        <v>2001</v>
      </c>
    </row>
    <row r="801" spans="1:11" x14ac:dyDescent="0.25">
      <c r="A801">
        <v>50.219263800411298</v>
      </c>
      <c r="B801">
        <v>49.609304875783103</v>
      </c>
      <c r="C801">
        <v>2001</v>
      </c>
    </row>
    <row r="802" spans="1:11" x14ac:dyDescent="0.25">
      <c r="A802">
        <v>50.391450912403798</v>
      </c>
      <c r="B802">
        <v>49.781491987775603</v>
      </c>
      <c r="C802">
        <v>2001</v>
      </c>
    </row>
    <row r="803" spans="1:11" x14ac:dyDescent="0.25">
      <c r="A803">
        <v>52.643852709156597</v>
      </c>
      <c r="B803">
        <v>52.033893784528402</v>
      </c>
      <c r="C803">
        <v>2001</v>
      </c>
    </row>
    <row r="804" spans="1:11" x14ac:dyDescent="0.25">
      <c r="A804">
        <v>53.142081005093999</v>
      </c>
      <c r="B804">
        <v>52.532122080465797</v>
      </c>
      <c r="C804">
        <v>2001</v>
      </c>
    </row>
    <row r="805" spans="1:11" x14ac:dyDescent="0.25">
      <c r="A805">
        <v>52.705064980645197</v>
      </c>
      <c r="B805">
        <v>52.969138104914599</v>
      </c>
      <c r="C805">
        <v>2000</v>
      </c>
    </row>
    <row r="806" spans="1:11" x14ac:dyDescent="0.25">
      <c r="A806" t="s">
        <v>84</v>
      </c>
    </row>
    <row r="807" spans="1:11" x14ac:dyDescent="0.25">
      <c r="A807">
        <v>945</v>
      </c>
      <c r="B807">
        <v>0</v>
      </c>
      <c r="C807">
        <v>13.583798840183199</v>
      </c>
      <c r="D807">
        <v>60.2310579957648</v>
      </c>
      <c r="E807">
        <v>10</v>
      </c>
      <c r="F807">
        <v>1.01722196789785</v>
      </c>
      <c r="G807" t="s">
        <v>82</v>
      </c>
      <c r="H807" t="s">
        <v>81</v>
      </c>
      <c r="I807">
        <v>0</v>
      </c>
      <c r="J807">
        <v>934</v>
      </c>
      <c r="K807">
        <v>0.106443073044999</v>
      </c>
    </row>
    <row r="808" spans="1:11" x14ac:dyDescent="0.25">
      <c r="A808" t="s">
        <v>83</v>
      </c>
    </row>
    <row r="809" spans="1:11" x14ac:dyDescent="0.25">
      <c r="A809">
        <v>39.053094146100399</v>
      </c>
      <c r="B809">
        <v>9.5047200271049199</v>
      </c>
      <c r="C809">
        <v>2000</v>
      </c>
    </row>
    <row r="810" spans="1:11" x14ac:dyDescent="0.25">
      <c r="A810">
        <v>29.5483741189955</v>
      </c>
      <c r="B810">
        <v>0</v>
      </c>
      <c r="C810">
        <v>2000</v>
      </c>
    </row>
    <row r="811" spans="1:11" x14ac:dyDescent="0.25">
      <c r="A811">
        <v>28.674342070097801</v>
      </c>
      <c r="B811">
        <v>0</v>
      </c>
      <c r="C811">
        <v>2001</v>
      </c>
    </row>
    <row r="812" spans="1:11" x14ac:dyDescent="0.25">
      <c r="A812">
        <v>38.3800145913279</v>
      </c>
      <c r="B812">
        <v>9.7056725212300403</v>
      </c>
      <c r="C812">
        <v>2001</v>
      </c>
    </row>
    <row r="813" spans="1:11" x14ac:dyDescent="0.25">
      <c r="A813">
        <v>49.781491987775603</v>
      </c>
      <c r="B813">
        <v>21.107149917677798</v>
      </c>
      <c r="C813">
        <v>2001</v>
      </c>
    </row>
    <row r="814" spans="1:11" x14ac:dyDescent="0.25">
      <c r="A814">
        <v>78.892850082322298</v>
      </c>
      <c r="B814">
        <v>50.218508012224397</v>
      </c>
      <c r="C814">
        <v>2001</v>
      </c>
    </row>
    <row r="815" spans="1:11" x14ac:dyDescent="0.25">
      <c r="A815">
        <v>81.087835903335204</v>
      </c>
      <c r="B815">
        <v>52.413493833237403</v>
      </c>
      <c r="C815">
        <v>2001</v>
      </c>
    </row>
    <row r="816" spans="1:11" x14ac:dyDescent="0.25">
      <c r="A816">
        <v>81.524851927783999</v>
      </c>
      <c r="B816">
        <v>51.976477808788601</v>
      </c>
      <c r="C816">
        <v>2000</v>
      </c>
    </row>
    <row r="817" spans="1:11" x14ac:dyDescent="0.25">
      <c r="A817">
        <v>79.329866106771107</v>
      </c>
      <c r="B817">
        <v>49.781491987775603</v>
      </c>
      <c r="C817">
        <v>2000</v>
      </c>
    </row>
    <row r="818" spans="1:11" x14ac:dyDescent="0.25">
      <c r="A818">
        <v>50.218508012224397</v>
      </c>
      <c r="B818">
        <v>20.6701338932289</v>
      </c>
      <c r="C818">
        <v>2000</v>
      </c>
    </row>
    <row r="819" spans="1:11" x14ac:dyDescent="0.25">
      <c r="A819" t="s">
        <v>84</v>
      </c>
    </row>
    <row r="820" spans="1:11" x14ac:dyDescent="0.25">
      <c r="A820">
        <v>812</v>
      </c>
      <c r="B820">
        <v>0</v>
      </c>
      <c r="C820">
        <v>21.2809896082024</v>
      </c>
      <c r="D820">
        <v>52.472255210843798</v>
      </c>
      <c r="E820">
        <v>10</v>
      </c>
      <c r="F820">
        <v>1.01722196789785</v>
      </c>
      <c r="G820" t="s">
        <v>82</v>
      </c>
      <c r="H820" t="s">
        <v>81</v>
      </c>
      <c r="I820">
        <v>0</v>
      </c>
      <c r="J820">
        <v>947</v>
      </c>
      <c r="K820">
        <v>0.102777870221907</v>
      </c>
    </row>
    <row r="821" spans="1:11" x14ac:dyDescent="0.25">
      <c r="A821" t="s">
        <v>83</v>
      </c>
    </row>
    <row r="822" spans="1:11" x14ac:dyDescent="0.25">
      <c r="A822">
        <v>16.788695671587</v>
      </c>
      <c r="B822">
        <v>14.980315653696801</v>
      </c>
      <c r="C822">
        <v>2000</v>
      </c>
    </row>
    <row r="823" spans="1:11" x14ac:dyDescent="0.25">
      <c r="A823">
        <v>1.8083800178901901</v>
      </c>
      <c r="B823">
        <v>0</v>
      </c>
      <c r="C823">
        <v>2000</v>
      </c>
    </row>
    <row r="824" spans="1:11" x14ac:dyDescent="0.25">
      <c r="A824">
        <v>0.93434796899254702</v>
      </c>
      <c r="B824">
        <v>0</v>
      </c>
      <c r="C824">
        <v>2001</v>
      </c>
    </row>
    <row r="825" spans="1:11" x14ac:dyDescent="0.25">
      <c r="A825">
        <v>16.0498964399365</v>
      </c>
      <c r="B825">
        <v>15.115548470943899</v>
      </c>
      <c r="C825">
        <v>2001</v>
      </c>
    </row>
    <row r="826" spans="1:11" x14ac:dyDescent="0.25">
      <c r="A826">
        <v>49.781491987775603</v>
      </c>
      <c r="B826">
        <v>48.847144018782998</v>
      </c>
      <c r="C826">
        <v>2001</v>
      </c>
    </row>
    <row r="827" spans="1:11" x14ac:dyDescent="0.25">
      <c r="A827">
        <v>51.152855981217002</v>
      </c>
      <c r="B827">
        <v>50.218508012224397</v>
      </c>
      <c r="C827">
        <v>2001</v>
      </c>
    </row>
    <row r="828" spans="1:11" x14ac:dyDescent="0.25">
      <c r="A828">
        <v>53.304275527276197</v>
      </c>
      <c r="B828">
        <v>52.369927558283599</v>
      </c>
      <c r="C828">
        <v>2001</v>
      </c>
    </row>
    <row r="829" spans="1:11" x14ac:dyDescent="0.25">
      <c r="A829">
        <v>53.741291551724998</v>
      </c>
      <c r="B829">
        <v>51.932911533834798</v>
      </c>
      <c r="C829">
        <v>2000</v>
      </c>
    </row>
    <row r="830" spans="1:11" x14ac:dyDescent="0.25">
      <c r="A830">
        <v>51.589872005665796</v>
      </c>
      <c r="B830">
        <v>49.781491987775603</v>
      </c>
      <c r="C830">
        <v>2000</v>
      </c>
    </row>
    <row r="831" spans="1:11" x14ac:dyDescent="0.25">
      <c r="A831">
        <v>50.218508012224397</v>
      </c>
      <c r="B831">
        <v>48.410127994334204</v>
      </c>
      <c r="C831">
        <v>2000</v>
      </c>
    </row>
    <row r="832" spans="1:11" x14ac:dyDescent="0.25">
      <c r="A832" t="s">
        <v>84</v>
      </c>
    </row>
    <row r="833" spans="1:11" x14ac:dyDescent="0.25">
      <c r="A833">
        <v>502</v>
      </c>
      <c r="B833">
        <v>0</v>
      </c>
      <c r="C833">
        <v>23.219748097964999</v>
      </c>
      <c r="D833">
        <v>50.399695331786397</v>
      </c>
      <c r="E833">
        <v>10</v>
      </c>
      <c r="F833">
        <v>1.01722196789785</v>
      </c>
      <c r="G833" t="s">
        <v>82</v>
      </c>
      <c r="H833" t="s">
        <v>82</v>
      </c>
      <c r="I833">
        <v>0</v>
      </c>
      <c r="J833">
        <v>0</v>
      </c>
      <c r="K833">
        <v>0</v>
      </c>
    </row>
    <row r="834" spans="1:11" x14ac:dyDescent="0.25">
      <c r="A834" t="s">
        <v>83</v>
      </c>
    </row>
    <row r="835" spans="1:11" x14ac:dyDescent="0.25">
      <c r="A835">
        <v>114.071326807783</v>
      </c>
      <c r="B835">
        <v>16.565150508588001</v>
      </c>
      <c r="C835">
        <v>2000</v>
      </c>
    </row>
    <row r="836" spans="1:11" x14ac:dyDescent="0.25">
      <c r="A836">
        <v>99.590356732717794</v>
      </c>
      <c r="B836">
        <v>2.0841804335232599</v>
      </c>
      <c r="C836">
        <v>2000</v>
      </c>
    </row>
    <row r="837" spans="1:11" x14ac:dyDescent="0.25">
      <c r="A837">
        <v>97.506176299194493</v>
      </c>
      <c r="B837">
        <v>0</v>
      </c>
      <c r="C837">
        <v>2000</v>
      </c>
    </row>
    <row r="838" spans="1:11" x14ac:dyDescent="0.25">
      <c r="A838">
        <v>98.380208348092097</v>
      </c>
      <c r="B838">
        <v>0</v>
      </c>
      <c r="C838">
        <v>2001</v>
      </c>
    </row>
    <row r="839" spans="1:11" x14ac:dyDescent="0.25">
      <c r="A839">
        <v>100.40964326728199</v>
      </c>
      <c r="B839">
        <v>2.02943491919007</v>
      </c>
      <c r="C839">
        <v>2001</v>
      </c>
    </row>
    <row r="840" spans="1:11" x14ac:dyDescent="0.25">
      <c r="A840">
        <v>114.65274051453299</v>
      </c>
      <c r="B840">
        <v>16.272532166441</v>
      </c>
      <c r="C840">
        <v>2001</v>
      </c>
    </row>
    <row r="841" spans="1:11" x14ac:dyDescent="0.25">
      <c r="A841">
        <v>147.95580328333199</v>
      </c>
      <c r="B841">
        <v>49.575594935239899</v>
      </c>
      <c r="C841">
        <v>2001</v>
      </c>
    </row>
    <row r="842" spans="1:11" x14ac:dyDescent="0.25">
      <c r="A842">
        <v>150</v>
      </c>
      <c r="B842">
        <v>51.619791651907803</v>
      </c>
      <c r="C842">
        <v>2001</v>
      </c>
    </row>
    <row r="843" spans="1:11" x14ac:dyDescent="0.25">
      <c r="A843">
        <v>150</v>
      </c>
      <c r="B843">
        <v>52.4938237008055</v>
      </c>
      <c r="C843">
        <v>2000</v>
      </c>
    </row>
    <row r="844" spans="1:11" x14ac:dyDescent="0.25">
      <c r="A844">
        <v>147.93058136395501</v>
      </c>
      <c r="B844">
        <v>50.424405064760002</v>
      </c>
      <c r="C844">
        <v>2000</v>
      </c>
    </row>
    <row r="845" spans="1:11" x14ac:dyDescent="0.25">
      <c r="A845" t="s">
        <v>84</v>
      </c>
    </row>
    <row r="846" spans="1:11" x14ac:dyDescent="0.25">
      <c r="A846">
        <v>870</v>
      </c>
      <c r="B846">
        <v>0</v>
      </c>
      <c r="C846">
        <v>72.238932049530902</v>
      </c>
      <c r="D846">
        <v>0.990547206909838</v>
      </c>
      <c r="E846">
        <v>10</v>
      </c>
      <c r="F846">
        <v>1.01722196789785</v>
      </c>
      <c r="G846" t="s">
        <v>82</v>
      </c>
      <c r="H846" t="s">
        <v>81</v>
      </c>
      <c r="I846">
        <v>0</v>
      </c>
      <c r="J846">
        <v>883</v>
      </c>
      <c r="K846">
        <v>0.104210552406962</v>
      </c>
    </row>
    <row r="847" spans="1:11" x14ac:dyDescent="0.25">
      <c r="A847" t="s">
        <v>83</v>
      </c>
    </row>
    <row r="848" spans="1:11" x14ac:dyDescent="0.25">
      <c r="A848">
        <v>50.862130705673103</v>
      </c>
      <c r="B848">
        <v>144.73919433203</v>
      </c>
      <c r="C848">
        <v>2000</v>
      </c>
    </row>
    <row r="849" spans="1:11" x14ac:dyDescent="0.25">
      <c r="A849">
        <v>49.781491987775603</v>
      </c>
      <c r="B849">
        <v>143.65855561413301</v>
      </c>
      <c r="C849">
        <v>2000</v>
      </c>
    </row>
    <row r="850" spans="1:11" x14ac:dyDescent="0.25">
      <c r="A850">
        <v>6.5312843549156101</v>
      </c>
      <c r="B850">
        <v>100.408347981273</v>
      </c>
      <c r="C850">
        <v>2000</v>
      </c>
    </row>
    <row r="851" spans="1:11" x14ac:dyDescent="0.25">
      <c r="A851">
        <v>0</v>
      </c>
      <c r="B851">
        <v>93.877063626357298</v>
      </c>
      <c r="C851">
        <v>2000</v>
      </c>
    </row>
    <row r="852" spans="1:11" x14ac:dyDescent="0.25">
      <c r="A852">
        <v>0</v>
      </c>
      <c r="B852">
        <v>93.003031577459694</v>
      </c>
      <c r="C852">
        <v>2001</v>
      </c>
    </row>
    <row r="853" spans="1:11" x14ac:dyDescent="0.25">
      <c r="A853">
        <v>6.5886204412673601</v>
      </c>
      <c r="B853">
        <v>99.591652018727004</v>
      </c>
      <c r="C853">
        <v>2001</v>
      </c>
    </row>
    <row r="854" spans="1:11" x14ac:dyDescent="0.25">
      <c r="A854">
        <v>50.218508012224397</v>
      </c>
      <c r="B854">
        <v>143.221539589684</v>
      </c>
      <c r="C854">
        <v>2001</v>
      </c>
    </row>
    <row r="855" spans="1:11" x14ac:dyDescent="0.25">
      <c r="A855">
        <v>51.299146730121898</v>
      </c>
      <c r="B855">
        <v>144.30217830758201</v>
      </c>
      <c r="C855">
        <v>2001</v>
      </c>
    </row>
    <row r="856" spans="1:11" x14ac:dyDescent="0.25">
      <c r="A856">
        <v>51.999569377213298</v>
      </c>
      <c r="B856">
        <v>145.002600954673</v>
      </c>
      <c r="C856">
        <v>2001</v>
      </c>
    </row>
    <row r="857" spans="1:11" x14ac:dyDescent="0.25">
      <c r="A857">
        <v>51.562553352764503</v>
      </c>
      <c r="B857">
        <v>145.43961697912201</v>
      </c>
      <c r="C857">
        <v>2000</v>
      </c>
    </row>
    <row r="858" spans="1:11" x14ac:dyDescent="0.25">
      <c r="A858" t="s">
        <v>84</v>
      </c>
    </row>
    <row r="859" spans="1:11" x14ac:dyDescent="0.25">
      <c r="A859">
        <v>597</v>
      </c>
      <c r="B859">
        <v>0</v>
      </c>
      <c r="C859">
        <v>5.9862393696047302</v>
      </c>
      <c r="D859">
        <v>67.067661281733194</v>
      </c>
      <c r="E859">
        <v>10</v>
      </c>
      <c r="F859">
        <v>1.01722196789785</v>
      </c>
      <c r="G859" t="s">
        <v>81</v>
      </c>
      <c r="H859" t="s">
        <v>82</v>
      </c>
      <c r="I859">
        <v>671</v>
      </c>
      <c r="J859">
        <v>0</v>
      </c>
      <c r="K859">
        <v>0</v>
      </c>
    </row>
    <row r="860" spans="1:11" x14ac:dyDescent="0.25">
      <c r="A860" t="s">
        <v>83</v>
      </c>
    </row>
    <row r="861" spans="1:11" x14ac:dyDescent="0.25">
      <c r="A861">
        <v>102.36820147588099</v>
      </c>
      <c r="B861">
        <v>76.480786541811</v>
      </c>
      <c r="C861">
        <v>2000</v>
      </c>
    </row>
    <row r="862" spans="1:11" x14ac:dyDescent="0.25">
      <c r="A862">
        <v>99.781491987775595</v>
      </c>
      <c r="B862">
        <v>73.894077053705402</v>
      </c>
      <c r="C862">
        <v>2000</v>
      </c>
    </row>
    <row r="863" spans="1:11" x14ac:dyDescent="0.25">
      <c r="A863">
        <v>98.124583445086202</v>
      </c>
      <c r="B863">
        <v>72.237168511016094</v>
      </c>
      <c r="C863">
        <v>2000</v>
      </c>
    </row>
    <row r="864" spans="1:11" x14ac:dyDescent="0.25">
      <c r="A864">
        <v>98.561599469534997</v>
      </c>
      <c r="B864">
        <v>71.800152486567299</v>
      </c>
      <c r="C864">
        <v>2001</v>
      </c>
    </row>
    <row r="865" spans="1:11" x14ac:dyDescent="0.25">
      <c r="A865">
        <v>100.21850801222401</v>
      </c>
      <c r="B865">
        <v>73.457061029256593</v>
      </c>
      <c r="C865">
        <v>2001</v>
      </c>
    </row>
    <row r="866" spans="1:11" x14ac:dyDescent="0.25">
      <c r="A866">
        <v>102.783802342847</v>
      </c>
      <c r="B866">
        <v>76.022355359879199</v>
      </c>
      <c r="C866">
        <v>2001</v>
      </c>
    </row>
    <row r="867" spans="1:11" x14ac:dyDescent="0.25">
      <c r="A867">
        <v>126.433517111897</v>
      </c>
      <c r="B867">
        <v>99.672070128929704</v>
      </c>
      <c r="C867">
        <v>2001</v>
      </c>
    </row>
    <row r="868" spans="1:11" x14ac:dyDescent="0.25">
      <c r="A868">
        <v>150</v>
      </c>
      <c r="B868">
        <v>123.238553017032</v>
      </c>
      <c r="C868">
        <v>2001</v>
      </c>
    </row>
    <row r="869" spans="1:11" x14ac:dyDescent="0.25">
      <c r="A869">
        <v>150</v>
      </c>
      <c r="B869">
        <v>124.11258506593001</v>
      </c>
      <c r="C869">
        <v>2000</v>
      </c>
    </row>
    <row r="870" spans="1:11" x14ac:dyDescent="0.25">
      <c r="A870">
        <v>126.21534480514001</v>
      </c>
      <c r="B870">
        <v>100.32792987107</v>
      </c>
      <c r="C870">
        <v>2000</v>
      </c>
    </row>
    <row r="871" spans="1:11" x14ac:dyDescent="0.25">
      <c r="A871" t="s">
        <v>84</v>
      </c>
    </row>
    <row r="872" spans="1:11" x14ac:dyDescent="0.25">
      <c r="A872">
        <v>1015</v>
      </c>
      <c r="B872">
        <v>0</v>
      </c>
      <c r="C872">
        <v>61.9236391100549</v>
      </c>
      <c r="D872">
        <v>10.909105399121801</v>
      </c>
      <c r="E872">
        <v>10</v>
      </c>
      <c r="F872">
        <v>1.01722196789785</v>
      </c>
      <c r="G872" t="s">
        <v>82</v>
      </c>
      <c r="H872" t="s">
        <v>81</v>
      </c>
      <c r="I872">
        <v>0</v>
      </c>
      <c r="J872">
        <v>947</v>
      </c>
      <c r="K872">
        <v>0.111250480700389</v>
      </c>
    </row>
    <row r="873" spans="1:11" x14ac:dyDescent="0.25">
      <c r="A873" t="s">
        <v>83</v>
      </c>
    </row>
    <row r="874" spans="1:11" x14ac:dyDescent="0.25">
      <c r="A874">
        <v>46.224919911429403</v>
      </c>
      <c r="B874">
        <v>43.988787920050697</v>
      </c>
      <c r="C874">
        <v>2000</v>
      </c>
    </row>
    <row r="875" spans="1:11" x14ac:dyDescent="0.25">
      <c r="A875">
        <v>2.2361319913786302</v>
      </c>
      <c r="B875">
        <v>0</v>
      </c>
      <c r="C875">
        <v>2000</v>
      </c>
    </row>
    <row r="876" spans="1:11" x14ac:dyDescent="0.25">
      <c r="A876">
        <v>3.1101640402762798</v>
      </c>
      <c r="B876">
        <v>0</v>
      </c>
      <c r="C876">
        <v>2001</v>
      </c>
    </row>
    <row r="877" spans="1:11" x14ac:dyDescent="0.25">
      <c r="A877">
        <v>46.694626381162202</v>
      </c>
      <c r="B877">
        <v>43.584462340885899</v>
      </c>
      <c r="C877">
        <v>2001</v>
      </c>
    </row>
    <row r="878" spans="1:11" x14ac:dyDescent="0.25">
      <c r="A878">
        <v>50.218508012224397</v>
      </c>
      <c r="B878">
        <v>47.108343971948102</v>
      </c>
      <c r="C878">
        <v>2001</v>
      </c>
    </row>
    <row r="879" spans="1:11" x14ac:dyDescent="0.25">
      <c r="A879">
        <v>52.891656028051898</v>
      </c>
      <c r="B879">
        <v>49.781491987775603</v>
      </c>
      <c r="C879">
        <v>2001</v>
      </c>
    </row>
    <row r="880" spans="1:11" x14ac:dyDescent="0.25">
      <c r="A880">
        <v>54.392183562918099</v>
      </c>
      <c r="B880">
        <v>51.282019522641797</v>
      </c>
      <c r="C880">
        <v>2001</v>
      </c>
    </row>
    <row r="881" spans="1:11" x14ac:dyDescent="0.25">
      <c r="A881">
        <v>53.955167538469198</v>
      </c>
      <c r="B881">
        <v>51.719035547090598</v>
      </c>
      <c r="C881">
        <v>2000</v>
      </c>
    </row>
    <row r="882" spans="1:11" x14ac:dyDescent="0.25">
      <c r="A882">
        <v>52.454640003603103</v>
      </c>
      <c r="B882">
        <v>50.218508012224397</v>
      </c>
      <c r="C882">
        <v>2000</v>
      </c>
    </row>
    <row r="883" spans="1:11" x14ac:dyDescent="0.25">
      <c r="A883">
        <v>49.781491987775603</v>
      </c>
      <c r="B883">
        <v>47.545359996396897</v>
      </c>
      <c r="C883">
        <v>2000</v>
      </c>
    </row>
    <row r="884" spans="1:11" x14ac:dyDescent="0.25">
      <c r="A884" t="s">
        <v>84</v>
      </c>
    </row>
    <row r="885" spans="1:11" x14ac:dyDescent="0.25">
      <c r="A885">
        <v>810</v>
      </c>
      <c r="B885">
        <v>0</v>
      </c>
      <c r="C885">
        <v>4.4995092402525598</v>
      </c>
      <c r="D885">
        <v>67.505589790678002</v>
      </c>
      <c r="E885">
        <v>10</v>
      </c>
      <c r="F885">
        <v>1.01722196789785</v>
      </c>
      <c r="G885" t="s">
        <v>81</v>
      </c>
      <c r="H885" t="s">
        <v>82</v>
      </c>
      <c r="I885">
        <v>763</v>
      </c>
      <c r="J885">
        <v>0</v>
      </c>
      <c r="K885">
        <v>0.102777870221907</v>
      </c>
    </row>
    <row r="886" spans="1:11" x14ac:dyDescent="0.25">
      <c r="A886" t="s">
        <v>83</v>
      </c>
    </row>
    <row r="887" spans="1:11" x14ac:dyDescent="0.25">
      <c r="A887">
        <v>11.5657271870553</v>
      </c>
      <c r="B887">
        <v>102.057631726349</v>
      </c>
      <c r="C887">
        <v>2000</v>
      </c>
    </row>
    <row r="888" spans="1:11" x14ac:dyDescent="0.25">
      <c r="A888">
        <v>9.2895874484814307</v>
      </c>
      <c r="B888">
        <v>99.781491987775595</v>
      </c>
      <c r="C888">
        <v>2000</v>
      </c>
    </row>
    <row r="889" spans="1:11" x14ac:dyDescent="0.25">
      <c r="A889">
        <v>8.3742936437015008</v>
      </c>
      <c r="B889">
        <v>98.866198182995703</v>
      </c>
      <c r="C889">
        <v>2000</v>
      </c>
    </row>
    <row r="890" spans="1:11" x14ac:dyDescent="0.25">
      <c r="A890">
        <v>7.9372776192526802</v>
      </c>
      <c r="B890">
        <v>99.303214207444498</v>
      </c>
      <c r="C890">
        <v>2001</v>
      </c>
    </row>
    <row r="891" spans="1:11" x14ac:dyDescent="0.25">
      <c r="A891">
        <v>8.8525714240326092</v>
      </c>
      <c r="B891">
        <v>100.21850801222401</v>
      </c>
      <c r="C891">
        <v>2001</v>
      </c>
    </row>
    <row r="892" spans="1:11" x14ac:dyDescent="0.25">
      <c r="A892">
        <v>11.109111067487101</v>
      </c>
      <c r="B892">
        <v>102.47504765567901</v>
      </c>
      <c r="C892">
        <v>2001</v>
      </c>
    </row>
    <row r="893" spans="1:11" x14ac:dyDescent="0.25">
      <c r="A893">
        <v>49.604508206534398</v>
      </c>
      <c r="B893">
        <v>140.97044479472601</v>
      </c>
      <c r="C893">
        <v>2001</v>
      </c>
    </row>
    <row r="894" spans="1:11" x14ac:dyDescent="0.25">
      <c r="A894">
        <v>58.634063411808199</v>
      </c>
      <c r="B894">
        <v>150</v>
      </c>
      <c r="C894">
        <v>2001</v>
      </c>
    </row>
    <row r="895" spans="1:11" x14ac:dyDescent="0.25">
      <c r="A895">
        <v>59.508095460705903</v>
      </c>
      <c r="B895">
        <v>150</v>
      </c>
      <c r="C895">
        <v>2000</v>
      </c>
    </row>
    <row r="896" spans="1:11" x14ac:dyDescent="0.25">
      <c r="A896">
        <v>50.395491793465602</v>
      </c>
      <c r="B896">
        <v>140.88739633276001</v>
      </c>
      <c r="C896">
        <v>2000</v>
      </c>
    </row>
    <row r="897" spans="1:11" x14ac:dyDescent="0.25">
      <c r="A897" t="s">
        <v>84</v>
      </c>
    </row>
    <row r="898" spans="1:11" x14ac:dyDescent="0.25">
      <c r="A898">
        <v>947</v>
      </c>
      <c r="B898">
        <v>0</v>
      </c>
      <c r="C898">
        <v>35.777304783274502</v>
      </c>
      <c r="D898">
        <v>35.902946054242499</v>
      </c>
      <c r="E898">
        <v>10</v>
      </c>
      <c r="F898">
        <v>1.01722196789785</v>
      </c>
      <c r="G898" t="s">
        <v>81</v>
      </c>
      <c r="H898" t="s">
        <v>81</v>
      </c>
      <c r="I898">
        <v>1015</v>
      </c>
      <c r="J898">
        <v>988</v>
      </c>
      <c r="K898">
        <v>0.106443073044999</v>
      </c>
    </row>
    <row r="899" spans="1:11" x14ac:dyDescent="0.25">
      <c r="A899" t="s">
        <v>83</v>
      </c>
    </row>
    <row r="900" spans="1:11" x14ac:dyDescent="0.25">
      <c r="A900">
        <v>79.056884940279005</v>
      </c>
      <c r="B900">
        <v>77.214067794943503</v>
      </c>
      <c r="C900">
        <v>2000</v>
      </c>
    </row>
    <row r="901" spans="1:11" x14ac:dyDescent="0.25">
      <c r="A901">
        <v>53.758510115447599</v>
      </c>
      <c r="B901">
        <v>51.915692970112197</v>
      </c>
      <c r="C901">
        <v>2000</v>
      </c>
    </row>
    <row r="902" spans="1:11" x14ac:dyDescent="0.25">
      <c r="A902">
        <v>54.195526139896501</v>
      </c>
      <c r="B902">
        <v>51.478676945663302</v>
      </c>
      <c r="C902">
        <v>2001</v>
      </c>
    </row>
    <row r="903" spans="1:11" x14ac:dyDescent="0.25">
      <c r="A903">
        <v>79.4939009647278</v>
      </c>
      <c r="B903">
        <v>76.777051770494694</v>
      </c>
      <c r="C903">
        <v>2001</v>
      </c>
    </row>
    <row r="904" spans="1:11" x14ac:dyDescent="0.25">
      <c r="A904">
        <v>100.21850801222401</v>
      </c>
      <c r="B904">
        <v>97.501658817991299</v>
      </c>
      <c r="C904">
        <v>2001</v>
      </c>
    </row>
    <row r="905" spans="1:11" x14ac:dyDescent="0.25">
      <c r="A905">
        <v>102.498341182009</v>
      </c>
      <c r="B905">
        <v>99.781491987775595</v>
      </c>
      <c r="C905">
        <v>2001</v>
      </c>
    </row>
    <row r="906" spans="1:11" x14ac:dyDescent="0.25">
      <c r="A906">
        <v>104.881117584257</v>
      </c>
      <c r="B906">
        <v>102.16426839002401</v>
      </c>
      <c r="C906">
        <v>2001</v>
      </c>
    </row>
    <row r="907" spans="1:11" x14ac:dyDescent="0.25">
      <c r="A907">
        <v>104.444101559809</v>
      </c>
      <c r="B907">
        <v>102.601284414473</v>
      </c>
      <c r="C907">
        <v>2000</v>
      </c>
    </row>
    <row r="908" spans="1:11" x14ac:dyDescent="0.25">
      <c r="A908">
        <v>102.06132515756001</v>
      </c>
      <c r="B908">
        <v>100.21850801222401</v>
      </c>
      <c r="C908">
        <v>2000</v>
      </c>
    </row>
    <row r="909" spans="1:11" x14ac:dyDescent="0.25">
      <c r="A909">
        <v>99.781491987775595</v>
      </c>
      <c r="B909">
        <v>97.938674842440093</v>
      </c>
      <c r="C909">
        <v>2000</v>
      </c>
    </row>
    <row r="910" spans="1:11" x14ac:dyDescent="0.25">
      <c r="A910" t="s">
        <v>84</v>
      </c>
    </row>
    <row r="911" spans="1:11" x14ac:dyDescent="0.25">
      <c r="A911">
        <v>871</v>
      </c>
      <c r="B911">
        <v>0</v>
      </c>
      <c r="C911">
        <v>54.644432830546997</v>
      </c>
      <c r="D911">
        <v>16.123860712518098</v>
      </c>
      <c r="E911">
        <v>10</v>
      </c>
      <c r="F911">
        <v>1.01722196789785</v>
      </c>
      <c r="G911" t="s">
        <v>81</v>
      </c>
      <c r="H911" t="s">
        <v>81</v>
      </c>
      <c r="I911">
        <v>10</v>
      </c>
      <c r="J911">
        <v>587</v>
      </c>
      <c r="K911">
        <v>0.104210552406962</v>
      </c>
    </row>
    <row r="912" spans="1:11" x14ac:dyDescent="0.25">
      <c r="A912" t="s">
        <v>83</v>
      </c>
    </row>
    <row r="913" spans="1:11" x14ac:dyDescent="0.25">
      <c r="A913">
        <v>87.184711613308195</v>
      </c>
      <c r="B913">
        <v>41.9482058072266</v>
      </c>
      <c r="C913">
        <v>2000</v>
      </c>
    </row>
    <row r="914" spans="1:11" x14ac:dyDescent="0.25">
      <c r="A914">
        <v>50.218508012224397</v>
      </c>
      <c r="B914">
        <v>4.9820022061428304</v>
      </c>
      <c r="C914">
        <v>2000</v>
      </c>
    </row>
    <row r="915" spans="1:11" x14ac:dyDescent="0.25">
      <c r="A915">
        <v>48.545262604735598</v>
      </c>
      <c r="B915">
        <v>3.3087567986540298</v>
      </c>
      <c r="C915">
        <v>2000</v>
      </c>
    </row>
    <row r="916" spans="1:11" x14ac:dyDescent="0.25">
      <c r="A916">
        <v>48.108246580286803</v>
      </c>
      <c r="B916">
        <v>3.74577282310285</v>
      </c>
      <c r="C916">
        <v>2001</v>
      </c>
    </row>
    <row r="917" spans="1:11" x14ac:dyDescent="0.25">
      <c r="A917">
        <v>49.781491987775603</v>
      </c>
      <c r="B917">
        <v>5.4190182305916501</v>
      </c>
      <c r="C917">
        <v>2001</v>
      </c>
    </row>
    <row r="918" spans="1:11" x14ac:dyDescent="0.25">
      <c r="A918">
        <v>86.747695588859401</v>
      </c>
      <c r="B918">
        <v>42.385221831675402</v>
      </c>
      <c r="C918">
        <v>2001</v>
      </c>
    </row>
    <row r="919" spans="1:11" x14ac:dyDescent="0.25">
      <c r="A919">
        <v>94.580981769408396</v>
      </c>
      <c r="B919">
        <v>50.218508012224397</v>
      </c>
      <c r="C919">
        <v>2001</v>
      </c>
    </row>
    <row r="920" spans="1:11" x14ac:dyDescent="0.25">
      <c r="A920">
        <v>98.148986837588296</v>
      </c>
      <c r="B920">
        <v>53.786513080404397</v>
      </c>
      <c r="C920">
        <v>2001</v>
      </c>
    </row>
    <row r="921" spans="1:11" x14ac:dyDescent="0.25">
      <c r="A921">
        <v>98.586002862037105</v>
      </c>
      <c r="B921">
        <v>53.349497055955503</v>
      </c>
      <c r="C921">
        <v>2000</v>
      </c>
    </row>
    <row r="922" spans="1:11" x14ac:dyDescent="0.25">
      <c r="A922">
        <v>95.017997793857205</v>
      </c>
      <c r="B922">
        <v>49.781491987775603</v>
      </c>
      <c r="C922">
        <v>2000</v>
      </c>
    </row>
    <row r="923" spans="1:11" x14ac:dyDescent="0.25">
      <c r="A923" t="s">
        <v>84</v>
      </c>
    </row>
    <row r="924" spans="1:11" x14ac:dyDescent="0.25">
      <c r="A924">
        <v>881</v>
      </c>
      <c r="B924">
        <v>0</v>
      </c>
      <c r="C924">
        <v>63.906568221476398</v>
      </c>
      <c r="D924">
        <v>6.4916076369839901</v>
      </c>
      <c r="E924">
        <v>10</v>
      </c>
      <c r="F924">
        <v>1.01722196789785</v>
      </c>
      <c r="G924" t="s">
        <v>81</v>
      </c>
      <c r="H924" t="s">
        <v>81</v>
      </c>
      <c r="I924">
        <v>1035</v>
      </c>
      <c r="J924">
        <v>263</v>
      </c>
      <c r="K924">
        <v>0.104401248428883</v>
      </c>
    </row>
    <row r="925" spans="1:11" x14ac:dyDescent="0.25">
      <c r="A925" t="s">
        <v>83</v>
      </c>
    </row>
    <row r="926" spans="1:11" x14ac:dyDescent="0.25">
      <c r="A926">
        <v>99.041842408967895</v>
      </c>
      <c r="B926">
        <v>94.638030115807595</v>
      </c>
      <c r="C926">
        <v>2000</v>
      </c>
    </row>
    <row r="927" spans="1:11" x14ac:dyDescent="0.25">
      <c r="A927">
        <v>54.622320305384697</v>
      </c>
      <c r="B927">
        <v>50.218508012224397</v>
      </c>
      <c r="C927">
        <v>2000</v>
      </c>
    </row>
    <row r="928" spans="1:11" x14ac:dyDescent="0.25">
      <c r="A928">
        <v>53.853074657201098</v>
      </c>
      <c r="B928">
        <v>49.449262364040898</v>
      </c>
      <c r="C928">
        <v>2000</v>
      </c>
    </row>
    <row r="929" spans="1:11" x14ac:dyDescent="0.25">
      <c r="A929">
        <v>54.29009068165</v>
      </c>
      <c r="B929">
        <v>49.012246339592103</v>
      </c>
      <c r="C929">
        <v>2001</v>
      </c>
    </row>
    <row r="930" spans="1:11" x14ac:dyDescent="0.25">
      <c r="A930">
        <v>55.059336329833499</v>
      </c>
      <c r="B930">
        <v>49.781491987775603</v>
      </c>
      <c r="C930">
        <v>2001</v>
      </c>
    </row>
    <row r="931" spans="1:11" x14ac:dyDescent="0.25">
      <c r="A931">
        <v>99.478858433416704</v>
      </c>
      <c r="B931">
        <v>94.2010140913588</v>
      </c>
      <c r="C931">
        <v>2001</v>
      </c>
    </row>
    <row r="932" spans="1:11" x14ac:dyDescent="0.25">
      <c r="A932">
        <v>100.21850801222401</v>
      </c>
      <c r="B932">
        <v>94.940663670166501</v>
      </c>
      <c r="C932">
        <v>2001</v>
      </c>
    </row>
    <row r="933" spans="1:11" x14ac:dyDescent="0.25">
      <c r="A933">
        <v>104.06911821433</v>
      </c>
      <c r="B933">
        <v>98.791273872272598</v>
      </c>
      <c r="C933">
        <v>2001</v>
      </c>
    </row>
    <row r="934" spans="1:11" x14ac:dyDescent="0.25">
      <c r="A934">
        <v>103.632102189882</v>
      </c>
      <c r="B934">
        <v>99.228289896721407</v>
      </c>
      <c r="C934">
        <v>2000</v>
      </c>
    </row>
    <row r="935" spans="1:11" x14ac:dyDescent="0.25">
      <c r="A935">
        <v>99.781491987775595</v>
      </c>
      <c r="B935">
        <v>95.377679694615296</v>
      </c>
      <c r="C935">
        <v>2000</v>
      </c>
    </row>
    <row r="936" spans="1:11" x14ac:dyDescent="0.25">
      <c r="A936" t="s">
        <v>84</v>
      </c>
    </row>
    <row r="937" spans="1:11" x14ac:dyDescent="0.25">
      <c r="A937">
        <v>1035</v>
      </c>
      <c r="B937">
        <v>0</v>
      </c>
      <c r="C937">
        <v>11.5896549462761</v>
      </c>
      <c r="D937">
        <v>58.4326630944038</v>
      </c>
      <c r="E937">
        <v>8</v>
      </c>
      <c r="F937">
        <v>1.01722196789785</v>
      </c>
      <c r="G937" t="s">
        <v>82</v>
      </c>
      <c r="H937" t="s">
        <v>81</v>
      </c>
      <c r="I937">
        <v>0</v>
      </c>
      <c r="J937">
        <v>178</v>
      </c>
      <c r="K937">
        <v>0.11269658626081</v>
      </c>
    </row>
    <row r="938" spans="1:11" x14ac:dyDescent="0.25">
      <c r="A938" t="s">
        <v>83</v>
      </c>
    </row>
    <row r="939" spans="1:11" x14ac:dyDescent="0.25">
      <c r="A939">
        <v>12.0730958532501</v>
      </c>
      <c r="B939">
        <v>8.2342866983885408</v>
      </c>
      <c r="C939">
        <v>2000</v>
      </c>
    </row>
    <row r="940" spans="1:11" x14ac:dyDescent="0.25">
      <c r="A940">
        <v>3.8388091548615999</v>
      </c>
      <c r="B940">
        <v>0</v>
      </c>
      <c r="C940">
        <v>2000</v>
      </c>
    </row>
    <row r="941" spans="1:11" x14ac:dyDescent="0.25">
      <c r="A941">
        <v>4.7128412037592398</v>
      </c>
      <c r="B941">
        <v>0</v>
      </c>
      <c r="C941">
        <v>2001</v>
      </c>
    </row>
    <row r="942" spans="1:11" x14ac:dyDescent="0.25">
      <c r="A942">
        <v>12.8688017136187</v>
      </c>
      <c r="B942">
        <v>8.1559605098594794</v>
      </c>
      <c r="C942">
        <v>2001</v>
      </c>
    </row>
    <row r="943" spans="1:11" x14ac:dyDescent="0.25">
      <c r="A943">
        <v>50.218508012224397</v>
      </c>
      <c r="B943">
        <v>45.5056668084652</v>
      </c>
      <c r="C943">
        <v>2001</v>
      </c>
    </row>
    <row r="944" spans="1:11" x14ac:dyDescent="0.25">
      <c r="A944">
        <v>54.007589112500703</v>
      </c>
      <c r="B944">
        <v>49.2947479087414</v>
      </c>
      <c r="C944">
        <v>2001</v>
      </c>
    </row>
    <row r="945" spans="1:11" x14ac:dyDescent="0.25">
      <c r="A945">
        <v>53.570573088051802</v>
      </c>
      <c r="B945">
        <v>49.731763933190201</v>
      </c>
      <c r="C945">
        <v>2000</v>
      </c>
    </row>
    <row r="946" spans="1:11" x14ac:dyDescent="0.25">
      <c r="A946">
        <v>49.781491987775603</v>
      </c>
      <c r="B946">
        <v>45.942682832914002</v>
      </c>
      <c r="C946">
        <v>2000</v>
      </c>
    </row>
    <row r="947" spans="1:11" x14ac:dyDescent="0.25">
      <c r="A947" t="s">
        <v>84</v>
      </c>
    </row>
    <row r="948" spans="1:11" x14ac:dyDescent="0.25">
      <c r="A948">
        <v>679</v>
      </c>
      <c r="B948">
        <v>0</v>
      </c>
      <c r="C948">
        <v>15.3028293623543</v>
      </c>
      <c r="D948">
        <v>54.328053990688502</v>
      </c>
      <c r="E948">
        <v>10</v>
      </c>
      <c r="F948">
        <v>1.01722196789785</v>
      </c>
      <c r="G948" t="s">
        <v>81</v>
      </c>
      <c r="H948" t="s">
        <v>81</v>
      </c>
      <c r="I948">
        <v>23</v>
      </c>
      <c r="J948">
        <v>271</v>
      </c>
      <c r="K948">
        <v>0</v>
      </c>
    </row>
    <row r="949" spans="1:11" x14ac:dyDescent="0.25">
      <c r="A949" t="s">
        <v>83</v>
      </c>
    </row>
    <row r="950" spans="1:11" x14ac:dyDescent="0.25">
      <c r="A950">
        <v>52.592950195354703</v>
      </c>
      <c r="B950">
        <v>80.904682068571006</v>
      </c>
      <c r="C950">
        <v>2000</v>
      </c>
    </row>
    <row r="951" spans="1:11" x14ac:dyDescent="0.25">
      <c r="A951">
        <v>49.781491987775603</v>
      </c>
      <c r="B951">
        <v>78.093223860991898</v>
      </c>
      <c r="C951">
        <v>2000</v>
      </c>
    </row>
    <row r="952" spans="1:11" x14ac:dyDescent="0.25">
      <c r="A952">
        <v>41.772215781893301</v>
      </c>
      <c r="B952">
        <v>70.083947655109696</v>
      </c>
      <c r="C952">
        <v>2000</v>
      </c>
    </row>
    <row r="953" spans="1:11" x14ac:dyDescent="0.25">
      <c r="A953">
        <v>42.209231806342203</v>
      </c>
      <c r="B953">
        <v>69.646931630660902</v>
      </c>
      <c r="C953">
        <v>2001</v>
      </c>
    </row>
    <row r="954" spans="1:11" x14ac:dyDescent="0.25">
      <c r="A954">
        <v>50.218508012224397</v>
      </c>
      <c r="B954">
        <v>77.656207836543103</v>
      </c>
      <c r="C954">
        <v>2001</v>
      </c>
    </row>
    <row r="955" spans="1:11" x14ac:dyDescent="0.25">
      <c r="A955">
        <v>53.029966219803498</v>
      </c>
      <c r="B955">
        <v>80.467666044122197</v>
      </c>
      <c r="C955">
        <v>2001</v>
      </c>
    </row>
    <row r="956" spans="1:11" x14ac:dyDescent="0.25">
      <c r="A956">
        <v>72.343792163456897</v>
      </c>
      <c r="B956">
        <v>99.781491987775595</v>
      </c>
      <c r="C956">
        <v>2001</v>
      </c>
    </row>
    <row r="957" spans="1:11" x14ac:dyDescent="0.25">
      <c r="A957">
        <v>91.445701605288207</v>
      </c>
      <c r="B957">
        <v>118.88340142960701</v>
      </c>
      <c r="C957">
        <v>2001</v>
      </c>
    </row>
    <row r="958" spans="1:11" x14ac:dyDescent="0.25">
      <c r="A958">
        <v>91.008685580839398</v>
      </c>
      <c r="B958">
        <v>119.320417454056</v>
      </c>
      <c r="C958">
        <v>2000</v>
      </c>
    </row>
    <row r="959" spans="1:11" x14ac:dyDescent="0.25">
      <c r="A959">
        <v>71.906776139008102</v>
      </c>
      <c r="B959">
        <v>100.21850801222401</v>
      </c>
      <c r="C959">
        <v>2000</v>
      </c>
    </row>
    <row r="960" spans="1:11" x14ac:dyDescent="0.25">
      <c r="A960" t="s">
        <v>84</v>
      </c>
    </row>
    <row r="961" spans="1:11" x14ac:dyDescent="0.25">
      <c r="A961">
        <v>953</v>
      </c>
      <c r="B961">
        <v>0</v>
      </c>
      <c r="C961">
        <v>11.8800851257961</v>
      </c>
      <c r="D961">
        <v>57.636203873818999</v>
      </c>
      <c r="E961">
        <v>8</v>
      </c>
      <c r="F961">
        <v>1.01722196789785</v>
      </c>
      <c r="G961" t="s">
        <v>82</v>
      </c>
      <c r="H961" t="s">
        <v>81</v>
      </c>
      <c r="I961">
        <v>0</v>
      </c>
      <c r="J961">
        <v>86</v>
      </c>
      <c r="K961">
        <v>0.106745660282727</v>
      </c>
    </row>
    <row r="962" spans="1:11" x14ac:dyDescent="0.25">
      <c r="A962" t="s">
        <v>83</v>
      </c>
    </row>
    <row r="963" spans="1:11" x14ac:dyDescent="0.25">
      <c r="A963">
        <v>8.5326053102013901</v>
      </c>
      <c r="B963">
        <v>53.311081676414801</v>
      </c>
      <c r="C963">
        <v>2000</v>
      </c>
    </row>
    <row r="964" spans="1:11" x14ac:dyDescent="0.25">
      <c r="A964">
        <v>4.9089590880390004</v>
      </c>
      <c r="B964">
        <v>49.687435454252402</v>
      </c>
      <c r="C964">
        <v>2000</v>
      </c>
    </row>
    <row r="965" spans="1:11" x14ac:dyDescent="0.25">
      <c r="A965">
        <v>0</v>
      </c>
      <c r="B965">
        <v>44.778476366213397</v>
      </c>
      <c r="C965">
        <v>2000</v>
      </c>
    </row>
    <row r="966" spans="1:11" x14ac:dyDescent="0.25">
      <c r="A966">
        <v>0</v>
      </c>
      <c r="B966">
        <v>45.652508415111001</v>
      </c>
      <c r="C966">
        <v>2001</v>
      </c>
    </row>
    <row r="967" spans="1:11" x14ac:dyDescent="0.25">
      <c r="A967">
        <v>4.66005613063657</v>
      </c>
      <c r="B967">
        <v>50.312564545747598</v>
      </c>
      <c r="C967">
        <v>2001</v>
      </c>
    </row>
    <row r="968" spans="1:11" x14ac:dyDescent="0.25">
      <c r="A968">
        <v>8.2683721968463999</v>
      </c>
      <c r="B968">
        <v>53.920880611957401</v>
      </c>
      <c r="C968">
        <v>2001</v>
      </c>
    </row>
    <row r="969" spans="1:11" x14ac:dyDescent="0.25">
      <c r="A969">
        <v>48.936931342327298</v>
      </c>
      <c r="B969">
        <v>94.589439757438299</v>
      </c>
      <c r="C969">
        <v>2001</v>
      </c>
    </row>
    <row r="970" spans="1:11" x14ac:dyDescent="0.25">
      <c r="A970">
        <v>49.3739473667761</v>
      </c>
      <c r="B970">
        <v>94.152423732989504</v>
      </c>
      <c r="C970">
        <v>2000</v>
      </c>
    </row>
    <row r="971" spans="1:11" x14ac:dyDescent="0.25">
      <c r="A971" t="s">
        <v>84</v>
      </c>
    </row>
    <row r="972" spans="1:11" x14ac:dyDescent="0.25">
      <c r="A972">
        <v>1036</v>
      </c>
      <c r="B972">
        <v>0</v>
      </c>
      <c r="C972">
        <v>19.962935700179798</v>
      </c>
      <c r="D972">
        <v>49.532833867243802</v>
      </c>
      <c r="E972">
        <v>10</v>
      </c>
      <c r="F972">
        <v>1.01722196789785</v>
      </c>
      <c r="G972" t="s">
        <v>81</v>
      </c>
      <c r="H972" t="s">
        <v>81</v>
      </c>
      <c r="I972">
        <v>878</v>
      </c>
      <c r="J972">
        <v>248</v>
      </c>
      <c r="K972">
        <v>0.11269658626081</v>
      </c>
    </row>
    <row r="973" spans="1:11" x14ac:dyDescent="0.25">
      <c r="A973" t="s">
        <v>83</v>
      </c>
    </row>
    <row r="974" spans="1:11" x14ac:dyDescent="0.25">
      <c r="A974">
        <v>95.416323329977104</v>
      </c>
      <c r="B974">
        <v>109.69501102888201</v>
      </c>
      <c r="C974">
        <v>2000</v>
      </c>
    </row>
    <row r="975" spans="1:11" x14ac:dyDescent="0.25">
      <c r="A975">
        <v>85.502804288870294</v>
      </c>
      <c r="B975">
        <v>99.781491987775595</v>
      </c>
      <c r="C975">
        <v>2000</v>
      </c>
    </row>
    <row r="976" spans="1:11" x14ac:dyDescent="0.25">
      <c r="A976">
        <v>81.300396123988904</v>
      </c>
      <c r="B976">
        <v>95.579083822894304</v>
      </c>
      <c r="C976">
        <v>2000</v>
      </c>
    </row>
    <row r="977" spans="1:11" x14ac:dyDescent="0.25">
      <c r="A977">
        <v>80.863380099540095</v>
      </c>
      <c r="B977">
        <v>96.016099847343099</v>
      </c>
      <c r="C977">
        <v>2001</v>
      </c>
    </row>
    <row r="978" spans="1:11" x14ac:dyDescent="0.25">
      <c r="A978">
        <v>85.0657882644214</v>
      </c>
      <c r="B978">
        <v>100.21850801222401</v>
      </c>
      <c r="C978">
        <v>2001</v>
      </c>
    </row>
    <row r="979" spans="1:11" x14ac:dyDescent="0.25">
      <c r="A979">
        <v>94.979307305528295</v>
      </c>
      <c r="B979">
        <v>110.132027053331</v>
      </c>
      <c r="C979">
        <v>2001</v>
      </c>
    </row>
    <row r="980" spans="1:11" x14ac:dyDescent="0.25">
      <c r="A980">
        <v>99.781491987775595</v>
      </c>
      <c r="B980">
        <v>114.934211735579</v>
      </c>
      <c r="C980">
        <v>2001</v>
      </c>
    </row>
    <row r="981" spans="1:11" x14ac:dyDescent="0.25">
      <c r="A981">
        <v>130.00431002444299</v>
      </c>
      <c r="B981">
        <v>145.15702977224601</v>
      </c>
      <c r="C981">
        <v>2001</v>
      </c>
    </row>
    <row r="982" spans="1:11" x14ac:dyDescent="0.25">
      <c r="A982">
        <v>130.44132604889199</v>
      </c>
      <c r="B982">
        <v>144.720013747797</v>
      </c>
      <c r="C982">
        <v>2000</v>
      </c>
    </row>
    <row r="983" spans="1:11" x14ac:dyDescent="0.25">
      <c r="A983">
        <v>100.21850801222401</v>
      </c>
      <c r="B983">
        <v>114.49719571113</v>
      </c>
      <c r="C983">
        <v>2000</v>
      </c>
    </row>
    <row r="984" spans="1:11" x14ac:dyDescent="0.25">
      <c r="A984" t="s">
        <v>84</v>
      </c>
    </row>
    <row r="985" spans="1:11" x14ac:dyDescent="0.25">
      <c r="A985">
        <v>423</v>
      </c>
      <c r="B985">
        <v>0</v>
      </c>
      <c r="C985">
        <v>3.96310062053512</v>
      </c>
      <c r="D985">
        <v>65.187115064271396</v>
      </c>
      <c r="E985">
        <v>8</v>
      </c>
      <c r="F985">
        <v>1.01722196789785</v>
      </c>
      <c r="G985" t="s">
        <v>81</v>
      </c>
      <c r="H985" t="s">
        <v>82</v>
      </c>
      <c r="I985">
        <v>825</v>
      </c>
      <c r="J985">
        <v>0</v>
      </c>
      <c r="K985">
        <v>0</v>
      </c>
    </row>
    <row r="986" spans="1:11" x14ac:dyDescent="0.25">
      <c r="A986" t="s">
        <v>83</v>
      </c>
    </row>
    <row r="987" spans="1:11" x14ac:dyDescent="0.25">
      <c r="A987">
        <v>5.5681437159558298</v>
      </c>
      <c r="B987">
        <v>103.699740935992</v>
      </c>
      <c r="C987">
        <v>2000</v>
      </c>
    </row>
    <row r="988" spans="1:11" x14ac:dyDescent="0.25">
      <c r="A988">
        <v>2.7533083364999702</v>
      </c>
      <c r="B988">
        <v>100.88490555653701</v>
      </c>
      <c r="C988">
        <v>2000</v>
      </c>
    </row>
    <row r="989" spans="1:11" x14ac:dyDescent="0.25">
      <c r="A989">
        <v>2.31629231205115</v>
      </c>
      <c r="B989">
        <v>101.32192158098501</v>
      </c>
      <c r="C989">
        <v>2001</v>
      </c>
    </row>
    <row r="990" spans="1:11" x14ac:dyDescent="0.25">
      <c r="A990">
        <v>5.10612757920528</v>
      </c>
      <c r="B990">
        <v>104.11175684814</v>
      </c>
      <c r="C990">
        <v>2001</v>
      </c>
    </row>
    <row r="991" spans="1:11" x14ac:dyDescent="0.25">
      <c r="A991">
        <v>49.569769409030499</v>
      </c>
      <c r="B991">
        <v>148.57539867796501</v>
      </c>
      <c r="C991">
        <v>2001</v>
      </c>
    </row>
    <row r="992" spans="1:11" x14ac:dyDescent="0.25">
      <c r="A992">
        <v>50.9943707310658</v>
      </c>
      <c r="B992">
        <v>150</v>
      </c>
      <c r="C992">
        <v>2001</v>
      </c>
    </row>
    <row r="993" spans="1:11" x14ac:dyDescent="0.25">
      <c r="A993">
        <v>51.868402779963397</v>
      </c>
      <c r="B993">
        <v>150</v>
      </c>
      <c r="C993">
        <v>2000</v>
      </c>
    </row>
    <row r="994" spans="1:11" x14ac:dyDescent="0.25">
      <c r="A994">
        <v>50.430230590969501</v>
      </c>
      <c r="B994">
        <v>148.561827811006</v>
      </c>
      <c r="C994">
        <v>2000</v>
      </c>
    </row>
    <row r="995" spans="1:11" x14ac:dyDescent="0.25">
      <c r="A995" t="s">
        <v>84</v>
      </c>
    </row>
    <row r="996" spans="1:11" x14ac:dyDescent="0.25">
      <c r="A996">
        <v>820</v>
      </c>
      <c r="B996">
        <v>0</v>
      </c>
      <c r="C996">
        <v>63.559908943514998</v>
      </c>
      <c r="D996">
        <v>4.7274445809295402</v>
      </c>
      <c r="E996">
        <v>8</v>
      </c>
      <c r="F996">
        <v>1.01722196789785</v>
      </c>
      <c r="G996" t="s">
        <v>82</v>
      </c>
      <c r="H996" t="s">
        <v>81</v>
      </c>
      <c r="I996">
        <v>0</v>
      </c>
      <c r="J996">
        <v>666</v>
      </c>
      <c r="K996">
        <v>0.10299214925957</v>
      </c>
    </row>
    <row r="997" spans="1:11" x14ac:dyDescent="0.25">
      <c r="A997" t="s">
        <v>83</v>
      </c>
    </row>
    <row r="998" spans="1:11" x14ac:dyDescent="0.25">
      <c r="A998">
        <v>71.478404318195302</v>
      </c>
      <c r="B998">
        <v>45.148066942630102</v>
      </c>
      <c r="C998">
        <v>2000</v>
      </c>
    </row>
    <row r="999" spans="1:11" x14ac:dyDescent="0.25">
      <c r="A999">
        <v>49.675936979150997</v>
      </c>
      <c r="B999">
        <v>23.3455996035858</v>
      </c>
      <c r="C999">
        <v>2000</v>
      </c>
    </row>
    <row r="1000" spans="1:11" x14ac:dyDescent="0.25">
      <c r="A1000">
        <v>26.3303373755652</v>
      </c>
      <c r="B1000">
        <v>0</v>
      </c>
      <c r="C1000">
        <v>2000</v>
      </c>
    </row>
    <row r="1001" spans="1:11" x14ac:dyDescent="0.25">
      <c r="A1001">
        <v>27.204369424462801</v>
      </c>
      <c r="B1001">
        <v>0</v>
      </c>
      <c r="C1001">
        <v>2001</v>
      </c>
    </row>
    <row r="1002" spans="1:11" x14ac:dyDescent="0.25">
      <c r="A1002">
        <v>50.324063020849003</v>
      </c>
      <c r="B1002">
        <v>23.119693596386099</v>
      </c>
      <c r="C1002">
        <v>2001</v>
      </c>
    </row>
    <row r="1003" spans="1:11" x14ac:dyDescent="0.25">
      <c r="A1003">
        <v>71.943587732950604</v>
      </c>
      <c r="B1003">
        <v>44.7392183084878</v>
      </c>
      <c r="C1003">
        <v>2001</v>
      </c>
    </row>
    <row r="1004" spans="1:11" x14ac:dyDescent="0.25">
      <c r="A1004">
        <v>75.272312158656305</v>
      </c>
      <c r="B1004">
        <v>48.067942734193402</v>
      </c>
      <c r="C1004">
        <v>2001</v>
      </c>
    </row>
    <row r="1005" spans="1:11" x14ac:dyDescent="0.25">
      <c r="A1005">
        <v>74.835296134207496</v>
      </c>
      <c r="B1005">
        <v>48.504958758642303</v>
      </c>
      <c r="C1005">
        <v>2000</v>
      </c>
    </row>
    <row r="1006" spans="1:11" x14ac:dyDescent="0.25">
      <c r="A1006" t="s">
        <v>84</v>
      </c>
    </row>
    <row r="1007" spans="1:11" x14ac:dyDescent="0.25">
      <c r="A1007">
        <v>1039</v>
      </c>
      <c r="B1007">
        <v>0</v>
      </c>
      <c r="C1007">
        <v>39.385179095835603</v>
      </c>
      <c r="D1007">
        <v>28.7574082689015</v>
      </c>
      <c r="E1007">
        <v>6</v>
      </c>
      <c r="F1007">
        <v>1.01722196789785</v>
      </c>
      <c r="G1007" t="s">
        <v>82</v>
      </c>
      <c r="H1007" t="s">
        <v>82</v>
      </c>
      <c r="I1007">
        <v>0</v>
      </c>
      <c r="J1007">
        <v>0</v>
      </c>
      <c r="K1007">
        <v>0.11303080750468</v>
      </c>
    </row>
    <row r="1008" spans="1:11" x14ac:dyDescent="0.25">
      <c r="A1008" t="s">
        <v>83</v>
      </c>
    </row>
    <row r="1009" spans="1:11" x14ac:dyDescent="0.25">
      <c r="A1009">
        <v>129.84987029538601</v>
      </c>
      <c r="B1009">
        <v>27.596939884139701</v>
      </c>
      <c r="C1009">
        <v>2000</v>
      </c>
    </row>
    <row r="1010" spans="1:11" x14ac:dyDescent="0.25">
      <c r="A1010">
        <v>102.252930411246</v>
      </c>
      <c r="B1010">
        <v>0</v>
      </c>
      <c r="C1010">
        <v>2000</v>
      </c>
    </row>
    <row r="1011" spans="1:11" x14ac:dyDescent="0.25">
      <c r="A1011">
        <v>101.37889836234901</v>
      </c>
      <c r="B1011">
        <v>0</v>
      </c>
      <c r="C1011">
        <v>2001</v>
      </c>
    </row>
    <row r="1012" spans="1:11" x14ac:dyDescent="0.25">
      <c r="A1012">
        <v>129.48101291203301</v>
      </c>
      <c r="B1012">
        <v>28.102114549684401</v>
      </c>
      <c r="C1012">
        <v>2001</v>
      </c>
    </row>
    <row r="1013" spans="1:11" x14ac:dyDescent="0.25">
      <c r="A1013">
        <v>150</v>
      </c>
      <c r="B1013">
        <v>48.621101637651201</v>
      </c>
      <c r="C1013">
        <v>2001</v>
      </c>
    </row>
    <row r="1014" spans="1:11" x14ac:dyDescent="0.25">
      <c r="A1014">
        <v>150</v>
      </c>
      <c r="B1014">
        <v>47.747069588753497</v>
      </c>
      <c r="C1014">
        <v>2000</v>
      </c>
    </row>
    <row r="1015" spans="1:11" x14ac:dyDescent="0.25">
      <c r="A1015" t="s">
        <v>84</v>
      </c>
    </row>
    <row r="1016" spans="1:11" x14ac:dyDescent="0.25">
      <c r="A1016">
        <v>892</v>
      </c>
      <c r="B1016">
        <v>0</v>
      </c>
      <c r="C1016">
        <v>22.839651584794701</v>
      </c>
      <c r="D1016">
        <v>45.169870408306402</v>
      </c>
      <c r="E1016">
        <v>6</v>
      </c>
      <c r="F1016">
        <v>1.01722196789785</v>
      </c>
      <c r="G1016" t="s">
        <v>82</v>
      </c>
      <c r="H1016" t="s">
        <v>82</v>
      </c>
      <c r="I1016">
        <v>0</v>
      </c>
      <c r="J1016">
        <v>0</v>
      </c>
      <c r="K1016">
        <v>0.10458844867092799</v>
      </c>
    </row>
    <row r="1017" spans="1:11" x14ac:dyDescent="0.25">
      <c r="A1017" t="s">
        <v>83</v>
      </c>
    </row>
    <row r="1018" spans="1:11" x14ac:dyDescent="0.25">
      <c r="A1018">
        <v>16.296835695802201</v>
      </c>
      <c r="B1018">
        <v>117.76982548477601</v>
      </c>
      <c r="C1018">
        <v>2000</v>
      </c>
    </row>
    <row r="1019" spans="1:11" x14ac:dyDescent="0.25">
      <c r="A1019">
        <v>0</v>
      </c>
      <c r="B1019">
        <v>101.472989788974</v>
      </c>
      <c r="C1019">
        <v>2000</v>
      </c>
    </row>
    <row r="1020" spans="1:11" x14ac:dyDescent="0.25">
      <c r="A1020">
        <v>0</v>
      </c>
      <c r="B1020">
        <v>102.347021837871</v>
      </c>
      <c r="C1020">
        <v>2001</v>
      </c>
    </row>
    <row r="1021" spans="1:11" x14ac:dyDescent="0.25">
      <c r="A1021">
        <v>16.003309335290599</v>
      </c>
      <c r="B1021">
        <v>118.350331173162</v>
      </c>
      <c r="C1021">
        <v>2001</v>
      </c>
    </row>
    <row r="1022" spans="1:11" x14ac:dyDescent="0.25">
      <c r="A1022">
        <v>47.652978162128598</v>
      </c>
      <c r="B1022">
        <v>150</v>
      </c>
      <c r="C1022">
        <v>2001</v>
      </c>
    </row>
    <row r="1023" spans="1:11" x14ac:dyDescent="0.25">
      <c r="A1023">
        <v>48.527010211026202</v>
      </c>
      <c r="B1023">
        <v>150</v>
      </c>
      <c r="C1023">
        <v>2000</v>
      </c>
    </row>
    <row r="1024" spans="1:11" x14ac:dyDescent="0.25">
      <c r="A1024" t="s">
        <v>84</v>
      </c>
    </row>
    <row r="1025" spans="1:11" x14ac:dyDescent="0.25">
      <c r="A1025">
        <v>916</v>
      </c>
      <c r="B1025">
        <v>0</v>
      </c>
      <c r="C1025">
        <v>64.567189680363299</v>
      </c>
      <c r="D1025">
        <v>3.0487791553988202</v>
      </c>
      <c r="E1025">
        <v>8</v>
      </c>
      <c r="F1025">
        <v>1.01722196789785</v>
      </c>
      <c r="G1025" t="s">
        <v>82</v>
      </c>
      <c r="H1025" t="s">
        <v>81</v>
      </c>
      <c r="I1025">
        <v>0</v>
      </c>
      <c r="J1025">
        <v>352</v>
      </c>
      <c r="K1025">
        <v>0.10530400139967799</v>
      </c>
    </row>
    <row r="1026" spans="1:11" x14ac:dyDescent="0.25">
      <c r="A1026" t="s">
        <v>83</v>
      </c>
    </row>
    <row r="1027" spans="1:11" x14ac:dyDescent="0.25">
      <c r="A1027">
        <v>45.864802487299997</v>
      </c>
      <c r="B1027">
        <v>128.747934767571</v>
      </c>
      <c r="C1027">
        <v>2000</v>
      </c>
    </row>
    <row r="1028" spans="1:11" x14ac:dyDescent="0.25">
      <c r="A1028">
        <v>16.7596810585067</v>
      </c>
      <c r="B1028">
        <v>99.642813338777501</v>
      </c>
      <c r="C1028">
        <v>2000</v>
      </c>
    </row>
    <row r="1029" spans="1:11" x14ac:dyDescent="0.25">
      <c r="A1029">
        <v>0</v>
      </c>
      <c r="B1029">
        <v>82.8831322802708</v>
      </c>
      <c r="C1029">
        <v>2000</v>
      </c>
    </row>
    <row r="1030" spans="1:11" x14ac:dyDescent="0.25">
      <c r="A1030">
        <v>0</v>
      </c>
      <c r="B1030">
        <v>83.757164329168404</v>
      </c>
      <c r="C1030">
        <v>2001</v>
      </c>
    </row>
    <row r="1031" spans="1:11" x14ac:dyDescent="0.25">
      <c r="A1031">
        <v>16.600022332054099</v>
      </c>
      <c r="B1031">
        <v>100.357186661222</v>
      </c>
      <c r="C1031">
        <v>2001</v>
      </c>
    </row>
    <row r="1032" spans="1:11" x14ac:dyDescent="0.25">
      <c r="A1032">
        <v>45.4469928429859</v>
      </c>
      <c r="B1032">
        <v>129.204157172154</v>
      </c>
      <c r="C1032">
        <v>2001</v>
      </c>
    </row>
    <row r="1033" spans="1:11" x14ac:dyDescent="0.25">
      <c r="A1033">
        <v>47.593202068041201</v>
      </c>
      <c r="B1033">
        <v>131.35036639721</v>
      </c>
      <c r="C1033">
        <v>2001</v>
      </c>
    </row>
    <row r="1034" spans="1:11" x14ac:dyDescent="0.25">
      <c r="A1034">
        <v>48.030218092490102</v>
      </c>
      <c r="B1034">
        <v>130.91335037276099</v>
      </c>
      <c r="C1034">
        <v>2000</v>
      </c>
    </row>
    <row r="1035" spans="1:11" x14ac:dyDescent="0.25">
      <c r="A1035" t="s">
        <v>84</v>
      </c>
    </row>
    <row r="1036" spans="1:11" x14ac:dyDescent="0.25">
      <c r="A1036">
        <v>959</v>
      </c>
      <c r="B1036">
        <v>0</v>
      </c>
      <c r="C1036">
        <v>38.165018199663599</v>
      </c>
      <c r="D1036">
        <v>29.274144288781301</v>
      </c>
      <c r="E1036">
        <v>10</v>
      </c>
      <c r="F1036">
        <v>1.01722196789785</v>
      </c>
      <c r="G1036" t="s">
        <v>81</v>
      </c>
      <c r="H1036" t="s">
        <v>81</v>
      </c>
      <c r="I1036">
        <v>21</v>
      </c>
      <c r="J1036">
        <v>669</v>
      </c>
      <c r="K1036">
        <v>0.107182885561868</v>
      </c>
    </row>
    <row r="1037" spans="1:11" x14ac:dyDescent="0.25">
      <c r="A1037" t="s">
        <v>83</v>
      </c>
    </row>
    <row r="1038" spans="1:11" x14ac:dyDescent="0.25">
      <c r="A1038">
        <v>54.577180508797397</v>
      </c>
      <c r="B1038">
        <v>69.586945989903697</v>
      </c>
      <c r="C1038">
        <v>2000</v>
      </c>
    </row>
    <row r="1039" spans="1:11" x14ac:dyDescent="0.25">
      <c r="A1039">
        <v>49.781491987775603</v>
      </c>
      <c r="B1039">
        <v>64.791257468881895</v>
      </c>
      <c r="C1039">
        <v>2000</v>
      </c>
    </row>
    <row r="1040" spans="1:11" x14ac:dyDescent="0.25">
      <c r="A1040">
        <v>35.208742531118098</v>
      </c>
      <c r="B1040">
        <v>50.218508012224397</v>
      </c>
      <c r="C1040">
        <v>2000</v>
      </c>
    </row>
    <row r="1041" spans="1:11" x14ac:dyDescent="0.25">
      <c r="A1041">
        <v>27.5904373357073</v>
      </c>
      <c r="B1041">
        <v>42.600202816813599</v>
      </c>
      <c r="C1041">
        <v>2000</v>
      </c>
    </row>
    <row r="1042" spans="1:11" x14ac:dyDescent="0.25">
      <c r="A1042">
        <v>28.027453360156098</v>
      </c>
      <c r="B1042">
        <v>42.163186792364698</v>
      </c>
      <c r="C1042">
        <v>2001</v>
      </c>
    </row>
    <row r="1043" spans="1:11" x14ac:dyDescent="0.25">
      <c r="A1043">
        <v>35.6457585555669</v>
      </c>
      <c r="B1043">
        <v>49.781491987775603</v>
      </c>
      <c r="C1043">
        <v>2001</v>
      </c>
    </row>
    <row r="1044" spans="1:11" x14ac:dyDescent="0.25">
      <c r="A1044">
        <v>50.218508012224397</v>
      </c>
      <c r="B1044">
        <v>64.3542414444331</v>
      </c>
      <c r="C1044">
        <v>2001</v>
      </c>
    </row>
    <row r="1045" spans="1:11" x14ac:dyDescent="0.25">
      <c r="A1045">
        <v>55.014196533246199</v>
      </c>
      <c r="B1045">
        <v>69.149929965454902</v>
      </c>
      <c r="C1045">
        <v>2001</v>
      </c>
    </row>
    <row r="1046" spans="1:11" x14ac:dyDescent="0.25">
      <c r="A1046">
        <v>75.714142473276993</v>
      </c>
      <c r="B1046">
        <v>89.849875905485604</v>
      </c>
      <c r="C1046">
        <v>2001</v>
      </c>
    </row>
    <row r="1047" spans="1:11" x14ac:dyDescent="0.25">
      <c r="A1047">
        <v>75.277126448828199</v>
      </c>
      <c r="B1047">
        <v>90.286891929934399</v>
      </c>
      <c r="C1047">
        <v>2000</v>
      </c>
    </row>
    <row r="1048" spans="1:11" x14ac:dyDescent="0.25">
      <c r="A1048" t="s">
        <v>84</v>
      </c>
    </row>
    <row r="1049" spans="1:11" x14ac:dyDescent="0.25">
      <c r="A1049">
        <v>278</v>
      </c>
      <c r="B1049">
        <v>0</v>
      </c>
      <c r="C1049">
        <v>40.903673556317401</v>
      </c>
      <c r="D1049">
        <v>25.724768397962499</v>
      </c>
      <c r="E1049">
        <v>8</v>
      </c>
      <c r="F1049">
        <v>1.01722196789785</v>
      </c>
      <c r="G1049" t="s">
        <v>81</v>
      </c>
      <c r="H1049" t="s">
        <v>82</v>
      </c>
      <c r="I1049">
        <v>677</v>
      </c>
      <c r="J1049">
        <v>0</v>
      </c>
      <c r="K1049">
        <v>0</v>
      </c>
    </row>
    <row r="1050" spans="1:11" x14ac:dyDescent="0.25">
      <c r="A1050" t="s">
        <v>83</v>
      </c>
    </row>
    <row r="1051" spans="1:11" x14ac:dyDescent="0.25">
      <c r="A1051">
        <v>99.8033305095977</v>
      </c>
      <c r="B1051">
        <v>132.02808463643601</v>
      </c>
      <c r="C1051">
        <v>2000</v>
      </c>
    </row>
    <row r="1052" spans="1:11" x14ac:dyDescent="0.25">
      <c r="A1052">
        <v>99.781491987775595</v>
      </c>
      <c r="B1052">
        <v>132.00624611461399</v>
      </c>
      <c r="C1052">
        <v>2000</v>
      </c>
    </row>
    <row r="1053" spans="1:11" x14ac:dyDescent="0.25">
      <c r="A1053">
        <v>70.880330759620605</v>
      </c>
      <c r="B1053">
        <v>103.105084886459</v>
      </c>
      <c r="C1053">
        <v>2000</v>
      </c>
    </row>
    <row r="1054" spans="1:11" x14ac:dyDescent="0.25">
      <c r="A1054">
        <v>71.3173467840694</v>
      </c>
      <c r="B1054">
        <v>102.66806886201</v>
      </c>
      <c r="C1054">
        <v>2001</v>
      </c>
    </row>
    <row r="1055" spans="1:11" x14ac:dyDescent="0.25">
      <c r="A1055">
        <v>100.21850801222401</v>
      </c>
      <c r="B1055">
        <v>131.56923009016501</v>
      </c>
      <c r="C1055">
        <v>2001</v>
      </c>
    </row>
    <row r="1056" spans="1:11" x14ac:dyDescent="0.25">
      <c r="A1056">
        <v>100.240876928318</v>
      </c>
      <c r="B1056">
        <v>131.591599006259</v>
      </c>
      <c r="C1056">
        <v>2001</v>
      </c>
    </row>
    <row r="1057" spans="1:11" x14ac:dyDescent="0.25">
      <c r="A1057">
        <v>118.649277922059</v>
      </c>
      <c r="B1057">
        <v>150</v>
      </c>
      <c r="C1057">
        <v>2001</v>
      </c>
    </row>
    <row r="1058" spans="1:11" x14ac:dyDescent="0.25">
      <c r="A1058">
        <v>117.77524587316201</v>
      </c>
      <c r="B1058">
        <v>150</v>
      </c>
      <c r="C1058">
        <v>2000</v>
      </c>
    </row>
    <row r="1059" spans="1:11" x14ac:dyDescent="0.25">
      <c r="A1059" t="s">
        <v>84</v>
      </c>
    </row>
    <row r="1060" spans="1:11" x14ac:dyDescent="0.25">
      <c r="A1060">
        <v>272</v>
      </c>
      <c r="B1060">
        <v>0</v>
      </c>
      <c r="C1060">
        <v>55.769227615977599</v>
      </c>
      <c r="D1060">
        <v>10.786446717535901</v>
      </c>
      <c r="E1060">
        <v>10</v>
      </c>
      <c r="F1060">
        <v>1.01722196789785</v>
      </c>
      <c r="G1060" t="s">
        <v>81</v>
      </c>
      <c r="H1060" t="s">
        <v>81</v>
      </c>
      <c r="I1060">
        <v>198</v>
      </c>
      <c r="J1060">
        <v>738</v>
      </c>
      <c r="K1060">
        <v>0</v>
      </c>
    </row>
    <row r="1061" spans="1:11" x14ac:dyDescent="0.25">
      <c r="A1061" t="s">
        <v>83</v>
      </c>
    </row>
    <row r="1062" spans="1:11" x14ac:dyDescent="0.25">
      <c r="A1062">
        <v>132.54672129385</v>
      </c>
      <c r="B1062">
        <v>124.03838126083301</v>
      </c>
      <c r="C1062">
        <v>2000</v>
      </c>
    </row>
    <row r="1063" spans="1:11" x14ac:dyDescent="0.25">
      <c r="A1063">
        <v>108.726848045241</v>
      </c>
      <c r="B1063">
        <v>100.21850801222401</v>
      </c>
      <c r="C1063">
        <v>2000</v>
      </c>
    </row>
    <row r="1064" spans="1:11" x14ac:dyDescent="0.25">
      <c r="A1064">
        <v>99.781491987775595</v>
      </c>
      <c r="B1064">
        <v>91.273151954758703</v>
      </c>
      <c r="C1064">
        <v>2000</v>
      </c>
    </row>
    <row r="1065" spans="1:11" x14ac:dyDescent="0.25">
      <c r="A1065">
        <v>93.111922265056194</v>
      </c>
      <c r="B1065">
        <v>84.603582232039301</v>
      </c>
      <c r="C1065">
        <v>2000</v>
      </c>
    </row>
    <row r="1066" spans="1:11" x14ac:dyDescent="0.25">
      <c r="A1066">
        <v>93.548938289505003</v>
      </c>
      <c r="B1066">
        <v>84.166566207590407</v>
      </c>
      <c r="C1066">
        <v>2001</v>
      </c>
    </row>
    <row r="1067" spans="1:11" x14ac:dyDescent="0.25">
      <c r="A1067">
        <v>100.21850801222401</v>
      </c>
      <c r="B1067">
        <v>90.836135930309894</v>
      </c>
      <c r="C1067">
        <v>2001</v>
      </c>
    </row>
    <row r="1068" spans="1:11" x14ac:dyDescent="0.25">
      <c r="A1068">
        <v>109.16386406969001</v>
      </c>
      <c r="B1068">
        <v>99.781491987775595</v>
      </c>
      <c r="C1068">
        <v>2001</v>
      </c>
    </row>
    <row r="1069" spans="1:11" x14ac:dyDescent="0.25">
      <c r="A1069">
        <v>132.98373731829901</v>
      </c>
      <c r="B1069">
        <v>123.601365236384</v>
      </c>
      <c r="C1069">
        <v>2001</v>
      </c>
    </row>
    <row r="1070" spans="1:11" x14ac:dyDescent="0.25">
      <c r="A1070">
        <v>140.610906937176</v>
      </c>
      <c r="B1070">
        <v>131.22853485526099</v>
      </c>
      <c r="C1070">
        <v>2001</v>
      </c>
    </row>
    <row r="1071" spans="1:11" x14ac:dyDescent="0.25">
      <c r="A1071">
        <v>140.17389091272699</v>
      </c>
      <c r="B1071">
        <v>131.66555087971</v>
      </c>
      <c r="C1071">
        <v>2000</v>
      </c>
    </row>
    <row r="1072" spans="1:11" x14ac:dyDescent="0.25">
      <c r="A1072" t="s">
        <v>84</v>
      </c>
    </row>
    <row r="1073" spans="1:11" x14ac:dyDescent="0.25">
      <c r="A1073">
        <v>582</v>
      </c>
      <c r="B1073">
        <v>0</v>
      </c>
      <c r="C1073">
        <v>30.9902432032105</v>
      </c>
      <c r="D1073">
        <v>34.936660267340997</v>
      </c>
      <c r="E1073">
        <v>10</v>
      </c>
      <c r="F1073">
        <v>1.01722196789785</v>
      </c>
      <c r="G1073" t="s">
        <v>81</v>
      </c>
      <c r="H1073" t="s">
        <v>81</v>
      </c>
      <c r="I1073">
        <v>668</v>
      </c>
      <c r="J1073">
        <v>992</v>
      </c>
      <c r="K1073">
        <v>0</v>
      </c>
    </row>
    <row r="1074" spans="1:11" x14ac:dyDescent="0.25">
      <c r="A1074" t="s">
        <v>83</v>
      </c>
    </row>
    <row r="1075" spans="1:11" x14ac:dyDescent="0.25">
      <c r="A1075">
        <v>106.85550601447299</v>
      </c>
      <c r="B1075">
        <v>93.749264900460304</v>
      </c>
      <c r="C1075">
        <v>2000</v>
      </c>
    </row>
    <row r="1076" spans="1:11" x14ac:dyDescent="0.25">
      <c r="A1076">
        <v>100.21850801222401</v>
      </c>
      <c r="B1076">
        <v>87.112266898211999</v>
      </c>
      <c r="C1076">
        <v>2000</v>
      </c>
    </row>
    <row r="1077" spans="1:11" x14ac:dyDescent="0.25">
      <c r="A1077">
        <v>84.942094894862294</v>
      </c>
      <c r="B1077">
        <v>71.835853780849902</v>
      </c>
      <c r="C1077">
        <v>2000</v>
      </c>
    </row>
    <row r="1078" spans="1:11" x14ac:dyDescent="0.25">
      <c r="A1078">
        <v>84.505078870413499</v>
      </c>
      <c r="B1078">
        <v>72.272869805298697</v>
      </c>
      <c r="C1078">
        <v>2001</v>
      </c>
    </row>
    <row r="1079" spans="1:11" x14ac:dyDescent="0.25">
      <c r="A1079">
        <v>99.781491987775595</v>
      </c>
      <c r="B1079">
        <v>87.549282922660794</v>
      </c>
      <c r="C1079">
        <v>2001</v>
      </c>
    </row>
    <row r="1080" spans="1:11" x14ac:dyDescent="0.25">
      <c r="A1080">
        <v>106.418489990024</v>
      </c>
      <c r="B1080">
        <v>94.186280924909099</v>
      </c>
      <c r="C1080">
        <v>2001</v>
      </c>
    </row>
    <row r="1081" spans="1:11" x14ac:dyDescent="0.25">
      <c r="A1081">
        <v>112.45071707733899</v>
      </c>
      <c r="B1081">
        <v>100.21850801222401</v>
      </c>
      <c r="C1081">
        <v>2001</v>
      </c>
    </row>
    <row r="1082" spans="1:11" x14ac:dyDescent="0.25">
      <c r="A1082">
        <v>131.122439377071</v>
      </c>
      <c r="B1082">
        <v>118.890230311957</v>
      </c>
      <c r="C1082">
        <v>2001</v>
      </c>
    </row>
    <row r="1083" spans="1:11" x14ac:dyDescent="0.25">
      <c r="A1083">
        <v>131.55945540152001</v>
      </c>
      <c r="B1083">
        <v>118.453214287508</v>
      </c>
      <c r="C1083">
        <v>2000</v>
      </c>
    </row>
    <row r="1084" spans="1:11" x14ac:dyDescent="0.25">
      <c r="A1084">
        <v>112.887733101788</v>
      </c>
      <c r="B1084">
        <v>99.781491987775595</v>
      </c>
      <c r="C1084">
        <v>2000</v>
      </c>
    </row>
    <row r="1085" spans="1:11" x14ac:dyDescent="0.25">
      <c r="A1085" t="s">
        <v>84</v>
      </c>
    </row>
    <row r="1086" spans="1:11" x14ac:dyDescent="0.25">
      <c r="A1086">
        <v>964</v>
      </c>
      <c r="B1086">
        <v>0</v>
      </c>
      <c r="C1086">
        <v>24.855119577934101</v>
      </c>
      <c r="D1086">
        <v>40.776623187465198</v>
      </c>
      <c r="E1086">
        <v>8</v>
      </c>
      <c r="F1086">
        <v>1.01722196789785</v>
      </c>
      <c r="G1086" t="s">
        <v>82</v>
      </c>
      <c r="H1086" t="s">
        <v>81</v>
      </c>
      <c r="I1086">
        <v>0</v>
      </c>
      <c r="J1086">
        <v>174</v>
      </c>
      <c r="K1086">
        <v>0.107324462279519</v>
      </c>
    </row>
    <row r="1087" spans="1:11" x14ac:dyDescent="0.25">
      <c r="A1087" t="s">
        <v>83</v>
      </c>
    </row>
    <row r="1088" spans="1:11" x14ac:dyDescent="0.25">
      <c r="A1088">
        <v>34.690247375912001</v>
      </c>
      <c r="B1088">
        <v>17.693148452709199</v>
      </c>
      <c r="C1088">
        <v>2000</v>
      </c>
    </row>
    <row r="1089" spans="1:11" x14ac:dyDescent="0.25">
      <c r="A1089">
        <v>16.997098923202699</v>
      </c>
      <c r="B1089">
        <v>0</v>
      </c>
      <c r="C1089">
        <v>2000</v>
      </c>
    </row>
    <row r="1090" spans="1:11" x14ac:dyDescent="0.25">
      <c r="A1090">
        <v>17.871130972100399</v>
      </c>
      <c r="B1090">
        <v>0</v>
      </c>
      <c r="C1090">
        <v>2001</v>
      </c>
    </row>
    <row r="1091" spans="1:11" x14ac:dyDescent="0.25">
      <c r="A1091">
        <v>35.328429720910698</v>
      </c>
      <c r="B1091">
        <v>17.457298748810299</v>
      </c>
      <c r="C1091">
        <v>2001</v>
      </c>
    </row>
    <row r="1092" spans="1:11" x14ac:dyDescent="0.25">
      <c r="A1092">
        <v>50.218508012224397</v>
      </c>
      <c r="B1092">
        <v>32.347377040124002</v>
      </c>
      <c r="C1092">
        <v>2001</v>
      </c>
    </row>
    <row r="1093" spans="1:11" x14ac:dyDescent="0.25">
      <c r="A1093">
        <v>64.061273330380999</v>
      </c>
      <c r="B1093">
        <v>46.190142358280603</v>
      </c>
      <c r="C1093">
        <v>2001</v>
      </c>
    </row>
    <row r="1094" spans="1:11" x14ac:dyDescent="0.25">
      <c r="A1094">
        <v>63.624257305932197</v>
      </c>
      <c r="B1094">
        <v>46.627158382729398</v>
      </c>
      <c r="C1094">
        <v>2000</v>
      </c>
    </row>
    <row r="1095" spans="1:11" x14ac:dyDescent="0.25">
      <c r="A1095">
        <v>49.781491987775603</v>
      </c>
      <c r="B1095">
        <v>32.784393064572797</v>
      </c>
      <c r="C1095">
        <v>2000</v>
      </c>
    </row>
    <row r="1096" spans="1:11" x14ac:dyDescent="0.25">
      <c r="A1096" t="s">
        <v>84</v>
      </c>
    </row>
    <row r="1097" spans="1:11" x14ac:dyDescent="0.25">
      <c r="A1097">
        <v>504</v>
      </c>
      <c r="B1097">
        <v>0</v>
      </c>
      <c r="C1097">
        <v>22.414370196489099</v>
      </c>
      <c r="D1097">
        <v>43.034575138163703</v>
      </c>
      <c r="E1097">
        <v>8</v>
      </c>
      <c r="F1097">
        <v>1.01722196789785</v>
      </c>
      <c r="G1097" t="s">
        <v>81</v>
      </c>
      <c r="H1097" t="s">
        <v>82</v>
      </c>
      <c r="I1097">
        <v>932</v>
      </c>
      <c r="J1097">
        <v>0</v>
      </c>
      <c r="K1097">
        <v>0</v>
      </c>
    </row>
    <row r="1098" spans="1:11" x14ac:dyDescent="0.25">
      <c r="A1098" t="s">
        <v>83</v>
      </c>
    </row>
    <row r="1099" spans="1:11" x14ac:dyDescent="0.25">
      <c r="A1099">
        <v>119.716964262953</v>
      </c>
      <c r="B1099">
        <v>22.9214991583098</v>
      </c>
      <c r="C1099">
        <v>2000</v>
      </c>
    </row>
    <row r="1100" spans="1:11" x14ac:dyDescent="0.25">
      <c r="A1100">
        <v>103.93911494458401</v>
      </c>
      <c r="B1100">
        <v>7.1436498399403696</v>
      </c>
      <c r="C1100">
        <v>2000</v>
      </c>
    </row>
    <row r="1101" spans="1:11" x14ac:dyDescent="0.25">
      <c r="A1101">
        <v>103.502098920135</v>
      </c>
      <c r="B1101">
        <v>7.5806658643892</v>
      </c>
      <c r="C1101">
        <v>2001</v>
      </c>
    </row>
    <row r="1102" spans="1:11" x14ac:dyDescent="0.25">
      <c r="A1102">
        <v>119.42295592569199</v>
      </c>
      <c r="B1102">
        <v>23.501522869946001</v>
      </c>
      <c r="C1102">
        <v>2001</v>
      </c>
    </row>
    <row r="1103" spans="1:11" x14ac:dyDescent="0.25">
      <c r="A1103">
        <v>146.332300312222</v>
      </c>
      <c r="B1103">
        <v>50.410867256475903</v>
      </c>
      <c r="C1103">
        <v>2001</v>
      </c>
    </row>
    <row r="1104" spans="1:11" x14ac:dyDescent="0.25">
      <c r="A1104">
        <v>150</v>
      </c>
      <c r="B1104">
        <v>54.078566944254298</v>
      </c>
      <c r="C1104">
        <v>2001</v>
      </c>
    </row>
    <row r="1105" spans="1:11" x14ac:dyDescent="0.25">
      <c r="A1105">
        <v>150</v>
      </c>
      <c r="B1105">
        <v>53.204534895356602</v>
      </c>
      <c r="C1105">
        <v>2000</v>
      </c>
    </row>
    <row r="1106" spans="1:11" x14ac:dyDescent="0.25">
      <c r="A1106">
        <v>146.384597848167</v>
      </c>
      <c r="B1106">
        <v>49.589132743524097</v>
      </c>
      <c r="C1106">
        <v>2000</v>
      </c>
    </row>
    <row r="1107" spans="1:11" x14ac:dyDescent="0.25">
      <c r="A1107" t="s">
        <v>84</v>
      </c>
    </row>
    <row r="1108" spans="1:11" x14ac:dyDescent="0.25">
      <c r="A1108">
        <v>866</v>
      </c>
      <c r="B1108">
        <v>0</v>
      </c>
      <c r="C1108">
        <v>26.871845350484399</v>
      </c>
      <c r="D1108">
        <v>38.444084749175701</v>
      </c>
      <c r="E1108">
        <v>8</v>
      </c>
      <c r="F1108">
        <v>1.01722196789785</v>
      </c>
      <c r="G1108" t="s">
        <v>81</v>
      </c>
      <c r="H1108" t="s">
        <v>82</v>
      </c>
      <c r="I1108">
        <v>674</v>
      </c>
      <c r="J1108">
        <v>0</v>
      </c>
      <c r="K1108">
        <v>0.104016298956218</v>
      </c>
    </row>
    <row r="1109" spans="1:11" x14ac:dyDescent="0.25">
      <c r="A1109" t="s">
        <v>83</v>
      </c>
    </row>
    <row r="1110" spans="1:11" x14ac:dyDescent="0.25">
      <c r="A1110">
        <v>123.028660642177</v>
      </c>
      <c r="B1110">
        <v>100.51358995303499</v>
      </c>
      <c r="C1110">
        <v>2000</v>
      </c>
    </row>
    <row r="1111" spans="1:11" x14ac:dyDescent="0.25">
      <c r="A1111">
        <v>122.29656267691701</v>
      </c>
      <c r="B1111">
        <v>99.781491987775595</v>
      </c>
      <c r="C1111">
        <v>2000</v>
      </c>
    </row>
    <row r="1112" spans="1:11" x14ac:dyDescent="0.25">
      <c r="A1112">
        <v>104.03317091924799</v>
      </c>
      <c r="B1112">
        <v>81.518100230106498</v>
      </c>
      <c r="C1112">
        <v>2000</v>
      </c>
    </row>
    <row r="1113" spans="1:11" x14ac:dyDescent="0.25">
      <c r="A1113">
        <v>103.596154894799</v>
      </c>
      <c r="B1113">
        <v>81.955116254555307</v>
      </c>
      <c r="C1113">
        <v>2001</v>
      </c>
    </row>
    <row r="1114" spans="1:11" x14ac:dyDescent="0.25">
      <c r="A1114">
        <v>121.859546652468</v>
      </c>
      <c r="B1114">
        <v>100.21850801222401</v>
      </c>
      <c r="C1114">
        <v>2001</v>
      </c>
    </row>
    <row r="1115" spans="1:11" x14ac:dyDescent="0.25">
      <c r="A1115">
        <v>122.603193312518</v>
      </c>
      <c r="B1115">
        <v>100.962154672274</v>
      </c>
      <c r="C1115">
        <v>2001</v>
      </c>
    </row>
    <row r="1116" spans="1:11" x14ac:dyDescent="0.25">
      <c r="A1116">
        <v>150</v>
      </c>
      <c r="B1116">
        <v>128.35896135975599</v>
      </c>
      <c r="C1116">
        <v>2001</v>
      </c>
    </row>
    <row r="1117" spans="1:11" x14ac:dyDescent="0.25">
      <c r="A1117">
        <v>150</v>
      </c>
      <c r="B1117">
        <v>127.48492931085801</v>
      </c>
      <c r="C1117">
        <v>2000</v>
      </c>
    </row>
    <row r="1118" spans="1:11" x14ac:dyDescent="0.25">
      <c r="A1118" t="s">
        <v>84</v>
      </c>
    </row>
    <row r="1119" spans="1:11" x14ac:dyDescent="0.25">
      <c r="A1119">
        <v>198</v>
      </c>
      <c r="B1119">
        <v>0</v>
      </c>
      <c r="C1119">
        <v>7.8045241389925302</v>
      </c>
      <c r="D1119">
        <v>56.962165813864097</v>
      </c>
      <c r="E1119">
        <v>10</v>
      </c>
      <c r="F1119">
        <v>1.01722196789785</v>
      </c>
      <c r="G1119" t="s">
        <v>81</v>
      </c>
      <c r="H1119" t="s">
        <v>81</v>
      </c>
      <c r="I1119">
        <v>35</v>
      </c>
      <c r="J1119">
        <v>272</v>
      </c>
      <c r="K1119">
        <v>0</v>
      </c>
    </row>
    <row r="1120" spans="1:11" x14ac:dyDescent="0.25">
      <c r="A1120" t="s">
        <v>83</v>
      </c>
    </row>
    <row r="1121" spans="1:11" x14ac:dyDescent="0.25">
      <c r="A1121">
        <v>53.241741173543097</v>
      </c>
      <c r="B1121">
        <v>43.917095887440603</v>
      </c>
      <c r="C1121">
        <v>2000</v>
      </c>
    </row>
    <row r="1122" spans="1:11" x14ac:dyDescent="0.25">
      <c r="A1122">
        <v>50.218508012224397</v>
      </c>
      <c r="B1122">
        <v>40.893862726121903</v>
      </c>
      <c r="C1122">
        <v>2000</v>
      </c>
    </row>
    <row r="1123" spans="1:11" x14ac:dyDescent="0.25">
      <c r="A1123">
        <v>47.723109230927399</v>
      </c>
      <c r="B1123">
        <v>38.398463944824897</v>
      </c>
      <c r="C1123">
        <v>2000</v>
      </c>
    </row>
    <row r="1124" spans="1:11" x14ac:dyDescent="0.25">
      <c r="A1124">
        <v>47.286093206478498</v>
      </c>
      <c r="B1124">
        <v>38.835479969273699</v>
      </c>
      <c r="C1124">
        <v>2001</v>
      </c>
    </row>
    <row r="1125" spans="1:11" x14ac:dyDescent="0.25">
      <c r="A1125">
        <v>49.781491987775603</v>
      </c>
      <c r="B1125">
        <v>41.330878750570697</v>
      </c>
      <c r="C1125">
        <v>2001</v>
      </c>
    </row>
    <row r="1126" spans="1:11" x14ac:dyDescent="0.25">
      <c r="A1126">
        <v>52.804725149094303</v>
      </c>
      <c r="B1126">
        <v>44.354111911889397</v>
      </c>
      <c r="C1126">
        <v>2001</v>
      </c>
    </row>
    <row r="1127" spans="1:11" x14ac:dyDescent="0.25">
      <c r="A1127">
        <v>58.669121249429303</v>
      </c>
      <c r="B1127">
        <v>50.218508012224397</v>
      </c>
      <c r="C1127">
        <v>2001</v>
      </c>
    </row>
    <row r="1128" spans="1:11" x14ac:dyDescent="0.25">
      <c r="A1128">
        <v>93.0830588671502</v>
      </c>
      <c r="B1128">
        <v>84.632445629945295</v>
      </c>
      <c r="C1128">
        <v>2001</v>
      </c>
    </row>
    <row r="1129" spans="1:11" x14ac:dyDescent="0.25">
      <c r="A1129">
        <v>93.520074891598995</v>
      </c>
      <c r="B1129">
        <v>84.1954296054964</v>
      </c>
      <c r="C1129">
        <v>2000</v>
      </c>
    </row>
    <row r="1130" spans="1:11" x14ac:dyDescent="0.25">
      <c r="A1130">
        <v>59.106137273878097</v>
      </c>
      <c r="B1130">
        <v>49.781491987775603</v>
      </c>
      <c r="C1130">
        <v>2000</v>
      </c>
    </row>
    <row r="1131" spans="1:11" x14ac:dyDescent="0.25">
      <c r="A1131" t="s">
        <v>84</v>
      </c>
    </row>
    <row r="1132" spans="1:11" x14ac:dyDescent="0.25">
      <c r="A1132">
        <v>914</v>
      </c>
      <c r="B1132">
        <v>0</v>
      </c>
      <c r="C1132">
        <v>29.288405793705</v>
      </c>
      <c r="D1132">
        <v>35.289490403690102</v>
      </c>
      <c r="E1132">
        <v>8</v>
      </c>
      <c r="F1132">
        <v>1.01722196789785</v>
      </c>
      <c r="G1132" t="s">
        <v>81</v>
      </c>
      <c r="H1132" t="s">
        <v>82</v>
      </c>
      <c r="I1132">
        <v>903</v>
      </c>
      <c r="J1132">
        <v>0</v>
      </c>
      <c r="K1132">
        <v>0.10530400139967799</v>
      </c>
    </row>
    <row r="1133" spans="1:11" x14ac:dyDescent="0.25">
      <c r="A1133" t="s">
        <v>83</v>
      </c>
    </row>
    <row r="1134" spans="1:11" x14ac:dyDescent="0.25">
      <c r="A1134">
        <v>124.921863869718</v>
      </c>
      <c r="B1134">
        <v>119.08467404919</v>
      </c>
      <c r="C1134">
        <v>2000</v>
      </c>
    </row>
    <row r="1135" spans="1:11" x14ac:dyDescent="0.25">
      <c r="A1135">
        <v>106.055697832753</v>
      </c>
      <c r="B1135">
        <v>100.21850801222401</v>
      </c>
      <c r="C1135">
        <v>2000</v>
      </c>
    </row>
    <row r="1136" spans="1:11" x14ac:dyDescent="0.25">
      <c r="A1136">
        <v>104.11802367183699</v>
      </c>
      <c r="B1136">
        <v>98.280833851308302</v>
      </c>
      <c r="C1136">
        <v>2000</v>
      </c>
    </row>
    <row r="1137" spans="1:11" x14ac:dyDescent="0.25">
      <c r="A1137">
        <v>104.55503969628499</v>
      </c>
      <c r="B1137">
        <v>97.843817826859507</v>
      </c>
      <c r="C1137">
        <v>2001</v>
      </c>
    </row>
    <row r="1138" spans="1:11" x14ac:dyDescent="0.25">
      <c r="A1138">
        <v>106.492713857201</v>
      </c>
      <c r="B1138">
        <v>99.781491987775595</v>
      </c>
      <c r="C1138">
        <v>2001</v>
      </c>
    </row>
    <row r="1139" spans="1:11" x14ac:dyDescent="0.25">
      <c r="A1139">
        <v>125.171260192148</v>
      </c>
      <c r="B1139">
        <v>118.460038322722</v>
      </c>
      <c r="C1139">
        <v>2001</v>
      </c>
    </row>
    <row r="1140" spans="1:11" x14ac:dyDescent="0.25">
      <c r="A1140">
        <v>150</v>
      </c>
      <c r="B1140">
        <v>143.288778130574</v>
      </c>
      <c r="C1140">
        <v>2001</v>
      </c>
    </row>
    <row r="1141" spans="1:11" x14ac:dyDescent="0.25">
      <c r="A1141">
        <v>150</v>
      </c>
      <c r="B1141">
        <v>144.16281017947199</v>
      </c>
      <c r="C1141">
        <v>2000</v>
      </c>
    </row>
    <row r="1142" spans="1:11" x14ac:dyDescent="0.25">
      <c r="A1142" t="s">
        <v>84</v>
      </c>
    </row>
    <row r="1143" spans="1:11" x14ac:dyDescent="0.25">
      <c r="A1143">
        <v>771</v>
      </c>
      <c r="B1143">
        <v>0</v>
      </c>
      <c r="C1143">
        <v>32.5285174950683</v>
      </c>
      <c r="D1143">
        <v>31.6434373102243</v>
      </c>
      <c r="E1143">
        <v>8</v>
      </c>
      <c r="F1143">
        <v>1.01722196789785</v>
      </c>
      <c r="G1143" t="s">
        <v>82</v>
      </c>
      <c r="H1143" t="s">
        <v>81</v>
      </c>
      <c r="I1143">
        <v>0</v>
      </c>
      <c r="J1143">
        <v>665</v>
      </c>
      <c r="K1143">
        <v>0.100785207567138</v>
      </c>
    </row>
    <row r="1144" spans="1:11" x14ac:dyDescent="0.25">
      <c r="A1144" t="s">
        <v>83</v>
      </c>
    </row>
    <row r="1145" spans="1:11" x14ac:dyDescent="0.25">
      <c r="A1145">
        <v>23.1256533333314</v>
      </c>
      <c r="B1145">
        <v>32.325548294868803</v>
      </c>
      <c r="C1145">
        <v>2000</v>
      </c>
    </row>
    <row r="1146" spans="1:11" x14ac:dyDescent="0.25">
      <c r="A1146">
        <v>0</v>
      </c>
      <c r="B1146">
        <v>9.1998949615373906</v>
      </c>
      <c r="C1146">
        <v>2000</v>
      </c>
    </row>
    <row r="1147" spans="1:11" x14ac:dyDescent="0.25">
      <c r="A1147">
        <v>0</v>
      </c>
      <c r="B1147">
        <v>10.073927010435</v>
      </c>
      <c r="C1147">
        <v>2001</v>
      </c>
    </row>
    <row r="1148" spans="1:11" x14ac:dyDescent="0.25">
      <c r="A1148">
        <v>22.876617272084701</v>
      </c>
      <c r="B1148">
        <v>32.9505442825198</v>
      </c>
      <c r="C1148">
        <v>2001</v>
      </c>
    </row>
    <row r="1149" spans="1:11" x14ac:dyDescent="0.25">
      <c r="A1149">
        <v>40.144581001789398</v>
      </c>
      <c r="B1149">
        <v>50.218508012224397</v>
      </c>
      <c r="C1149">
        <v>2001</v>
      </c>
    </row>
    <row r="1150" spans="1:11" x14ac:dyDescent="0.25">
      <c r="A1150">
        <v>45.1579163925947</v>
      </c>
      <c r="B1150">
        <v>55.2318434030297</v>
      </c>
      <c r="C1150">
        <v>2001</v>
      </c>
    </row>
    <row r="1151" spans="1:11" x14ac:dyDescent="0.25">
      <c r="A1151">
        <v>45.594932417043502</v>
      </c>
      <c r="B1151">
        <v>54.794827378580898</v>
      </c>
      <c r="C1151">
        <v>2000</v>
      </c>
    </row>
    <row r="1152" spans="1:11" x14ac:dyDescent="0.25">
      <c r="A1152">
        <v>40.5815970262382</v>
      </c>
      <c r="B1152">
        <v>49.781491987775603</v>
      </c>
      <c r="C1152">
        <v>2000</v>
      </c>
    </row>
    <row r="1153" spans="1:11" x14ac:dyDescent="0.25">
      <c r="A1153" t="s">
        <v>84</v>
      </c>
    </row>
    <row r="1154" spans="1:11" x14ac:dyDescent="0.25">
      <c r="A1154">
        <v>187</v>
      </c>
      <c r="B1154">
        <v>0</v>
      </c>
      <c r="C1154">
        <v>13.8493342262926</v>
      </c>
      <c r="D1154">
        <v>50.293773900950697</v>
      </c>
      <c r="E1154">
        <v>8</v>
      </c>
      <c r="F1154">
        <v>1.01722196789785</v>
      </c>
      <c r="G1154" t="s">
        <v>82</v>
      </c>
      <c r="H1154" t="s">
        <v>81</v>
      </c>
      <c r="I1154">
        <v>0</v>
      </c>
      <c r="J1154">
        <v>779</v>
      </c>
      <c r="K1154">
        <v>0</v>
      </c>
    </row>
    <row r="1155" spans="1:11" x14ac:dyDescent="0.25">
      <c r="A1155" t="s">
        <v>83</v>
      </c>
    </row>
    <row r="1156" spans="1:11" x14ac:dyDescent="0.25">
      <c r="A1156">
        <v>59.545049883958498</v>
      </c>
      <c r="B1156">
        <v>9.7370296853391594</v>
      </c>
      <c r="C1156">
        <v>2000</v>
      </c>
    </row>
    <row r="1157" spans="1:11" x14ac:dyDescent="0.25">
      <c r="A1157">
        <v>50.4229813859315</v>
      </c>
      <c r="B1157">
        <v>0.61496118731210303</v>
      </c>
      <c r="C1157">
        <v>2000</v>
      </c>
    </row>
    <row r="1158" spans="1:11" x14ac:dyDescent="0.25">
      <c r="A1158">
        <v>49.808020198619403</v>
      </c>
      <c r="B1158">
        <v>0</v>
      </c>
      <c r="C1158">
        <v>2000</v>
      </c>
    </row>
    <row r="1159" spans="1:11" x14ac:dyDescent="0.25">
      <c r="A1159">
        <v>48.933988149721699</v>
      </c>
      <c r="B1159">
        <v>0</v>
      </c>
      <c r="C1159">
        <v>2001</v>
      </c>
    </row>
    <row r="1160" spans="1:11" x14ac:dyDescent="0.25">
      <c r="A1160">
        <v>49.5770186140685</v>
      </c>
      <c r="B1160">
        <v>0.64303046434683597</v>
      </c>
      <c r="C1160">
        <v>2001</v>
      </c>
    </row>
    <row r="1161" spans="1:11" x14ac:dyDescent="0.25">
      <c r="A1161">
        <v>58.782874757043402</v>
      </c>
      <c r="B1161">
        <v>9.8488866073216794</v>
      </c>
      <c r="C1161">
        <v>2001</v>
      </c>
    </row>
    <row r="1162" spans="1:11" x14ac:dyDescent="0.25">
      <c r="A1162">
        <v>94.508522885101797</v>
      </c>
      <c r="B1162">
        <v>45.574534735380098</v>
      </c>
      <c r="C1162">
        <v>2001</v>
      </c>
    </row>
    <row r="1163" spans="1:11" x14ac:dyDescent="0.25">
      <c r="A1163">
        <v>94.945538909550606</v>
      </c>
      <c r="B1163">
        <v>45.137518710931197</v>
      </c>
      <c r="C1163">
        <v>2000</v>
      </c>
    </row>
    <row r="1164" spans="1:11" x14ac:dyDescent="0.25">
      <c r="A1164" t="s">
        <v>84</v>
      </c>
    </row>
    <row r="1165" spans="1:11" x14ac:dyDescent="0.25">
      <c r="A1165">
        <v>927</v>
      </c>
      <c r="B1165">
        <v>0</v>
      </c>
      <c r="C1165">
        <v>43.012807921342201</v>
      </c>
      <c r="D1165">
        <v>20.192334337462199</v>
      </c>
      <c r="E1165">
        <v>8</v>
      </c>
      <c r="F1165">
        <v>1.01722196789785</v>
      </c>
      <c r="G1165" t="s">
        <v>81</v>
      </c>
      <c r="H1165" t="s">
        <v>82</v>
      </c>
      <c r="I1165">
        <v>761</v>
      </c>
      <c r="J1165">
        <v>0</v>
      </c>
      <c r="K1165">
        <v>0.105643180430783</v>
      </c>
    </row>
    <row r="1166" spans="1:11" x14ac:dyDescent="0.25">
      <c r="A1166" t="s">
        <v>83</v>
      </c>
    </row>
    <row r="1167" spans="1:11" x14ac:dyDescent="0.25">
      <c r="A1167">
        <v>91.301906877112501</v>
      </c>
      <c r="B1167">
        <v>135.839837631367</v>
      </c>
      <c r="C1167">
        <v>2000</v>
      </c>
    </row>
    <row r="1168" spans="1:11" x14ac:dyDescent="0.25">
      <c r="A1168">
        <v>60.987792560908503</v>
      </c>
      <c r="B1168">
        <v>105.52572331516301</v>
      </c>
      <c r="C1168">
        <v>2000</v>
      </c>
    </row>
    <row r="1169" spans="1:11" x14ac:dyDescent="0.25">
      <c r="A1169">
        <v>61.424808585357297</v>
      </c>
      <c r="B1169">
        <v>105.08870729071501</v>
      </c>
      <c r="C1169">
        <v>2001</v>
      </c>
    </row>
    <row r="1170" spans="1:11" x14ac:dyDescent="0.25">
      <c r="A1170">
        <v>91.939990587264305</v>
      </c>
      <c r="B1170">
        <v>135.603889292622</v>
      </c>
      <c r="C1170">
        <v>2001</v>
      </c>
    </row>
    <row r="1171" spans="1:11" x14ac:dyDescent="0.25">
      <c r="A1171">
        <v>100.34673831958899</v>
      </c>
      <c r="B1171">
        <v>144.01063702494599</v>
      </c>
      <c r="C1171">
        <v>2001</v>
      </c>
    </row>
    <row r="1172" spans="1:11" x14ac:dyDescent="0.25">
      <c r="A1172">
        <v>106.336101294643</v>
      </c>
      <c r="B1172">
        <v>150</v>
      </c>
      <c r="C1172">
        <v>2001</v>
      </c>
    </row>
    <row r="1173" spans="1:11" x14ac:dyDescent="0.25">
      <c r="A1173">
        <v>105.462069245745</v>
      </c>
      <c r="B1173">
        <v>150</v>
      </c>
      <c r="C1173">
        <v>2000</v>
      </c>
    </row>
    <row r="1174" spans="1:11" x14ac:dyDescent="0.25">
      <c r="A1174">
        <v>99.653261680411404</v>
      </c>
      <c r="B1174">
        <v>144.19119243466599</v>
      </c>
      <c r="C1174">
        <v>2000</v>
      </c>
    </row>
    <row r="1175" spans="1:11" x14ac:dyDescent="0.25">
      <c r="A1175" t="s">
        <v>84</v>
      </c>
    </row>
    <row r="1176" spans="1:11" x14ac:dyDescent="0.25">
      <c r="A1176">
        <v>798</v>
      </c>
      <c r="B1176">
        <v>0</v>
      </c>
      <c r="C1176">
        <v>50.114412140384999</v>
      </c>
      <c r="D1176">
        <v>12.328215766500801</v>
      </c>
      <c r="E1176">
        <v>10</v>
      </c>
      <c r="F1176">
        <v>1.01722196789785</v>
      </c>
      <c r="G1176" t="s">
        <v>81</v>
      </c>
      <c r="H1176" t="s">
        <v>81</v>
      </c>
      <c r="I1176">
        <v>31</v>
      </c>
      <c r="J1176">
        <v>960</v>
      </c>
      <c r="K1176">
        <v>0.10256144766988801</v>
      </c>
    </row>
    <row r="1177" spans="1:11" x14ac:dyDescent="0.25">
      <c r="A1177" t="s">
        <v>83</v>
      </c>
    </row>
    <row r="1178" spans="1:11" x14ac:dyDescent="0.25">
      <c r="A1178">
        <v>69.077216473905196</v>
      </c>
      <c r="B1178">
        <v>61.803480379196401</v>
      </c>
      <c r="C1178">
        <v>2000</v>
      </c>
    </row>
    <row r="1179" spans="1:11" x14ac:dyDescent="0.25">
      <c r="A1179">
        <v>57.055228082484398</v>
      </c>
      <c r="B1179">
        <v>49.781491987775603</v>
      </c>
      <c r="C1179">
        <v>2000</v>
      </c>
    </row>
    <row r="1180" spans="1:11" x14ac:dyDescent="0.25">
      <c r="A1180">
        <v>50.218508012224397</v>
      </c>
      <c r="B1180">
        <v>42.944771917515602</v>
      </c>
      <c r="C1180">
        <v>2000</v>
      </c>
    </row>
    <row r="1181" spans="1:11" x14ac:dyDescent="0.25">
      <c r="A1181">
        <v>33.640975814261502</v>
      </c>
      <c r="B1181">
        <v>26.3672397195527</v>
      </c>
      <c r="C1181">
        <v>2000</v>
      </c>
    </row>
    <row r="1182" spans="1:11" x14ac:dyDescent="0.25">
      <c r="A1182">
        <v>33.2039597898126</v>
      </c>
      <c r="B1182">
        <v>26.804255744001502</v>
      </c>
      <c r="C1182">
        <v>2001</v>
      </c>
    </row>
    <row r="1183" spans="1:11" x14ac:dyDescent="0.25">
      <c r="A1183">
        <v>49.781491987775603</v>
      </c>
      <c r="B1183">
        <v>43.381787941964497</v>
      </c>
      <c r="C1183">
        <v>2001</v>
      </c>
    </row>
    <row r="1184" spans="1:11" x14ac:dyDescent="0.25">
      <c r="A1184">
        <v>56.618212058035603</v>
      </c>
      <c r="B1184">
        <v>50.218508012224397</v>
      </c>
      <c r="C1184">
        <v>2001</v>
      </c>
    </row>
    <row r="1185" spans="1:11" x14ac:dyDescent="0.25">
      <c r="A1185">
        <v>68.640200449456401</v>
      </c>
      <c r="B1185">
        <v>62.240496403645203</v>
      </c>
      <c r="C1185">
        <v>2001</v>
      </c>
    </row>
    <row r="1186" spans="1:11" x14ac:dyDescent="0.25">
      <c r="A1186">
        <v>77.357565417879997</v>
      </c>
      <c r="B1186">
        <v>70.957861372068805</v>
      </c>
      <c r="C1186">
        <v>2001</v>
      </c>
    </row>
    <row r="1187" spans="1:11" x14ac:dyDescent="0.25">
      <c r="A1187">
        <v>77.794581442328806</v>
      </c>
      <c r="B1187">
        <v>70.520845347619996</v>
      </c>
      <c r="C1187">
        <v>2000</v>
      </c>
    </row>
    <row r="1188" spans="1:11" x14ac:dyDescent="0.25">
      <c r="A1188" t="s">
        <v>84</v>
      </c>
    </row>
    <row r="1189" spans="1:11" x14ac:dyDescent="0.25">
      <c r="A1189">
        <v>110</v>
      </c>
      <c r="B1189">
        <v>0</v>
      </c>
      <c r="C1189">
        <v>0.77980094661573696</v>
      </c>
      <c r="D1189">
        <v>61.562354793335302</v>
      </c>
      <c r="E1189">
        <v>10</v>
      </c>
      <c r="F1189">
        <v>1.01722196789785</v>
      </c>
      <c r="G1189" t="s">
        <v>81</v>
      </c>
      <c r="H1189" t="s">
        <v>81</v>
      </c>
      <c r="I1189">
        <v>766</v>
      </c>
      <c r="J1189">
        <v>325</v>
      </c>
      <c r="K1189">
        <v>0</v>
      </c>
    </row>
    <row r="1190" spans="1:11" x14ac:dyDescent="0.25">
      <c r="A1190" t="s">
        <v>83</v>
      </c>
    </row>
    <row r="1191" spans="1:11" x14ac:dyDescent="0.25">
      <c r="A1191">
        <v>37.739069634000103</v>
      </c>
      <c r="B1191">
        <v>96.473526374652906</v>
      </c>
      <c r="C1191">
        <v>2000</v>
      </c>
    </row>
    <row r="1192" spans="1:11" x14ac:dyDescent="0.25">
      <c r="A1192">
        <v>37.187667096672499</v>
      </c>
      <c r="B1192">
        <v>95.922123837325202</v>
      </c>
      <c r="C1192">
        <v>2000</v>
      </c>
    </row>
    <row r="1193" spans="1:11" x14ac:dyDescent="0.25">
      <c r="A1193">
        <v>37.624683121121301</v>
      </c>
      <c r="B1193">
        <v>95.485107812876393</v>
      </c>
      <c r="C1193">
        <v>2001</v>
      </c>
    </row>
    <row r="1194" spans="1:11" x14ac:dyDescent="0.25">
      <c r="A1194">
        <v>38.176085658448997</v>
      </c>
      <c r="B1194">
        <v>96.036510350204097</v>
      </c>
      <c r="C1194">
        <v>2001</v>
      </c>
    </row>
    <row r="1195" spans="1:11" x14ac:dyDescent="0.25">
      <c r="A1195">
        <v>41.921067296020396</v>
      </c>
      <c r="B1195">
        <v>99.781491987775595</v>
      </c>
      <c r="C1195">
        <v>2001</v>
      </c>
    </row>
    <row r="1196" spans="1:11" x14ac:dyDescent="0.25">
      <c r="A1196">
        <v>50.218508012224397</v>
      </c>
      <c r="B1196">
        <v>108.07893270398</v>
      </c>
      <c r="C1196">
        <v>2001</v>
      </c>
    </row>
    <row r="1197" spans="1:11" x14ac:dyDescent="0.25">
      <c r="A1197">
        <v>81.707244198628501</v>
      </c>
      <c r="B1197">
        <v>139.567668890384</v>
      </c>
      <c r="C1197">
        <v>2001</v>
      </c>
    </row>
    <row r="1198" spans="1:11" x14ac:dyDescent="0.25">
      <c r="A1198">
        <v>81.270228174179707</v>
      </c>
      <c r="B1198">
        <v>140.00468491483301</v>
      </c>
      <c r="C1198">
        <v>2000</v>
      </c>
    </row>
    <row r="1199" spans="1:11" x14ac:dyDescent="0.25">
      <c r="A1199">
        <v>49.781491987775603</v>
      </c>
      <c r="B1199">
        <v>108.515948728428</v>
      </c>
      <c r="C1199">
        <v>2000</v>
      </c>
    </row>
    <row r="1200" spans="1:11" x14ac:dyDescent="0.25">
      <c r="A1200">
        <v>41.484051271571602</v>
      </c>
      <c r="B1200">
        <v>100.21850801222401</v>
      </c>
      <c r="C1200">
        <v>2000</v>
      </c>
    </row>
    <row r="1201" spans="1:11" x14ac:dyDescent="0.25">
      <c r="A1201" t="s">
        <v>84</v>
      </c>
    </row>
    <row r="1202" spans="1:11" x14ac:dyDescent="0.25">
      <c r="A1202">
        <v>975</v>
      </c>
      <c r="B1202">
        <v>0</v>
      </c>
      <c r="C1202">
        <v>44.075834269170599</v>
      </c>
      <c r="D1202">
        <v>17.955327954612699</v>
      </c>
      <c r="E1202">
        <v>8</v>
      </c>
      <c r="F1202">
        <v>1.01722196789785</v>
      </c>
      <c r="G1202" t="s">
        <v>82</v>
      </c>
      <c r="H1202" t="s">
        <v>81</v>
      </c>
      <c r="I1202">
        <v>0</v>
      </c>
      <c r="J1202">
        <v>896</v>
      </c>
      <c r="K1202">
        <v>0.108003845282467</v>
      </c>
    </row>
    <row r="1203" spans="1:11" x14ac:dyDescent="0.25">
      <c r="A1203" t="s">
        <v>83</v>
      </c>
    </row>
    <row r="1204" spans="1:11" x14ac:dyDescent="0.25">
      <c r="A1204">
        <v>95.3935023028546</v>
      </c>
      <c r="B1204">
        <v>31.358006420906602</v>
      </c>
      <c r="C1204">
        <v>2000</v>
      </c>
    </row>
    <row r="1205" spans="1:11" x14ac:dyDescent="0.25">
      <c r="A1205">
        <v>64.035495881947995</v>
      </c>
      <c r="B1205">
        <v>0</v>
      </c>
      <c r="C1205">
        <v>2000</v>
      </c>
    </row>
    <row r="1206" spans="1:11" x14ac:dyDescent="0.25">
      <c r="A1206">
        <v>64.909527930845599</v>
      </c>
      <c r="B1206">
        <v>0</v>
      </c>
      <c r="C1206">
        <v>2001</v>
      </c>
    </row>
    <row r="1207" spans="1:11" x14ac:dyDescent="0.25">
      <c r="A1207">
        <v>95.884164106309001</v>
      </c>
      <c r="B1207">
        <v>30.974636175463299</v>
      </c>
      <c r="C1207">
        <v>2001</v>
      </c>
    </row>
    <row r="1208" spans="1:11" x14ac:dyDescent="0.25">
      <c r="A1208">
        <v>100.21850801222401</v>
      </c>
      <c r="B1208">
        <v>35.308980081378699</v>
      </c>
      <c r="C1208">
        <v>2001</v>
      </c>
    </row>
    <row r="1209" spans="1:11" x14ac:dyDescent="0.25">
      <c r="A1209">
        <v>108.553675371941</v>
      </c>
      <c r="B1209">
        <v>43.644147441095598</v>
      </c>
      <c r="C1209">
        <v>2001</v>
      </c>
    </row>
    <row r="1210" spans="1:11" x14ac:dyDescent="0.25">
      <c r="A1210">
        <v>108.116659347492</v>
      </c>
      <c r="B1210">
        <v>44.0811634655444</v>
      </c>
      <c r="C1210">
        <v>2000</v>
      </c>
    </row>
    <row r="1211" spans="1:11" x14ac:dyDescent="0.25">
      <c r="A1211">
        <v>99.781491987775595</v>
      </c>
      <c r="B1211">
        <v>35.745996105827601</v>
      </c>
      <c r="C1211">
        <v>2000</v>
      </c>
    </row>
    <row r="1212" spans="1:11" x14ac:dyDescent="0.25">
      <c r="A1212" t="s">
        <v>84</v>
      </c>
    </row>
    <row r="1213" spans="1:11" x14ac:dyDescent="0.25">
      <c r="A1213">
        <v>787</v>
      </c>
      <c r="B1213">
        <v>0</v>
      </c>
      <c r="C1213">
        <v>41.997570830297597</v>
      </c>
      <c r="D1213">
        <v>18.4164721331083</v>
      </c>
      <c r="E1213">
        <v>6</v>
      </c>
      <c r="F1213">
        <v>1.01722196789785</v>
      </c>
      <c r="G1213" t="s">
        <v>82</v>
      </c>
      <c r="H1213" t="s">
        <v>82</v>
      </c>
      <c r="I1213">
        <v>0</v>
      </c>
      <c r="J1213">
        <v>0</v>
      </c>
      <c r="K1213">
        <v>0.100785207567138</v>
      </c>
    </row>
    <row r="1214" spans="1:11" x14ac:dyDescent="0.25">
      <c r="A1214" t="s">
        <v>83</v>
      </c>
    </row>
    <row r="1215" spans="1:11" x14ac:dyDescent="0.25">
      <c r="A1215">
        <v>29.392970021023501</v>
      </c>
      <c r="B1215">
        <v>137.11080658715301</v>
      </c>
      <c r="C1215">
        <v>2000</v>
      </c>
    </row>
    <row r="1216" spans="1:11" x14ac:dyDescent="0.25">
      <c r="A1216">
        <v>0</v>
      </c>
      <c r="B1216">
        <v>107.71783656612899</v>
      </c>
      <c r="C1216">
        <v>2000</v>
      </c>
    </row>
    <row r="1217" spans="1:11" x14ac:dyDescent="0.25">
      <c r="A1217">
        <v>0</v>
      </c>
      <c r="B1217">
        <v>106.84380451723101</v>
      </c>
      <c r="C1217">
        <v>2001</v>
      </c>
    </row>
    <row r="1218" spans="1:11" x14ac:dyDescent="0.25">
      <c r="A1218">
        <v>30.000564233908101</v>
      </c>
      <c r="B1218">
        <v>136.84436875114</v>
      </c>
      <c r="C1218">
        <v>2001</v>
      </c>
    </row>
    <row r="1219" spans="1:11" x14ac:dyDescent="0.25">
      <c r="A1219">
        <v>43.156195482768602</v>
      </c>
      <c r="B1219">
        <v>150</v>
      </c>
      <c r="C1219">
        <v>2001</v>
      </c>
    </row>
    <row r="1220" spans="1:11" x14ac:dyDescent="0.25">
      <c r="A1220">
        <v>42.282163433870899</v>
      </c>
      <c r="B1220">
        <v>150</v>
      </c>
      <c r="C1220">
        <v>2000</v>
      </c>
    </row>
    <row r="1221" spans="1:11" x14ac:dyDescent="0.25">
      <c r="A1221" t="s">
        <v>84</v>
      </c>
    </row>
    <row r="1222" spans="1:11" x14ac:dyDescent="0.25">
      <c r="A1222">
        <v>280</v>
      </c>
      <c r="B1222">
        <v>0</v>
      </c>
      <c r="C1222">
        <v>2.33793653151008</v>
      </c>
      <c r="D1222">
        <v>57.909157302833101</v>
      </c>
      <c r="E1222">
        <v>6</v>
      </c>
      <c r="F1222">
        <v>1.01722196789785</v>
      </c>
      <c r="G1222" t="s">
        <v>81</v>
      </c>
      <c r="H1222" t="s">
        <v>81</v>
      </c>
      <c r="I1222">
        <v>850</v>
      </c>
      <c r="J1222">
        <v>247</v>
      </c>
      <c r="K1222">
        <v>0</v>
      </c>
    </row>
    <row r="1223" spans="1:11" x14ac:dyDescent="0.25">
      <c r="A1223" t="s">
        <v>83</v>
      </c>
    </row>
    <row r="1224" spans="1:11" x14ac:dyDescent="0.25">
      <c r="A1224">
        <v>102.660386611088</v>
      </c>
      <c r="B1224">
        <v>105.202270375189</v>
      </c>
      <c r="C1224">
        <v>2000</v>
      </c>
    </row>
    <row r="1225" spans="1:11" x14ac:dyDescent="0.25">
      <c r="A1225">
        <v>101.007215835674</v>
      </c>
      <c r="B1225">
        <v>103.549099599774</v>
      </c>
      <c r="C1225">
        <v>2000</v>
      </c>
    </row>
    <row r="1226" spans="1:11" x14ac:dyDescent="0.25">
      <c r="A1226">
        <v>101.444231860122</v>
      </c>
      <c r="B1226">
        <v>103.112083575325</v>
      </c>
      <c r="C1226">
        <v>2001</v>
      </c>
    </row>
    <row r="1227" spans="1:11" x14ac:dyDescent="0.25">
      <c r="A1227">
        <v>103.09740263553699</v>
      </c>
      <c r="B1227">
        <v>104.76525435073999</v>
      </c>
      <c r="C1227">
        <v>2001</v>
      </c>
    </row>
    <row r="1228" spans="1:11" x14ac:dyDescent="0.25">
      <c r="A1228">
        <v>144.04536045716901</v>
      </c>
      <c r="B1228">
        <v>145.71321217237201</v>
      </c>
      <c r="C1228">
        <v>2001</v>
      </c>
    </row>
    <row r="1229" spans="1:11" x14ac:dyDescent="0.25">
      <c r="A1229">
        <v>143.60834443272</v>
      </c>
      <c r="B1229">
        <v>146.15022819682099</v>
      </c>
      <c r="C1229">
        <v>2000</v>
      </c>
    </row>
    <row r="1230" spans="1:11" x14ac:dyDescent="0.25">
      <c r="A1230" t="s">
        <v>84</v>
      </c>
    </row>
    <row r="1231" spans="1:11" x14ac:dyDescent="0.25">
      <c r="A1231">
        <v>23</v>
      </c>
      <c r="B1231">
        <v>0</v>
      </c>
      <c r="C1231">
        <v>22.5568516641471</v>
      </c>
      <c r="D1231">
        <v>37.462705077263202</v>
      </c>
      <c r="E1231">
        <v>8</v>
      </c>
      <c r="F1231">
        <v>1.01722196789785</v>
      </c>
      <c r="G1231" t="s">
        <v>82</v>
      </c>
      <c r="H1231" t="s">
        <v>81</v>
      </c>
      <c r="I1231">
        <v>0</v>
      </c>
      <c r="J1231">
        <v>679</v>
      </c>
      <c r="K1231">
        <v>0</v>
      </c>
    </row>
    <row r="1232" spans="1:11" x14ac:dyDescent="0.25">
      <c r="A1232" t="s">
        <v>83</v>
      </c>
    </row>
    <row r="1233" spans="1:11" x14ac:dyDescent="0.25">
      <c r="A1233">
        <v>15.7987312193547</v>
      </c>
      <c r="B1233">
        <v>43.211439529482703</v>
      </c>
      <c r="C1233">
        <v>2000</v>
      </c>
    </row>
    <row r="1234" spans="1:11" x14ac:dyDescent="0.25">
      <c r="A1234">
        <v>0</v>
      </c>
      <c r="B1234">
        <v>27.412708310128</v>
      </c>
      <c r="C1234">
        <v>2000</v>
      </c>
    </row>
    <row r="1235" spans="1:11" x14ac:dyDescent="0.25">
      <c r="A1235">
        <v>0</v>
      </c>
      <c r="B1235">
        <v>26.5386762612303</v>
      </c>
      <c r="C1235">
        <v>2001</v>
      </c>
    </row>
    <row r="1236" spans="1:11" x14ac:dyDescent="0.25">
      <c r="A1236">
        <v>16.101474328520201</v>
      </c>
      <c r="B1236">
        <v>42.640150589750498</v>
      </c>
      <c r="C1236">
        <v>2001</v>
      </c>
    </row>
    <row r="1237" spans="1:11" x14ac:dyDescent="0.25">
      <c r="A1237">
        <v>23.242815726545299</v>
      </c>
      <c r="B1237">
        <v>49.781491987775603</v>
      </c>
      <c r="C1237">
        <v>2001</v>
      </c>
    </row>
    <row r="1238" spans="1:11" x14ac:dyDescent="0.25">
      <c r="A1238">
        <v>42.658743587886399</v>
      </c>
      <c r="B1238">
        <v>69.197419849116699</v>
      </c>
      <c r="C1238">
        <v>2001</v>
      </c>
    </row>
    <row r="1239" spans="1:11" x14ac:dyDescent="0.25">
      <c r="A1239">
        <v>42.221727563437497</v>
      </c>
      <c r="B1239">
        <v>69.634435873565494</v>
      </c>
      <c r="C1239">
        <v>2000</v>
      </c>
    </row>
    <row r="1240" spans="1:11" x14ac:dyDescent="0.25">
      <c r="A1240">
        <v>22.8057997020965</v>
      </c>
      <c r="B1240">
        <v>50.218508012224397</v>
      </c>
      <c r="C1240">
        <v>2000</v>
      </c>
    </row>
    <row r="1241" spans="1:11" x14ac:dyDescent="0.25">
      <c r="A1241" t="s">
        <v>84</v>
      </c>
    </row>
    <row r="1242" spans="1:11" x14ac:dyDescent="0.25">
      <c r="A1242">
        <v>778</v>
      </c>
      <c r="B1242">
        <v>0</v>
      </c>
      <c r="C1242">
        <v>3.8996990039334598</v>
      </c>
      <c r="D1242">
        <v>55.639609091278999</v>
      </c>
      <c r="E1242">
        <v>6</v>
      </c>
      <c r="F1242">
        <v>1.01722196789785</v>
      </c>
      <c r="G1242" t="s">
        <v>81</v>
      </c>
      <c r="H1242" t="s">
        <v>82</v>
      </c>
      <c r="I1242">
        <v>826</v>
      </c>
      <c r="J1242">
        <v>0</v>
      </c>
      <c r="K1242">
        <v>0.10038021386068</v>
      </c>
    </row>
    <row r="1243" spans="1:11" x14ac:dyDescent="0.25">
      <c r="A1243" t="s">
        <v>83</v>
      </c>
    </row>
    <row r="1244" spans="1:11" x14ac:dyDescent="0.25">
      <c r="A1244">
        <v>110.452658910335</v>
      </c>
      <c r="B1244">
        <v>54.079874277894199</v>
      </c>
      <c r="C1244">
        <v>2000</v>
      </c>
    </row>
    <row r="1245" spans="1:11" x14ac:dyDescent="0.25">
      <c r="A1245">
        <v>107.680843486496</v>
      </c>
      <c r="B1245">
        <v>51.308058854055098</v>
      </c>
      <c r="C1245">
        <v>2000</v>
      </c>
    </row>
    <row r="1246" spans="1:11" x14ac:dyDescent="0.25">
      <c r="A1246">
        <v>108.117859510945</v>
      </c>
      <c r="B1246">
        <v>50.871042829606303</v>
      </c>
      <c r="C1246">
        <v>2001</v>
      </c>
    </row>
    <row r="1247" spans="1:11" x14ac:dyDescent="0.25">
      <c r="A1247">
        <v>110.86105130764101</v>
      </c>
      <c r="B1247">
        <v>53.614234626302803</v>
      </c>
      <c r="C1247">
        <v>2001</v>
      </c>
    </row>
    <row r="1248" spans="1:11" x14ac:dyDescent="0.25">
      <c r="A1248">
        <v>150</v>
      </c>
      <c r="B1248">
        <v>92.753183318661698</v>
      </c>
      <c r="C1248">
        <v>2001</v>
      </c>
    </row>
    <row r="1249" spans="1:11" x14ac:dyDescent="0.25">
      <c r="A1249">
        <v>150</v>
      </c>
      <c r="B1249">
        <v>93.627215367559302</v>
      </c>
      <c r="C1249">
        <v>2000</v>
      </c>
    </row>
    <row r="1250" spans="1:11" x14ac:dyDescent="0.25">
      <c r="A1250" t="s">
        <v>84</v>
      </c>
    </row>
    <row r="1251" spans="1:11" x14ac:dyDescent="0.25">
      <c r="A1251">
        <v>749</v>
      </c>
      <c r="B1251">
        <v>0</v>
      </c>
      <c r="C1251">
        <v>42.101516130782997</v>
      </c>
      <c r="D1251">
        <v>17.09020005368</v>
      </c>
      <c r="E1251">
        <v>10</v>
      </c>
      <c r="F1251">
        <v>1.01722196789785</v>
      </c>
      <c r="G1251" t="s">
        <v>81</v>
      </c>
      <c r="H1251" t="s">
        <v>81</v>
      </c>
      <c r="I1251">
        <v>1044</v>
      </c>
      <c r="J1251">
        <v>673</v>
      </c>
      <c r="K1251">
        <v>0.101399532687084</v>
      </c>
    </row>
    <row r="1252" spans="1:11" x14ac:dyDescent="0.25">
      <c r="A1252" t="s">
        <v>83</v>
      </c>
    </row>
    <row r="1253" spans="1:11" x14ac:dyDescent="0.25">
      <c r="A1253">
        <v>59.919475182857902</v>
      </c>
      <c r="B1253">
        <v>66.980893432615005</v>
      </c>
      <c r="C1253">
        <v>2000</v>
      </c>
    </row>
    <row r="1254" spans="1:11" x14ac:dyDescent="0.25">
      <c r="A1254">
        <v>49.781491987775603</v>
      </c>
      <c r="B1254">
        <v>56.842910237532699</v>
      </c>
      <c r="C1254">
        <v>2000</v>
      </c>
    </row>
    <row r="1255" spans="1:11" x14ac:dyDescent="0.25">
      <c r="A1255">
        <v>43.157089762467301</v>
      </c>
      <c r="B1255">
        <v>50.218508012224397</v>
      </c>
      <c r="C1255">
        <v>2000</v>
      </c>
    </row>
    <row r="1256" spans="1:11" x14ac:dyDescent="0.25">
      <c r="A1256">
        <v>30.149207628546399</v>
      </c>
      <c r="B1256">
        <v>37.210625878303503</v>
      </c>
      <c r="C1256">
        <v>2000</v>
      </c>
    </row>
    <row r="1257" spans="1:11" x14ac:dyDescent="0.25">
      <c r="A1257">
        <v>30.586223652995201</v>
      </c>
      <c r="B1257">
        <v>36.773609853854701</v>
      </c>
      <c r="C1257">
        <v>2001</v>
      </c>
    </row>
    <row r="1258" spans="1:11" x14ac:dyDescent="0.25">
      <c r="A1258">
        <v>43.594105786916103</v>
      </c>
      <c r="B1258">
        <v>49.781491987775603</v>
      </c>
      <c r="C1258">
        <v>2001</v>
      </c>
    </row>
    <row r="1259" spans="1:11" x14ac:dyDescent="0.25">
      <c r="A1259">
        <v>50.218508012224397</v>
      </c>
      <c r="B1259">
        <v>56.405894213083897</v>
      </c>
      <c r="C1259">
        <v>2001</v>
      </c>
    </row>
    <row r="1260" spans="1:11" x14ac:dyDescent="0.25">
      <c r="A1260">
        <v>60.356491207306703</v>
      </c>
      <c r="B1260">
        <v>66.543877408166196</v>
      </c>
      <c r="C1260">
        <v>2001</v>
      </c>
    </row>
    <row r="1261" spans="1:11" x14ac:dyDescent="0.25">
      <c r="A1261">
        <v>72.441087557098498</v>
      </c>
      <c r="B1261">
        <v>78.628473757958005</v>
      </c>
      <c r="C1261">
        <v>2001</v>
      </c>
    </row>
    <row r="1262" spans="1:11" x14ac:dyDescent="0.25">
      <c r="A1262">
        <v>72.004071532649704</v>
      </c>
      <c r="B1262">
        <v>79.0654897824068</v>
      </c>
      <c r="C1262">
        <v>2000</v>
      </c>
    </row>
    <row r="1263" spans="1:11" x14ac:dyDescent="0.25">
      <c r="A1263" t="s">
        <v>84</v>
      </c>
    </row>
    <row r="1264" spans="1:11" x14ac:dyDescent="0.25">
      <c r="A1264">
        <v>896</v>
      </c>
      <c r="B1264">
        <v>0</v>
      </c>
      <c r="C1264">
        <v>29.626165518447301</v>
      </c>
      <c r="D1264">
        <v>28.991674150759899</v>
      </c>
      <c r="E1264">
        <v>8</v>
      </c>
      <c r="F1264">
        <v>1.01722196789785</v>
      </c>
      <c r="G1264" t="s">
        <v>81</v>
      </c>
      <c r="H1264" t="s">
        <v>82</v>
      </c>
      <c r="I1264">
        <v>975</v>
      </c>
      <c r="J1264">
        <v>0</v>
      </c>
      <c r="K1264">
        <v>0.104772231836848</v>
      </c>
    </row>
    <row r="1265" spans="1:11" x14ac:dyDescent="0.25">
      <c r="A1265" t="s">
        <v>83</v>
      </c>
    </row>
    <row r="1266" spans="1:11" x14ac:dyDescent="0.25">
      <c r="A1266">
        <v>129.62742521963199</v>
      </c>
      <c r="B1266">
        <v>64.286375865424802</v>
      </c>
      <c r="C1266">
        <v>2000</v>
      </c>
    </row>
    <row r="1267" spans="1:11" x14ac:dyDescent="0.25">
      <c r="A1267">
        <v>115.12254134198299</v>
      </c>
      <c r="B1267">
        <v>49.781491987775603</v>
      </c>
      <c r="C1267">
        <v>2000</v>
      </c>
    </row>
    <row r="1268" spans="1:11" x14ac:dyDescent="0.25">
      <c r="A1268">
        <v>108.769436083622</v>
      </c>
      <c r="B1268">
        <v>43.428386729414598</v>
      </c>
      <c r="C1268">
        <v>2000</v>
      </c>
    </row>
    <row r="1269" spans="1:11" x14ac:dyDescent="0.25">
      <c r="A1269">
        <v>108.332420059173</v>
      </c>
      <c r="B1269">
        <v>43.8654027538634</v>
      </c>
      <c r="C1269">
        <v>2001</v>
      </c>
    </row>
    <row r="1270" spans="1:11" x14ac:dyDescent="0.25">
      <c r="A1270">
        <v>114.685525317534</v>
      </c>
      <c r="B1270">
        <v>50.218508012224397</v>
      </c>
      <c r="C1270">
        <v>2001</v>
      </c>
    </row>
    <row r="1271" spans="1:11" x14ac:dyDescent="0.25">
      <c r="A1271">
        <v>129.37215600046099</v>
      </c>
      <c r="B1271">
        <v>64.905138695151393</v>
      </c>
      <c r="C1271">
        <v>2001</v>
      </c>
    </row>
    <row r="1272" spans="1:11" x14ac:dyDescent="0.25">
      <c r="A1272">
        <v>150</v>
      </c>
      <c r="B1272">
        <v>85.532982694690006</v>
      </c>
      <c r="C1272">
        <v>2001</v>
      </c>
    </row>
    <row r="1273" spans="1:11" x14ac:dyDescent="0.25">
      <c r="A1273">
        <v>150</v>
      </c>
      <c r="B1273">
        <v>84.658950645792302</v>
      </c>
      <c r="C1273">
        <v>2000</v>
      </c>
    </row>
    <row r="1274" spans="1:11" x14ac:dyDescent="0.25">
      <c r="A1274" t="s">
        <v>84</v>
      </c>
    </row>
    <row r="1275" spans="1:11" x14ac:dyDescent="0.25">
      <c r="A1275">
        <v>588</v>
      </c>
      <c r="B1275">
        <v>0</v>
      </c>
      <c r="C1275">
        <v>25.3292820324349</v>
      </c>
      <c r="D1275">
        <v>33.283272623059098</v>
      </c>
      <c r="E1275">
        <v>8</v>
      </c>
      <c r="F1275">
        <v>1.01722196789785</v>
      </c>
      <c r="G1275" t="s">
        <v>81</v>
      </c>
      <c r="H1275" t="s">
        <v>82</v>
      </c>
      <c r="I1275">
        <v>193</v>
      </c>
      <c r="J1275">
        <v>0</v>
      </c>
      <c r="K1275">
        <v>0</v>
      </c>
    </row>
    <row r="1276" spans="1:11" x14ac:dyDescent="0.25">
      <c r="A1276" t="s">
        <v>83</v>
      </c>
    </row>
    <row r="1277" spans="1:11" x14ac:dyDescent="0.25">
      <c r="A1277">
        <v>126.648779590274</v>
      </c>
      <c r="B1277">
        <v>54.220163529208001</v>
      </c>
      <c r="C1277">
        <v>2000</v>
      </c>
    </row>
    <row r="1278" spans="1:11" x14ac:dyDescent="0.25">
      <c r="A1278">
        <v>122.210108048842</v>
      </c>
      <c r="B1278">
        <v>49.781491987775603</v>
      </c>
      <c r="C1278">
        <v>2000</v>
      </c>
    </row>
    <row r="1279" spans="1:11" x14ac:dyDescent="0.25">
      <c r="A1279">
        <v>108.77317315265699</v>
      </c>
      <c r="B1279">
        <v>36.344557091591398</v>
      </c>
      <c r="C1279">
        <v>2000</v>
      </c>
    </row>
    <row r="1280" spans="1:11" x14ac:dyDescent="0.25">
      <c r="A1280">
        <v>108.336157128209</v>
      </c>
      <c r="B1280">
        <v>36.781573116040299</v>
      </c>
      <c r="C1280">
        <v>2001</v>
      </c>
    </row>
    <row r="1281" spans="1:11" x14ac:dyDescent="0.25">
      <c r="A1281">
        <v>121.77309202439299</v>
      </c>
      <c r="B1281">
        <v>50.218508012224397</v>
      </c>
      <c r="C1281">
        <v>2001</v>
      </c>
    </row>
    <row r="1282" spans="1:11" x14ac:dyDescent="0.25">
      <c r="A1282">
        <v>126.281564866035</v>
      </c>
      <c r="B1282">
        <v>54.726980853866301</v>
      </c>
      <c r="C1282">
        <v>2001</v>
      </c>
    </row>
    <row r="1283" spans="1:11" x14ac:dyDescent="0.25">
      <c r="A1283">
        <v>150</v>
      </c>
      <c r="B1283">
        <v>78.445415987831595</v>
      </c>
      <c r="C1283">
        <v>2001</v>
      </c>
    </row>
    <row r="1284" spans="1:11" x14ac:dyDescent="0.25">
      <c r="A1284">
        <v>150</v>
      </c>
      <c r="B1284">
        <v>77.571383938934005</v>
      </c>
      <c r="C1284">
        <v>2000</v>
      </c>
    </row>
    <row r="1285" spans="1:11" x14ac:dyDescent="0.25">
      <c r="A1285" t="s">
        <v>84</v>
      </c>
    </row>
    <row r="1286" spans="1:11" x14ac:dyDescent="0.25">
      <c r="A1286">
        <v>830</v>
      </c>
      <c r="B1286">
        <v>0</v>
      </c>
      <c r="C1286">
        <v>33.490866639307797</v>
      </c>
      <c r="D1286">
        <v>24.265312002713699</v>
      </c>
      <c r="E1286">
        <v>8</v>
      </c>
      <c r="F1286">
        <v>1.01722196789785</v>
      </c>
      <c r="G1286" t="s">
        <v>81</v>
      </c>
      <c r="H1286" t="s">
        <v>82</v>
      </c>
      <c r="I1286">
        <v>664</v>
      </c>
      <c r="J1286">
        <v>0</v>
      </c>
      <c r="K1286">
        <v>0.103203672621368</v>
      </c>
    </row>
    <row r="1287" spans="1:11" x14ac:dyDescent="0.25">
      <c r="A1287" t="s">
        <v>83</v>
      </c>
    </row>
    <row r="1288" spans="1:11" x14ac:dyDescent="0.25">
      <c r="A1288">
        <v>133.04132786206</v>
      </c>
      <c r="B1288">
        <v>98.168998067792103</v>
      </c>
      <c r="C1288">
        <v>2000</v>
      </c>
    </row>
    <row r="1289" spans="1:11" x14ac:dyDescent="0.25">
      <c r="A1289">
        <v>109.378722439029</v>
      </c>
      <c r="B1289">
        <v>74.506392644761704</v>
      </c>
      <c r="C1289">
        <v>2000</v>
      </c>
    </row>
    <row r="1290" spans="1:11" x14ac:dyDescent="0.25">
      <c r="A1290">
        <v>108.94170641458101</v>
      </c>
      <c r="B1290">
        <v>74.943408669210498</v>
      </c>
      <c r="C1290">
        <v>2001</v>
      </c>
    </row>
    <row r="1291" spans="1:11" x14ac:dyDescent="0.25">
      <c r="A1291">
        <v>132.64233880848801</v>
      </c>
      <c r="B1291">
        <v>98.644041063117697</v>
      </c>
      <c r="C1291">
        <v>2001</v>
      </c>
    </row>
    <row r="1292" spans="1:11" x14ac:dyDescent="0.25">
      <c r="A1292">
        <v>134.23709861574599</v>
      </c>
      <c r="B1292">
        <v>100.238800870376</v>
      </c>
      <c r="C1292">
        <v>2001</v>
      </c>
    </row>
    <row r="1293" spans="1:11" x14ac:dyDescent="0.25">
      <c r="A1293">
        <v>150</v>
      </c>
      <c r="B1293">
        <v>116.00170225463</v>
      </c>
      <c r="C1293">
        <v>2001</v>
      </c>
    </row>
    <row r="1294" spans="1:11" x14ac:dyDescent="0.25">
      <c r="A1294">
        <v>150</v>
      </c>
      <c r="B1294">
        <v>115.127670205732</v>
      </c>
      <c r="C1294">
        <v>2000</v>
      </c>
    </row>
    <row r="1295" spans="1:11" x14ac:dyDescent="0.25">
      <c r="A1295">
        <v>134.63352892389199</v>
      </c>
      <c r="B1295">
        <v>99.761199129623904</v>
      </c>
      <c r="C1295">
        <v>2000</v>
      </c>
    </row>
    <row r="1296" spans="1:11" x14ac:dyDescent="0.25">
      <c r="A1296" t="s">
        <v>84</v>
      </c>
    </row>
    <row r="1297" spans="1:11" x14ac:dyDescent="0.25">
      <c r="A1297">
        <v>518</v>
      </c>
      <c r="B1297">
        <v>0</v>
      </c>
      <c r="C1297">
        <v>36.186692166182503</v>
      </c>
      <c r="D1297">
        <v>20.8180322730387</v>
      </c>
      <c r="E1297">
        <v>8</v>
      </c>
      <c r="F1297">
        <v>1.01722196789785</v>
      </c>
      <c r="G1297" t="s">
        <v>82</v>
      </c>
      <c r="H1297" t="s">
        <v>81</v>
      </c>
      <c r="I1297">
        <v>0</v>
      </c>
      <c r="J1297">
        <v>586</v>
      </c>
      <c r="K1297">
        <v>0</v>
      </c>
    </row>
    <row r="1298" spans="1:11" x14ac:dyDescent="0.25">
      <c r="A1298" t="s">
        <v>83</v>
      </c>
    </row>
    <row r="1299" spans="1:11" x14ac:dyDescent="0.25">
      <c r="A1299">
        <v>116.125814093576</v>
      </c>
      <c r="B1299">
        <v>25.434507275917799</v>
      </c>
      <c r="C1299">
        <v>2000</v>
      </c>
    </row>
    <row r="1300" spans="1:11" x14ac:dyDescent="0.25">
      <c r="A1300">
        <v>100.353792342292</v>
      </c>
      <c r="B1300">
        <v>9.6624855246340005</v>
      </c>
      <c r="C1300">
        <v>2000</v>
      </c>
    </row>
    <row r="1301" spans="1:11" x14ac:dyDescent="0.25">
      <c r="A1301">
        <v>90.691306817658301</v>
      </c>
      <c r="B1301">
        <v>0</v>
      </c>
      <c r="C1301">
        <v>2000</v>
      </c>
    </row>
    <row r="1302" spans="1:11" x14ac:dyDescent="0.25">
      <c r="A1302">
        <v>89.817274768760598</v>
      </c>
      <c r="B1302">
        <v>0</v>
      </c>
      <c r="C1302">
        <v>2001</v>
      </c>
    </row>
    <row r="1303" spans="1:11" x14ac:dyDescent="0.25">
      <c r="A1303">
        <v>99.646207657707706</v>
      </c>
      <c r="B1303">
        <v>9.8289328889470706</v>
      </c>
      <c r="C1303">
        <v>2001</v>
      </c>
    </row>
    <row r="1304" spans="1:11" x14ac:dyDescent="0.25">
      <c r="A1304">
        <v>115.558478331678</v>
      </c>
      <c r="B1304">
        <v>25.7412035629178</v>
      </c>
      <c r="C1304">
        <v>2001</v>
      </c>
    </row>
    <row r="1305" spans="1:11" x14ac:dyDescent="0.25">
      <c r="A1305">
        <v>130.34420999162899</v>
      </c>
      <c r="B1305">
        <v>40.526935222868197</v>
      </c>
      <c r="C1305">
        <v>2001</v>
      </c>
    </row>
    <row r="1306" spans="1:11" x14ac:dyDescent="0.25">
      <c r="A1306">
        <v>130.78122601607799</v>
      </c>
      <c r="B1306">
        <v>40.089919198419402</v>
      </c>
      <c r="C1306">
        <v>2000</v>
      </c>
    </row>
    <row r="1307" spans="1:11" x14ac:dyDescent="0.25">
      <c r="A1307" t="s">
        <v>84</v>
      </c>
    </row>
    <row r="1308" spans="1:11" x14ac:dyDescent="0.25">
      <c r="A1308">
        <v>1009</v>
      </c>
      <c r="B1308">
        <v>0</v>
      </c>
      <c r="C1308">
        <v>22.982389938049899</v>
      </c>
      <c r="D1308">
        <v>33.990315632658799</v>
      </c>
      <c r="E1308">
        <v>8</v>
      </c>
      <c r="F1308">
        <v>1.01722196789785</v>
      </c>
      <c r="G1308" t="s">
        <v>81</v>
      </c>
      <c r="H1308" t="s">
        <v>81</v>
      </c>
      <c r="I1308">
        <v>166</v>
      </c>
      <c r="J1308">
        <v>587</v>
      </c>
      <c r="K1308">
        <v>0.110655289483339</v>
      </c>
    </row>
    <row r="1309" spans="1:11" x14ac:dyDescent="0.25">
      <c r="A1309" t="s">
        <v>83</v>
      </c>
    </row>
    <row r="1310" spans="1:11" x14ac:dyDescent="0.25">
      <c r="A1310">
        <v>74.060545410984602</v>
      </c>
      <c r="B1310">
        <v>29.805389149959701</v>
      </c>
      <c r="C1310">
        <v>2000</v>
      </c>
    </row>
    <row r="1311" spans="1:11" x14ac:dyDescent="0.25">
      <c r="A1311">
        <v>57.809541637916098</v>
      </c>
      <c r="B1311">
        <v>13.5543853768911</v>
      </c>
      <c r="C1311">
        <v>2000</v>
      </c>
    </row>
    <row r="1312" spans="1:11" x14ac:dyDescent="0.25">
      <c r="A1312">
        <v>57.372525613467303</v>
      </c>
      <c r="B1312">
        <v>13.9914014013399</v>
      </c>
      <c r="C1312">
        <v>2001</v>
      </c>
    </row>
    <row r="1313" spans="1:11" x14ac:dyDescent="0.25">
      <c r="A1313">
        <v>73.623529386535793</v>
      </c>
      <c r="B1313">
        <v>30.2424051744085</v>
      </c>
      <c r="C1313">
        <v>2001</v>
      </c>
    </row>
    <row r="1314" spans="1:11" x14ac:dyDescent="0.25">
      <c r="A1314">
        <v>93.599632224351694</v>
      </c>
      <c r="B1314">
        <v>50.218508012224397</v>
      </c>
      <c r="C1314">
        <v>2001</v>
      </c>
    </row>
    <row r="1315" spans="1:11" x14ac:dyDescent="0.25">
      <c r="A1315">
        <v>97.658312065060002</v>
      </c>
      <c r="B1315">
        <v>54.277187852932698</v>
      </c>
      <c r="C1315">
        <v>2001</v>
      </c>
    </row>
    <row r="1316" spans="1:11" x14ac:dyDescent="0.25">
      <c r="A1316">
        <v>98.095328089508797</v>
      </c>
      <c r="B1316">
        <v>53.840171828483903</v>
      </c>
      <c r="C1316">
        <v>2000</v>
      </c>
    </row>
    <row r="1317" spans="1:11" x14ac:dyDescent="0.25">
      <c r="A1317">
        <v>94.036648248800603</v>
      </c>
      <c r="B1317">
        <v>49.781491987775603</v>
      </c>
      <c r="C1317">
        <v>2000</v>
      </c>
    </row>
    <row r="1318" spans="1:11" x14ac:dyDescent="0.25">
      <c r="A1318" t="s">
        <v>84</v>
      </c>
    </row>
    <row r="1319" spans="1:11" x14ac:dyDescent="0.25">
      <c r="A1319">
        <v>999</v>
      </c>
      <c r="B1319">
        <v>0</v>
      </c>
      <c r="C1319">
        <v>1.87567697229468</v>
      </c>
      <c r="D1319">
        <v>54.950326622938498</v>
      </c>
      <c r="E1319">
        <v>8</v>
      </c>
      <c r="F1319">
        <v>1.01722196789785</v>
      </c>
      <c r="G1319" t="s">
        <v>81</v>
      </c>
      <c r="H1319" t="s">
        <v>81</v>
      </c>
      <c r="I1319">
        <v>338</v>
      </c>
      <c r="J1319">
        <v>254</v>
      </c>
      <c r="K1319">
        <v>0.110025383747396</v>
      </c>
    </row>
    <row r="1320" spans="1:11" x14ac:dyDescent="0.25">
      <c r="A1320" t="s">
        <v>83</v>
      </c>
    </row>
    <row r="1321" spans="1:11" x14ac:dyDescent="0.25">
      <c r="A1321">
        <v>89.967913179638899</v>
      </c>
      <c r="B1321">
        <v>103.092326850212</v>
      </c>
      <c r="C1321">
        <v>2000</v>
      </c>
    </row>
    <row r="1322" spans="1:11" x14ac:dyDescent="0.25">
      <c r="A1322">
        <v>88.641609273213902</v>
      </c>
      <c r="B1322">
        <v>101.76602294378699</v>
      </c>
      <c r="C1322">
        <v>2000</v>
      </c>
    </row>
    <row r="1323" spans="1:11" x14ac:dyDescent="0.25">
      <c r="A1323">
        <v>88.204593248765093</v>
      </c>
      <c r="B1323">
        <v>102.203038968236</v>
      </c>
      <c r="C1323">
        <v>2001</v>
      </c>
    </row>
    <row r="1324" spans="1:11" x14ac:dyDescent="0.25">
      <c r="A1324">
        <v>89.530897155190104</v>
      </c>
      <c r="B1324">
        <v>103.529342874661</v>
      </c>
      <c r="C1324">
        <v>2001</v>
      </c>
    </row>
    <row r="1325" spans="1:11" x14ac:dyDescent="0.25">
      <c r="A1325">
        <v>99.781491987775595</v>
      </c>
      <c r="B1325">
        <v>113.77993770724601</v>
      </c>
      <c r="C1325">
        <v>2001</v>
      </c>
    </row>
    <row r="1326" spans="1:11" x14ac:dyDescent="0.25">
      <c r="A1326">
        <v>128.38664573868601</v>
      </c>
      <c r="B1326">
        <v>142.38509145815601</v>
      </c>
      <c r="C1326">
        <v>2001</v>
      </c>
    </row>
    <row r="1327" spans="1:11" x14ac:dyDescent="0.25">
      <c r="A1327">
        <v>128.823661763134</v>
      </c>
      <c r="B1327">
        <v>141.948075433708</v>
      </c>
      <c r="C1327">
        <v>2000</v>
      </c>
    </row>
    <row r="1328" spans="1:11" x14ac:dyDescent="0.25">
      <c r="A1328">
        <v>100.21850801222401</v>
      </c>
      <c r="B1328">
        <v>113.34292168279801</v>
      </c>
      <c r="C1328">
        <v>2000</v>
      </c>
    </row>
    <row r="1329" spans="1:11" x14ac:dyDescent="0.25">
      <c r="A1329" t="s">
        <v>84</v>
      </c>
    </row>
    <row r="1330" spans="1:11" x14ac:dyDescent="0.25">
      <c r="A1330">
        <v>855</v>
      </c>
      <c r="B1330">
        <v>0</v>
      </c>
      <c r="C1330">
        <v>49.052072829683901</v>
      </c>
      <c r="D1330">
        <v>7.7222463286080698</v>
      </c>
      <c r="E1330">
        <v>6</v>
      </c>
      <c r="F1330">
        <v>1.01722196789785</v>
      </c>
      <c r="G1330" t="s">
        <v>81</v>
      </c>
      <c r="H1330" t="s">
        <v>82</v>
      </c>
      <c r="I1330">
        <v>112</v>
      </c>
      <c r="J1330">
        <v>0</v>
      </c>
      <c r="K1330">
        <v>0.103818452298958</v>
      </c>
    </row>
    <row r="1331" spans="1:11" x14ac:dyDescent="0.25">
      <c r="A1331" t="s">
        <v>83</v>
      </c>
    </row>
    <row r="1332" spans="1:11" x14ac:dyDescent="0.25">
      <c r="A1332">
        <v>89.366200856266005</v>
      </c>
      <c r="B1332">
        <v>144.569267958355</v>
      </c>
      <c r="C1332">
        <v>2000</v>
      </c>
    </row>
    <row r="1333" spans="1:11" x14ac:dyDescent="0.25">
      <c r="A1333">
        <v>54.869934836057404</v>
      </c>
      <c r="B1333">
        <v>110.073001938147</v>
      </c>
      <c r="C1333">
        <v>2000</v>
      </c>
    </row>
    <row r="1334" spans="1:11" x14ac:dyDescent="0.25">
      <c r="A1334">
        <v>55.306950860506198</v>
      </c>
      <c r="B1334">
        <v>109.63598591369799</v>
      </c>
      <c r="C1334">
        <v>2001</v>
      </c>
    </row>
    <row r="1335" spans="1:11" x14ac:dyDescent="0.25">
      <c r="A1335">
        <v>90.180791498549297</v>
      </c>
      <c r="B1335">
        <v>144.50982655174101</v>
      </c>
      <c r="C1335">
        <v>2001</v>
      </c>
    </row>
    <row r="1336" spans="1:11" x14ac:dyDescent="0.25">
      <c r="A1336">
        <v>95.670964946808198</v>
      </c>
      <c r="B1336">
        <v>150</v>
      </c>
      <c r="C1336">
        <v>2001</v>
      </c>
    </row>
    <row r="1337" spans="1:11" x14ac:dyDescent="0.25">
      <c r="A1337">
        <v>94.796932897910494</v>
      </c>
      <c r="B1337">
        <v>150</v>
      </c>
      <c r="C1337">
        <v>2000</v>
      </c>
    </row>
    <row r="1338" spans="1:11" x14ac:dyDescent="0.25">
      <c r="A1338" t="s">
        <v>84</v>
      </c>
    </row>
    <row r="1339" spans="1:11" x14ac:dyDescent="0.25">
      <c r="A1339">
        <v>675</v>
      </c>
      <c r="B1339">
        <v>0</v>
      </c>
      <c r="C1339">
        <v>19.6412696793926</v>
      </c>
      <c r="D1339">
        <v>36.919220116393099</v>
      </c>
      <c r="E1339">
        <v>10</v>
      </c>
      <c r="F1339">
        <v>1.01722196789785</v>
      </c>
      <c r="G1339" t="s">
        <v>81</v>
      </c>
      <c r="H1339" t="s">
        <v>81</v>
      </c>
      <c r="I1339">
        <v>965</v>
      </c>
      <c r="J1339">
        <v>246</v>
      </c>
      <c r="K1339">
        <v>0</v>
      </c>
    </row>
    <row r="1340" spans="1:11" x14ac:dyDescent="0.25">
      <c r="A1340" t="s">
        <v>83</v>
      </c>
    </row>
    <row r="1341" spans="1:11" x14ac:dyDescent="0.25">
      <c r="A1341">
        <v>99.327939752171901</v>
      </c>
      <c r="B1341">
        <v>85.226958886364699</v>
      </c>
      <c r="C1341">
        <v>2000</v>
      </c>
    </row>
    <row r="1342" spans="1:11" x14ac:dyDescent="0.25">
      <c r="A1342">
        <v>85.439464770759599</v>
      </c>
      <c r="B1342">
        <v>71.338483904952497</v>
      </c>
      <c r="C1342">
        <v>2000</v>
      </c>
    </row>
    <row r="1343" spans="1:11" x14ac:dyDescent="0.25">
      <c r="A1343">
        <v>85.002448746310804</v>
      </c>
      <c r="B1343">
        <v>71.775499929401306</v>
      </c>
      <c r="C1343">
        <v>2001</v>
      </c>
    </row>
    <row r="1344" spans="1:11" x14ac:dyDescent="0.25">
      <c r="A1344">
        <v>98.890923727723106</v>
      </c>
      <c r="B1344">
        <v>85.663974910813494</v>
      </c>
      <c r="C1344">
        <v>2001</v>
      </c>
    </row>
    <row r="1345" spans="1:11" x14ac:dyDescent="0.25">
      <c r="A1345">
        <v>99.781491987775595</v>
      </c>
      <c r="B1345">
        <v>86.554543170865998</v>
      </c>
      <c r="C1345">
        <v>2001</v>
      </c>
    </row>
    <row r="1346" spans="1:11" x14ac:dyDescent="0.25">
      <c r="A1346">
        <v>113.445456829134</v>
      </c>
      <c r="B1346">
        <v>100.21850801222401</v>
      </c>
      <c r="C1346">
        <v>2001</v>
      </c>
    </row>
    <row r="1347" spans="1:11" x14ac:dyDescent="0.25">
      <c r="A1347">
        <v>124.99675462814299</v>
      </c>
      <c r="B1347">
        <v>111.76980581123399</v>
      </c>
      <c r="C1347">
        <v>2001</v>
      </c>
    </row>
    <row r="1348" spans="1:11" x14ac:dyDescent="0.25">
      <c r="A1348">
        <v>125.433770652592</v>
      </c>
      <c r="B1348">
        <v>111.332789786785</v>
      </c>
      <c r="C1348">
        <v>2000</v>
      </c>
    </row>
    <row r="1349" spans="1:11" x14ac:dyDescent="0.25">
      <c r="A1349">
        <v>113.882472853583</v>
      </c>
      <c r="B1349">
        <v>99.781491987775595</v>
      </c>
      <c r="C1349">
        <v>2000</v>
      </c>
    </row>
    <row r="1350" spans="1:11" x14ac:dyDescent="0.25">
      <c r="A1350">
        <v>100.21850801222401</v>
      </c>
      <c r="B1350">
        <v>86.117527146417203</v>
      </c>
      <c r="C1350">
        <v>2000</v>
      </c>
    </row>
    <row r="1351" spans="1:11" x14ac:dyDescent="0.25">
      <c r="A1351" t="s">
        <v>84</v>
      </c>
    </row>
    <row r="1352" spans="1:11" x14ac:dyDescent="0.25">
      <c r="A1352">
        <v>957</v>
      </c>
      <c r="B1352">
        <v>0</v>
      </c>
      <c r="C1352">
        <v>8.9552541933658194</v>
      </c>
      <c r="D1352">
        <v>47.523254240210903</v>
      </c>
      <c r="E1352">
        <v>8</v>
      </c>
      <c r="F1352">
        <v>1.01722196789785</v>
      </c>
      <c r="G1352" t="s">
        <v>82</v>
      </c>
      <c r="H1352" t="s">
        <v>81</v>
      </c>
      <c r="I1352">
        <v>0</v>
      </c>
      <c r="J1352">
        <v>358</v>
      </c>
      <c r="K1352">
        <v>0.107039270283285</v>
      </c>
    </row>
    <row r="1353" spans="1:11" x14ac:dyDescent="0.25">
      <c r="A1353" t="s">
        <v>83</v>
      </c>
    </row>
    <row r="1354" spans="1:11" x14ac:dyDescent="0.25">
      <c r="A1354">
        <v>6.2400800976198196</v>
      </c>
      <c r="B1354">
        <v>91.676556003869607</v>
      </c>
      <c r="C1354">
        <v>2000</v>
      </c>
    </row>
    <row r="1355" spans="1:11" x14ac:dyDescent="0.25">
      <c r="A1355">
        <v>0</v>
      </c>
      <c r="B1355">
        <v>85.436475906249697</v>
      </c>
      <c r="C1355">
        <v>2000</v>
      </c>
    </row>
    <row r="1356" spans="1:11" x14ac:dyDescent="0.25">
      <c r="A1356">
        <v>0</v>
      </c>
      <c r="B1356">
        <v>84.562443857352093</v>
      </c>
      <c r="C1356">
        <v>2001</v>
      </c>
    </row>
    <row r="1357" spans="1:11" x14ac:dyDescent="0.25">
      <c r="A1357">
        <v>6.4245618371366602</v>
      </c>
      <c r="B1357">
        <v>90.987005694488801</v>
      </c>
      <c r="C1357">
        <v>2001</v>
      </c>
    </row>
    <row r="1358" spans="1:11" x14ac:dyDescent="0.25">
      <c r="A1358">
        <v>15.2190481304235</v>
      </c>
      <c r="B1358">
        <v>99.781491987775595</v>
      </c>
      <c r="C1358">
        <v>2001</v>
      </c>
    </row>
    <row r="1359" spans="1:11" x14ac:dyDescent="0.25">
      <c r="A1359">
        <v>40.154844316908097</v>
      </c>
      <c r="B1359">
        <v>124.71728817426001</v>
      </c>
      <c r="C1359">
        <v>2001</v>
      </c>
    </row>
    <row r="1360" spans="1:11" x14ac:dyDescent="0.25">
      <c r="A1360">
        <v>39.717828292459302</v>
      </c>
      <c r="B1360">
        <v>125.154304198709</v>
      </c>
      <c r="C1360">
        <v>2000</v>
      </c>
    </row>
    <row r="1361" spans="1:11" x14ac:dyDescent="0.25">
      <c r="A1361">
        <v>14.7820321059747</v>
      </c>
      <c r="B1361">
        <v>100.21850801222401</v>
      </c>
      <c r="C1361">
        <v>2000</v>
      </c>
    </row>
    <row r="1362" spans="1:11" x14ac:dyDescent="0.25">
      <c r="A1362" t="s">
        <v>84</v>
      </c>
    </row>
    <row r="1363" spans="1:11" x14ac:dyDescent="0.25">
      <c r="A1363">
        <v>725</v>
      </c>
      <c r="B1363">
        <v>0</v>
      </c>
      <c r="C1363">
        <v>39.140552201519398</v>
      </c>
      <c r="D1363">
        <v>16.789680302702099</v>
      </c>
      <c r="E1363">
        <v>6</v>
      </c>
      <c r="F1363">
        <v>1.01722196789785</v>
      </c>
      <c r="G1363" t="s">
        <v>81</v>
      </c>
      <c r="H1363" t="s">
        <v>82</v>
      </c>
      <c r="I1363">
        <v>499</v>
      </c>
      <c r="J1363">
        <v>0</v>
      </c>
      <c r="K1363">
        <v>0.101399532687084</v>
      </c>
    </row>
    <row r="1364" spans="1:11" x14ac:dyDescent="0.25">
      <c r="A1364" t="s">
        <v>83</v>
      </c>
    </row>
    <row r="1365" spans="1:11" x14ac:dyDescent="0.25">
      <c r="A1365">
        <v>138.06230934707699</v>
      </c>
      <c r="B1365">
        <v>28.047972048601299</v>
      </c>
      <c r="C1365">
        <v>2000</v>
      </c>
    </row>
    <row r="1366" spans="1:11" x14ac:dyDescent="0.25">
      <c r="A1366">
        <v>110.2328453107</v>
      </c>
      <c r="B1366">
        <v>0.218508012224404</v>
      </c>
      <c r="C1366">
        <v>2000</v>
      </c>
    </row>
    <row r="1367" spans="1:11" x14ac:dyDescent="0.25">
      <c r="A1367">
        <v>110.66986133514899</v>
      </c>
      <c r="B1367">
        <v>-0.21850801222441801</v>
      </c>
      <c r="C1367">
        <v>2001</v>
      </c>
    </row>
    <row r="1368" spans="1:11" x14ac:dyDescent="0.25">
      <c r="A1368">
        <v>138.193497060933</v>
      </c>
      <c r="B1368">
        <v>27.3051277135595</v>
      </c>
      <c r="C1368">
        <v>2001</v>
      </c>
    </row>
    <row r="1369" spans="1:11" x14ac:dyDescent="0.25">
      <c r="A1369">
        <v>150</v>
      </c>
      <c r="B1369">
        <v>39.111630652626403</v>
      </c>
      <c r="C1369">
        <v>2001</v>
      </c>
    </row>
    <row r="1370" spans="1:11" x14ac:dyDescent="0.25">
      <c r="A1370">
        <v>150</v>
      </c>
      <c r="B1370">
        <v>39.985662701524099</v>
      </c>
      <c r="C1370">
        <v>2000</v>
      </c>
    </row>
    <row r="1371" spans="1:11" x14ac:dyDescent="0.25">
      <c r="A1371" t="s">
        <v>84</v>
      </c>
    </row>
    <row r="1372" spans="1:11" x14ac:dyDescent="0.25">
      <c r="A1372">
        <v>950</v>
      </c>
      <c r="B1372">
        <v>0</v>
      </c>
      <c r="C1372">
        <v>33.850575164107703</v>
      </c>
      <c r="D1372">
        <v>22.069733798772798</v>
      </c>
      <c r="E1372">
        <v>6</v>
      </c>
      <c r="F1372">
        <v>1.01722196789785</v>
      </c>
      <c r="G1372" t="s">
        <v>82</v>
      </c>
      <c r="H1372" t="s">
        <v>82</v>
      </c>
      <c r="I1372">
        <v>0</v>
      </c>
      <c r="J1372">
        <v>0</v>
      </c>
      <c r="K1372">
        <v>0.106745660282727</v>
      </c>
    </row>
    <row r="1373" spans="1:11" x14ac:dyDescent="0.25">
      <c r="A1373" t="s">
        <v>83</v>
      </c>
    </row>
    <row r="1374" spans="1:11" x14ac:dyDescent="0.25">
      <c r="A1374">
        <v>23.671429721106001</v>
      </c>
      <c r="B1374">
        <v>134.56681607185499</v>
      </c>
      <c r="C1374">
        <v>2000</v>
      </c>
    </row>
    <row r="1375" spans="1:11" x14ac:dyDescent="0.25">
      <c r="A1375">
        <v>0</v>
      </c>
      <c r="B1375">
        <v>110.89538635074901</v>
      </c>
      <c r="C1375">
        <v>2000</v>
      </c>
    </row>
    <row r="1376" spans="1:11" x14ac:dyDescent="0.25">
      <c r="A1376">
        <v>0</v>
      </c>
      <c r="B1376">
        <v>110.021354301852</v>
      </c>
      <c r="C1376">
        <v>2001</v>
      </c>
    </row>
    <row r="1377" spans="1:11" x14ac:dyDescent="0.25">
      <c r="A1377">
        <v>24.200512770105</v>
      </c>
      <c r="B1377">
        <v>134.22186707195701</v>
      </c>
      <c r="C1377">
        <v>2001</v>
      </c>
    </row>
    <row r="1378" spans="1:11" x14ac:dyDescent="0.25">
      <c r="A1378">
        <v>39.978645698148497</v>
      </c>
      <c r="B1378">
        <v>150</v>
      </c>
      <c r="C1378">
        <v>2001</v>
      </c>
    </row>
    <row r="1379" spans="1:11" x14ac:dyDescent="0.25">
      <c r="A1379">
        <v>39.104613649250801</v>
      </c>
      <c r="B1379">
        <v>150</v>
      </c>
      <c r="C1379">
        <v>2000</v>
      </c>
    </row>
    <row r="1380" spans="1:11" x14ac:dyDescent="0.25">
      <c r="A1380" t="s">
        <v>84</v>
      </c>
    </row>
    <row r="1381" spans="1:11" x14ac:dyDescent="0.25">
      <c r="A1381">
        <v>942</v>
      </c>
      <c r="B1381">
        <v>0</v>
      </c>
      <c r="C1381">
        <v>43.867596766312303</v>
      </c>
      <c r="D1381">
        <v>11.904897074307801</v>
      </c>
      <c r="E1381">
        <v>8</v>
      </c>
      <c r="F1381">
        <v>1.01722196789785</v>
      </c>
      <c r="G1381" t="s">
        <v>81</v>
      </c>
      <c r="H1381" t="s">
        <v>82</v>
      </c>
      <c r="I1381">
        <v>494</v>
      </c>
      <c r="J1381">
        <v>0</v>
      </c>
      <c r="K1381">
        <v>0.106288223876718</v>
      </c>
    </row>
    <row r="1382" spans="1:11" x14ac:dyDescent="0.25">
      <c r="A1382" t="s">
        <v>83</v>
      </c>
    </row>
    <row r="1383" spans="1:11" x14ac:dyDescent="0.25">
      <c r="A1383">
        <v>141.742158747898</v>
      </c>
      <c r="B1383">
        <v>52.787647949715598</v>
      </c>
      <c r="C1383">
        <v>2000</v>
      </c>
    </row>
    <row r="1384" spans="1:11" x14ac:dyDescent="0.25">
      <c r="A1384">
        <v>138.73600278595799</v>
      </c>
      <c r="B1384">
        <v>49.781491987775603</v>
      </c>
      <c r="C1384">
        <v>2000</v>
      </c>
    </row>
    <row r="1385" spans="1:11" x14ac:dyDescent="0.25">
      <c r="A1385">
        <v>110.78139941383699</v>
      </c>
      <c r="B1385">
        <v>21.826888615655001</v>
      </c>
      <c r="C1385">
        <v>2000</v>
      </c>
    </row>
    <row r="1386" spans="1:11" x14ac:dyDescent="0.25">
      <c r="A1386">
        <v>110.344383389388</v>
      </c>
      <c r="B1386">
        <v>22.263904640103799</v>
      </c>
      <c r="C1386">
        <v>2001</v>
      </c>
    </row>
    <row r="1387" spans="1:11" x14ac:dyDescent="0.25">
      <c r="A1387">
        <v>138.29898676150901</v>
      </c>
      <c r="B1387">
        <v>50.218508012224397</v>
      </c>
      <c r="C1387">
        <v>2001</v>
      </c>
    </row>
    <row r="1388" spans="1:11" x14ac:dyDescent="0.25">
      <c r="A1388">
        <v>141.42177435096099</v>
      </c>
      <c r="B1388">
        <v>53.341295601676102</v>
      </c>
      <c r="C1388">
        <v>2001</v>
      </c>
    </row>
    <row r="1389" spans="1:11" x14ac:dyDescent="0.25">
      <c r="A1389">
        <v>150</v>
      </c>
      <c r="B1389">
        <v>61.919521250715597</v>
      </c>
      <c r="C1389">
        <v>2001</v>
      </c>
    </row>
    <row r="1390" spans="1:11" x14ac:dyDescent="0.25">
      <c r="A1390">
        <v>150</v>
      </c>
      <c r="B1390">
        <v>61.045489201818</v>
      </c>
      <c r="C1390">
        <v>2000</v>
      </c>
    </row>
    <row r="1391" spans="1:11" x14ac:dyDescent="0.25">
      <c r="A1391" t="s">
        <v>84</v>
      </c>
    </row>
    <row r="1392" spans="1:11" x14ac:dyDescent="0.25">
      <c r="A1392">
        <v>742</v>
      </c>
      <c r="B1392">
        <v>0</v>
      </c>
      <c r="C1392">
        <v>27.698780738289699</v>
      </c>
      <c r="D1392">
        <v>27.978442245971799</v>
      </c>
      <c r="E1392">
        <v>6</v>
      </c>
      <c r="F1392">
        <v>1.01722196789785</v>
      </c>
      <c r="G1392" t="s">
        <v>81</v>
      </c>
      <c r="H1392" t="s">
        <v>82</v>
      </c>
      <c r="I1392">
        <v>910</v>
      </c>
      <c r="J1392">
        <v>0</v>
      </c>
      <c r="K1392">
        <v>0.101658837564709</v>
      </c>
    </row>
    <row r="1393" spans="1:11" x14ac:dyDescent="0.25">
      <c r="A1393" t="s">
        <v>83</v>
      </c>
    </row>
    <row r="1394" spans="1:11" x14ac:dyDescent="0.25">
      <c r="A1394">
        <v>123.471919210886</v>
      </c>
      <c r="B1394">
        <v>130.10645098202301</v>
      </c>
      <c r="C1394">
        <v>2000</v>
      </c>
    </row>
    <row r="1395" spans="1:11" x14ac:dyDescent="0.25">
      <c r="A1395">
        <v>103.777218286832</v>
      </c>
      <c r="B1395">
        <v>110.411750057969</v>
      </c>
      <c r="C1395">
        <v>2000</v>
      </c>
    </row>
    <row r="1396" spans="1:11" x14ac:dyDescent="0.25">
      <c r="A1396">
        <v>103.340202262383</v>
      </c>
      <c r="B1396">
        <v>110.848766082418</v>
      </c>
      <c r="C1396">
        <v>2001</v>
      </c>
    </row>
    <row r="1397" spans="1:11" x14ac:dyDescent="0.25">
      <c r="A1397">
        <v>122.817492719616</v>
      </c>
      <c r="B1397">
        <v>130.32605653965101</v>
      </c>
      <c r="C1397">
        <v>2001</v>
      </c>
    </row>
    <row r="1398" spans="1:11" x14ac:dyDescent="0.25">
      <c r="A1398">
        <v>142.49143617996501</v>
      </c>
      <c r="B1398">
        <v>150</v>
      </c>
      <c r="C1398">
        <v>2001</v>
      </c>
    </row>
    <row r="1399" spans="1:11" x14ac:dyDescent="0.25">
      <c r="A1399">
        <v>143.36546822886299</v>
      </c>
      <c r="B1399">
        <v>150</v>
      </c>
      <c r="C1399">
        <v>2000</v>
      </c>
    </row>
    <row r="1400" spans="1:11" x14ac:dyDescent="0.25">
      <c r="A1400" t="s">
        <v>84</v>
      </c>
    </row>
    <row r="1401" spans="1:11" x14ac:dyDescent="0.25">
      <c r="A1401">
        <v>789</v>
      </c>
      <c r="B1401">
        <v>0</v>
      </c>
      <c r="C1401">
        <v>24.923175773544799</v>
      </c>
      <c r="D1401">
        <v>30.6519105659956</v>
      </c>
      <c r="E1401">
        <v>8</v>
      </c>
      <c r="F1401">
        <v>1.01722196789785</v>
      </c>
      <c r="G1401" t="s">
        <v>82</v>
      </c>
      <c r="H1401" t="s">
        <v>81</v>
      </c>
      <c r="I1401">
        <v>0</v>
      </c>
      <c r="J1401">
        <v>358</v>
      </c>
      <c r="K1401">
        <v>0.101399532687084</v>
      </c>
    </row>
    <row r="1402" spans="1:11" x14ac:dyDescent="0.25">
      <c r="A1402" t="s">
        <v>83</v>
      </c>
    </row>
    <row r="1403" spans="1:11" x14ac:dyDescent="0.25">
      <c r="A1403">
        <v>17.4458236754997</v>
      </c>
      <c r="B1403">
        <v>104.159931359683</v>
      </c>
      <c r="C1403">
        <v>2000</v>
      </c>
    </row>
    <row r="1404" spans="1:11" x14ac:dyDescent="0.25">
      <c r="A1404">
        <v>13.5527610071999</v>
      </c>
      <c r="B1404">
        <v>100.266868691383</v>
      </c>
      <c r="C1404">
        <v>2000</v>
      </c>
    </row>
    <row r="1405" spans="1:11" x14ac:dyDescent="0.25">
      <c r="A1405">
        <v>0</v>
      </c>
      <c r="B1405">
        <v>86.714107684183404</v>
      </c>
      <c r="C1405">
        <v>2000</v>
      </c>
    </row>
    <row r="1406" spans="1:11" x14ac:dyDescent="0.25">
      <c r="A1406">
        <v>0</v>
      </c>
      <c r="B1406">
        <v>85.8400756352858</v>
      </c>
      <c r="C1406">
        <v>2001</v>
      </c>
    </row>
    <row r="1407" spans="1:11" x14ac:dyDescent="0.25">
      <c r="A1407">
        <v>13.893055673331</v>
      </c>
      <c r="B1407">
        <v>99.733131308616706</v>
      </c>
      <c r="C1407">
        <v>2001</v>
      </c>
    </row>
    <row r="1408" spans="1:11" x14ac:dyDescent="0.25">
      <c r="A1408">
        <v>17.800869520855901</v>
      </c>
      <c r="B1408">
        <v>103.640945156142</v>
      </c>
      <c r="C1408">
        <v>2001</v>
      </c>
    </row>
    <row r="1409" spans="1:11" x14ac:dyDescent="0.25">
      <c r="A1409">
        <v>39.516028427941301</v>
      </c>
      <c r="B1409">
        <v>125.35610406322699</v>
      </c>
      <c r="C1409">
        <v>2001</v>
      </c>
    </row>
    <row r="1410" spans="1:11" x14ac:dyDescent="0.25">
      <c r="A1410">
        <v>39.079012403492499</v>
      </c>
      <c r="B1410">
        <v>125.793120087676</v>
      </c>
      <c r="C1410">
        <v>2000</v>
      </c>
    </row>
    <row r="1411" spans="1:11" x14ac:dyDescent="0.25">
      <c r="A1411" t="s">
        <v>84</v>
      </c>
    </row>
    <row r="1412" spans="1:11" x14ac:dyDescent="0.25">
      <c r="A1412">
        <v>664</v>
      </c>
      <c r="B1412">
        <v>0</v>
      </c>
      <c r="C1412">
        <v>20.909757282967998</v>
      </c>
      <c r="D1412">
        <v>34.595324076801496</v>
      </c>
      <c r="E1412">
        <v>10</v>
      </c>
      <c r="F1412">
        <v>1.01722196789785</v>
      </c>
      <c r="G1412" t="s">
        <v>81</v>
      </c>
      <c r="H1412" t="s">
        <v>81</v>
      </c>
      <c r="I1412">
        <v>200</v>
      </c>
      <c r="J1412">
        <v>830</v>
      </c>
      <c r="K1412">
        <v>0</v>
      </c>
    </row>
    <row r="1413" spans="1:11" x14ac:dyDescent="0.25">
      <c r="A1413" t="s">
        <v>83</v>
      </c>
    </row>
    <row r="1414" spans="1:11" x14ac:dyDescent="0.25">
      <c r="A1414">
        <v>84.465458535810498</v>
      </c>
      <c r="B1414">
        <v>50.494480043875498</v>
      </c>
      <c r="C1414">
        <v>2000</v>
      </c>
    </row>
    <row r="1415" spans="1:11" x14ac:dyDescent="0.25">
      <c r="A1415">
        <v>84.189486504159404</v>
      </c>
      <c r="B1415">
        <v>50.218508012224397</v>
      </c>
      <c r="C1415">
        <v>2000</v>
      </c>
    </row>
    <row r="1416" spans="1:11" x14ac:dyDescent="0.25">
      <c r="A1416">
        <v>69.680027368059001</v>
      </c>
      <c r="B1416">
        <v>35.709048876124001</v>
      </c>
      <c r="C1416">
        <v>2000</v>
      </c>
    </row>
    <row r="1417" spans="1:11" x14ac:dyDescent="0.25">
      <c r="A1417">
        <v>70.117043392507796</v>
      </c>
      <c r="B1417">
        <v>35.2720328516751</v>
      </c>
      <c r="C1417">
        <v>2001</v>
      </c>
    </row>
    <row r="1418" spans="1:11" x14ac:dyDescent="0.25">
      <c r="A1418">
        <v>84.626502528608199</v>
      </c>
      <c r="B1418">
        <v>49.781491987775603</v>
      </c>
      <c r="C1418">
        <v>2001</v>
      </c>
    </row>
    <row r="1419" spans="1:11" x14ac:dyDescent="0.25">
      <c r="A1419">
        <v>84.902474560259293</v>
      </c>
      <c r="B1419">
        <v>50.057464019426597</v>
      </c>
      <c r="C1419">
        <v>2001</v>
      </c>
    </row>
    <row r="1420" spans="1:11" x14ac:dyDescent="0.25">
      <c r="A1420">
        <v>100.21850801222401</v>
      </c>
      <c r="B1420">
        <v>65.373497471391701</v>
      </c>
      <c r="C1420">
        <v>2001</v>
      </c>
    </row>
    <row r="1421" spans="1:11" x14ac:dyDescent="0.25">
      <c r="A1421">
        <v>109.365062812312</v>
      </c>
      <c r="B1421">
        <v>74.520052271479202</v>
      </c>
      <c r="C1421">
        <v>2001</v>
      </c>
    </row>
    <row r="1422" spans="1:11" x14ac:dyDescent="0.25">
      <c r="A1422">
        <v>108.928046787863</v>
      </c>
      <c r="B1422">
        <v>74.957068295927996</v>
      </c>
      <c r="C1422">
        <v>2000</v>
      </c>
    </row>
    <row r="1423" spans="1:11" x14ac:dyDescent="0.25">
      <c r="A1423">
        <v>99.781491987775595</v>
      </c>
      <c r="B1423">
        <v>65.810513495840596</v>
      </c>
      <c r="C1423">
        <v>2000</v>
      </c>
    </row>
    <row r="1424" spans="1:11" x14ac:dyDescent="0.25">
      <c r="A1424" t="s">
        <v>84</v>
      </c>
    </row>
    <row r="1425" spans="1:11" x14ac:dyDescent="0.25">
      <c r="A1425">
        <v>846</v>
      </c>
      <c r="B1425">
        <v>0</v>
      </c>
      <c r="C1425">
        <v>42.567380088089799</v>
      </c>
      <c r="D1425">
        <v>12.3166168912997</v>
      </c>
      <c r="E1425">
        <v>10</v>
      </c>
      <c r="F1425">
        <v>1.01722196789785</v>
      </c>
      <c r="G1425" t="s">
        <v>81</v>
      </c>
      <c r="H1425" t="s">
        <v>81</v>
      </c>
      <c r="I1425">
        <v>97</v>
      </c>
      <c r="J1425">
        <v>350</v>
      </c>
      <c r="K1425">
        <v>0.10361701455149699</v>
      </c>
    </row>
    <row r="1426" spans="1:11" x14ac:dyDescent="0.25">
      <c r="A1426" t="s">
        <v>83</v>
      </c>
    </row>
    <row r="1427" spans="1:11" x14ac:dyDescent="0.25">
      <c r="A1427">
        <v>47.245899233620399</v>
      </c>
      <c r="B1427">
        <v>122.40479962453</v>
      </c>
      <c r="C1427">
        <v>2000</v>
      </c>
    </row>
    <row r="1428" spans="1:11" x14ac:dyDescent="0.25">
      <c r="A1428">
        <v>25.059607621314498</v>
      </c>
      <c r="B1428">
        <v>100.21850801222401</v>
      </c>
      <c r="C1428">
        <v>2000</v>
      </c>
    </row>
    <row r="1429" spans="1:11" x14ac:dyDescent="0.25">
      <c r="A1429">
        <v>17.1462161159868</v>
      </c>
      <c r="B1429">
        <v>92.305116506896695</v>
      </c>
      <c r="C1429">
        <v>2000</v>
      </c>
    </row>
    <row r="1430" spans="1:11" x14ac:dyDescent="0.25">
      <c r="A1430">
        <v>17.583232140435701</v>
      </c>
      <c r="B1430">
        <v>91.8681004824479</v>
      </c>
      <c r="C1430">
        <v>2001</v>
      </c>
    </row>
    <row r="1431" spans="1:11" x14ac:dyDescent="0.25">
      <c r="A1431">
        <v>25.4966236457634</v>
      </c>
      <c r="B1431">
        <v>99.781491987775595</v>
      </c>
      <c r="C1431">
        <v>2001</v>
      </c>
    </row>
    <row r="1432" spans="1:11" x14ac:dyDescent="0.25">
      <c r="A1432">
        <v>47.682915258069201</v>
      </c>
      <c r="B1432">
        <v>121.96778360008101</v>
      </c>
      <c r="C1432">
        <v>2001</v>
      </c>
    </row>
    <row r="1433" spans="1:11" x14ac:dyDescent="0.25">
      <c r="A1433">
        <v>50.218508012224397</v>
      </c>
      <c r="B1433">
        <v>124.50337635423701</v>
      </c>
      <c r="C1433">
        <v>2001</v>
      </c>
    </row>
    <row r="1434" spans="1:11" x14ac:dyDescent="0.25">
      <c r="A1434">
        <v>56.392078583184002</v>
      </c>
      <c r="B1434">
        <v>130.67694692519601</v>
      </c>
      <c r="C1434">
        <v>2001</v>
      </c>
    </row>
    <row r="1435" spans="1:11" x14ac:dyDescent="0.25">
      <c r="A1435">
        <v>55.9550625587352</v>
      </c>
      <c r="B1435">
        <v>131.11396294964501</v>
      </c>
      <c r="C1435">
        <v>2000</v>
      </c>
    </row>
    <row r="1436" spans="1:11" x14ac:dyDescent="0.25">
      <c r="A1436">
        <v>49.781491987775603</v>
      </c>
      <c r="B1436">
        <v>124.940392378685</v>
      </c>
      <c r="C1436">
        <v>2000</v>
      </c>
    </row>
    <row r="1437" spans="1:11" x14ac:dyDescent="0.25">
      <c r="A1437" t="s">
        <v>84</v>
      </c>
    </row>
    <row r="1438" spans="1:11" x14ac:dyDescent="0.25">
      <c r="A1438">
        <v>893</v>
      </c>
      <c r="B1438">
        <v>0</v>
      </c>
      <c r="C1438">
        <v>10.3713638843215</v>
      </c>
      <c r="D1438">
        <v>44.419947416499703</v>
      </c>
      <c r="E1438">
        <v>10</v>
      </c>
      <c r="F1438">
        <v>1.01722196789785</v>
      </c>
      <c r="G1438" t="s">
        <v>81</v>
      </c>
      <c r="H1438" t="s">
        <v>81</v>
      </c>
      <c r="I1438">
        <v>196</v>
      </c>
      <c r="J1438">
        <v>577</v>
      </c>
      <c r="K1438">
        <v>0.10458844867092799</v>
      </c>
    </row>
    <row r="1439" spans="1:11" x14ac:dyDescent="0.25">
      <c r="A1439" t="s">
        <v>83</v>
      </c>
    </row>
    <row r="1440" spans="1:11" x14ac:dyDescent="0.25">
      <c r="A1440">
        <v>103.865523145476</v>
      </c>
      <c r="B1440">
        <v>34.065099475931099</v>
      </c>
      <c r="C1440">
        <v>2000</v>
      </c>
    </row>
    <row r="1441" spans="1:11" x14ac:dyDescent="0.25">
      <c r="A1441">
        <v>99.781491987775595</v>
      </c>
      <c r="B1441">
        <v>29.9810683182308</v>
      </c>
      <c r="C1441">
        <v>2000</v>
      </c>
    </row>
    <row r="1442" spans="1:11" x14ac:dyDescent="0.25">
      <c r="A1442">
        <v>96.531861412718996</v>
      </c>
      <c r="B1442">
        <v>26.731437743174201</v>
      </c>
      <c r="C1442">
        <v>2000</v>
      </c>
    </row>
    <row r="1443" spans="1:11" x14ac:dyDescent="0.25">
      <c r="A1443">
        <v>96.968877437167805</v>
      </c>
      <c r="B1443">
        <v>26.2944217187253</v>
      </c>
      <c r="C1443">
        <v>2001</v>
      </c>
    </row>
    <row r="1444" spans="1:11" x14ac:dyDescent="0.25">
      <c r="A1444">
        <v>100.21850801222401</v>
      </c>
      <c r="B1444">
        <v>29.544052293781998</v>
      </c>
      <c r="C1444">
        <v>2001</v>
      </c>
    </row>
    <row r="1445" spans="1:11" x14ac:dyDescent="0.25">
      <c r="A1445">
        <v>104.302539169925</v>
      </c>
      <c r="B1445">
        <v>33.628083451482297</v>
      </c>
      <c r="C1445">
        <v>2001</v>
      </c>
    </row>
    <row r="1446" spans="1:11" x14ac:dyDescent="0.25">
      <c r="A1446">
        <v>120.455947706218</v>
      </c>
      <c r="B1446">
        <v>49.781491987775603</v>
      </c>
      <c r="C1446">
        <v>2001</v>
      </c>
    </row>
    <row r="1447" spans="1:11" x14ac:dyDescent="0.25">
      <c r="A1447">
        <v>135.71218520808199</v>
      </c>
      <c r="B1447">
        <v>65.037729489639105</v>
      </c>
      <c r="C1447">
        <v>2001</v>
      </c>
    </row>
    <row r="1448" spans="1:11" x14ac:dyDescent="0.25">
      <c r="A1448">
        <v>135.27516918363301</v>
      </c>
      <c r="B1448">
        <v>65.4747455140879</v>
      </c>
      <c r="C1448">
        <v>2000</v>
      </c>
    </row>
    <row r="1449" spans="1:11" x14ac:dyDescent="0.25">
      <c r="A1449">
        <v>120.018931681769</v>
      </c>
      <c r="B1449">
        <v>50.218508012224397</v>
      </c>
      <c r="C1449">
        <v>2000</v>
      </c>
    </row>
    <row r="1450" spans="1:11" x14ac:dyDescent="0.25">
      <c r="A1450" t="s">
        <v>84</v>
      </c>
    </row>
    <row r="1451" spans="1:11" x14ac:dyDescent="0.25">
      <c r="A1451">
        <v>770</v>
      </c>
      <c r="B1451">
        <v>0</v>
      </c>
      <c r="C1451">
        <v>19.784967957184701</v>
      </c>
      <c r="D1451">
        <v>34.976199737097502</v>
      </c>
      <c r="E1451">
        <v>6</v>
      </c>
      <c r="F1451">
        <v>1.01722196789785</v>
      </c>
      <c r="G1451" t="s">
        <v>82</v>
      </c>
      <c r="H1451" t="s">
        <v>81</v>
      </c>
      <c r="I1451">
        <v>0</v>
      </c>
      <c r="J1451">
        <v>34</v>
      </c>
      <c r="K1451">
        <v>0.10038021386068</v>
      </c>
    </row>
    <row r="1452" spans="1:11" x14ac:dyDescent="0.25">
      <c r="A1452" t="s">
        <v>83</v>
      </c>
    </row>
    <row r="1453" spans="1:11" x14ac:dyDescent="0.25">
      <c r="A1453">
        <v>14.0690309875484</v>
      </c>
      <c r="B1453">
        <v>16.720159666443202</v>
      </c>
      <c r="C1453">
        <v>2000</v>
      </c>
    </row>
    <row r="1454" spans="1:11" x14ac:dyDescent="0.25">
      <c r="A1454">
        <v>0</v>
      </c>
      <c r="B1454">
        <v>2.6511286788947701</v>
      </c>
      <c r="C1454">
        <v>2000</v>
      </c>
    </row>
    <row r="1455" spans="1:11" x14ac:dyDescent="0.25">
      <c r="A1455">
        <v>0</v>
      </c>
      <c r="B1455">
        <v>3.52516072779241</v>
      </c>
      <c r="C1455">
        <v>2001</v>
      </c>
    </row>
    <row r="1456" spans="1:11" x14ac:dyDescent="0.25">
      <c r="A1456">
        <v>13.911139028619299</v>
      </c>
      <c r="B1456">
        <v>17.436299756411699</v>
      </c>
      <c r="C1456">
        <v>2001</v>
      </c>
    </row>
    <row r="1457" spans="1:11" x14ac:dyDescent="0.25">
      <c r="A1457">
        <v>38.503485010096199</v>
      </c>
      <c r="B1457">
        <v>42.028645737888603</v>
      </c>
      <c r="C1457">
        <v>2001</v>
      </c>
    </row>
    <row r="1458" spans="1:11" x14ac:dyDescent="0.25">
      <c r="A1458">
        <v>38.9405010345451</v>
      </c>
      <c r="B1458">
        <v>41.591629713439801</v>
      </c>
      <c r="C1458">
        <v>2000</v>
      </c>
    </row>
    <row r="1459" spans="1:11" x14ac:dyDescent="0.25">
      <c r="A1459" t="s">
        <v>84</v>
      </c>
    </row>
    <row r="1460" spans="1:11" x14ac:dyDescent="0.25">
      <c r="A1460">
        <v>112</v>
      </c>
      <c r="B1460">
        <v>0</v>
      </c>
      <c r="C1460">
        <v>4.1670357064202701</v>
      </c>
      <c r="D1460">
        <v>50.380606632502797</v>
      </c>
      <c r="E1460">
        <v>10</v>
      </c>
      <c r="F1460">
        <v>1.01722196789785</v>
      </c>
      <c r="G1460" t="s">
        <v>81</v>
      </c>
      <c r="H1460" t="s">
        <v>81</v>
      </c>
      <c r="I1460">
        <v>802</v>
      </c>
      <c r="J1460">
        <v>855</v>
      </c>
      <c r="K1460">
        <v>0</v>
      </c>
    </row>
    <row r="1461" spans="1:11" x14ac:dyDescent="0.25">
      <c r="A1461" t="s">
        <v>83</v>
      </c>
    </row>
    <row r="1462" spans="1:11" x14ac:dyDescent="0.25">
      <c r="A1462">
        <v>19.557225546597898</v>
      </c>
      <c r="B1462">
        <v>74.136774047337099</v>
      </c>
      <c r="C1462">
        <v>2000</v>
      </c>
    </row>
    <row r="1463" spans="1:11" x14ac:dyDescent="0.25">
      <c r="A1463">
        <v>16.610686341141601</v>
      </c>
      <c r="B1463">
        <v>71.190234841880795</v>
      </c>
      <c r="C1463">
        <v>2000</v>
      </c>
    </row>
    <row r="1464" spans="1:11" x14ac:dyDescent="0.25">
      <c r="A1464">
        <v>17.047702365590499</v>
      </c>
      <c r="B1464">
        <v>70.753218817432</v>
      </c>
      <c r="C1464">
        <v>2001</v>
      </c>
    </row>
    <row r="1465" spans="1:11" x14ac:dyDescent="0.25">
      <c r="A1465">
        <v>19.9942415710467</v>
      </c>
      <c r="B1465">
        <v>73.699758022888304</v>
      </c>
      <c r="C1465">
        <v>2001</v>
      </c>
    </row>
    <row r="1466" spans="1:11" x14ac:dyDescent="0.25">
      <c r="A1466">
        <v>46.075975535933999</v>
      </c>
      <c r="B1466">
        <v>99.781491987775595</v>
      </c>
      <c r="C1466">
        <v>2001</v>
      </c>
    </row>
    <row r="1467" spans="1:11" x14ac:dyDescent="0.25">
      <c r="A1467">
        <v>50.218508012224397</v>
      </c>
      <c r="B1467">
        <v>103.92402446406599</v>
      </c>
      <c r="C1467">
        <v>2001</v>
      </c>
    </row>
    <row r="1468" spans="1:11" x14ac:dyDescent="0.25">
      <c r="A1468">
        <v>55.618710161181397</v>
      </c>
      <c r="B1468">
        <v>109.324226613023</v>
      </c>
      <c r="C1468">
        <v>2001</v>
      </c>
    </row>
    <row r="1469" spans="1:11" x14ac:dyDescent="0.25">
      <c r="A1469">
        <v>55.181694136732602</v>
      </c>
      <c r="B1469">
        <v>109.76124263747199</v>
      </c>
      <c r="C1469">
        <v>2000</v>
      </c>
    </row>
    <row r="1470" spans="1:11" x14ac:dyDescent="0.25">
      <c r="A1470">
        <v>49.781491987775603</v>
      </c>
      <c r="B1470">
        <v>104.361040488515</v>
      </c>
      <c r="C1470">
        <v>2000</v>
      </c>
    </row>
    <row r="1471" spans="1:11" x14ac:dyDescent="0.25">
      <c r="A1471">
        <v>45.638959511485197</v>
      </c>
      <c r="B1471">
        <v>100.21850801222401</v>
      </c>
      <c r="C1471">
        <v>2000</v>
      </c>
    </row>
    <row r="1472" spans="1:11" x14ac:dyDescent="0.25">
      <c r="A1472" t="s">
        <v>84</v>
      </c>
    </row>
    <row r="1473" spans="1:11" x14ac:dyDescent="0.25">
      <c r="A1473">
        <v>1046</v>
      </c>
      <c r="B1473">
        <v>0</v>
      </c>
      <c r="C1473">
        <v>14.4295944372588</v>
      </c>
      <c r="D1473">
        <v>40.075536308813703</v>
      </c>
      <c r="E1473">
        <v>8</v>
      </c>
      <c r="F1473">
        <v>1.01722196789785</v>
      </c>
      <c r="G1473" t="s">
        <v>81</v>
      </c>
      <c r="H1473" t="s">
        <v>82</v>
      </c>
      <c r="I1473">
        <v>321</v>
      </c>
      <c r="J1473">
        <v>0</v>
      </c>
      <c r="K1473">
        <v>0.113355528563426</v>
      </c>
    </row>
    <row r="1474" spans="1:11" x14ac:dyDescent="0.25">
      <c r="A1474" t="s">
        <v>83</v>
      </c>
    </row>
    <row r="1475" spans="1:11" x14ac:dyDescent="0.25">
      <c r="A1475">
        <v>80.1540964941845</v>
      </c>
      <c r="B1475">
        <v>121.49600839095</v>
      </c>
      <c r="C1475">
        <v>2000</v>
      </c>
    </row>
    <row r="1476" spans="1:11" x14ac:dyDescent="0.25">
      <c r="A1476">
        <v>69.898632531002605</v>
      </c>
      <c r="B1476">
        <v>111.240544427768</v>
      </c>
      <c r="C1476">
        <v>2000</v>
      </c>
    </row>
    <row r="1477" spans="1:11" x14ac:dyDescent="0.25">
      <c r="A1477">
        <v>69.461616506553796</v>
      </c>
      <c r="B1477">
        <v>111.67756045221699</v>
      </c>
      <c r="C1477">
        <v>2001</v>
      </c>
    </row>
    <row r="1478" spans="1:11" x14ac:dyDescent="0.25">
      <c r="A1478">
        <v>79.612680696086599</v>
      </c>
      <c r="B1478">
        <v>121.82862464175</v>
      </c>
      <c r="C1478">
        <v>2001</v>
      </c>
    </row>
    <row r="1479" spans="1:11" x14ac:dyDescent="0.25">
      <c r="A1479">
        <v>99.626375541037604</v>
      </c>
      <c r="B1479">
        <v>141.842319486701</v>
      </c>
      <c r="C1479">
        <v>2001</v>
      </c>
    </row>
    <row r="1480" spans="1:11" x14ac:dyDescent="0.25">
      <c r="A1480">
        <v>107.784056054337</v>
      </c>
      <c r="B1480">
        <v>150</v>
      </c>
      <c r="C1480">
        <v>2001</v>
      </c>
    </row>
    <row r="1481" spans="1:11" x14ac:dyDescent="0.25">
      <c r="A1481">
        <v>108.65808810323399</v>
      </c>
      <c r="B1481">
        <v>150</v>
      </c>
      <c r="C1481">
        <v>2000</v>
      </c>
    </row>
    <row r="1482" spans="1:11" x14ac:dyDescent="0.25">
      <c r="A1482">
        <v>100.373624458962</v>
      </c>
      <c r="B1482">
        <v>141.71553635572801</v>
      </c>
      <c r="C1482">
        <v>2000</v>
      </c>
    </row>
    <row r="1483" spans="1:11" x14ac:dyDescent="0.25">
      <c r="A1483" t="s">
        <v>84</v>
      </c>
    </row>
    <row r="1484" spans="1:11" x14ac:dyDescent="0.25">
      <c r="A1484">
        <v>501</v>
      </c>
      <c r="B1484">
        <v>0</v>
      </c>
      <c r="C1484">
        <v>14.8625441521576</v>
      </c>
      <c r="D1484">
        <v>39.354420589195897</v>
      </c>
      <c r="E1484">
        <v>6</v>
      </c>
      <c r="F1484">
        <v>1.01722196789785</v>
      </c>
      <c r="G1484" t="s">
        <v>81</v>
      </c>
      <c r="H1484" t="s">
        <v>82</v>
      </c>
      <c r="I1484">
        <v>486</v>
      </c>
      <c r="J1484">
        <v>0</v>
      </c>
      <c r="K1484">
        <v>0</v>
      </c>
    </row>
    <row r="1485" spans="1:11" x14ac:dyDescent="0.25">
      <c r="A1485" t="s">
        <v>83</v>
      </c>
    </row>
    <row r="1486" spans="1:11" x14ac:dyDescent="0.25">
      <c r="A1486">
        <v>122.013614112749</v>
      </c>
      <c r="B1486">
        <v>19.495764725829702</v>
      </c>
      <c r="C1486">
        <v>2000</v>
      </c>
    </row>
    <row r="1487" spans="1:11" x14ac:dyDescent="0.25">
      <c r="A1487">
        <v>111.444308563813</v>
      </c>
      <c r="B1487">
        <v>8.9264591768928092</v>
      </c>
      <c r="C1487">
        <v>2000</v>
      </c>
    </row>
    <row r="1488" spans="1:11" x14ac:dyDescent="0.25">
      <c r="A1488">
        <v>111.88132458826099</v>
      </c>
      <c r="B1488">
        <v>8.4894431524439895</v>
      </c>
      <c r="C1488">
        <v>2001</v>
      </c>
    </row>
    <row r="1489" spans="1:11" x14ac:dyDescent="0.25">
      <c r="A1489">
        <v>122.330830550675</v>
      </c>
      <c r="B1489">
        <v>18.938949114857401</v>
      </c>
      <c r="C1489">
        <v>2001</v>
      </c>
    </row>
    <row r="1490" spans="1:11" x14ac:dyDescent="0.25">
      <c r="A1490">
        <v>150</v>
      </c>
      <c r="B1490">
        <v>46.608118564182597</v>
      </c>
      <c r="C1490">
        <v>2001</v>
      </c>
    </row>
    <row r="1491" spans="1:11" x14ac:dyDescent="0.25">
      <c r="A1491">
        <v>150</v>
      </c>
      <c r="B1491">
        <v>47.482150613080201</v>
      </c>
      <c r="C1491">
        <v>2000</v>
      </c>
    </row>
    <row r="1492" spans="1:11" x14ac:dyDescent="0.25">
      <c r="A1492" t="s">
        <v>84</v>
      </c>
    </row>
    <row r="1493" spans="1:11" x14ac:dyDescent="0.25">
      <c r="A1493">
        <v>347</v>
      </c>
      <c r="B1493">
        <v>0</v>
      </c>
      <c r="C1493">
        <v>4.6856341944080997</v>
      </c>
      <c r="D1493">
        <v>49.417466714631999</v>
      </c>
      <c r="E1493">
        <v>8</v>
      </c>
      <c r="F1493">
        <v>1.01722196789785</v>
      </c>
      <c r="G1493" t="s">
        <v>81</v>
      </c>
      <c r="H1493" t="s">
        <v>82</v>
      </c>
      <c r="I1493">
        <v>809</v>
      </c>
      <c r="J1493">
        <v>0</v>
      </c>
      <c r="K1493">
        <v>0</v>
      </c>
    </row>
    <row r="1494" spans="1:11" x14ac:dyDescent="0.25">
      <c r="A1494" t="s">
        <v>83</v>
      </c>
    </row>
    <row r="1495" spans="1:11" x14ac:dyDescent="0.25">
      <c r="A1495">
        <v>92.278340525954206</v>
      </c>
      <c r="B1495">
        <v>114.852692513101</v>
      </c>
      <c r="C1495">
        <v>2000</v>
      </c>
    </row>
    <row r="1496" spans="1:11" x14ac:dyDescent="0.25">
      <c r="A1496">
        <v>88.950470464626804</v>
      </c>
      <c r="B1496">
        <v>111.52482245177301</v>
      </c>
      <c r="C1496">
        <v>2000</v>
      </c>
    </row>
    <row r="1497" spans="1:11" x14ac:dyDescent="0.25">
      <c r="A1497">
        <v>88.513454440177995</v>
      </c>
      <c r="B1497">
        <v>111.961838476222</v>
      </c>
      <c r="C1497">
        <v>2001</v>
      </c>
    </row>
    <row r="1498" spans="1:11" x14ac:dyDescent="0.25">
      <c r="A1498">
        <v>91.812071804901606</v>
      </c>
      <c r="B1498">
        <v>115.26045584094599</v>
      </c>
      <c r="C1498">
        <v>2001</v>
      </c>
    </row>
    <row r="1499" spans="1:11" x14ac:dyDescent="0.25">
      <c r="A1499">
        <v>99.731749120626503</v>
      </c>
      <c r="B1499">
        <v>123.180133156671</v>
      </c>
      <c r="C1499">
        <v>2001</v>
      </c>
    </row>
    <row r="1500" spans="1:11" x14ac:dyDescent="0.25">
      <c r="A1500">
        <v>126.551615963956</v>
      </c>
      <c r="B1500">
        <v>150</v>
      </c>
      <c r="C1500">
        <v>2001</v>
      </c>
    </row>
    <row r="1501" spans="1:11" x14ac:dyDescent="0.25">
      <c r="A1501">
        <v>127.425648012853</v>
      </c>
      <c r="B1501">
        <v>150</v>
      </c>
      <c r="C1501">
        <v>2000</v>
      </c>
    </row>
    <row r="1502" spans="1:11" x14ac:dyDescent="0.25">
      <c r="A1502">
        <v>100.26825087937399</v>
      </c>
      <c r="B1502">
        <v>122.84260286652</v>
      </c>
      <c r="C1502">
        <v>2000</v>
      </c>
    </row>
    <row r="1503" spans="1:11" x14ac:dyDescent="0.25">
      <c r="A1503" t="s">
        <v>84</v>
      </c>
    </row>
    <row r="1504" spans="1:11" x14ac:dyDescent="0.25">
      <c r="A1504">
        <v>890</v>
      </c>
      <c r="B1504">
        <v>0</v>
      </c>
      <c r="C1504">
        <v>52.304901769105101</v>
      </c>
      <c r="D1504">
        <v>1.6110735384074999</v>
      </c>
      <c r="E1504">
        <v>6</v>
      </c>
      <c r="F1504">
        <v>1.01722196789785</v>
      </c>
      <c r="G1504" t="s">
        <v>82</v>
      </c>
      <c r="H1504" t="s">
        <v>81</v>
      </c>
      <c r="I1504">
        <v>0</v>
      </c>
      <c r="J1504">
        <v>34</v>
      </c>
      <c r="K1504">
        <v>0.10458844867092799</v>
      </c>
    </row>
    <row r="1505" spans="1:11" x14ac:dyDescent="0.25">
      <c r="A1505" t="s">
        <v>83</v>
      </c>
    </row>
    <row r="1506" spans="1:11" x14ac:dyDescent="0.25">
      <c r="A1506">
        <v>37.197129462878301</v>
      </c>
      <c r="B1506">
        <v>41.043540677957097</v>
      </c>
      <c r="C1506">
        <v>2000</v>
      </c>
    </row>
    <row r="1507" spans="1:11" x14ac:dyDescent="0.25">
      <c r="A1507">
        <v>0</v>
      </c>
      <c r="B1507">
        <v>3.8464112150788501</v>
      </c>
      <c r="C1507">
        <v>2000</v>
      </c>
    </row>
    <row r="1508" spans="1:11" x14ac:dyDescent="0.25">
      <c r="A1508">
        <v>0</v>
      </c>
      <c r="B1508">
        <v>4.7204432639764997</v>
      </c>
      <c r="C1508">
        <v>2001</v>
      </c>
    </row>
    <row r="1509" spans="1:11" x14ac:dyDescent="0.25">
      <c r="A1509">
        <v>36.773171997582601</v>
      </c>
      <c r="B1509">
        <v>41.4936152615591</v>
      </c>
      <c r="C1509">
        <v>2001</v>
      </c>
    </row>
    <row r="1510" spans="1:11" x14ac:dyDescent="0.25">
      <c r="A1510">
        <v>37.905843742004201</v>
      </c>
      <c r="B1510">
        <v>42.6262870059807</v>
      </c>
      <c r="C1510">
        <v>2001</v>
      </c>
    </row>
    <row r="1511" spans="1:11" x14ac:dyDescent="0.25">
      <c r="A1511">
        <v>38.342859766453003</v>
      </c>
      <c r="B1511">
        <v>42.189270981531799</v>
      </c>
      <c r="C1511">
        <v>2000</v>
      </c>
    </row>
    <row r="1512" spans="1:11" x14ac:dyDescent="0.25">
      <c r="A1512" t="s">
        <v>84</v>
      </c>
    </row>
    <row r="1513" spans="1:11" x14ac:dyDescent="0.25">
      <c r="A1513">
        <v>963</v>
      </c>
      <c r="B1513">
        <v>0</v>
      </c>
      <c r="C1513">
        <v>52.339314703857497</v>
      </c>
      <c r="D1513">
        <v>1.41951170309045</v>
      </c>
      <c r="E1513">
        <v>6</v>
      </c>
      <c r="F1513">
        <v>1.01722196789785</v>
      </c>
      <c r="G1513" t="s">
        <v>82</v>
      </c>
      <c r="H1513" t="s">
        <v>82</v>
      </c>
      <c r="I1513">
        <v>0</v>
      </c>
      <c r="J1513">
        <v>0</v>
      </c>
      <c r="K1513">
        <v>0.107182885561868</v>
      </c>
    </row>
    <row r="1514" spans="1:11" x14ac:dyDescent="0.25">
      <c r="A1514" t="s">
        <v>83</v>
      </c>
    </row>
    <row r="1515" spans="1:11" x14ac:dyDescent="0.25">
      <c r="A1515">
        <v>36.584007813843598</v>
      </c>
      <c r="B1515">
        <v>149.00779313730899</v>
      </c>
      <c r="C1515">
        <v>2000</v>
      </c>
    </row>
    <row r="1516" spans="1:11" x14ac:dyDescent="0.25">
      <c r="A1516">
        <v>0</v>
      </c>
      <c r="B1516">
        <v>112.42378532346601</v>
      </c>
      <c r="C1516">
        <v>2000</v>
      </c>
    </row>
    <row r="1517" spans="1:11" x14ac:dyDescent="0.25">
      <c r="A1517">
        <v>0</v>
      </c>
      <c r="B1517">
        <v>111.549753274568</v>
      </c>
      <c r="C1517">
        <v>2001</v>
      </c>
    </row>
    <row r="1518" spans="1:11" x14ac:dyDescent="0.25">
      <c r="A1518">
        <v>37.434960885665099</v>
      </c>
      <c r="B1518">
        <v>148.98471416023301</v>
      </c>
      <c r="C1518">
        <v>2001</v>
      </c>
    </row>
    <row r="1519" spans="1:11" x14ac:dyDescent="0.25">
      <c r="A1519">
        <v>38.450246725432102</v>
      </c>
      <c r="B1519">
        <v>150</v>
      </c>
      <c r="C1519">
        <v>2001</v>
      </c>
    </row>
    <row r="1520" spans="1:11" x14ac:dyDescent="0.25">
      <c r="A1520">
        <v>37.576214676534498</v>
      </c>
      <c r="B1520">
        <v>150</v>
      </c>
      <c r="C1520">
        <v>2000</v>
      </c>
    </row>
    <row r="1521" spans="1:11" x14ac:dyDescent="0.25">
      <c r="A1521" t="s">
        <v>84</v>
      </c>
    </row>
    <row r="1522" spans="1:11" x14ac:dyDescent="0.25">
      <c r="A1522">
        <v>1023</v>
      </c>
      <c r="B1522">
        <v>0</v>
      </c>
      <c r="C1522">
        <v>41.755019042654297</v>
      </c>
      <c r="D1522">
        <v>11.8178672235964</v>
      </c>
      <c r="E1522">
        <v>8</v>
      </c>
      <c r="F1522">
        <v>1.01722196789785</v>
      </c>
      <c r="G1522" t="s">
        <v>81</v>
      </c>
      <c r="H1522" t="s">
        <v>82</v>
      </c>
      <c r="I1522">
        <v>323</v>
      </c>
      <c r="J1522">
        <v>0</v>
      </c>
      <c r="K1522">
        <v>0.11172289499086099</v>
      </c>
    </row>
    <row r="1523" spans="1:11" x14ac:dyDescent="0.25">
      <c r="A1523" t="s">
        <v>83</v>
      </c>
    </row>
    <row r="1524" spans="1:11" x14ac:dyDescent="0.25">
      <c r="A1524">
        <v>128.64924746147801</v>
      </c>
      <c r="B1524">
        <v>141.69233636001701</v>
      </c>
      <c r="C1524">
        <v>2000</v>
      </c>
    </row>
    <row r="1525" spans="1:11" x14ac:dyDescent="0.25">
      <c r="A1525">
        <v>99.781491987775595</v>
      </c>
      <c r="B1525">
        <v>112.824580886315</v>
      </c>
      <c r="C1525">
        <v>2000</v>
      </c>
    </row>
    <row r="1526" spans="1:11" x14ac:dyDescent="0.25">
      <c r="A1526">
        <v>99.293667947083406</v>
      </c>
      <c r="B1526">
        <v>112.336756845623</v>
      </c>
      <c r="C1526">
        <v>2000</v>
      </c>
    </row>
    <row r="1527" spans="1:11" x14ac:dyDescent="0.25">
      <c r="A1527">
        <v>99.730683971532201</v>
      </c>
      <c r="B1527">
        <v>111.89974082117401</v>
      </c>
      <c r="C1527">
        <v>2001</v>
      </c>
    </row>
    <row r="1528" spans="1:11" x14ac:dyDescent="0.25">
      <c r="A1528">
        <v>100.21850801222401</v>
      </c>
      <c r="B1528">
        <v>112.387564861866</v>
      </c>
      <c r="C1528">
        <v>2001</v>
      </c>
    </row>
    <row r="1529" spans="1:11" x14ac:dyDescent="0.25">
      <c r="A1529">
        <v>129.425618684406</v>
      </c>
      <c r="B1529">
        <v>141.59467553404801</v>
      </c>
      <c r="C1529">
        <v>2001</v>
      </c>
    </row>
    <row r="1530" spans="1:11" x14ac:dyDescent="0.25">
      <c r="A1530">
        <v>137.830943150358</v>
      </c>
      <c r="B1530">
        <v>150</v>
      </c>
      <c r="C1530">
        <v>2001</v>
      </c>
    </row>
    <row r="1531" spans="1:11" x14ac:dyDescent="0.25">
      <c r="A1531">
        <v>136.956911101461</v>
      </c>
      <c r="B1531">
        <v>150</v>
      </c>
      <c r="C1531">
        <v>2000</v>
      </c>
    </row>
    <row r="1532" spans="1:11" x14ac:dyDescent="0.25">
      <c r="A1532" t="s">
        <v>84</v>
      </c>
    </row>
    <row r="1533" spans="1:11" x14ac:dyDescent="0.25">
      <c r="A1533">
        <v>795</v>
      </c>
      <c r="B1533">
        <v>0</v>
      </c>
      <c r="C1533">
        <v>19.395957076146399</v>
      </c>
      <c r="D1533">
        <v>33.964390752930797</v>
      </c>
      <c r="E1533">
        <v>8</v>
      </c>
      <c r="F1533">
        <v>1.01722196789785</v>
      </c>
      <c r="G1533" t="s">
        <v>81</v>
      </c>
      <c r="H1533" t="s">
        <v>82</v>
      </c>
      <c r="I1533">
        <v>931</v>
      </c>
      <c r="J1533">
        <v>0</v>
      </c>
      <c r="K1533">
        <v>0.102343747528348</v>
      </c>
    </row>
    <row r="1534" spans="1:11" x14ac:dyDescent="0.25">
      <c r="A1534" t="s">
        <v>83</v>
      </c>
    </row>
    <row r="1535" spans="1:11" x14ac:dyDescent="0.25">
      <c r="A1535">
        <v>126.13734426430899</v>
      </c>
      <c r="B1535">
        <v>109.822225979276</v>
      </c>
      <c r="C1535">
        <v>2000</v>
      </c>
    </row>
    <row r="1536" spans="1:11" x14ac:dyDescent="0.25">
      <c r="A1536">
        <v>116.096610272809</v>
      </c>
      <c r="B1536">
        <v>99.781491987775595</v>
      </c>
      <c r="C1536">
        <v>2000</v>
      </c>
    </row>
    <row r="1537" spans="1:11" x14ac:dyDescent="0.25">
      <c r="A1537">
        <v>112.487044215811</v>
      </c>
      <c r="B1537">
        <v>96.171925930777206</v>
      </c>
      <c r="C1537">
        <v>2000</v>
      </c>
    </row>
    <row r="1538" spans="1:11" x14ac:dyDescent="0.25">
      <c r="A1538">
        <v>112.050028191362</v>
      </c>
      <c r="B1538">
        <v>96.608941955226001</v>
      </c>
      <c r="C1538">
        <v>2001</v>
      </c>
    </row>
    <row r="1539" spans="1:11" x14ac:dyDescent="0.25">
      <c r="A1539">
        <v>115.659594248361</v>
      </c>
      <c r="B1539">
        <v>100.21850801222401</v>
      </c>
      <c r="C1539">
        <v>2001</v>
      </c>
    </row>
    <row r="1540" spans="1:11" x14ac:dyDescent="0.25">
      <c r="A1540">
        <v>125.829753695156</v>
      </c>
      <c r="B1540">
        <v>110.38866745902</v>
      </c>
      <c r="C1540">
        <v>2001</v>
      </c>
    </row>
    <row r="1541" spans="1:11" x14ac:dyDescent="0.25">
      <c r="A1541">
        <v>150</v>
      </c>
      <c r="B1541">
        <v>134.55891376386401</v>
      </c>
      <c r="C1541">
        <v>2001</v>
      </c>
    </row>
    <row r="1542" spans="1:11" x14ac:dyDescent="0.25">
      <c r="A1542">
        <v>150</v>
      </c>
      <c r="B1542">
        <v>133.684881714966</v>
      </c>
      <c r="C1542">
        <v>2000</v>
      </c>
    </row>
    <row r="1543" spans="1:11" x14ac:dyDescent="0.25">
      <c r="A1543" t="s">
        <v>84</v>
      </c>
    </row>
    <row r="1544" spans="1:11" x14ac:dyDescent="0.25">
      <c r="A1544">
        <v>901</v>
      </c>
      <c r="B1544">
        <v>0</v>
      </c>
      <c r="C1544">
        <v>1.8369180364620501</v>
      </c>
      <c r="D1544">
        <v>51.083528340003099</v>
      </c>
      <c r="E1544">
        <v>8</v>
      </c>
      <c r="F1544">
        <v>1.01722196789785</v>
      </c>
      <c r="G1544" t="s">
        <v>81</v>
      </c>
      <c r="H1544" t="s">
        <v>81</v>
      </c>
      <c r="I1544">
        <v>863</v>
      </c>
      <c r="J1544">
        <v>815</v>
      </c>
      <c r="K1544">
        <v>0.104952687375285</v>
      </c>
    </row>
    <row r="1545" spans="1:11" x14ac:dyDescent="0.25">
      <c r="A1545" t="s">
        <v>83</v>
      </c>
    </row>
    <row r="1546" spans="1:11" x14ac:dyDescent="0.25">
      <c r="A1546">
        <v>13.6393282430385</v>
      </c>
      <c r="B1546">
        <v>35.303581448883399</v>
      </c>
      <c r="C1546">
        <v>2000</v>
      </c>
    </row>
    <row r="1547" spans="1:11" x14ac:dyDescent="0.25">
      <c r="A1547">
        <v>12.3404310429723</v>
      </c>
      <c r="B1547">
        <v>34.004684248817199</v>
      </c>
      <c r="C1547">
        <v>2000</v>
      </c>
    </row>
    <row r="1548" spans="1:11" x14ac:dyDescent="0.25">
      <c r="A1548">
        <v>11.9034150185235</v>
      </c>
      <c r="B1548">
        <v>34.441700273266001</v>
      </c>
      <c r="C1548">
        <v>2001</v>
      </c>
    </row>
    <row r="1549" spans="1:11" x14ac:dyDescent="0.25">
      <c r="A1549">
        <v>13.2023122185897</v>
      </c>
      <c r="B1549">
        <v>35.740597473332201</v>
      </c>
      <c r="C1549">
        <v>2001</v>
      </c>
    </row>
    <row r="1550" spans="1:11" x14ac:dyDescent="0.25">
      <c r="A1550">
        <v>27.6802227574819</v>
      </c>
      <c r="B1550">
        <v>50.218508012224397</v>
      </c>
      <c r="C1550">
        <v>2001</v>
      </c>
    </row>
    <row r="1551" spans="1:11" x14ac:dyDescent="0.25">
      <c r="A1551">
        <v>49.323821514740999</v>
      </c>
      <c r="B1551">
        <v>71.862106769483503</v>
      </c>
      <c r="C1551">
        <v>2001</v>
      </c>
    </row>
    <row r="1552" spans="1:11" x14ac:dyDescent="0.25">
      <c r="A1552">
        <v>49.7608375391899</v>
      </c>
      <c r="B1552">
        <v>71.425090745034694</v>
      </c>
      <c r="C1552">
        <v>2000</v>
      </c>
    </row>
    <row r="1553" spans="1:11" x14ac:dyDescent="0.25">
      <c r="A1553">
        <v>28.117238781930698</v>
      </c>
      <c r="B1553">
        <v>49.781491987775603</v>
      </c>
      <c r="C1553">
        <v>2000</v>
      </c>
    </row>
    <row r="1554" spans="1:11" x14ac:dyDescent="0.25">
      <c r="A1554" t="s">
        <v>84</v>
      </c>
    </row>
    <row r="1555" spans="1:11" x14ac:dyDescent="0.25">
      <c r="A1555">
        <v>939</v>
      </c>
      <c r="B1555">
        <v>0</v>
      </c>
      <c r="C1555">
        <v>25.8707362160633</v>
      </c>
      <c r="D1555">
        <v>26.768331578640598</v>
      </c>
      <c r="E1555">
        <v>8</v>
      </c>
      <c r="F1555">
        <v>1.01722196789785</v>
      </c>
      <c r="G1555" t="s">
        <v>81</v>
      </c>
      <c r="H1555" t="s">
        <v>82</v>
      </c>
      <c r="I1555">
        <v>930</v>
      </c>
      <c r="J1555">
        <v>0</v>
      </c>
      <c r="K1555">
        <v>0.10613089671621601</v>
      </c>
    </row>
    <row r="1556" spans="1:11" x14ac:dyDescent="0.25">
      <c r="A1556" t="s">
        <v>83</v>
      </c>
    </row>
    <row r="1557" spans="1:11" x14ac:dyDescent="0.25">
      <c r="A1557">
        <v>131.18448434582299</v>
      </c>
      <c r="B1557">
        <v>67.4939792949219</v>
      </c>
      <c r="C1557">
        <v>2000</v>
      </c>
    </row>
    <row r="1558" spans="1:11" x14ac:dyDescent="0.25">
      <c r="A1558">
        <v>113.471997038677</v>
      </c>
      <c r="B1558">
        <v>49.781491987775603</v>
      </c>
      <c r="C1558">
        <v>2000</v>
      </c>
    </row>
    <row r="1559" spans="1:11" x14ac:dyDescent="0.25">
      <c r="A1559">
        <v>112.997066219251</v>
      </c>
      <c r="B1559">
        <v>49.306561168349901</v>
      </c>
      <c r="C1559">
        <v>2000</v>
      </c>
    </row>
    <row r="1560" spans="1:11" x14ac:dyDescent="0.25">
      <c r="A1560">
        <v>112.560050194802</v>
      </c>
      <c r="B1560">
        <v>49.743577192798703</v>
      </c>
      <c r="C1560">
        <v>2001</v>
      </c>
    </row>
    <row r="1561" spans="1:11" x14ac:dyDescent="0.25">
      <c r="A1561">
        <v>113.03498101422799</v>
      </c>
      <c r="B1561">
        <v>50.218508012224397</v>
      </c>
      <c r="C1561">
        <v>2001</v>
      </c>
    </row>
    <row r="1562" spans="1:11" x14ac:dyDescent="0.25">
      <c r="A1562">
        <v>130.959378093564</v>
      </c>
      <c r="B1562">
        <v>68.142905091560195</v>
      </c>
      <c r="C1562">
        <v>2001</v>
      </c>
    </row>
    <row r="1563" spans="1:11" x14ac:dyDescent="0.25">
      <c r="A1563">
        <v>150</v>
      </c>
      <c r="B1563">
        <v>87.183526997996594</v>
      </c>
      <c r="C1563">
        <v>2001</v>
      </c>
    </row>
    <row r="1564" spans="1:11" x14ac:dyDescent="0.25">
      <c r="A1564">
        <v>150</v>
      </c>
      <c r="B1564">
        <v>86.309494949099005</v>
      </c>
      <c r="C1564">
        <v>2000</v>
      </c>
    </row>
    <row r="1565" spans="1:11" x14ac:dyDescent="0.25">
      <c r="A1565" t="s">
        <v>84</v>
      </c>
    </row>
    <row r="1566" spans="1:11" x14ac:dyDescent="0.25">
      <c r="A1566">
        <v>22</v>
      </c>
      <c r="B1566">
        <v>0</v>
      </c>
      <c r="C1566">
        <v>21.635340817729599</v>
      </c>
      <c r="D1566">
        <v>30.6796613187663</v>
      </c>
      <c r="E1566">
        <v>8</v>
      </c>
      <c r="F1566">
        <v>1.01722196789785</v>
      </c>
      <c r="G1566" t="s">
        <v>82</v>
      </c>
      <c r="H1566" t="s">
        <v>81</v>
      </c>
      <c r="I1566">
        <v>0</v>
      </c>
      <c r="J1566">
        <v>677</v>
      </c>
      <c r="K1566">
        <v>0</v>
      </c>
    </row>
    <row r="1567" spans="1:11" x14ac:dyDescent="0.25">
      <c r="A1567" t="s">
        <v>83</v>
      </c>
    </row>
    <row r="1568" spans="1:11" x14ac:dyDescent="0.25">
      <c r="A1568">
        <v>15.490642288766701</v>
      </c>
      <c r="B1568">
        <v>47.656217277203098</v>
      </c>
      <c r="C1568">
        <v>2000</v>
      </c>
    </row>
    <row r="1569" spans="1:11" x14ac:dyDescent="0.25">
      <c r="A1569">
        <v>0</v>
      </c>
      <c r="B1569">
        <v>32.165574988436298</v>
      </c>
      <c r="C1569">
        <v>2000</v>
      </c>
    </row>
    <row r="1570" spans="1:11" x14ac:dyDescent="0.25">
      <c r="A1570">
        <v>0</v>
      </c>
      <c r="B1570">
        <v>33.039607037334001</v>
      </c>
      <c r="C1570">
        <v>2001</v>
      </c>
    </row>
    <row r="1571" spans="1:11" x14ac:dyDescent="0.25">
      <c r="A1571">
        <v>15.106350122230699</v>
      </c>
      <c r="B1571">
        <v>48.145957159564603</v>
      </c>
      <c r="C1571">
        <v>2001</v>
      </c>
    </row>
    <row r="1572" spans="1:11" x14ac:dyDescent="0.25">
      <c r="A1572">
        <v>17.1789009748904</v>
      </c>
      <c r="B1572">
        <v>50.218508012224397</v>
      </c>
      <c r="C1572">
        <v>2001</v>
      </c>
    </row>
    <row r="1573" spans="1:11" x14ac:dyDescent="0.25">
      <c r="A1573">
        <v>36.773784756280598</v>
      </c>
      <c r="B1573">
        <v>69.8133917936145</v>
      </c>
      <c r="C1573">
        <v>2001</v>
      </c>
    </row>
    <row r="1574" spans="1:11" x14ac:dyDescent="0.25">
      <c r="A1574">
        <v>37.2108007807294</v>
      </c>
      <c r="B1574">
        <v>69.376375769165705</v>
      </c>
      <c r="C1574">
        <v>2000</v>
      </c>
    </row>
    <row r="1575" spans="1:11" x14ac:dyDescent="0.25">
      <c r="A1575">
        <v>17.615916999339301</v>
      </c>
      <c r="B1575">
        <v>49.781491987775603</v>
      </c>
      <c r="C1575">
        <v>2000</v>
      </c>
    </row>
    <row r="1576" spans="1:11" x14ac:dyDescent="0.25">
      <c r="A1576" t="s">
        <v>84</v>
      </c>
    </row>
    <row r="1577" spans="1:11" x14ac:dyDescent="0.25">
      <c r="A1577">
        <v>264</v>
      </c>
      <c r="B1577">
        <v>0</v>
      </c>
      <c r="C1577">
        <v>49.681112079509496</v>
      </c>
      <c r="D1577">
        <v>2.4160656541643601</v>
      </c>
      <c r="E1577">
        <v>8</v>
      </c>
      <c r="F1577">
        <v>1.01722196789785</v>
      </c>
      <c r="G1577" t="s">
        <v>81</v>
      </c>
      <c r="H1577" t="s">
        <v>81</v>
      </c>
      <c r="I1577">
        <v>353</v>
      </c>
      <c r="J1577">
        <v>268</v>
      </c>
      <c r="K1577">
        <v>0</v>
      </c>
    </row>
    <row r="1578" spans="1:11" x14ac:dyDescent="0.25">
      <c r="A1578" t="s">
        <v>83</v>
      </c>
    </row>
    <row r="1579" spans="1:11" x14ac:dyDescent="0.25">
      <c r="A1579">
        <v>130.380720143388</v>
      </c>
      <c r="B1579">
        <v>140.11120034759</v>
      </c>
      <c r="C1579">
        <v>2000</v>
      </c>
    </row>
    <row r="1580" spans="1:11" x14ac:dyDescent="0.25">
      <c r="A1580">
        <v>99.781491987775595</v>
      </c>
      <c r="B1580">
        <v>109.51197219197699</v>
      </c>
      <c r="C1580">
        <v>2000</v>
      </c>
    </row>
    <row r="1581" spans="1:11" x14ac:dyDescent="0.25">
      <c r="A1581">
        <v>95.250868895078099</v>
      </c>
      <c r="B1581">
        <v>104.98134909928</v>
      </c>
      <c r="C1581">
        <v>2000</v>
      </c>
    </row>
    <row r="1582" spans="1:11" x14ac:dyDescent="0.25">
      <c r="A1582">
        <v>95.687884919526894</v>
      </c>
      <c r="B1582">
        <v>104.544333074831</v>
      </c>
      <c r="C1582">
        <v>2001</v>
      </c>
    </row>
    <row r="1583" spans="1:11" x14ac:dyDescent="0.25">
      <c r="A1583">
        <v>100.21850801222401</v>
      </c>
      <c r="B1583">
        <v>109.074956167529</v>
      </c>
      <c r="C1583">
        <v>2001</v>
      </c>
    </row>
    <row r="1584" spans="1:11" x14ac:dyDescent="0.25">
      <c r="A1584">
        <v>130.81773616783701</v>
      </c>
      <c r="B1584">
        <v>139.67418432314099</v>
      </c>
      <c r="C1584">
        <v>2001</v>
      </c>
    </row>
    <row r="1585" spans="1:11" x14ac:dyDescent="0.25">
      <c r="A1585">
        <v>132.526152575689</v>
      </c>
      <c r="B1585">
        <v>141.382600730993</v>
      </c>
      <c r="C1585">
        <v>2001</v>
      </c>
    </row>
    <row r="1586" spans="1:11" x14ac:dyDescent="0.25">
      <c r="A1586">
        <v>132.08913655123999</v>
      </c>
      <c r="B1586">
        <v>141.81961675544201</v>
      </c>
      <c r="C1586">
        <v>2000</v>
      </c>
    </row>
    <row r="1587" spans="1:11" x14ac:dyDescent="0.25">
      <c r="A1587" t="s">
        <v>84</v>
      </c>
    </row>
    <row r="1588" spans="1:11" x14ac:dyDescent="0.25">
      <c r="A1588">
        <v>952</v>
      </c>
      <c r="B1588">
        <v>0</v>
      </c>
      <c r="C1588">
        <v>38.644512755941697</v>
      </c>
      <c r="D1588">
        <v>13.400598392813</v>
      </c>
      <c r="E1588">
        <v>10</v>
      </c>
      <c r="F1588">
        <v>1.01722196789785</v>
      </c>
      <c r="G1588" t="s">
        <v>81</v>
      </c>
      <c r="H1588" t="s">
        <v>81</v>
      </c>
      <c r="I1588">
        <v>40</v>
      </c>
      <c r="J1588">
        <v>653</v>
      </c>
      <c r="K1588">
        <v>0.106745660282727</v>
      </c>
    </row>
    <row r="1589" spans="1:11" x14ac:dyDescent="0.25">
      <c r="A1589" t="s">
        <v>83</v>
      </c>
    </row>
    <row r="1590" spans="1:11" x14ac:dyDescent="0.25">
      <c r="A1590">
        <v>54.5332564257751</v>
      </c>
      <c r="B1590">
        <v>75.407512617948399</v>
      </c>
      <c r="C1590">
        <v>2000</v>
      </c>
    </row>
    <row r="1591" spans="1:11" x14ac:dyDescent="0.25">
      <c r="A1591">
        <v>49.781491987775603</v>
      </c>
      <c r="B1591">
        <v>70.655748179949001</v>
      </c>
      <c r="C1591">
        <v>2000</v>
      </c>
    </row>
    <row r="1592" spans="1:11" x14ac:dyDescent="0.25">
      <c r="A1592">
        <v>29.344251820050999</v>
      </c>
      <c r="B1592">
        <v>50.218508012224397</v>
      </c>
      <c r="C1592">
        <v>2000</v>
      </c>
    </row>
    <row r="1593" spans="1:11" x14ac:dyDescent="0.25">
      <c r="A1593">
        <v>27.207459400398701</v>
      </c>
      <c r="B1593">
        <v>48.081715592572003</v>
      </c>
      <c r="C1593">
        <v>2000</v>
      </c>
    </row>
    <row r="1594" spans="1:11" x14ac:dyDescent="0.25">
      <c r="A1594">
        <v>27.644475424847499</v>
      </c>
      <c r="B1594">
        <v>47.644699568123201</v>
      </c>
      <c r="C1594">
        <v>2001</v>
      </c>
    </row>
    <row r="1595" spans="1:11" x14ac:dyDescent="0.25">
      <c r="A1595">
        <v>29.781267844499901</v>
      </c>
      <c r="B1595">
        <v>49.781491987775603</v>
      </c>
      <c r="C1595">
        <v>2001</v>
      </c>
    </row>
    <row r="1596" spans="1:11" x14ac:dyDescent="0.25">
      <c r="A1596">
        <v>50.218508012224397</v>
      </c>
      <c r="B1596">
        <v>70.218732155500106</v>
      </c>
      <c r="C1596">
        <v>2001</v>
      </c>
    </row>
    <row r="1597" spans="1:11" x14ac:dyDescent="0.25">
      <c r="A1597">
        <v>54.970272450223902</v>
      </c>
      <c r="B1597">
        <v>74.970496593499604</v>
      </c>
      <c r="C1597">
        <v>2001</v>
      </c>
    </row>
    <row r="1598" spans="1:11" x14ac:dyDescent="0.25">
      <c r="A1598">
        <v>64.445926445739502</v>
      </c>
      <c r="B1598">
        <v>84.446150589015204</v>
      </c>
      <c r="C1598">
        <v>2001</v>
      </c>
    </row>
    <row r="1599" spans="1:11" x14ac:dyDescent="0.25">
      <c r="A1599">
        <v>64.008910421290693</v>
      </c>
      <c r="B1599">
        <v>84.883166613463999</v>
      </c>
      <c r="C1599">
        <v>2000</v>
      </c>
    </row>
    <row r="1600" spans="1:11" x14ac:dyDescent="0.25">
      <c r="A1600" t="s">
        <v>84</v>
      </c>
    </row>
    <row r="1601" spans="1:11" x14ac:dyDescent="0.25">
      <c r="A1601">
        <v>841</v>
      </c>
      <c r="B1601">
        <v>0</v>
      </c>
      <c r="C1601">
        <v>22.7263256862528</v>
      </c>
      <c r="D1601">
        <v>29.089371434688701</v>
      </c>
      <c r="E1601">
        <v>8</v>
      </c>
      <c r="F1601">
        <v>1.01722196789785</v>
      </c>
      <c r="G1601" t="s">
        <v>81</v>
      </c>
      <c r="H1601" t="s">
        <v>82</v>
      </c>
      <c r="I1601">
        <v>797</v>
      </c>
      <c r="J1601">
        <v>0</v>
      </c>
      <c r="K1601">
        <v>0.10341204281958701</v>
      </c>
    </row>
    <row r="1602" spans="1:11" x14ac:dyDescent="0.25">
      <c r="A1602" t="s">
        <v>83</v>
      </c>
    </row>
    <row r="1603" spans="1:11" x14ac:dyDescent="0.25">
      <c r="A1603">
        <v>83.001278702208197</v>
      </c>
      <c r="B1603">
        <v>129.56223673588801</v>
      </c>
      <c r="C1603">
        <v>2000</v>
      </c>
    </row>
    <row r="1604" spans="1:11" x14ac:dyDescent="0.25">
      <c r="A1604">
        <v>67.0183191724186</v>
      </c>
      <c r="B1604">
        <v>113.579277206098</v>
      </c>
      <c r="C1604">
        <v>2000</v>
      </c>
    </row>
    <row r="1605" spans="1:11" x14ac:dyDescent="0.25">
      <c r="A1605">
        <v>67.455335196867395</v>
      </c>
      <c r="B1605">
        <v>113.14226118165</v>
      </c>
      <c r="C1605">
        <v>2001</v>
      </c>
    </row>
    <row r="1606" spans="1:11" x14ac:dyDescent="0.25">
      <c r="A1606">
        <v>83.612253675484496</v>
      </c>
      <c r="B1606">
        <v>129.29917966026699</v>
      </c>
      <c r="C1606">
        <v>2001</v>
      </c>
    </row>
    <row r="1607" spans="1:11" x14ac:dyDescent="0.25">
      <c r="A1607">
        <v>100.395840580249</v>
      </c>
      <c r="B1607">
        <v>146.08276656503099</v>
      </c>
      <c r="C1607">
        <v>2001</v>
      </c>
    </row>
    <row r="1608" spans="1:11" x14ac:dyDescent="0.25">
      <c r="A1608">
        <v>104.31307401521801</v>
      </c>
      <c r="B1608">
        <v>150</v>
      </c>
      <c r="C1608">
        <v>2001</v>
      </c>
    </row>
    <row r="1609" spans="1:11" x14ac:dyDescent="0.25">
      <c r="A1609">
        <v>103.43904196632</v>
      </c>
      <c r="B1609">
        <v>150</v>
      </c>
      <c r="C1609">
        <v>2000</v>
      </c>
    </row>
    <row r="1610" spans="1:11" x14ac:dyDescent="0.25">
      <c r="A1610">
        <v>99.604159419751497</v>
      </c>
      <c r="B1610">
        <v>146.16511745343101</v>
      </c>
      <c r="C1610">
        <v>2000</v>
      </c>
    </row>
    <row r="1611" spans="1:11" x14ac:dyDescent="0.25">
      <c r="A1611" t="s">
        <v>84</v>
      </c>
    </row>
    <row r="1612" spans="1:11" x14ac:dyDescent="0.25">
      <c r="A1612">
        <v>348</v>
      </c>
      <c r="B1612">
        <v>0</v>
      </c>
      <c r="C1612">
        <v>21.396681736065499</v>
      </c>
      <c r="D1612">
        <v>30.198892029629501</v>
      </c>
      <c r="E1612">
        <v>6</v>
      </c>
      <c r="F1612">
        <v>1.01722196789785</v>
      </c>
      <c r="G1612" t="s">
        <v>81</v>
      </c>
      <c r="H1612" t="s">
        <v>82</v>
      </c>
      <c r="I1612">
        <v>331</v>
      </c>
      <c r="J1612">
        <v>0</v>
      </c>
      <c r="K1612">
        <v>0</v>
      </c>
    </row>
    <row r="1613" spans="1:11" x14ac:dyDescent="0.25">
      <c r="A1613" t="s">
        <v>83</v>
      </c>
    </row>
    <row r="1614" spans="1:11" x14ac:dyDescent="0.25">
      <c r="A1614">
        <v>64.880565351462494</v>
      </c>
      <c r="B1614">
        <v>128.77405141253701</v>
      </c>
      <c r="C1614">
        <v>2000</v>
      </c>
    </row>
    <row r="1615" spans="1:11" x14ac:dyDescent="0.25">
      <c r="A1615">
        <v>49.841441862215802</v>
      </c>
      <c r="B1615">
        <v>113.734927923291</v>
      </c>
      <c r="C1615">
        <v>2000</v>
      </c>
    </row>
    <row r="1616" spans="1:11" x14ac:dyDescent="0.25">
      <c r="A1616">
        <v>50.278457886664597</v>
      </c>
      <c r="B1616">
        <v>113.297911898842</v>
      </c>
      <c r="C1616">
        <v>2001</v>
      </c>
    </row>
    <row r="1617" spans="1:11" x14ac:dyDescent="0.25">
      <c r="A1617">
        <v>65.498811898342495</v>
      </c>
      <c r="B1617">
        <v>128.51826591052</v>
      </c>
      <c r="C1617">
        <v>2001</v>
      </c>
    </row>
    <row r="1618" spans="1:11" x14ac:dyDescent="0.25">
      <c r="A1618">
        <v>86.980545987822794</v>
      </c>
      <c r="B1618">
        <v>150</v>
      </c>
      <c r="C1618">
        <v>2001</v>
      </c>
    </row>
    <row r="1619" spans="1:11" x14ac:dyDescent="0.25">
      <c r="A1619">
        <v>86.106513938925104</v>
      </c>
      <c r="B1619">
        <v>150</v>
      </c>
      <c r="C1619">
        <v>2000</v>
      </c>
    </row>
    <row r="1620" spans="1:11" x14ac:dyDescent="0.25">
      <c r="A1620" t="s">
        <v>84</v>
      </c>
    </row>
    <row r="1621" spans="1:11" x14ac:dyDescent="0.25">
      <c r="A1621">
        <v>1041</v>
      </c>
      <c r="B1621">
        <v>0</v>
      </c>
      <c r="C1621">
        <v>18.006765483211701</v>
      </c>
      <c r="D1621">
        <v>33.508078693504402</v>
      </c>
      <c r="E1621">
        <v>8</v>
      </c>
      <c r="F1621">
        <v>1.01722196789785</v>
      </c>
      <c r="G1621" t="s">
        <v>82</v>
      </c>
      <c r="H1621" t="s">
        <v>81</v>
      </c>
      <c r="I1621">
        <v>0</v>
      </c>
      <c r="J1621">
        <v>874</v>
      </c>
      <c r="K1621">
        <v>0.113194318528509</v>
      </c>
    </row>
    <row r="1622" spans="1:11" x14ac:dyDescent="0.25">
      <c r="A1622" t="s">
        <v>83</v>
      </c>
    </row>
    <row r="1623" spans="1:11" x14ac:dyDescent="0.25">
      <c r="A1623">
        <v>31.647575905392301</v>
      </c>
      <c r="B1623">
        <v>12.6441957525372</v>
      </c>
      <c r="C1623">
        <v>2000</v>
      </c>
    </row>
    <row r="1624" spans="1:11" x14ac:dyDescent="0.25">
      <c r="A1624">
        <v>19.003380152855101</v>
      </c>
      <c r="B1624">
        <v>0</v>
      </c>
      <c r="C1624">
        <v>2000</v>
      </c>
    </row>
    <row r="1625" spans="1:11" x14ac:dyDescent="0.25">
      <c r="A1625">
        <v>18.129348103957501</v>
      </c>
      <c r="B1625">
        <v>0</v>
      </c>
      <c r="C1625">
        <v>2001</v>
      </c>
    </row>
    <row r="1626" spans="1:11" x14ac:dyDescent="0.25">
      <c r="A1626">
        <v>30.950564312249998</v>
      </c>
      <c r="B1626">
        <v>12.821216208292499</v>
      </c>
      <c r="C1626">
        <v>2001</v>
      </c>
    </row>
    <row r="1627" spans="1:11" x14ac:dyDescent="0.25">
      <c r="A1627">
        <v>49.781491987775603</v>
      </c>
      <c r="B1627">
        <v>31.652143883818098</v>
      </c>
      <c r="C1627">
        <v>2001</v>
      </c>
    </row>
    <row r="1628" spans="1:11" x14ac:dyDescent="0.25">
      <c r="A1628">
        <v>54.7743517653062</v>
      </c>
      <c r="B1628">
        <v>36.645003661348703</v>
      </c>
      <c r="C1628">
        <v>2001</v>
      </c>
    </row>
    <row r="1629" spans="1:11" x14ac:dyDescent="0.25">
      <c r="A1629">
        <v>55.211367789755002</v>
      </c>
      <c r="B1629">
        <v>36.207987636899901</v>
      </c>
      <c r="C1629">
        <v>2000</v>
      </c>
    </row>
    <row r="1630" spans="1:11" x14ac:dyDescent="0.25">
      <c r="A1630">
        <v>50.218508012224397</v>
      </c>
      <c r="B1630">
        <v>31.215127859369201</v>
      </c>
      <c r="C1630">
        <v>2000</v>
      </c>
    </row>
    <row r="1631" spans="1:11" x14ac:dyDescent="0.25">
      <c r="A1631" t="s">
        <v>84</v>
      </c>
    </row>
    <row r="1632" spans="1:11" x14ac:dyDescent="0.25">
      <c r="A1632">
        <v>930</v>
      </c>
      <c r="B1632">
        <v>0</v>
      </c>
      <c r="C1632">
        <v>14.147305086168499</v>
      </c>
      <c r="D1632">
        <v>37.115134214509197</v>
      </c>
      <c r="E1632">
        <v>8</v>
      </c>
      <c r="F1632">
        <v>1.01722196789785</v>
      </c>
      <c r="G1632" t="s">
        <v>81</v>
      </c>
      <c r="H1632" t="s">
        <v>81</v>
      </c>
      <c r="I1632">
        <v>179</v>
      </c>
      <c r="J1632">
        <v>939</v>
      </c>
      <c r="K1632">
        <v>0.105643180430783</v>
      </c>
    </row>
    <row r="1633" spans="1:11" x14ac:dyDescent="0.25">
      <c r="A1633" t="s">
        <v>83</v>
      </c>
    </row>
    <row r="1634" spans="1:11" x14ac:dyDescent="0.25">
      <c r="A1634">
        <v>86.526642201709095</v>
      </c>
      <c r="B1634">
        <v>23.288259010434999</v>
      </c>
      <c r="C1634">
        <v>2000</v>
      </c>
    </row>
    <row r="1635" spans="1:11" x14ac:dyDescent="0.25">
      <c r="A1635">
        <v>76.5229868397644</v>
      </c>
      <c r="B1635">
        <v>13.2846036484904</v>
      </c>
      <c r="C1635">
        <v>2000</v>
      </c>
    </row>
    <row r="1636" spans="1:11" x14ac:dyDescent="0.25">
      <c r="A1636">
        <v>76.085970815315605</v>
      </c>
      <c r="B1636">
        <v>13.7216196729392</v>
      </c>
      <c r="C1636">
        <v>2001</v>
      </c>
    </row>
    <row r="1637" spans="1:11" x14ac:dyDescent="0.25">
      <c r="A1637">
        <v>86.0896261772603</v>
      </c>
      <c r="B1637">
        <v>23.725275034883801</v>
      </c>
      <c r="C1637">
        <v>2001</v>
      </c>
    </row>
    <row r="1638" spans="1:11" x14ac:dyDescent="0.25">
      <c r="A1638">
        <v>99.781491987775595</v>
      </c>
      <c r="B1638">
        <v>37.417140845399103</v>
      </c>
      <c r="C1638">
        <v>2001</v>
      </c>
    </row>
    <row r="1639" spans="1:11" x14ac:dyDescent="0.25">
      <c r="A1639">
        <v>112.333989264989</v>
      </c>
      <c r="B1639">
        <v>49.969638122612103</v>
      </c>
      <c r="C1639">
        <v>2001</v>
      </c>
    </row>
    <row r="1640" spans="1:11" x14ac:dyDescent="0.25">
      <c r="A1640">
        <v>112.771005289437</v>
      </c>
      <c r="B1640">
        <v>49.532622098163301</v>
      </c>
      <c r="C1640">
        <v>2000</v>
      </c>
    </row>
    <row r="1641" spans="1:11" x14ac:dyDescent="0.25">
      <c r="A1641">
        <v>100.21850801222401</v>
      </c>
      <c r="B1641">
        <v>36.980124820950302</v>
      </c>
      <c r="C1641">
        <v>2000</v>
      </c>
    </row>
    <row r="1642" spans="1:11" x14ac:dyDescent="0.25">
      <c r="A1642" t="s">
        <v>84</v>
      </c>
    </row>
    <row r="1643" spans="1:11" x14ac:dyDescent="0.25">
      <c r="A1643">
        <v>109</v>
      </c>
      <c r="B1643">
        <v>0</v>
      </c>
      <c r="C1643">
        <v>38.260037100759199</v>
      </c>
      <c r="D1643">
        <v>12.841317980042501</v>
      </c>
      <c r="E1643">
        <v>8</v>
      </c>
      <c r="F1643">
        <v>1.01722196789785</v>
      </c>
      <c r="G1643" t="s">
        <v>82</v>
      </c>
      <c r="H1643" t="s">
        <v>81</v>
      </c>
      <c r="I1643">
        <v>0</v>
      </c>
      <c r="J1643">
        <v>119</v>
      </c>
      <c r="K1643">
        <v>0</v>
      </c>
    </row>
    <row r="1644" spans="1:11" x14ac:dyDescent="0.25">
      <c r="A1644" t="s">
        <v>83</v>
      </c>
    </row>
    <row r="1645" spans="1:11" x14ac:dyDescent="0.25">
      <c r="A1645">
        <v>26.8511665672156</v>
      </c>
      <c r="B1645">
        <v>52.716186421301998</v>
      </c>
      <c r="C1645">
        <v>2000</v>
      </c>
    </row>
    <row r="1646" spans="1:11" x14ac:dyDescent="0.25">
      <c r="A1646">
        <v>24.373534146335601</v>
      </c>
      <c r="B1646">
        <v>50.238554000421999</v>
      </c>
      <c r="C1646">
        <v>2000</v>
      </c>
    </row>
    <row r="1647" spans="1:11" x14ac:dyDescent="0.25">
      <c r="A1647">
        <v>0</v>
      </c>
      <c r="B1647">
        <v>25.865019854086398</v>
      </c>
      <c r="C1647">
        <v>2000</v>
      </c>
    </row>
    <row r="1648" spans="1:11" x14ac:dyDescent="0.25">
      <c r="A1648">
        <v>0</v>
      </c>
      <c r="B1648">
        <v>24.990987805188698</v>
      </c>
      <c r="C1648">
        <v>2001</v>
      </c>
    </row>
    <row r="1649" spans="1:11" x14ac:dyDescent="0.25">
      <c r="A1649">
        <v>24.770458194389299</v>
      </c>
      <c r="B1649">
        <v>49.761445999578001</v>
      </c>
      <c r="C1649">
        <v>2001</v>
      </c>
    </row>
    <row r="1650" spans="1:11" x14ac:dyDescent="0.25">
      <c r="A1650">
        <v>27.256696797575799</v>
      </c>
      <c r="B1650">
        <v>52.247684602764501</v>
      </c>
      <c r="C1650">
        <v>2001</v>
      </c>
    </row>
    <row r="1651" spans="1:11" x14ac:dyDescent="0.25">
      <c r="A1651">
        <v>36.352622717680902</v>
      </c>
      <c r="B1651">
        <v>61.343610522869596</v>
      </c>
      <c r="C1651">
        <v>2001</v>
      </c>
    </row>
    <row r="1652" spans="1:11" x14ac:dyDescent="0.25">
      <c r="A1652">
        <v>35.9156066932321</v>
      </c>
      <c r="B1652">
        <v>61.780626547318398</v>
      </c>
      <c r="C1652">
        <v>2000</v>
      </c>
    </row>
    <row r="1653" spans="1:11" x14ac:dyDescent="0.25">
      <c r="A1653" t="s">
        <v>84</v>
      </c>
    </row>
    <row r="1654" spans="1:11" x14ac:dyDescent="0.25">
      <c r="A1654">
        <v>341</v>
      </c>
      <c r="B1654">
        <v>0</v>
      </c>
      <c r="C1654">
        <v>0.72912780259619603</v>
      </c>
      <c r="D1654">
        <v>50.335586748303399</v>
      </c>
      <c r="E1654">
        <v>8</v>
      </c>
      <c r="F1654">
        <v>1.01722196789785</v>
      </c>
      <c r="G1654" t="s">
        <v>81</v>
      </c>
      <c r="H1654" t="s">
        <v>81</v>
      </c>
      <c r="I1654">
        <v>918</v>
      </c>
      <c r="J1654">
        <v>256</v>
      </c>
      <c r="K1654">
        <v>0</v>
      </c>
    </row>
    <row r="1655" spans="1:11" x14ac:dyDescent="0.25">
      <c r="A1655" t="s">
        <v>83</v>
      </c>
    </row>
    <row r="1656" spans="1:11" x14ac:dyDescent="0.25">
      <c r="A1656">
        <v>68.440475459420199</v>
      </c>
      <c r="B1656">
        <v>104.15393794521</v>
      </c>
      <c r="C1656">
        <v>2000</v>
      </c>
    </row>
    <row r="1657" spans="1:11" x14ac:dyDescent="0.25">
      <c r="A1657">
        <v>67.924904245852701</v>
      </c>
      <c r="B1657">
        <v>103.63836673164199</v>
      </c>
      <c r="C1657">
        <v>2000</v>
      </c>
    </row>
    <row r="1658" spans="1:11" x14ac:dyDescent="0.25">
      <c r="A1658">
        <v>68.361920270301496</v>
      </c>
      <c r="B1658">
        <v>103.201350707193</v>
      </c>
      <c r="C1658">
        <v>2001</v>
      </c>
    </row>
    <row r="1659" spans="1:11" x14ac:dyDescent="0.25">
      <c r="A1659">
        <v>68.877491483868994</v>
      </c>
      <c r="B1659">
        <v>103.716921920761</v>
      </c>
      <c r="C1659">
        <v>2001</v>
      </c>
    </row>
    <row r="1660" spans="1:11" x14ac:dyDescent="0.25">
      <c r="A1660">
        <v>100.21850801222401</v>
      </c>
      <c r="B1660">
        <v>135.05793844911599</v>
      </c>
      <c r="C1660">
        <v>2001</v>
      </c>
    </row>
    <row r="1661" spans="1:11" x14ac:dyDescent="0.25">
      <c r="A1661">
        <v>104.470126208598</v>
      </c>
      <c r="B1661">
        <v>139.30955664549001</v>
      </c>
      <c r="C1661">
        <v>2001</v>
      </c>
    </row>
    <row r="1662" spans="1:11" x14ac:dyDescent="0.25">
      <c r="A1662">
        <v>104.033110184149</v>
      </c>
      <c r="B1662">
        <v>139.74657266993901</v>
      </c>
      <c r="C1662">
        <v>2000</v>
      </c>
    </row>
    <row r="1663" spans="1:11" x14ac:dyDescent="0.25">
      <c r="A1663">
        <v>99.781491987775595</v>
      </c>
      <c r="B1663">
        <v>135.494954473565</v>
      </c>
      <c r="C1663">
        <v>2000</v>
      </c>
    </row>
    <row r="1664" spans="1:11" x14ac:dyDescent="0.25">
      <c r="A1664" t="s">
        <v>84</v>
      </c>
    </row>
    <row r="1665" spans="1:11" x14ac:dyDescent="0.25">
      <c r="A1665">
        <v>200</v>
      </c>
      <c r="B1665">
        <v>0</v>
      </c>
      <c r="C1665">
        <v>29.401137106261199</v>
      </c>
      <c r="D1665">
        <v>21.099059446043199</v>
      </c>
      <c r="E1665">
        <v>8</v>
      </c>
      <c r="F1665">
        <v>1.01722196789785</v>
      </c>
      <c r="G1665" t="s">
        <v>82</v>
      </c>
      <c r="H1665" t="s">
        <v>81</v>
      </c>
      <c r="I1665">
        <v>0</v>
      </c>
      <c r="J1665">
        <v>664</v>
      </c>
      <c r="K1665">
        <v>0</v>
      </c>
    </row>
    <row r="1666" spans="1:11" x14ac:dyDescent="0.25">
      <c r="A1666" t="s">
        <v>83</v>
      </c>
    </row>
    <row r="1667" spans="1:11" x14ac:dyDescent="0.25">
      <c r="A1667">
        <v>54.504315869975002</v>
      </c>
      <c r="B1667">
        <v>20.9703185170168</v>
      </c>
      <c r="C1667">
        <v>2000</v>
      </c>
    </row>
    <row r="1668" spans="1:11" x14ac:dyDescent="0.25">
      <c r="A1668">
        <v>49.731454645616999</v>
      </c>
      <c r="B1668">
        <v>16.1974572926588</v>
      </c>
      <c r="C1668">
        <v>2000</v>
      </c>
    </row>
    <row r="1669" spans="1:11" x14ac:dyDescent="0.25">
      <c r="A1669">
        <v>33.533997352958302</v>
      </c>
      <c r="B1669">
        <v>0</v>
      </c>
      <c r="C1669">
        <v>2000</v>
      </c>
    </row>
    <row r="1670" spans="1:11" x14ac:dyDescent="0.25">
      <c r="A1670">
        <v>34.408029401855899</v>
      </c>
      <c r="B1670">
        <v>0</v>
      </c>
      <c r="C1670">
        <v>2001</v>
      </c>
    </row>
    <row r="1671" spans="1:11" x14ac:dyDescent="0.25">
      <c r="A1671">
        <v>50.268545354383001</v>
      </c>
      <c r="B1671">
        <v>15.8605159525271</v>
      </c>
      <c r="C1671">
        <v>2001</v>
      </c>
    </row>
    <row r="1672" spans="1:11" x14ac:dyDescent="0.25">
      <c r="A1672">
        <v>55.017197729704499</v>
      </c>
      <c r="B1672">
        <v>20.6091683278486</v>
      </c>
      <c r="C1672">
        <v>2001</v>
      </c>
    </row>
    <row r="1673" spans="1:11" x14ac:dyDescent="0.25">
      <c r="A1673">
        <v>69.898552823019401</v>
      </c>
      <c r="B1673">
        <v>35.490523421163502</v>
      </c>
      <c r="C1673">
        <v>2001</v>
      </c>
    </row>
    <row r="1674" spans="1:11" x14ac:dyDescent="0.25">
      <c r="A1674">
        <v>69.461536798570606</v>
      </c>
      <c r="B1674">
        <v>35.927539445612297</v>
      </c>
      <c r="C1674">
        <v>2000</v>
      </c>
    </row>
    <row r="1675" spans="1:11" x14ac:dyDescent="0.25">
      <c r="A1675" t="s">
        <v>84</v>
      </c>
    </row>
    <row r="1676" spans="1:11" x14ac:dyDescent="0.25">
      <c r="A1676">
        <v>803</v>
      </c>
      <c r="B1676">
        <v>0</v>
      </c>
      <c r="C1676">
        <v>14.621772756056</v>
      </c>
      <c r="D1676">
        <v>35.801137289740304</v>
      </c>
      <c r="E1676">
        <v>8</v>
      </c>
      <c r="F1676">
        <v>1.01722196789785</v>
      </c>
      <c r="G1676" t="s">
        <v>82</v>
      </c>
      <c r="H1676" t="s">
        <v>81</v>
      </c>
      <c r="I1676">
        <v>0</v>
      </c>
      <c r="J1676">
        <v>1021</v>
      </c>
      <c r="K1676">
        <v>0.102343747528348</v>
      </c>
    </row>
    <row r="1677" spans="1:11" x14ac:dyDescent="0.25">
      <c r="A1677" t="s">
        <v>83</v>
      </c>
    </row>
    <row r="1678" spans="1:11" x14ac:dyDescent="0.25">
      <c r="A1678">
        <v>30.0883157377285</v>
      </c>
      <c r="B1678">
        <v>10.4147395766062</v>
      </c>
      <c r="C1678">
        <v>2000</v>
      </c>
    </row>
    <row r="1679" spans="1:11" x14ac:dyDescent="0.25">
      <c r="A1679">
        <v>19.673576161122298</v>
      </c>
      <c r="B1679">
        <v>0</v>
      </c>
      <c r="C1679">
        <v>2000</v>
      </c>
    </row>
    <row r="1680" spans="1:11" x14ac:dyDescent="0.25">
      <c r="A1680">
        <v>20.547608210019899</v>
      </c>
      <c r="B1680">
        <v>0</v>
      </c>
      <c r="C1680">
        <v>2001</v>
      </c>
    </row>
    <row r="1681" spans="1:11" x14ac:dyDescent="0.25">
      <c r="A1681">
        <v>30.811177970965598</v>
      </c>
      <c r="B1681">
        <v>10.2635697609457</v>
      </c>
      <c r="C1681">
        <v>2001</v>
      </c>
    </row>
    <row r="1682" spans="1:11" x14ac:dyDescent="0.25">
      <c r="A1682">
        <v>50.218508012224397</v>
      </c>
      <c r="B1682">
        <v>29.670899802204399</v>
      </c>
      <c r="C1682">
        <v>2001</v>
      </c>
    </row>
    <row r="1683" spans="1:11" x14ac:dyDescent="0.25">
      <c r="A1683">
        <v>55.983481818337403</v>
      </c>
      <c r="B1683">
        <v>35.4358736083175</v>
      </c>
      <c r="C1683">
        <v>2001</v>
      </c>
    </row>
    <row r="1684" spans="1:11" x14ac:dyDescent="0.25">
      <c r="A1684">
        <v>55.546465793888601</v>
      </c>
      <c r="B1684">
        <v>35.872889632766302</v>
      </c>
      <c r="C1684">
        <v>2000</v>
      </c>
    </row>
    <row r="1685" spans="1:11" x14ac:dyDescent="0.25">
      <c r="A1685">
        <v>49.781491987775603</v>
      </c>
      <c r="B1685">
        <v>30.107915826653301</v>
      </c>
      <c r="C1685">
        <v>2000</v>
      </c>
    </row>
    <row r="1686" spans="1:11" x14ac:dyDescent="0.25">
      <c r="A1686" t="s">
        <v>84</v>
      </c>
    </row>
    <row r="1687" spans="1:11" x14ac:dyDescent="0.25">
      <c r="A1687">
        <v>724</v>
      </c>
      <c r="B1687">
        <v>0</v>
      </c>
      <c r="C1687">
        <v>21.370216560956699</v>
      </c>
      <c r="D1687">
        <v>28.709777851959299</v>
      </c>
      <c r="E1687">
        <v>6</v>
      </c>
      <c r="F1687">
        <v>1.01722196789785</v>
      </c>
      <c r="G1687" t="s">
        <v>82</v>
      </c>
      <c r="H1687" t="s">
        <v>82</v>
      </c>
      <c r="I1687">
        <v>0</v>
      </c>
      <c r="J1687">
        <v>0</v>
      </c>
      <c r="K1687">
        <v>0.101113411737407</v>
      </c>
    </row>
    <row r="1688" spans="1:11" x14ac:dyDescent="0.25">
      <c r="A1688" t="s">
        <v>83</v>
      </c>
    </row>
    <row r="1689" spans="1:11" x14ac:dyDescent="0.25">
      <c r="A1689">
        <v>129.94965323117</v>
      </c>
      <c r="B1689">
        <v>14.9245408578784</v>
      </c>
      <c r="C1689">
        <v>2000</v>
      </c>
    </row>
    <row r="1690" spans="1:11" x14ac:dyDescent="0.25">
      <c r="A1690">
        <v>115.02511237329099</v>
      </c>
      <c r="B1690">
        <v>0</v>
      </c>
      <c r="C1690">
        <v>2000</v>
      </c>
    </row>
    <row r="1691" spans="1:11" x14ac:dyDescent="0.25">
      <c r="A1691">
        <v>114.151080324394</v>
      </c>
      <c r="B1691">
        <v>0</v>
      </c>
      <c r="C1691">
        <v>2001</v>
      </c>
    </row>
    <row r="1692" spans="1:11" x14ac:dyDescent="0.25">
      <c r="A1692">
        <v>129.448589557871</v>
      </c>
      <c r="B1692">
        <v>15.297509233476701</v>
      </c>
      <c r="C1692">
        <v>2001</v>
      </c>
    </row>
    <row r="1693" spans="1:11" x14ac:dyDescent="0.25">
      <c r="A1693">
        <v>150</v>
      </c>
      <c r="B1693">
        <v>35.848919675606197</v>
      </c>
      <c r="C1693">
        <v>2001</v>
      </c>
    </row>
    <row r="1694" spans="1:11" x14ac:dyDescent="0.25">
      <c r="A1694">
        <v>150</v>
      </c>
      <c r="B1694">
        <v>34.974887626708501</v>
      </c>
      <c r="C1694">
        <v>2000</v>
      </c>
    </row>
    <row r="1695" spans="1:11" x14ac:dyDescent="0.25">
      <c r="A1695" t="s">
        <v>84</v>
      </c>
    </row>
    <row r="1696" spans="1:11" x14ac:dyDescent="0.25">
      <c r="A1696">
        <v>829</v>
      </c>
      <c r="B1696">
        <v>0</v>
      </c>
      <c r="C1696">
        <v>26.0024807659386</v>
      </c>
      <c r="D1696">
        <v>24.050595559858301</v>
      </c>
      <c r="E1696">
        <v>8</v>
      </c>
      <c r="F1696">
        <v>1.01722196789785</v>
      </c>
      <c r="G1696" t="s">
        <v>82</v>
      </c>
      <c r="H1696" t="s">
        <v>81</v>
      </c>
      <c r="I1696">
        <v>0</v>
      </c>
      <c r="J1696">
        <v>662</v>
      </c>
      <c r="K1696">
        <v>0.103203672621368</v>
      </c>
    </row>
    <row r="1697" spans="1:11" x14ac:dyDescent="0.25">
      <c r="A1697" t="s">
        <v>83</v>
      </c>
    </row>
    <row r="1698" spans="1:11" x14ac:dyDescent="0.25">
      <c r="A1698">
        <v>18.245410357486701</v>
      </c>
      <c r="B1698">
        <v>60.848402279585699</v>
      </c>
      <c r="C1698">
        <v>2000</v>
      </c>
    </row>
    <row r="1699" spans="1:11" x14ac:dyDescent="0.25">
      <c r="A1699">
        <v>7.7409235015355398</v>
      </c>
      <c r="B1699">
        <v>50.343915423634598</v>
      </c>
      <c r="C1699">
        <v>2000</v>
      </c>
    </row>
    <row r="1700" spans="1:11" x14ac:dyDescent="0.25">
      <c r="A1700">
        <v>0</v>
      </c>
      <c r="B1700">
        <v>42.6029919220991</v>
      </c>
      <c r="C1700">
        <v>2000</v>
      </c>
    </row>
    <row r="1701" spans="1:11" x14ac:dyDescent="0.25">
      <c r="A1701">
        <v>0</v>
      </c>
      <c r="B1701">
        <v>41.728959873201397</v>
      </c>
      <c r="C1701">
        <v>2001</v>
      </c>
    </row>
    <row r="1702" spans="1:11" x14ac:dyDescent="0.25">
      <c r="A1702">
        <v>7.9271247031639804</v>
      </c>
      <c r="B1702">
        <v>49.656084576365402</v>
      </c>
      <c r="C1702">
        <v>2001</v>
      </c>
    </row>
    <row r="1703" spans="1:11" x14ac:dyDescent="0.25">
      <c r="A1703">
        <v>18.527650597049199</v>
      </c>
      <c r="B1703">
        <v>60.2566104702506</v>
      </c>
      <c r="C1703">
        <v>2001</v>
      </c>
    </row>
    <row r="1704" spans="1:11" x14ac:dyDescent="0.25">
      <c r="A1704">
        <v>35.611377701443203</v>
      </c>
      <c r="B1704">
        <v>77.340337574644593</v>
      </c>
      <c r="C1704">
        <v>2001</v>
      </c>
    </row>
    <row r="1705" spans="1:11" x14ac:dyDescent="0.25">
      <c r="A1705">
        <v>35.174361676994401</v>
      </c>
      <c r="B1705">
        <v>77.777353599093402</v>
      </c>
      <c r="C1705">
        <v>2000</v>
      </c>
    </row>
    <row r="1706" spans="1:11" x14ac:dyDescent="0.25">
      <c r="A1706" t="s">
        <v>84</v>
      </c>
    </row>
    <row r="1707" spans="1:11" x14ac:dyDescent="0.25">
      <c r="A1707">
        <v>1011</v>
      </c>
      <c r="B1707">
        <v>0</v>
      </c>
      <c r="C1707">
        <v>1.7367509792015201</v>
      </c>
      <c r="D1707">
        <v>48.1784779642242</v>
      </c>
      <c r="E1707">
        <v>10</v>
      </c>
      <c r="F1707">
        <v>1.01722196789785</v>
      </c>
      <c r="G1707" t="s">
        <v>81</v>
      </c>
      <c r="H1707" t="s">
        <v>81</v>
      </c>
      <c r="I1707">
        <v>750</v>
      </c>
      <c r="J1707">
        <v>739</v>
      </c>
      <c r="K1707">
        <v>0.110956953630095</v>
      </c>
    </row>
    <row r="1708" spans="1:11" x14ac:dyDescent="0.25">
      <c r="A1708" t="s">
        <v>83</v>
      </c>
    </row>
    <row r="1709" spans="1:11" x14ac:dyDescent="0.25">
      <c r="A1709">
        <v>73.169377414118401</v>
      </c>
      <c r="B1709">
        <v>90.683351099813805</v>
      </c>
      <c r="C1709">
        <v>2000</v>
      </c>
    </row>
    <row r="1710" spans="1:11" x14ac:dyDescent="0.25">
      <c r="A1710">
        <v>71.941309019492607</v>
      </c>
      <c r="B1710">
        <v>89.455282705187997</v>
      </c>
      <c r="C1710">
        <v>2000</v>
      </c>
    </row>
    <row r="1711" spans="1:11" x14ac:dyDescent="0.25">
      <c r="A1711">
        <v>71.504292995043798</v>
      </c>
      <c r="B1711">
        <v>89.892298729636806</v>
      </c>
      <c r="C1711">
        <v>2001</v>
      </c>
    </row>
    <row r="1712" spans="1:11" x14ac:dyDescent="0.25">
      <c r="A1712">
        <v>72.732361389669606</v>
      </c>
      <c r="B1712">
        <v>91.1203671242626</v>
      </c>
      <c r="C1712">
        <v>2001</v>
      </c>
    </row>
    <row r="1713" spans="1:11" x14ac:dyDescent="0.25">
      <c r="A1713">
        <v>81.830502277631396</v>
      </c>
      <c r="B1713">
        <v>100.21850801222401</v>
      </c>
      <c r="C1713">
        <v>2001</v>
      </c>
    </row>
    <row r="1714" spans="1:11" x14ac:dyDescent="0.25">
      <c r="A1714">
        <v>99.781491987775595</v>
      </c>
      <c r="B1714">
        <v>118.169497722369</v>
      </c>
      <c r="C1714">
        <v>2001</v>
      </c>
    </row>
    <row r="1715" spans="1:11" x14ac:dyDescent="0.25">
      <c r="A1715">
        <v>106.799689865419</v>
      </c>
      <c r="B1715">
        <v>125.18769560001201</v>
      </c>
      <c r="C1715">
        <v>2001</v>
      </c>
    </row>
    <row r="1716" spans="1:11" x14ac:dyDescent="0.25">
      <c r="A1716">
        <v>107.23670588986801</v>
      </c>
      <c r="B1716">
        <v>124.750679575563</v>
      </c>
      <c r="C1716">
        <v>2000</v>
      </c>
    </row>
    <row r="1717" spans="1:11" x14ac:dyDescent="0.25">
      <c r="A1717">
        <v>100.21850801222401</v>
      </c>
      <c r="B1717">
        <v>117.73248169791999</v>
      </c>
      <c r="C1717">
        <v>2000</v>
      </c>
    </row>
    <row r="1718" spans="1:11" x14ac:dyDescent="0.25">
      <c r="A1718">
        <v>82.267518302080205</v>
      </c>
      <c r="B1718">
        <v>99.781491987775595</v>
      </c>
      <c r="C1718">
        <v>2000</v>
      </c>
    </row>
    <row r="1719" spans="1:11" x14ac:dyDescent="0.25">
      <c r="A1719" t="s">
        <v>84</v>
      </c>
    </row>
    <row r="1720" spans="1:11" x14ac:dyDescent="0.25">
      <c r="A1720">
        <v>269</v>
      </c>
      <c r="B1720">
        <v>0</v>
      </c>
      <c r="C1720">
        <v>39.128622091525301</v>
      </c>
      <c r="D1720">
        <v>10.6674935731297</v>
      </c>
      <c r="E1720">
        <v>10</v>
      </c>
      <c r="F1720">
        <v>1.01722196789785</v>
      </c>
      <c r="G1720" t="s">
        <v>81</v>
      </c>
      <c r="H1720" t="s">
        <v>81</v>
      </c>
      <c r="I1720">
        <v>641</v>
      </c>
      <c r="J1720">
        <v>257</v>
      </c>
      <c r="K1720">
        <v>0</v>
      </c>
    </row>
    <row r="1721" spans="1:11" x14ac:dyDescent="0.25">
      <c r="A1721" t="s">
        <v>83</v>
      </c>
    </row>
    <row r="1722" spans="1:11" x14ac:dyDescent="0.25">
      <c r="A1722">
        <v>103.939509420623</v>
      </c>
      <c r="B1722">
        <v>107.141868606746</v>
      </c>
      <c r="C1722">
        <v>2000</v>
      </c>
    </row>
    <row r="1723" spans="1:11" x14ac:dyDescent="0.25">
      <c r="A1723">
        <v>100.21850801222401</v>
      </c>
      <c r="B1723">
        <v>103.420867198347</v>
      </c>
      <c r="C1723">
        <v>2000</v>
      </c>
    </row>
    <row r="1724" spans="1:11" x14ac:dyDescent="0.25">
      <c r="A1724">
        <v>96.579132801652705</v>
      </c>
      <c r="B1724">
        <v>99.781491987775595</v>
      </c>
      <c r="C1724">
        <v>2000</v>
      </c>
    </row>
    <row r="1725" spans="1:11" x14ac:dyDescent="0.25">
      <c r="A1725">
        <v>76.271395401219706</v>
      </c>
      <c r="B1725">
        <v>79.473754587342697</v>
      </c>
      <c r="C1725">
        <v>2000</v>
      </c>
    </row>
    <row r="1726" spans="1:11" x14ac:dyDescent="0.25">
      <c r="A1726">
        <v>75.834379376770897</v>
      </c>
      <c r="B1726">
        <v>79.910770611791506</v>
      </c>
      <c r="C1726">
        <v>2001</v>
      </c>
    </row>
    <row r="1727" spans="1:11" x14ac:dyDescent="0.25">
      <c r="A1727">
        <v>96.142116777203796</v>
      </c>
      <c r="B1727">
        <v>100.21850801222401</v>
      </c>
      <c r="C1727">
        <v>2001</v>
      </c>
    </row>
    <row r="1728" spans="1:11" x14ac:dyDescent="0.25">
      <c r="A1728">
        <v>99.781491987775595</v>
      </c>
      <c r="B1728">
        <v>103.857883222796</v>
      </c>
      <c r="C1728">
        <v>2001</v>
      </c>
    </row>
    <row r="1729" spans="1:11" x14ac:dyDescent="0.25">
      <c r="A1729">
        <v>103.502493396174</v>
      </c>
      <c r="B1729">
        <v>107.578884631195</v>
      </c>
      <c r="C1729">
        <v>2001</v>
      </c>
    </row>
    <row r="1730" spans="1:11" x14ac:dyDescent="0.25">
      <c r="A1730">
        <v>111.045550439998</v>
      </c>
      <c r="B1730">
        <v>115.121941675019</v>
      </c>
      <c r="C1730">
        <v>2001</v>
      </c>
    </row>
    <row r="1731" spans="1:11" x14ac:dyDescent="0.25">
      <c r="A1731">
        <v>111.482566464447</v>
      </c>
      <c r="B1731">
        <v>114.68492565056999</v>
      </c>
      <c r="C1731">
        <v>2000</v>
      </c>
    </row>
    <row r="1732" spans="1:11" x14ac:dyDescent="0.25">
      <c r="A1732" t="s">
        <v>84</v>
      </c>
    </row>
    <row r="1733" spans="1:11" x14ac:dyDescent="0.25">
      <c r="A1733">
        <v>860</v>
      </c>
      <c r="B1733">
        <v>0</v>
      </c>
      <c r="C1733">
        <v>26.839027429059499</v>
      </c>
      <c r="D1733">
        <v>21.877356715972301</v>
      </c>
      <c r="E1733">
        <v>8</v>
      </c>
      <c r="F1733">
        <v>1.01722196789785</v>
      </c>
      <c r="G1733" t="s">
        <v>81</v>
      </c>
      <c r="H1733" t="s">
        <v>81</v>
      </c>
      <c r="I1733">
        <v>908</v>
      </c>
      <c r="J1733">
        <v>814</v>
      </c>
      <c r="K1733">
        <v>0.103818452298958</v>
      </c>
    </row>
    <row r="1734" spans="1:11" x14ac:dyDescent="0.25">
      <c r="A1734" t="s">
        <v>83</v>
      </c>
    </row>
    <row r="1735" spans="1:11" x14ac:dyDescent="0.25">
      <c r="A1735">
        <v>80.450150520754903</v>
      </c>
      <c r="B1735">
        <v>38.323502683226899</v>
      </c>
      <c r="C1735">
        <v>2000</v>
      </c>
    </row>
    <row r="1736" spans="1:11" x14ac:dyDescent="0.25">
      <c r="A1736">
        <v>61.4720922252151</v>
      </c>
      <c r="B1736">
        <v>19.345444387687198</v>
      </c>
      <c r="C1736">
        <v>2000</v>
      </c>
    </row>
    <row r="1737" spans="1:11" x14ac:dyDescent="0.25">
      <c r="A1737">
        <v>61.909108249664001</v>
      </c>
      <c r="B1737">
        <v>18.9084283632384</v>
      </c>
      <c r="C1737">
        <v>2001</v>
      </c>
    </row>
    <row r="1738" spans="1:11" x14ac:dyDescent="0.25">
      <c r="A1738">
        <v>80.887166545203698</v>
      </c>
      <c r="B1738">
        <v>37.886486658778097</v>
      </c>
      <c r="C1738">
        <v>2001</v>
      </c>
    </row>
    <row r="1739" spans="1:11" x14ac:dyDescent="0.25">
      <c r="A1739">
        <v>92.782171874201197</v>
      </c>
      <c r="B1739">
        <v>49.781491987775603</v>
      </c>
      <c r="C1739">
        <v>2001</v>
      </c>
    </row>
    <row r="1740" spans="1:11" x14ac:dyDescent="0.25">
      <c r="A1740">
        <v>96.356793833504796</v>
      </c>
      <c r="B1740">
        <v>53.356113947079201</v>
      </c>
      <c r="C1740">
        <v>2001</v>
      </c>
    </row>
    <row r="1741" spans="1:11" x14ac:dyDescent="0.25">
      <c r="A1741">
        <v>95.919777809056001</v>
      </c>
      <c r="B1741">
        <v>53.793129971528003</v>
      </c>
      <c r="C1741">
        <v>2000</v>
      </c>
    </row>
    <row r="1742" spans="1:11" x14ac:dyDescent="0.25">
      <c r="A1742">
        <v>92.345155849752402</v>
      </c>
      <c r="B1742">
        <v>50.218508012224397</v>
      </c>
      <c r="C1742">
        <v>2000</v>
      </c>
    </row>
    <row r="1743" spans="1:11" x14ac:dyDescent="0.25">
      <c r="A1743" t="s">
        <v>84</v>
      </c>
    </row>
    <row r="1744" spans="1:11" x14ac:dyDescent="0.25">
      <c r="A1744">
        <v>662</v>
      </c>
      <c r="B1744">
        <v>0</v>
      </c>
      <c r="C1744">
        <v>25.088657831990201</v>
      </c>
      <c r="D1744">
        <v>23.127158715733</v>
      </c>
      <c r="E1744">
        <v>10</v>
      </c>
      <c r="F1744">
        <v>1.01722196789785</v>
      </c>
      <c r="G1744" t="s">
        <v>81</v>
      </c>
      <c r="H1744" t="s">
        <v>81</v>
      </c>
      <c r="I1744">
        <v>829</v>
      </c>
      <c r="J1744">
        <v>321</v>
      </c>
      <c r="K1744">
        <v>0</v>
      </c>
    </row>
    <row r="1745" spans="1:11" x14ac:dyDescent="0.25">
      <c r="A1745" t="s">
        <v>83</v>
      </c>
    </row>
    <row r="1746" spans="1:11" x14ac:dyDescent="0.25">
      <c r="A1746">
        <v>53.248154905279101</v>
      </c>
      <c r="B1746">
        <v>95.184280538547199</v>
      </c>
      <c r="C1746">
        <v>2000</v>
      </c>
    </row>
    <row r="1747" spans="1:11" x14ac:dyDescent="0.25">
      <c r="A1747">
        <v>49.781491987775603</v>
      </c>
      <c r="B1747">
        <v>91.717617621043701</v>
      </c>
      <c r="C1747">
        <v>2000</v>
      </c>
    </row>
    <row r="1748" spans="1:11" x14ac:dyDescent="0.25">
      <c r="A1748">
        <v>35.507794821409803</v>
      </c>
      <c r="B1748">
        <v>77.443920454677993</v>
      </c>
      <c r="C1748">
        <v>2000</v>
      </c>
    </row>
    <row r="1749" spans="1:11" x14ac:dyDescent="0.25">
      <c r="A1749">
        <v>35.944810845858598</v>
      </c>
      <c r="B1749">
        <v>77.006904430229099</v>
      </c>
      <c r="C1749">
        <v>2001</v>
      </c>
    </row>
    <row r="1750" spans="1:11" x14ac:dyDescent="0.25">
      <c r="A1750">
        <v>50.218508012224397</v>
      </c>
      <c r="B1750">
        <v>91.280601596594906</v>
      </c>
      <c r="C1750">
        <v>2001</v>
      </c>
    </row>
    <row r="1751" spans="1:11" x14ac:dyDescent="0.25">
      <c r="A1751">
        <v>53.685170929727903</v>
      </c>
      <c r="B1751">
        <v>94.747264514098404</v>
      </c>
      <c r="C1751">
        <v>2001</v>
      </c>
    </row>
    <row r="1752" spans="1:11" x14ac:dyDescent="0.25">
      <c r="A1752">
        <v>58.719398403405101</v>
      </c>
      <c r="B1752">
        <v>99.781491987775595</v>
      </c>
      <c r="C1752">
        <v>2001</v>
      </c>
    </row>
    <row r="1753" spans="1:11" x14ac:dyDescent="0.25">
      <c r="A1753">
        <v>70.038541687200293</v>
      </c>
      <c r="B1753">
        <v>111.10063527157099</v>
      </c>
      <c r="C1753">
        <v>2001</v>
      </c>
    </row>
    <row r="1754" spans="1:11" x14ac:dyDescent="0.25">
      <c r="A1754">
        <v>69.601525662751499</v>
      </c>
      <c r="B1754">
        <v>111.53765129602</v>
      </c>
      <c r="C1754">
        <v>2000</v>
      </c>
    </row>
    <row r="1755" spans="1:11" x14ac:dyDescent="0.25">
      <c r="A1755">
        <v>58.282382378956299</v>
      </c>
      <c r="B1755">
        <v>100.21850801222401</v>
      </c>
      <c r="C1755">
        <v>2000</v>
      </c>
    </row>
    <row r="1756" spans="1:11" x14ac:dyDescent="0.25">
      <c r="A1756" t="s">
        <v>84</v>
      </c>
    </row>
    <row r="1757" spans="1:11" x14ac:dyDescent="0.25">
      <c r="A1757">
        <v>677</v>
      </c>
      <c r="B1757">
        <v>0</v>
      </c>
      <c r="C1757">
        <v>30.370773835195799</v>
      </c>
      <c r="D1757">
        <v>17.2869780697484</v>
      </c>
      <c r="E1757">
        <v>10</v>
      </c>
      <c r="F1757">
        <v>1.01722196789785</v>
      </c>
      <c r="G1757" t="s">
        <v>81</v>
      </c>
      <c r="H1757" t="s">
        <v>81</v>
      </c>
      <c r="I1757">
        <v>22</v>
      </c>
      <c r="J1757">
        <v>278</v>
      </c>
      <c r="K1757">
        <v>0</v>
      </c>
    </row>
    <row r="1758" spans="1:11" x14ac:dyDescent="0.25">
      <c r="A1758" t="s">
        <v>83</v>
      </c>
    </row>
    <row r="1759" spans="1:11" x14ac:dyDescent="0.25">
      <c r="A1759">
        <v>58.8154626389993</v>
      </c>
      <c r="B1759">
        <v>90.722474168395706</v>
      </c>
      <c r="C1759">
        <v>2000</v>
      </c>
    </row>
    <row r="1760" spans="1:11" x14ac:dyDescent="0.25">
      <c r="A1760">
        <v>50.218508012224397</v>
      </c>
      <c r="B1760">
        <v>82.125519541620804</v>
      </c>
      <c r="C1760">
        <v>2000</v>
      </c>
    </row>
    <row r="1761" spans="1:11" x14ac:dyDescent="0.25">
      <c r="A1761">
        <v>37.340082510249303</v>
      </c>
      <c r="B1761">
        <v>69.247094039645802</v>
      </c>
      <c r="C1761">
        <v>2000</v>
      </c>
    </row>
    <row r="1762" spans="1:11" x14ac:dyDescent="0.25">
      <c r="A1762">
        <v>36.903066485800501</v>
      </c>
      <c r="B1762">
        <v>69.684110064094597</v>
      </c>
      <c r="C1762">
        <v>2001</v>
      </c>
    </row>
    <row r="1763" spans="1:11" x14ac:dyDescent="0.25">
      <c r="A1763">
        <v>49.781491987775603</v>
      </c>
      <c r="B1763">
        <v>82.562535566069599</v>
      </c>
      <c r="C1763">
        <v>2001</v>
      </c>
    </row>
    <row r="1764" spans="1:11" x14ac:dyDescent="0.25">
      <c r="A1764">
        <v>58.378446614550498</v>
      </c>
      <c r="B1764">
        <v>91.159490192844501</v>
      </c>
      <c r="C1764">
        <v>2001</v>
      </c>
    </row>
    <row r="1765" spans="1:11" x14ac:dyDescent="0.25">
      <c r="A1765">
        <v>67.437464433930401</v>
      </c>
      <c r="B1765">
        <v>100.21850801222401</v>
      </c>
      <c r="C1765">
        <v>2001</v>
      </c>
    </row>
    <row r="1766" spans="1:11" x14ac:dyDescent="0.25">
      <c r="A1766">
        <v>70.602186033892707</v>
      </c>
      <c r="B1766">
        <v>103.38322961218699</v>
      </c>
      <c r="C1766">
        <v>2001</v>
      </c>
    </row>
    <row r="1767" spans="1:11" x14ac:dyDescent="0.25">
      <c r="A1767">
        <v>71.039202058341502</v>
      </c>
      <c r="B1767">
        <v>102.946213587738</v>
      </c>
      <c r="C1767">
        <v>2000</v>
      </c>
    </row>
    <row r="1768" spans="1:11" x14ac:dyDescent="0.25">
      <c r="A1768">
        <v>67.874480458379196</v>
      </c>
      <c r="B1768">
        <v>99.781491987775595</v>
      </c>
      <c r="C1768">
        <v>2000</v>
      </c>
    </row>
    <row r="1769" spans="1:11" x14ac:dyDescent="0.25">
      <c r="A1769" t="s">
        <v>84</v>
      </c>
    </row>
    <row r="1770" spans="1:11" x14ac:dyDescent="0.25">
      <c r="A1770">
        <v>24</v>
      </c>
      <c r="B1770">
        <v>0</v>
      </c>
      <c r="C1770">
        <v>7.1806113385443302</v>
      </c>
      <c r="D1770">
        <v>40.470246957668998</v>
      </c>
      <c r="E1770">
        <v>8</v>
      </c>
      <c r="F1770">
        <v>1.01722196789785</v>
      </c>
      <c r="G1770" t="s">
        <v>81</v>
      </c>
      <c r="H1770" t="s">
        <v>81</v>
      </c>
      <c r="I1770">
        <v>948</v>
      </c>
      <c r="J1770">
        <v>665</v>
      </c>
      <c r="K1770">
        <v>0</v>
      </c>
    </row>
    <row r="1771" spans="1:11" x14ac:dyDescent="0.25">
      <c r="A1771" t="s">
        <v>83</v>
      </c>
    </row>
    <row r="1772" spans="1:11" x14ac:dyDescent="0.25">
      <c r="A1772">
        <v>15.711608206723399</v>
      </c>
      <c r="B1772">
        <v>27.444579468776901</v>
      </c>
      <c r="C1772">
        <v>2000</v>
      </c>
    </row>
    <row r="1773" spans="1:11" x14ac:dyDescent="0.25">
      <c r="A1773">
        <v>10.6341492361737</v>
      </c>
      <c r="B1773">
        <v>22.367120498227202</v>
      </c>
      <c r="C1773">
        <v>2000</v>
      </c>
    </row>
    <row r="1774" spans="1:11" x14ac:dyDescent="0.25">
      <c r="A1774">
        <v>11.0711652606226</v>
      </c>
      <c r="B1774">
        <v>21.9301044737784</v>
      </c>
      <c r="C1774">
        <v>2001</v>
      </c>
    </row>
    <row r="1775" spans="1:11" x14ac:dyDescent="0.25">
      <c r="A1775">
        <v>16.148624231172299</v>
      </c>
      <c r="B1775">
        <v>27.007563444328099</v>
      </c>
      <c r="C1775">
        <v>2001</v>
      </c>
    </row>
    <row r="1776" spans="1:11" x14ac:dyDescent="0.25">
      <c r="A1776">
        <v>38.922552774619803</v>
      </c>
      <c r="B1776">
        <v>49.781491987775603</v>
      </c>
      <c r="C1776">
        <v>2001</v>
      </c>
    </row>
    <row r="1777" spans="1:11" x14ac:dyDescent="0.25">
      <c r="A1777">
        <v>44.765410291234303</v>
      </c>
      <c r="B1777">
        <v>55.624349504390104</v>
      </c>
      <c r="C1777">
        <v>2001</v>
      </c>
    </row>
    <row r="1778" spans="1:11" x14ac:dyDescent="0.25">
      <c r="A1778">
        <v>44.328394266785502</v>
      </c>
      <c r="B1778">
        <v>56.061365528838998</v>
      </c>
      <c r="C1778">
        <v>2000</v>
      </c>
    </row>
    <row r="1779" spans="1:11" x14ac:dyDescent="0.25">
      <c r="A1779">
        <v>38.485536750170901</v>
      </c>
      <c r="B1779">
        <v>50.218508012224397</v>
      </c>
      <c r="C1779">
        <v>2000</v>
      </c>
    </row>
    <row r="1780" spans="1:11" x14ac:dyDescent="0.25">
      <c r="A1780" t="s">
        <v>84</v>
      </c>
    </row>
    <row r="1781" spans="1:11" x14ac:dyDescent="0.25">
      <c r="A1781">
        <v>983</v>
      </c>
      <c r="B1781">
        <v>0</v>
      </c>
      <c r="C1781">
        <v>22.6784597772096</v>
      </c>
      <c r="D1781">
        <v>24.7616816940305</v>
      </c>
      <c r="E1781">
        <v>8</v>
      </c>
      <c r="F1781">
        <v>1.01722196789785</v>
      </c>
      <c r="G1781" t="s">
        <v>82</v>
      </c>
      <c r="H1781" t="s">
        <v>81</v>
      </c>
      <c r="I1781">
        <v>0</v>
      </c>
      <c r="J1781">
        <v>172</v>
      </c>
      <c r="K1781">
        <v>0.10826329407025199</v>
      </c>
    </row>
    <row r="1782" spans="1:11" x14ac:dyDescent="0.25">
      <c r="A1782" t="s">
        <v>83</v>
      </c>
    </row>
    <row r="1783" spans="1:11" x14ac:dyDescent="0.25">
      <c r="A1783">
        <v>46.053332329773397</v>
      </c>
      <c r="B1783">
        <v>16.213750420249699</v>
      </c>
      <c r="C1783">
        <v>2000</v>
      </c>
    </row>
    <row r="1784" spans="1:11" x14ac:dyDescent="0.25">
      <c r="A1784">
        <v>29.839581909523702</v>
      </c>
      <c r="B1784">
        <v>0</v>
      </c>
      <c r="C1784">
        <v>2000</v>
      </c>
    </row>
    <row r="1785" spans="1:11" x14ac:dyDescent="0.25">
      <c r="A1785">
        <v>30.713613958421298</v>
      </c>
      <c r="B1785">
        <v>0</v>
      </c>
      <c r="C1785">
        <v>2001</v>
      </c>
    </row>
    <row r="1786" spans="1:11" x14ac:dyDescent="0.25">
      <c r="A1786">
        <v>46.5720489288341</v>
      </c>
      <c r="B1786">
        <v>15.8584349704127</v>
      </c>
      <c r="C1786">
        <v>2001</v>
      </c>
    </row>
    <row r="1787" spans="1:11" x14ac:dyDescent="0.25">
      <c r="A1787">
        <v>50.218508012224397</v>
      </c>
      <c r="B1787">
        <v>19.504894053803099</v>
      </c>
      <c r="C1787">
        <v>2001</v>
      </c>
    </row>
    <row r="1788" spans="1:11" x14ac:dyDescent="0.25">
      <c r="A1788">
        <v>64.040351680959901</v>
      </c>
      <c r="B1788">
        <v>33.326737722538603</v>
      </c>
      <c r="C1788">
        <v>2001</v>
      </c>
    </row>
    <row r="1789" spans="1:11" x14ac:dyDescent="0.25">
      <c r="A1789">
        <v>63.603335656511099</v>
      </c>
      <c r="B1789">
        <v>33.763753746987398</v>
      </c>
      <c r="C1789">
        <v>2000</v>
      </c>
    </row>
    <row r="1790" spans="1:11" x14ac:dyDescent="0.25">
      <c r="A1790">
        <v>49.781491987775603</v>
      </c>
      <c r="B1790">
        <v>19.941910078251901</v>
      </c>
      <c r="C1790">
        <v>2000</v>
      </c>
    </row>
    <row r="1791" spans="1:11" x14ac:dyDescent="0.25">
      <c r="A1791" t="s">
        <v>84</v>
      </c>
    </row>
    <row r="1792" spans="1:11" x14ac:dyDescent="0.25">
      <c r="A1792">
        <v>835</v>
      </c>
      <c r="B1792">
        <v>0</v>
      </c>
      <c r="C1792">
        <v>5.2470781571960101</v>
      </c>
      <c r="D1792">
        <v>42.095147737185101</v>
      </c>
      <c r="E1792">
        <v>10</v>
      </c>
      <c r="F1792">
        <v>1.01722196789785</v>
      </c>
      <c r="G1792" t="s">
        <v>81</v>
      </c>
      <c r="H1792" t="s">
        <v>81</v>
      </c>
      <c r="I1792">
        <v>843</v>
      </c>
      <c r="J1792">
        <v>663</v>
      </c>
      <c r="K1792">
        <v>0.103203672621368</v>
      </c>
    </row>
    <row r="1793" spans="1:11" x14ac:dyDescent="0.25">
      <c r="A1793" t="s">
        <v>83</v>
      </c>
    </row>
    <row r="1794" spans="1:11" x14ac:dyDescent="0.25">
      <c r="A1794">
        <v>34.405723971508102</v>
      </c>
      <c r="B1794">
        <v>40.374598628080001</v>
      </c>
      <c r="C1794">
        <v>2000</v>
      </c>
    </row>
    <row r="1795" spans="1:11" x14ac:dyDescent="0.25">
      <c r="A1795">
        <v>30.695479425138998</v>
      </c>
      <c r="B1795">
        <v>36.664354081710897</v>
      </c>
      <c r="C1795">
        <v>2000</v>
      </c>
    </row>
    <row r="1796" spans="1:11" x14ac:dyDescent="0.25">
      <c r="A1796">
        <v>31.1324954495878</v>
      </c>
      <c r="B1796">
        <v>36.227338057262102</v>
      </c>
      <c r="C1796">
        <v>2001</v>
      </c>
    </row>
    <row r="1797" spans="1:11" x14ac:dyDescent="0.25">
      <c r="A1797">
        <v>34.842739995956997</v>
      </c>
      <c r="B1797">
        <v>39.937582603631199</v>
      </c>
      <c r="C1797">
        <v>2001</v>
      </c>
    </row>
    <row r="1798" spans="1:11" x14ac:dyDescent="0.25">
      <c r="A1798">
        <v>44.6866493801014</v>
      </c>
      <c r="B1798">
        <v>49.781491987775603</v>
      </c>
      <c r="C1798">
        <v>2001</v>
      </c>
    </row>
    <row r="1799" spans="1:11" x14ac:dyDescent="0.25">
      <c r="A1799">
        <v>50.218508012224397</v>
      </c>
      <c r="B1799">
        <v>55.3133506198986</v>
      </c>
      <c r="C1799">
        <v>2001</v>
      </c>
    </row>
    <row r="1800" spans="1:11" x14ac:dyDescent="0.25">
      <c r="A1800">
        <v>64.608504415970103</v>
      </c>
      <c r="B1800">
        <v>69.703347023644298</v>
      </c>
      <c r="C1800">
        <v>2001</v>
      </c>
    </row>
    <row r="1801" spans="1:11" x14ac:dyDescent="0.25">
      <c r="A1801">
        <v>64.171488391521294</v>
      </c>
      <c r="B1801">
        <v>70.140363048093107</v>
      </c>
      <c r="C1801">
        <v>2000</v>
      </c>
    </row>
    <row r="1802" spans="1:11" x14ac:dyDescent="0.25">
      <c r="A1802">
        <v>49.781491987775603</v>
      </c>
      <c r="B1802">
        <v>55.750366644347402</v>
      </c>
      <c r="C1802">
        <v>2000</v>
      </c>
    </row>
    <row r="1803" spans="1:11" x14ac:dyDescent="0.25">
      <c r="A1803">
        <v>44.249633355652598</v>
      </c>
      <c r="B1803">
        <v>50.218508012224397</v>
      </c>
      <c r="C1803">
        <v>2000</v>
      </c>
    </row>
    <row r="1804" spans="1:11" x14ac:dyDescent="0.25">
      <c r="A1804" t="s">
        <v>84</v>
      </c>
    </row>
    <row r="1805" spans="1:11" x14ac:dyDescent="0.25">
      <c r="A1805">
        <v>183</v>
      </c>
      <c r="B1805">
        <v>0</v>
      </c>
      <c r="C1805">
        <v>2.0378199321767401</v>
      </c>
      <c r="D1805">
        <v>45.075152580464497</v>
      </c>
      <c r="E1805">
        <v>8</v>
      </c>
      <c r="F1805">
        <v>1.01722196789785</v>
      </c>
      <c r="G1805" t="s">
        <v>82</v>
      </c>
      <c r="H1805" t="s">
        <v>81</v>
      </c>
      <c r="I1805">
        <v>0</v>
      </c>
      <c r="J1805">
        <v>872</v>
      </c>
      <c r="K1805">
        <v>0</v>
      </c>
    </row>
    <row r="1806" spans="1:11" x14ac:dyDescent="0.25">
      <c r="A1806" t="s">
        <v>83</v>
      </c>
    </row>
    <row r="1807" spans="1:11" x14ac:dyDescent="0.25">
      <c r="A1807">
        <v>80.561116718460198</v>
      </c>
      <c r="B1807">
        <v>1.42617554981126</v>
      </c>
      <c r="C1807">
        <v>2000</v>
      </c>
    </row>
    <row r="1808" spans="1:11" x14ac:dyDescent="0.25">
      <c r="A1808">
        <v>79.134941168648993</v>
      </c>
      <c r="B1808">
        <v>0</v>
      </c>
      <c r="C1808">
        <v>2000</v>
      </c>
    </row>
    <row r="1809" spans="1:11" x14ac:dyDescent="0.25">
      <c r="A1809">
        <v>78.260909119751304</v>
      </c>
      <c r="B1809">
        <v>0</v>
      </c>
      <c r="C1809">
        <v>2001</v>
      </c>
    </row>
    <row r="1810" spans="1:11" x14ac:dyDescent="0.25">
      <c r="A1810">
        <v>79.716646155698598</v>
      </c>
      <c r="B1810">
        <v>1.4557370359473001</v>
      </c>
      <c r="C1810">
        <v>2001</v>
      </c>
    </row>
    <row r="1811" spans="1:11" x14ac:dyDescent="0.25">
      <c r="A1811">
        <v>99.781491987775595</v>
      </c>
      <c r="B1811">
        <v>21.520582868024199</v>
      </c>
      <c r="C1811">
        <v>2001</v>
      </c>
    </row>
    <row r="1812" spans="1:11" x14ac:dyDescent="0.25">
      <c r="A1812">
        <v>111.79331947752</v>
      </c>
      <c r="B1812">
        <v>33.532410357768498</v>
      </c>
      <c r="C1812">
        <v>2001</v>
      </c>
    </row>
    <row r="1813" spans="1:11" x14ac:dyDescent="0.25">
      <c r="A1813">
        <v>112.23033550196899</v>
      </c>
      <c r="B1813">
        <v>33.095394333319597</v>
      </c>
      <c r="C1813">
        <v>2000</v>
      </c>
    </row>
    <row r="1814" spans="1:11" x14ac:dyDescent="0.25">
      <c r="A1814">
        <v>100.21850801222401</v>
      </c>
      <c r="B1814">
        <v>21.083566843575401</v>
      </c>
      <c r="C1814">
        <v>2000</v>
      </c>
    </row>
    <row r="1815" spans="1:11" x14ac:dyDescent="0.25">
      <c r="A1815" t="s">
        <v>84</v>
      </c>
    </row>
    <row r="1816" spans="1:11" x14ac:dyDescent="0.25">
      <c r="A1816">
        <v>834</v>
      </c>
      <c r="B1816">
        <v>0</v>
      </c>
      <c r="C1816">
        <v>35.233311404022302</v>
      </c>
      <c r="D1816">
        <v>11.742171389490199</v>
      </c>
      <c r="E1816">
        <v>8</v>
      </c>
      <c r="F1816">
        <v>1.01722196789785</v>
      </c>
      <c r="G1816" t="s">
        <v>81</v>
      </c>
      <c r="H1816" t="s">
        <v>81</v>
      </c>
      <c r="I1816">
        <v>170</v>
      </c>
      <c r="J1816">
        <v>865</v>
      </c>
      <c r="K1816">
        <v>0.103203672621368</v>
      </c>
    </row>
    <row r="1817" spans="1:11" x14ac:dyDescent="0.25">
      <c r="A1817" t="s">
        <v>83</v>
      </c>
    </row>
    <row r="1818" spans="1:11" x14ac:dyDescent="0.25">
      <c r="A1818">
        <v>96.055149056038601</v>
      </c>
      <c r="B1818">
        <v>27.176603101746299</v>
      </c>
      <c r="C1818">
        <v>2000</v>
      </c>
    </row>
    <row r="1819" spans="1:11" x14ac:dyDescent="0.25">
      <c r="A1819">
        <v>71.141435638597102</v>
      </c>
      <c r="B1819">
        <v>2.2628896843048198</v>
      </c>
      <c r="C1819">
        <v>2000</v>
      </c>
    </row>
    <row r="1820" spans="1:11" x14ac:dyDescent="0.25">
      <c r="A1820">
        <v>70.704419614148307</v>
      </c>
      <c r="B1820">
        <v>2.6999057087536502</v>
      </c>
      <c r="C1820">
        <v>2001</v>
      </c>
    </row>
    <row r="1821" spans="1:11" x14ac:dyDescent="0.25">
      <c r="A1821">
        <v>95.618133031589807</v>
      </c>
      <c r="B1821">
        <v>27.613619126195101</v>
      </c>
      <c r="C1821">
        <v>2001</v>
      </c>
    </row>
    <row r="1822" spans="1:11" x14ac:dyDescent="0.25">
      <c r="A1822">
        <v>99.781491987775595</v>
      </c>
      <c r="B1822">
        <v>31.7769780823809</v>
      </c>
      <c r="C1822">
        <v>2001</v>
      </c>
    </row>
    <row r="1823" spans="1:11" x14ac:dyDescent="0.25">
      <c r="A1823">
        <v>103.921102046953</v>
      </c>
      <c r="B1823">
        <v>35.9165881415583</v>
      </c>
      <c r="C1823">
        <v>2001</v>
      </c>
    </row>
    <row r="1824" spans="1:11" x14ac:dyDescent="0.25">
      <c r="A1824">
        <v>104.358118071402</v>
      </c>
      <c r="B1824">
        <v>35.479572117109498</v>
      </c>
      <c r="C1824">
        <v>2000</v>
      </c>
    </row>
    <row r="1825" spans="1:11" x14ac:dyDescent="0.25">
      <c r="A1825">
        <v>100.21850801222401</v>
      </c>
      <c r="B1825">
        <v>31.339962057932102</v>
      </c>
      <c r="C1825">
        <v>2000</v>
      </c>
    </row>
    <row r="1826" spans="1:11" x14ac:dyDescent="0.25">
      <c r="A1826" t="s">
        <v>84</v>
      </c>
    </row>
    <row r="1827" spans="1:11" x14ac:dyDescent="0.25">
      <c r="A1827">
        <v>665</v>
      </c>
      <c r="B1827">
        <v>0</v>
      </c>
      <c r="C1827">
        <v>31.697554991586198</v>
      </c>
      <c r="D1827">
        <v>15.076178657751999</v>
      </c>
      <c r="E1827">
        <v>8</v>
      </c>
      <c r="F1827">
        <v>1.01722196789785</v>
      </c>
      <c r="G1827" t="s">
        <v>81</v>
      </c>
      <c r="H1827" t="s">
        <v>81</v>
      </c>
      <c r="I1827">
        <v>24</v>
      </c>
      <c r="J1827">
        <v>655</v>
      </c>
      <c r="K1827">
        <v>0</v>
      </c>
    </row>
    <row r="1828" spans="1:11" x14ac:dyDescent="0.25">
      <c r="A1828" t="s">
        <v>83</v>
      </c>
    </row>
    <row r="1829" spans="1:11" x14ac:dyDescent="0.25">
      <c r="A1829">
        <v>67.537629103999606</v>
      </c>
      <c r="B1829">
        <v>77.679242854793003</v>
      </c>
      <c r="C1829">
        <v>2000</v>
      </c>
    </row>
    <row r="1830" spans="1:11" x14ac:dyDescent="0.25">
      <c r="A1830">
        <v>50.218508012224397</v>
      </c>
      <c r="B1830">
        <v>60.360121763017901</v>
      </c>
      <c r="C1830">
        <v>2000</v>
      </c>
    </row>
    <row r="1831" spans="1:11" x14ac:dyDescent="0.25">
      <c r="A1831">
        <v>45.124073022415502</v>
      </c>
      <c r="B1831">
        <v>55.265686773208898</v>
      </c>
      <c r="C1831">
        <v>2000</v>
      </c>
    </row>
    <row r="1832" spans="1:11" x14ac:dyDescent="0.25">
      <c r="A1832">
        <v>44.6870569979667</v>
      </c>
      <c r="B1832">
        <v>55.7027027976578</v>
      </c>
      <c r="C1832">
        <v>2001</v>
      </c>
    </row>
    <row r="1833" spans="1:11" x14ac:dyDescent="0.25">
      <c r="A1833">
        <v>49.781491987775603</v>
      </c>
      <c r="B1833">
        <v>60.797137787466703</v>
      </c>
      <c r="C1833">
        <v>2001</v>
      </c>
    </row>
    <row r="1834" spans="1:11" x14ac:dyDescent="0.25">
      <c r="A1834">
        <v>67.100613079550797</v>
      </c>
      <c r="B1834">
        <v>78.116258879241798</v>
      </c>
      <c r="C1834">
        <v>2001</v>
      </c>
    </row>
    <row r="1835" spans="1:11" x14ac:dyDescent="0.25">
      <c r="A1835">
        <v>77.761081242827103</v>
      </c>
      <c r="B1835">
        <v>88.776727042518104</v>
      </c>
      <c r="C1835">
        <v>2001</v>
      </c>
    </row>
    <row r="1836" spans="1:11" x14ac:dyDescent="0.25">
      <c r="A1836">
        <v>78.198097267275898</v>
      </c>
      <c r="B1836">
        <v>88.339711018069295</v>
      </c>
      <c r="C1836">
        <v>2000</v>
      </c>
    </row>
    <row r="1837" spans="1:11" x14ac:dyDescent="0.25">
      <c r="A1837" t="s">
        <v>84</v>
      </c>
    </row>
    <row r="1838" spans="1:11" x14ac:dyDescent="0.25">
      <c r="A1838">
        <v>1033</v>
      </c>
      <c r="B1838">
        <v>0</v>
      </c>
      <c r="C1838">
        <v>42.183247355628197</v>
      </c>
      <c r="D1838">
        <v>4.3238500969026497</v>
      </c>
      <c r="E1838">
        <v>8</v>
      </c>
      <c r="F1838">
        <v>1.01722196789785</v>
      </c>
      <c r="G1838" t="s">
        <v>81</v>
      </c>
      <c r="H1838" t="s">
        <v>81</v>
      </c>
      <c r="I1838">
        <v>644</v>
      </c>
      <c r="J1838">
        <v>568</v>
      </c>
      <c r="K1838">
        <v>0.112439294493513</v>
      </c>
    </row>
    <row r="1839" spans="1:11" x14ac:dyDescent="0.25">
      <c r="A1839" t="s">
        <v>83</v>
      </c>
    </row>
    <row r="1840" spans="1:11" x14ac:dyDescent="0.25">
      <c r="A1840">
        <v>114.484438047043</v>
      </c>
      <c r="B1840">
        <v>86.359614550299</v>
      </c>
      <c r="C1840">
        <v>2000</v>
      </c>
    </row>
    <row r="1841" spans="1:11" x14ac:dyDescent="0.25">
      <c r="A1841">
        <v>99.781491987775595</v>
      </c>
      <c r="B1841">
        <v>71.656668491031596</v>
      </c>
      <c r="C1841">
        <v>2000</v>
      </c>
    </row>
    <row r="1842" spans="1:11" x14ac:dyDescent="0.25">
      <c r="A1842">
        <v>84.656377789408893</v>
      </c>
      <c r="B1842">
        <v>56.5315542926649</v>
      </c>
      <c r="C1842">
        <v>2000</v>
      </c>
    </row>
    <row r="1843" spans="1:11" x14ac:dyDescent="0.25">
      <c r="A1843">
        <v>85.093393813857702</v>
      </c>
      <c r="B1843">
        <v>56.094538268215999</v>
      </c>
      <c r="C1843">
        <v>2001</v>
      </c>
    </row>
    <row r="1844" spans="1:11" x14ac:dyDescent="0.25">
      <c r="A1844">
        <v>100.21850801222401</v>
      </c>
      <c r="B1844">
        <v>71.219652466582701</v>
      </c>
      <c r="C1844">
        <v>2001</v>
      </c>
    </row>
    <row r="1845" spans="1:11" x14ac:dyDescent="0.25">
      <c r="A1845">
        <v>114.92145407149199</v>
      </c>
      <c r="B1845">
        <v>85.922598525850205</v>
      </c>
      <c r="C1845">
        <v>2001</v>
      </c>
    </row>
    <row r="1846" spans="1:11" x14ac:dyDescent="0.25">
      <c r="A1846">
        <v>117.978877795846</v>
      </c>
      <c r="B1846">
        <v>88.9800222502042</v>
      </c>
      <c r="C1846">
        <v>2001</v>
      </c>
    </row>
    <row r="1847" spans="1:11" x14ac:dyDescent="0.25">
      <c r="A1847">
        <v>117.541861771397</v>
      </c>
      <c r="B1847">
        <v>89.417038274652995</v>
      </c>
      <c r="C1847">
        <v>2000</v>
      </c>
    </row>
    <row r="1848" spans="1:11" x14ac:dyDescent="0.25">
      <c r="A1848" t="s">
        <v>84</v>
      </c>
    </row>
    <row r="1849" spans="1:11" x14ac:dyDescent="0.25">
      <c r="A1849">
        <v>807</v>
      </c>
      <c r="B1849">
        <v>0</v>
      </c>
      <c r="C1849">
        <v>17.660589636348899</v>
      </c>
      <c r="D1849">
        <v>28.727750976011801</v>
      </c>
      <c r="E1849">
        <v>8</v>
      </c>
      <c r="F1849">
        <v>1.01722196789785</v>
      </c>
      <c r="G1849" t="s">
        <v>81</v>
      </c>
      <c r="H1849" t="s">
        <v>81</v>
      </c>
      <c r="I1849">
        <v>758</v>
      </c>
      <c r="J1849">
        <v>1027</v>
      </c>
      <c r="K1849">
        <v>0.102343747528348</v>
      </c>
    </row>
    <row r="1850" spans="1:11" x14ac:dyDescent="0.25">
      <c r="A1850" t="s">
        <v>83</v>
      </c>
    </row>
    <row r="1851" spans="1:11" x14ac:dyDescent="0.25">
      <c r="A1851">
        <v>108.453137940011</v>
      </c>
      <c r="B1851">
        <v>26.227052432586198</v>
      </c>
      <c r="C1851">
        <v>2000</v>
      </c>
    </row>
    <row r="1852" spans="1:11" x14ac:dyDescent="0.25">
      <c r="A1852">
        <v>99.781491987775595</v>
      </c>
      <c r="B1852">
        <v>17.555406480350399</v>
      </c>
      <c r="C1852">
        <v>2000</v>
      </c>
    </row>
    <row r="1853" spans="1:11" x14ac:dyDescent="0.25">
      <c r="A1853">
        <v>95.965215248396106</v>
      </c>
      <c r="B1853">
        <v>13.739129740971</v>
      </c>
      <c r="C1853">
        <v>2000</v>
      </c>
    </row>
    <row r="1854" spans="1:11" x14ac:dyDescent="0.25">
      <c r="A1854">
        <v>96.402231272844901</v>
      </c>
      <c r="B1854">
        <v>13.3021137165222</v>
      </c>
      <c r="C1854">
        <v>2001</v>
      </c>
    </row>
    <row r="1855" spans="1:11" x14ac:dyDescent="0.25">
      <c r="A1855">
        <v>100.21850801222401</v>
      </c>
      <c r="B1855">
        <v>17.118390455901601</v>
      </c>
      <c r="C1855">
        <v>2001</v>
      </c>
    </row>
    <row r="1856" spans="1:11" x14ac:dyDescent="0.25">
      <c r="A1856">
        <v>108.89015396446</v>
      </c>
      <c r="B1856">
        <v>25.7900364081374</v>
      </c>
      <c r="C1856">
        <v>2001</v>
      </c>
    </row>
    <row r="1857" spans="1:11" x14ac:dyDescent="0.25">
      <c r="A1857">
        <v>129.20374148783699</v>
      </c>
      <c r="B1857">
        <v>46.103623931513702</v>
      </c>
      <c r="C1857">
        <v>2001</v>
      </c>
    </row>
    <row r="1858" spans="1:11" x14ac:dyDescent="0.25">
      <c r="A1858">
        <v>128.76672546338801</v>
      </c>
      <c r="B1858">
        <v>46.540639955962497</v>
      </c>
      <c r="C1858">
        <v>2000</v>
      </c>
    </row>
    <row r="1859" spans="1:11" x14ac:dyDescent="0.25">
      <c r="A1859" t="s">
        <v>84</v>
      </c>
    </row>
    <row r="1860" spans="1:11" x14ac:dyDescent="0.25">
      <c r="A1860">
        <v>674</v>
      </c>
      <c r="B1860">
        <v>0</v>
      </c>
      <c r="C1860">
        <v>17.1475489681285</v>
      </c>
      <c r="D1860">
        <v>29.114019215727101</v>
      </c>
      <c r="E1860">
        <v>10</v>
      </c>
      <c r="F1860">
        <v>1.01722196789785</v>
      </c>
      <c r="G1860" t="s">
        <v>81</v>
      </c>
      <c r="H1860" t="s">
        <v>81</v>
      </c>
      <c r="I1860">
        <v>911</v>
      </c>
      <c r="J1860">
        <v>866</v>
      </c>
      <c r="K1860">
        <v>0</v>
      </c>
    </row>
    <row r="1861" spans="1:11" x14ac:dyDescent="0.25">
      <c r="A1861" t="s">
        <v>83</v>
      </c>
    </row>
    <row r="1862" spans="1:11" x14ac:dyDescent="0.25">
      <c r="A1862">
        <v>82.985838421152593</v>
      </c>
      <c r="B1862">
        <v>61.391991898129902</v>
      </c>
      <c r="C1862">
        <v>2000</v>
      </c>
    </row>
    <row r="1863" spans="1:11" x14ac:dyDescent="0.25">
      <c r="A1863">
        <v>71.812354535247195</v>
      </c>
      <c r="B1863">
        <v>50.218508012224397</v>
      </c>
      <c r="C1863">
        <v>2000</v>
      </c>
    </row>
    <row r="1864" spans="1:11" x14ac:dyDescent="0.25">
      <c r="A1864">
        <v>70.860690265060597</v>
      </c>
      <c r="B1864">
        <v>49.2668437420378</v>
      </c>
      <c r="C1864">
        <v>2000</v>
      </c>
    </row>
    <row r="1865" spans="1:11" x14ac:dyDescent="0.25">
      <c r="A1865">
        <v>71.297706289509406</v>
      </c>
      <c r="B1865">
        <v>48.829827717588998</v>
      </c>
      <c r="C1865">
        <v>2001</v>
      </c>
    </row>
    <row r="1866" spans="1:11" x14ac:dyDescent="0.25">
      <c r="A1866">
        <v>72.249370559696004</v>
      </c>
      <c r="B1866">
        <v>49.781491987775603</v>
      </c>
      <c r="C1866">
        <v>2001</v>
      </c>
    </row>
    <row r="1867" spans="1:11" x14ac:dyDescent="0.25">
      <c r="A1867">
        <v>83.422854445601502</v>
      </c>
      <c r="B1867">
        <v>60.9549758736811</v>
      </c>
      <c r="C1867">
        <v>2001</v>
      </c>
    </row>
    <row r="1868" spans="1:11" x14ac:dyDescent="0.25">
      <c r="A1868">
        <v>100.21850801222401</v>
      </c>
      <c r="B1868">
        <v>77.750629440303996</v>
      </c>
      <c r="C1868">
        <v>2001</v>
      </c>
    </row>
    <row r="1869" spans="1:11" x14ac:dyDescent="0.25">
      <c r="A1869">
        <v>104.009574860638</v>
      </c>
      <c r="B1869">
        <v>81.541696288717105</v>
      </c>
      <c r="C1869">
        <v>2001</v>
      </c>
    </row>
    <row r="1870" spans="1:11" x14ac:dyDescent="0.25">
      <c r="A1870">
        <v>103.572558836189</v>
      </c>
      <c r="B1870">
        <v>81.9787123131659</v>
      </c>
      <c r="C1870">
        <v>2000</v>
      </c>
    </row>
    <row r="1871" spans="1:11" x14ac:dyDescent="0.25">
      <c r="A1871">
        <v>99.781491987775595</v>
      </c>
      <c r="B1871">
        <v>78.187645464752805</v>
      </c>
      <c r="C1871">
        <v>2000</v>
      </c>
    </row>
    <row r="1872" spans="1:11" x14ac:dyDescent="0.25">
      <c r="A1872" t="s">
        <v>84</v>
      </c>
    </row>
    <row r="1873" spans="1:11" x14ac:dyDescent="0.25">
      <c r="A1873">
        <v>722</v>
      </c>
      <c r="B1873">
        <v>0</v>
      </c>
      <c r="C1873">
        <v>44.604399971006998</v>
      </c>
      <c r="D1873">
        <v>1.09533079497882</v>
      </c>
      <c r="E1873">
        <v>6</v>
      </c>
      <c r="F1873">
        <v>1.01722196789785</v>
      </c>
      <c r="G1873" t="s">
        <v>82</v>
      </c>
      <c r="H1873" t="s">
        <v>81</v>
      </c>
      <c r="I1873">
        <v>0</v>
      </c>
      <c r="J1873">
        <v>728</v>
      </c>
      <c r="K1873">
        <v>0.10038021386068</v>
      </c>
    </row>
    <row r="1874" spans="1:11" x14ac:dyDescent="0.25">
      <c r="A1874" t="s">
        <v>83</v>
      </c>
    </row>
    <row r="1875" spans="1:11" x14ac:dyDescent="0.25">
      <c r="A1875">
        <v>135.46872794612199</v>
      </c>
      <c r="B1875">
        <v>31.753344504126702</v>
      </c>
      <c r="C1875">
        <v>2000</v>
      </c>
    </row>
    <row r="1876" spans="1:11" x14ac:dyDescent="0.25">
      <c r="A1876">
        <v>103.715383441995</v>
      </c>
      <c r="B1876">
        <v>0</v>
      </c>
      <c r="C1876">
        <v>2000</v>
      </c>
    </row>
    <row r="1877" spans="1:11" x14ac:dyDescent="0.25">
      <c r="A1877">
        <v>104.589415490893</v>
      </c>
      <c r="B1877">
        <v>0</v>
      </c>
      <c r="C1877">
        <v>2001</v>
      </c>
    </row>
    <row r="1878" spans="1:11" x14ac:dyDescent="0.25">
      <c r="A1878">
        <v>135.91621836727799</v>
      </c>
      <c r="B1878">
        <v>31.326802876385599</v>
      </c>
      <c r="C1878">
        <v>2001</v>
      </c>
    </row>
    <row r="1879" spans="1:11" x14ac:dyDescent="0.25">
      <c r="A1879">
        <v>136.685497001697</v>
      </c>
      <c r="B1879">
        <v>32.0960815108037</v>
      </c>
      <c r="C1879">
        <v>2001</v>
      </c>
    </row>
    <row r="1880" spans="1:11" x14ac:dyDescent="0.25">
      <c r="A1880">
        <v>136.24848097724799</v>
      </c>
      <c r="B1880">
        <v>32.533097535252502</v>
      </c>
      <c r="C1880">
        <v>2000</v>
      </c>
    </row>
    <row r="1881" spans="1:11" x14ac:dyDescent="0.25">
      <c r="A1881" t="s">
        <v>84</v>
      </c>
    </row>
    <row r="1882" spans="1:11" x14ac:dyDescent="0.25">
      <c r="A1882">
        <v>967</v>
      </c>
      <c r="B1882">
        <v>0</v>
      </c>
      <c r="C1882">
        <v>2.4851448175836599</v>
      </c>
      <c r="D1882">
        <v>43.206382683222401</v>
      </c>
      <c r="E1882">
        <v>6</v>
      </c>
      <c r="F1882">
        <v>1.01722196789785</v>
      </c>
      <c r="G1882" t="s">
        <v>82</v>
      </c>
      <c r="H1882" t="s">
        <v>82</v>
      </c>
      <c r="I1882">
        <v>0</v>
      </c>
      <c r="J1882">
        <v>0</v>
      </c>
      <c r="K1882">
        <v>0.107601745899833</v>
      </c>
    </row>
    <row r="1883" spans="1:11" x14ac:dyDescent="0.25">
      <c r="A1883" t="s">
        <v>83</v>
      </c>
    </row>
    <row r="1884" spans="1:11" x14ac:dyDescent="0.25">
      <c r="A1884">
        <v>119.861720703101</v>
      </c>
      <c r="B1884">
        <v>1.7334936172441999</v>
      </c>
      <c r="C1884">
        <v>2000</v>
      </c>
    </row>
    <row r="1885" spans="1:11" x14ac:dyDescent="0.25">
      <c r="A1885">
        <v>118.12822708585701</v>
      </c>
      <c r="B1885">
        <v>0</v>
      </c>
      <c r="C1885">
        <v>2000</v>
      </c>
    </row>
    <row r="1886" spans="1:11" x14ac:dyDescent="0.25">
      <c r="A1886">
        <v>117.25419503696</v>
      </c>
      <c r="B1886">
        <v>0</v>
      </c>
      <c r="C1886">
        <v>2001</v>
      </c>
    </row>
    <row r="1887" spans="1:11" x14ac:dyDescent="0.25">
      <c r="A1887">
        <v>119.03522692520301</v>
      </c>
      <c r="B1887">
        <v>1.7810318882438201</v>
      </c>
      <c r="C1887">
        <v>2001</v>
      </c>
    </row>
    <row r="1888" spans="1:11" x14ac:dyDescent="0.25">
      <c r="A1888">
        <v>150</v>
      </c>
      <c r="B1888">
        <v>32.745804963040399</v>
      </c>
      <c r="C1888">
        <v>2001</v>
      </c>
    </row>
    <row r="1889" spans="1:11" x14ac:dyDescent="0.25">
      <c r="A1889">
        <v>150</v>
      </c>
      <c r="B1889">
        <v>31.871772914142799</v>
      </c>
      <c r="C1889">
        <v>2000</v>
      </c>
    </row>
    <row r="1890" spans="1:11" x14ac:dyDescent="0.25">
      <c r="A1890" t="s">
        <v>84</v>
      </c>
    </row>
    <row r="1891" spans="1:11" x14ac:dyDescent="0.25">
      <c r="A1891">
        <v>195</v>
      </c>
      <c r="B1891">
        <v>0</v>
      </c>
      <c r="C1891">
        <v>19.6412696793926</v>
      </c>
      <c r="D1891">
        <v>25.698754925744399</v>
      </c>
      <c r="E1891">
        <v>8</v>
      </c>
      <c r="F1891">
        <v>1.01722196789785</v>
      </c>
      <c r="G1891" t="s">
        <v>81</v>
      </c>
      <c r="H1891" t="s">
        <v>81</v>
      </c>
      <c r="I1891">
        <v>847</v>
      </c>
      <c r="J1891">
        <v>598</v>
      </c>
      <c r="K1891">
        <v>0</v>
      </c>
    </row>
    <row r="1892" spans="1:11" x14ac:dyDescent="0.25">
      <c r="A1892" t="s">
        <v>83</v>
      </c>
    </row>
    <row r="1893" spans="1:11" x14ac:dyDescent="0.25">
      <c r="A1893">
        <v>69.792407360767001</v>
      </c>
      <c r="B1893">
        <v>37.897978581436099</v>
      </c>
      <c r="C1893">
        <v>2000</v>
      </c>
    </row>
    <row r="1894" spans="1:11" x14ac:dyDescent="0.25">
      <c r="A1894">
        <v>55.903932379354799</v>
      </c>
      <c r="B1894">
        <v>24.009503600023901</v>
      </c>
      <c r="C1894">
        <v>2000</v>
      </c>
    </row>
    <row r="1895" spans="1:11" x14ac:dyDescent="0.25">
      <c r="A1895">
        <v>56.340948403803601</v>
      </c>
      <c r="B1895">
        <v>23.572487575575099</v>
      </c>
      <c r="C1895">
        <v>2001</v>
      </c>
    </row>
    <row r="1896" spans="1:11" x14ac:dyDescent="0.25">
      <c r="A1896">
        <v>70.229423385215796</v>
      </c>
      <c r="B1896">
        <v>37.460962556987297</v>
      </c>
      <c r="C1896">
        <v>2001</v>
      </c>
    </row>
    <row r="1897" spans="1:11" x14ac:dyDescent="0.25">
      <c r="A1897">
        <v>82.549952816004094</v>
      </c>
      <c r="B1897">
        <v>49.781491987775603</v>
      </c>
      <c r="C1897">
        <v>2001</v>
      </c>
    </row>
    <row r="1898" spans="1:11" x14ac:dyDescent="0.25">
      <c r="A1898">
        <v>88.401187261260901</v>
      </c>
      <c r="B1898">
        <v>55.632726433032403</v>
      </c>
      <c r="C1898">
        <v>2001</v>
      </c>
    </row>
    <row r="1899" spans="1:11" x14ac:dyDescent="0.25">
      <c r="A1899">
        <v>87.964171236812106</v>
      </c>
      <c r="B1899">
        <v>56.069742457481198</v>
      </c>
      <c r="C1899">
        <v>2000</v>
      </c>
    </row>
    <row r="1900" spans="1:11" x14ac:dyDescent="0.25">
      <c r="A1900">
        <v>82.112936791555299</v>
      </c>
      <c r="B1900">
        <v>50.218508012224397</v>
      </c>
      <c r="C1900">
        <v>2000</v>
      </c>
    </row>
    <row r="1901" spans="1:11" x14ac:dyDescent="0.25">
      <c r="A1901" t="s">
        <v>84</v>
      </c>
    </row>
    <row r="1902" spans="1:11" x14ac:dyDescent="0.25">
      <c r="A1902">
        <v>925</v>
      </c>
      <c r="B1902">
        <v>0</v>
      </c>
      <c r="C1902">
        <v>43.732083273998597</v>
      </c>
      <c r="D1902">
        <v>1.5406964920734401</v>
      </c>
      <c r="E1902">
        <v>10</v>
      </c>
      <c r="F1902">
        <v>1.01722196789785</v>
      </c>
      <c r="G1902" t="s">
        <v>81</v>
      </c>
      <c r="H1902" t="s">
        <v>81</v>
      </c>
      <c r="I1902">
        <v>102</v>
      </c>
      <c r="J1902">
        <v>356</v>
      </c>
      <c r="K1902">
        <v>0.10547505826048501</v>
      </c>
    </row>
    <row r="1903" spans="1:11" x14ac:dyDescent="0.25">
      <c r="A1903" t="s">
        <v>83</v>
      </c>
    </row>
    <row r="1904" spans="1:11" x14ac:dyDescent="0.25">
      <c r="A1904">
        <v>55.047561443894097</v>
      </c>
      <c r="B1904">
        <v>111.326759705942</v>
      </c>
      <c r="C1904">
        <v>2000</v>
      </c>
    </row>
    <row r="1905" spans="1:11" x14ac:dyDescent="0.25">
      <c r="A1905">
        <v>50.218508012224397</v>
      </c>
      <c r="B1905">
        <v>106.497706274273</v>
      </c>
      <c r="C1905">
        <v>2000</v>
      </c>
    </row>
    <row r="1906" spans="1:11" x14ac:dyDescent="0.25">
      <c r="A1906">
        <v>43.502293725727398</v>
      </c>
      <c r="B1906">
        <v>99.781491987775595</v>
      </c>
      <c r="C1906">
        <v>2000</v>
      </c>
    </row>
    <row r="1907" spans="1:11" x14ac:dyDescent="0.25">
      <c r="A1907">
        <v>24.1243088054349</v>
      </c>
      <c r="B1907">
        <v>80.403507067483105</v>
      </c>
      <c r="C1907">
        <v>2000</v>
      </c>
    </row>
    <row r="1908" spans="1:11" x14ac:dyDescent="0.25">
      <c r="A1908">
        <v>23.687292780986098</v>
      </c>
      <c r="B1908">
        <v>80.8405230919319</v>
      </c>
      <c r="C1908">
        <v>2001</v>
      </c>
    </row>
    <row r="1909" spans="1:11" x14ac:dyDescent="0.25">
      <c r="A1909">
        <v>43.065277701278603</v>
      </c>
      <c r="B1909">
        <v>100.21850801222401</v>
      </c>
      <c r="C1909">
        <v>2001</v>
      </c>
    </row>
    <row r="1910" spans="1:11" x14ac:dyDescent="0.25">
      <c r="A1910">
        <v>49.781491987775603</v>
      </c>
      <c r="B1910">
        <v>106.934722298721</v>
      </c>
      <c r="C1910">
        <v>2001</v>
      </c>
    </row>
    <row r="1911" spans="1:11" x14ac:dyDescent="0.25">
      <c r="A1911">
        <v>54.610545419445302</v>
      </c>
      <c r="B1911">
        <v>111.763775730391</v>
      </c>
      <c r="C1911">
        <v>2001</v>
      </c>
    </row>
    <row r="1912" spans="1:11" x14ac:dyDescent="0.25">
      <c r="A1912">
        <v>55.699982356740797</v>
      </c>
      <c r="B1912">
        <v>112.853212667687</v>
      </c>
      <c r="C1912">
        <v>2001</v>
      </c>
    </row>
    <row r="1913" spans="1:11" x14ac:dyDescent="0.25">
      <c r="A1913">
        <v>56.136998381189599</v>
      </c>
      <c r="B1913">
        <v>112.416196643238</v>
      </c>
      <c r="C1913">
        <v>2000</v>
      </c>
    </row>
    <row r="1914" spans="1:11" x14ac:dyDescent="0.25">
      <c r="A1914" t="s">
        <v>84</v>
      </c>
    </row>
    <row r="1915" spans="1:11" x14ac:dyDescent="0.25">
      <c r="A1915">
        <v>995</v>
      </c>
      <c r="B1915">
        <v>0</v>
      </c>
      <c r="C1915">
        <v>40.2919575095003</v>
      </c>
      <c r="D1915">
        <v>4.9479476072249602</v>
      </c>
      <c r="E1915">
        <v>8</v>
      </c>
      <c r="F1915">
        <v>1.01722196789785</v>
      </c>
      <c r="G1915" t="s">
        <v>81</v>
      </c>
      <c r="H1915" t="s">
        <v>82</v>
      </c>
      <c r="I1915">
        <v>732</v>
      </c>
      <c r="J1915">
        <v>0</v>
      </c>
      <c r="K1915">
        <v>0.10969591193817101</v>
      </c>
    </row>
    <row r="1916" spans="1:11" x14ac:dyDescent="0.25">
      <c r="A1916" t="s">
        <v>83</v>
      </c>
    </row>
    <row r="1917" spans="1:11" x14ac:dyDescent="0.25">
      <c r="A1917">
        <v>121.214828568299</v>
      </c>
      <c r="B1917">
        <v>146.469822132411</v>
      </c>
      <c r="C1917">
        <v>2000</v>
      </c>
    </row>
    <row r="1918" spans="1:11" x14ac:dyDescent="0.25">
      <c r="A1918">
        <v>100.21850801222401</v>
      </c>
      <c r="B1918">
        <v>125.47350157633601</v>
      </c>
      <c r="C1918">
        <v>2000</v>
      </c>
    </row>
    <row r="1919" spans="1:11" x14ac:dyDescent="0.25">
      <c r="A1919">
        <v>92.537054735391905</v>
      </c>
      <c r="B1919">
        <v>117.79204829950299</v>
      </c>
      <c r="C1919">
        <v>2000</v>
      </c>
    </row>
    <row r="1920" spans="1:11" x14ac:dyDescent="0.25">
      <c r="A1920">
        <v>92.100038710943096</v>
      </c>
      <c r="B1920">
        <v>118.229064323952</v>
      </c>
      <c r="C1920">
        <v>2001</v>
      </c>
    </row>
    <row r="1921" spans="1:11" x14ac:dyDescent="0.25">
      <c r="A1921">
        <v>99.781491987775595</v>
      </c>
      <c r="B1921">
        <v>125.910517600785</v>
      </c>
      <c r="C1921">
        <v>2001</v>
      </c>
    </row>
    <row r="1922" spans="1:11" x14ac:dyDescent="0.25">
      <c r="A1922">
        <v>120.40369764253199</v>
      </c>
      <c r="B1922">
        <v>146.53272325553999</v>
      </c>
      <c r="C1922">
        <v>2001</v>
      </c>
    </row>
    <row r="1923" spans="1:11" x14ac:dyDescent="0.25">
      <c r="A1923">
        <v>123.87097438699099</v>
      </c>
      <c r="B1923">
        <v>150</v>
      </c>
      <c r="C1923">
        <v>2001</v>
      </c>
    </row>
    <row r="1924" spans="1:11" x14ac:dyDescent="0.25">
      <c r="A1924">
        <v>124.745006435889</v>
      </c>
      <c r="B1924">
        <v>150</v>
      </c>
      <c r="C1924">
        <v>2000</v>
      </c>
    </row>
    <row r="1925" spans="1:11" x14ac:dyDescent="0.25">
      <c r="A1925" t="s">
        <v>84</v>
      </c>
    </row>
    <row r="1926" spans="1:11" x14ac:dyDescent="0.25">
      <c r="A1926">
        <v>193</v>
      </c>
      <c r="B1926">
        <v>0</v>
      </c>
      <c r="C1926">
        <v>20.0270974037713</v>
      </c>
      <c r="D1926">
        <v>25.1743004900679</v>
      </c>
      <c r="E1926">
        <v>8</v>
      </c>
      <c r="F1926">
        <v>1.01722196789785</v>
      </c>
      <c r="G1926" t="s">
        <v>81</v>
      </c>
      <c r="H1926" t="s">
        <v>81</v>
      </c>
      <c r="I1926">
        <v>162</v>
      </c>
      <c r="J1926">
        <v>588</v>
      </c>
      <c r="K1926">
        <v>0</v>
      </c>
    </row>
    <row r="1927" spans="1:11" x14ac:dyDescent="0.25">
      <c r="A1927" t="s">
        <v>83</v>
      </c>
    </row>
    <row r="1928" spans="1:11" x14ac:dyDescent="0.25">
      <c r="A1928">
        <v>90.385042565127193</v>
      </c>
      <c r="B1928">
        <v>19.130850502811999</v>
      </c>
      <c r="C1928">
        <v>2000</v>
      </c>
    </row>
    <row r="1929" spans="1:11" x14ac:dyDescent="0.25">
      <c r="A1929">
        <v>76.223746183437001</v>
      </c>
      <c r="B1929">
        <v>4.9695541211217398</v>
      </c>
      <c r="C1929">
        <v>2000</v>
      </c>
    </row>
    <row r="1930" spans="1:11" x14ac:dyDescent="0.25">
      <c r="A1930">
        <v>76.660762207885796</v>
      </c>
      <c r="B1930">
        <v>4.5325380966729201</v>
      </c>
      <c r="C1930">
        <v>2001</v>
      </c>
    </row>
    <row r="1931" spans="1:11" x14ac:dyDescent="0.25">
      <c r="A1931">
        <v>90.822058589576002</v>
      </c>
      <c r="B1931">
        <v>18.693834478363101</v>
      </c>
      <c r="C1931">
        <v>2001</v>
      </c>
    </row>
    <row r="1932" spans="1:11" x14ac:dyDescent="0.25">
      <c r="A1932">
        <v>100.21850801222401</v>
      </c>
      <c r="B1932">
        <v>28.0902839010115</v>
      </c>
      <c r="C1932">
        <v>2001</v>
      </c>
    </row>
    <row r="1933" spans="1:11" x14ac:dyDescent="0.25">
      <c r="A1933">
        <v>108.622977177731</v>
      </c>
      <c r="B1933">
        <v>36.494753066518001</v>
      </c>
      <c r="C1933">
        <v>2001</v>
      </c>
    </row>
    <row r="1934" spans="1:11" x14ac:dyDescent="0.25">
      <c r="A1934">
        <v>108.18596115328199</v>
      </c>
      <c r="B1934">
        <v>36.931769090966803</v>
      </c>
      <c r="C1934">
        <v>2000</v>
      </c>
    </row>
    <row r="1935" spans="1:11" x14ac:dyDescent="0.25">
      <c r="A1935">
        <v>99.781491987775595</v>
      </c>
      <c r="B1935">
        <v>28.527299925460301</v>
      </c>
      <c r="C1935">
        <v>2000</v>
      </c>
    </row>
    <row r="1936" spans="1:11" x14ac:dyDescent="0.25">
      <c r="A1936" t="s">
        <v>84</v>
      </c>
    </row>
    <row r="1937" spans="1:11" x14ac:dyDescent="0.25">
      <c r="A1937">
        <v>990</v>
      </c>
      <c r="B1937">
        <v>0</v>
      </c>
      <c r="C1937">
        <v>37.703198222793603</v>
      </c>
      <c r="D1937">
        <v>7.4661801260576803</v>
      </c>
      <c r="E1937">
        <v>10</v>
      </c>
      <c r="F1937">
        <v>1.01722196789785</v>
      </c>
      <c r="G1937" t="s">
        <v>81</v>
      </c>
      <c r="H1937" t="s">
        <v>81</v>
      </c>
      <c r="I1937">
        <v>16</v>
      </c>
      <c r="J1937">
        <v>900</v>
      </c>
      <c r="K1937">
        <v>0.108640479089613</v>
      </c>
    </row>
    <row r="1938" spans="1:11" x14ac:dyDescent="0.25">
      <c r="A1938" t="s">
        <v>83</v>
      </c>
    </row>
    <row r="1939" spans="1:11" x14ac:dyDescent="0.25">
      <c r="A1939">
        <v>57.9711713129565</v>
      </c>
      <c r="B1939">
        <v>60.316028291502199</v>
      </c>
      <c r="C1939">
        <v>2000</v>
      </c>
    </row>
    <row r="1940" spans="1:11" x14ac:dyDescent="0.25">
      <c r="A1940">
        <v>49.781491987775603</v>
      </c>
      <c r="B1940">
        <v>52.126348966321302</v>
      </c>
      <c r="C1940">
        <v>2000</v>
      </c>
    </row>
    <row r="1941" spans="1:11" x14ac:dyDescent="0.25">
      <c r="A1941">
        <v>47.873651033678698</v>
      </c>
      <c r="B1941">
        <v>50.218508012224397</v>
      </c>
      <c r="C1941">
        <v>2000</v>
      </c>
    </row>
    <row r="1942" spans="1:11" x14ac:dyDescent="0.25">
      <c r="A1942">
        <v>31.310984177198499</v>
      </c>
      <c r="B1942">
        <v>33.655841155744298</v>
      </c>
      <c r="C1942">
        <v>2000</v>
      </c>
    </row>
    <row r="1943" spans="1:11" x14ac:dyDescent="0.25">
      <c r="A1943">
        <v>31.748000201647301</v>
      </c>
      <c r="B1943">
        <v>33.218825131295503</v>
      </c>
      <c r="C1943">
        <v>2001</v>
      </c>
    </row>
    <row r="1944" spans="1:11" x14ac:dyDescent="0.25">
      <c r="A1944">
        <v>48.3106670581275</v>
      </c>
      <c r="B1944">
        <v>49.781491987775603</v>
      </c>
      <c r="C1944">
        <v>2001</v>
      </c>
    </row>
    <row r="1945" spans="1:11" x14ac:dyDescent="0.25">
      <c r="A1945">
        <v>50.218508012224397</v>
      </c>
      <c r="B1945">
        <v>51.6893329418725</v>
      </c>
      <c r="C1945">
        <v>2001</v>
      </c>
    </row>
    <row r="1946" spans="1:11" x14ac:dyDescent="0.25">
      <c r="A1946">
        <v>58.408187337405302</v>
      </c>
      <c r="B1946">
        <v>59.879012267053398</v>
      </c>
      <c r="C1946">
        <v>2001</v>
      </c>
    </row>
    <row r="1947" spans="1:11" x14ac:dyDescent="0.25">
      <c r="A1947">
        <v>63.687573934100897</v>
      </c>
      <c r="B1947">
        <v>65.158398863749099</v>
      </c>
      <c r="C1947">
        <v>2001</v>
      </c>
    </row>
    <row r="1948" spans="1:11" x14ac:dyDescent="0.25">
      <c r="A1948">
        <v>63.250557909652102</v>
      </c>
      <c r="B1948">
        <v>65.595414888197894</v>
      </c>
      <c r="C1948">
        <v>2000</v>
      </c>
    </row>
    <row r="1949" spans="1:11" x14ac:dyDescent="0.25">
      <c r="A1949" t="s">
        <v>84</v>
      </c>
    </row>
    <row r="1950" spans="1:11" x14ac:dyDescent="0.25">
      <c r="A1950">
        <v>981</v>
      </c>
      <c r="B1950">
        <v>0</v>
      </c>
      <c r="C1950">
        <v>27.725324342183502</v>
      </c>
      <c r="D1950">
        <v>17.236436212384401</v>
      </c>
      <c r="E1950">
        <v>6</v>
      </c>
      <c r="F1950">
        <v>1.01722196789785</v>
      </c>
      <c r="G1950" t="s">
        <v>82</v>
      </c>
      <c r="H1950" t="s">
        <v>81</v>
      </c>
      <c r="I1950">
        <v>0</v>
      </c>
      <c r="J1950">
        <v>728</v>
      </c>
      <c r="K1950">
        <v>0.108390574953972</v>
      </c>
    </row>
    <row r="1951" spans="1:11" x14ac:dyDescent="0.25">
      <c r="A1951" t="s">
        <v>83</v>
      </c>
    </row>
    <row r="1952" spans="1:11" x14ac:dyDescent="0.25">
      <c r="A1952">
        <v>125.103086537853</v>
      </c>
      <c r="B1952">
        <v>19.4700235653455</v>
      </c>
      <c r="C1952">
        <v>2000</v>
      </c>
    </row>
    <row r="1953" spans="1:11" x14ac:dyDescent="0.25">
      <c r="A1953">
        <v>105.63306297250701</v>
      </c>
      <c r="B1953">
        <v>0</v>
      </c>
      <c r="C1953">
        <v>2000</v>
      </c>
    </row>
    <row r="1954" spans="1:11" x14ac:dyDescent="0.25">
      <c r="A1954">
        <v>104.75903092361</v>
      </c>
      <c r="B1954">
        <v>0</v>
      </c>
      <c r="C1954">
        <v>2001</v>
      </c>
    </row>
    <row r="1955" spans="1:11" x14ac:dyDescent="0.25">
      <c r="A1955">
        <v>124.49853706417299</v>
      </c>
      <c r="B1955">
        <v>19.7395061405634</v>
      </c>
      <c r="C1955">
        <v>2001</v>
      </c>
    </row>
    <row r="1956" spans="1:11" x14ac:dyDescent="0.25">
      <c r="A1956">
        <v>136.770304718055</v>
      </c>
      <c r="B1956">
        <v>32.011273794445202</v>
      </c>
      <c r="C1956">
        <v>2001</v>
      </c>
    </row>
    <row r="1957" spans="1:11" x14ac:dyDescent="0.25">
      <c r="A1957">
        <v>137.20732074250401</v>
      </c>
      <c r="B1957">
        <v>31.5742577699964</v>
      </c>
      <c r="C1957">
        <v>2000</v>
      </c>
    </row>
    <row r="1958" spans="1:11" x14ac:dyDescent="0.25">
      <c r="A1958" t="s">
        <v>84</v>
      </c>
    </row>
    <row r="1959" spans="1:11" x14ac:dyDescent="0.25">
      <c r="A1959">
        <v>814</v>
      </c>
      <c r="B1959">
        <v>0</v>
      </c>
      <c r="C1959">
        <v>23.485523983335899</v>
      </c>
      <c r="D1959">
        <v>21.3097709665666</v>
      </c>
      <c r="E1959">
        <v>8</v>
      </c>
      <c r="F1959">
        <v>1.01722196789785</v>
      </c>
      <c r="G1959" t="s">
        <v>81</v>
      </c>
      <c r="H1959" t="s">
        <v>81</v>
      </c>
      <c r="I1959">
        <v>860</v>
      </c>
      <c r="J1959">
        <v>831</v>
      </c>
      <c r="K1959">
        <v>0.102777870221907</v>
      </c>
    </row>
    <row r="1960" spans="1:11" x14ac:dyDescent="0.25">
      <c r="A1960" t="s">
        <v>83</v>
      </c>
    </row>
    <row r="1961" spans="1:11" x14ac:dyDescent="0.25">
      <c r="A1961">
        <v>112.920562071219</v>
      </c>
      <c r="B1961">
        <v>70.005892246037504</v>
      </c>
      <c r="C1961">
        <v>2000</v>
      </c>
    </row>
    <row r="1962" spans="1:11" x14ac:dyDescent="0.25">
      <c r="A1962">
        <v>100.21850801222401</v>
      </c>
      <c r="B1962">
        <v>57.303838187043297</v>
      </c>
      <c r="C1962">
        <v>2000</v>
      </c>
    </row>
    <row r="1963" spans="1:11" x14ac:dyDescent="0.25">
      <c r="A1963">
        <v>96.313788802882499</v>
      </c>
      <c r="B1963">
        <v>53.399118977701399</v>
      </c>
      <c r="C1963">
        <v>2000</v>
      </c>
    </row>
    <row r="1964" spans="1:11" x14ac:dyDescent="0.25">
      <c r="A1964">
        <v>95.876772778433704</v>
      </c>
      <c r="B1964">
        <v>53.836135002150201</v>
      </c>
      <c r="C1964">
        <v>2001</v>
      </c>
    </row>
    <row r="1965" spans="1:11" x14ac:dyDescent="0.25">
      <c r="A1965">
        <v>99.781491987775595</v>
      </c>
      <c r="B1965">
        <v>57.740854211492099</v>
      </c>
      <c r="C1965">
        <v>2001</v>
      </c>
    </row>
    <row r="1966" spans="1:11" x14ac:dyDescent="0.25">
      <c r="A1966">
        <v>112.48354604677</v>
      </c>
      <c r="B1966">
        <v>70.442908270486299</v>
      </c>
      <c r="C1966">
        <v>2001</v>
      </c>
    </row>
    <row r="1967" spans="1:11" x14ac:dyDescent="0.25">
      <c r="A1967">
        <v>127.551829602761</v>
      </c>
      <c r="B1967">
        <v>85.511191826477699</v>
      </c>
      <c r="C1967">
        <v>2001</v>
      </c>
    </row>
    <row r="1968" spans="1:11" x14ac:dyDescent="0.25">
      <c r="A1968">
        <v>127.98884562721</v>
      </c>
      <c r="B1968">
        <v>85.074175802028904</v>
      </c>
      <c r="C1968">
        <v>2000</v>
      </c>
    </row>
    <row r="1969" spans="1:11" x14ac:dyDescent="0.25">
      <c r="A1969" t="s">
        <v>84</v>
      </c>
    </row>
    <row r="1970" spans="1:11" x14ac:dyDescent="0.25">
      <c r="A1970">
        <v>673</v>
      </c>
      <c r="B1970">
        <v>0</v>
      </c>
      <c r="C1970">
        <v>17.286978069747999</v>
      </c>
      <c r="D1970">
        <v>27.345182665457699</v>
      </c>
      <c r="E1970">
        <v>10</v>
      </c>
      <c r="F1970">
        <v>1.01722196789785</v>
      </c>
      <c r="G1970" t="s">
        <v>81</v>
      </c>
      <c r="H1970" t="s">
        <v>81</v>
      </c>
      <c r="I1970">
        <v>1025</v>
      </c>
      <c r="J1970">
        <v>742</v>
      </c>
      <c r="K1970">
        <v>0</v>
      </c>
    </row>
    <row r="1971" spans="1:11" x14ac:dyDescent="0.25">
      <c r="A1971" t="s">
        <v>83</v>
      </c>
    </row>
    <row r="1972" spans="1:11" x14ac:dyDescent="0.25">
      <c r="A1972">
        <v>84.623045377718995</v>
      </c>
      <c r="B1972">
        <v>90.893994776021501</v>
      </c>
      <c r="C1972">
        <v>2000</v>
      </c>
    </row>
    <row r="1973" spans="1:11" x14ac:dyDescent="0.25">
      <c r="A1973">
        <v>72.399305958376999</v>
      </c>
      <c r="B1973">
        <v>78.670255356679505</v>
      </c>
      <c r="C1973">
        <v>2000</v>
      </c>
    </row>
    <row r="1974" spans="1:11" x14ac:dyDescent="0.25">
      <c r="A1974">
        <v>71.962289933928204</v>
      </c>
      <c r="B1974">
        <v>79.107271381128299</v>
      </c>
      <c r="C1974">
        <v>2001</v>
      </c>
    </row>
    <row r="1975" spans="1:11" x14ac:dyDescent="0.25">
      <c r="A1975">
        <v>84.186029353270101</v>
      </c>
      <c r="B1975">
        <v>91.331010800470295</v>
      </c>
      <c r="C1975">
        <v>2001</v>
      </c>
    </row>
    <row r="1976" spans="1:11" x14ac:dyDescent="0.25">
      <c r="A1976">
        <v>93.073526565024196</v>
      </c>
      <c r="B1976">
        <v>100.21850801222401</v>
      </c>
      <c r="C1976">
        <v>2001</v>
      </c>
    </row>
    <row r="1977" spans="1:11" x14ac:dyDescent="0.25">
      <c r="A1977">
        <v>99.781491987775595</v>
      </c>
      <c r="B1977">
        <v>106.926473434976</v>
      </c>
      <c r="C1977">
        <v>2001</v>
      </c>
    </row>
    <row r="1978" spans="1:11" x14ac:dyDescent="0.25">
      <c r="A1978">
        <v>103.5219934488</v>
      </c>
      <c r="B1978">
        <v>110.666974896</v>
      </c>
      <c r="C1978">
        <v>2001</v>
      </c>
    </row>
    <row r="1979" spans="1:11" x14ac:dyDescent="0.25">
      <c r="A1979">
        <v>103.959009473249</v>
      </c>
      <c r="B1979">
        <v>110.22995887155101</v>
      </c>
      <c r="C1979">
        <v>2000</v>
      </c>
    </row>
    <row r="1980" spans="1:11" x14ac:dyDescent="0.25">
      <c r="A1980">
        <v>100.21850801222401</v>
      </c>
      <c r="B1980">
        <v>106.489457410527</v>
      </c>
      <c r="C1980">
        <v>2000</v>
      </c>
    </row>
    <row r="1981" spans="1:11" x14ac:dyDescent="0.25">
      <c r="A1981">
        <v>93.510542589473005</v>
      </c>
      <c r="B1981">
        <v>99.781491987775595</v>
      </c>
      <c r="C1981">
        <v>2000</v>
      </c>
    </row>
    <row r="1982" spans="1:11" x14ac:dyDescent="0.25">
      <c r="A1982" t="s">
        <v>84</v>
      </c>
    </row>
    <row r="1983" spans="1:11" x14ac:dyDescent="0.25">
      <c r="A1983">
        <v>741</v>
      </c>
      <c r="B1983">
        <v>0</v>
      </c>
      <c r="C1983">
        <v>22.080695156868</v>
      </c>
      <c r="D1983">
        <v>22.508965814253798</v>
      </c>
      <c r="E1983">
        <v>6</v>
      </c>
      <c r="F1983">
        <v>1.01722196789785</v>
      </c>
      <c r="G1983" t="s">
        <v>81</v>
      </c>
      <c r="H1983" t="s">
        <v>81</v>
      </c>
      <c r="I1983">
        <v>257</v>
      </c>
      <c r="J1983">
        <v>253</v>
      </c>
      <c r="K1983">
        <v>0.101399532687084</v>
      </c>
    </row>
    <row r="1984" spans="1:11" x14ac:dyDescent="0.25">
      <c r="A1984" t="s">
        <v>83</v>
      </c>
    </row>
    <row r="1985" spans="1:11" x14ac:dyDescent="0.25">
      <c r="A1985">
        <v>127.363829377738</v>
      </c>
      <c r="B1985">
        <v>130.03048129474701</v>
      </c>
      <c r="C1985">
        <v>2000</v>
      </c>
    </row>
    <row r="1986" spans="1:11" x14ac:dyDescent="0.25">
      <c r="A1986">
        <v>111.750420099004</v>
      </c>
      <c r="B1986">
        <v>114.41707201601299</v>
      </c>
      <c r="C1986">
        <v>2000</v>
      </c>
    </row>
    <row r="1987" spans="1:11" x14ac:dyDescent="0.25">
      <c r="A1987">
        <v>111.313404074555</v>
      </c>
      <c r="B1987">
        <v>114.854088040462</v>
      </c>
      <c r="C1987">
        <v>2001</v>
      </c>
    </row>
    <row r="1988" spans="1:11" x14ac:dyDescent="0.25">
      <c r="A1988">
        <v>126.92681335328901</v>
      </c>
      <c r="B1988">
        <v>130.46749731919601</v>
      </c>
      <c r="C1988">
        <v>2001</v>
      </c>
    </row>
    <row r="1989" spans="1:11" x14ac:dyDescent="0.25">
      <c r="A1989">
        <v>142.84305571804401</v>
      </c>
      <c r="B1989">
        <v>146.38373968395101</v>
      </c>
      <c r="C1989">
        <v>2001</v>
      </c>
    </row>
    <row r="1990" spans="1:11" x14ac:dyDescent="0.25">
      <c r="A1990">
        <v>143.28007174249299</v>
      </c>
      <c r="B1990">
        <v>145.946723659502</v>
      </c>
      <c r="C1990">
        <v>2000</v>
      </c>
    </row>
    <row r="1991" spans="1:11" x14ac:dyDescent="0.25">
      <c r="A1991" t="s">
        <v>84</v>
      </c>
    </row>
    <row r="1992" spans="1:11" x14ac:dyDescent="0.25">
      <c r="A1992">
        <v>440</v>
      </c>
      <c r="B1992">
        <v>0</v>
      </c>
      <c r="C1992">
        <v>4.4438063326286699</v>
      </c>
      <c r="D1992">
        <v>39.933582265604201</v>
      </c>
      <c r="E1992">
        <v>8</v>
      </c>
      <c r="F1992">
        <v>1.01722196789785</v>
      </c>
      <c r="G1992" t="s">
        <v>81</v>
      </c>
      <c r="H1992" t="s">
        <v>82</v>
      </c>
      <c r="I1992">
        <v>434</v>
      </c>
      <c r="J1992">
        <v>0</v>
      </c>
      <c r="K1992">
        <v>0</v>
      </c>
    </row>
    <row r="1993" spans="1:11" x14ac:dyDescent="0.25">
      <c r="A1993" t="s">
        <v>83</v>
      </c>
    </row>
    <row r="1994" spans="1:11" x14ac:dyDescent="0.25">
      <c r="A1994">
        <v>32.151689971068201</v>
      </c>
      <c r="B1994">
        <v>121.96056757784601</v>
      </c>
      <c r="C1994">
        <v>2000</v>
      </c>
    </row>
    <row r="1995" spans="1:11" x14ac:dyDescent="0.25">
      <c r="A1995">
        <v>29.030077996285101</v>
      </c>
      <c r="B1995">
        <v>118.838955603063</v>
      </c>
      <c r="C1995">
        <v>2000</v>
      </c>
    </row>
    <row r="1996" spans="1:11" x14ac:dyDescent="0.25">
      <c r="A1996">
        <v>29.467094020733999</v>
      </c>
      <c r="B1996">
        <v>118.401939578615</v>
      </c>
      <c r="C1996">
        <v>2001</v>
      </c>
    </row>
    <row r="1997" spans="1:11" x14ac:dyDescent="0.25">
      <c r="A1997">
        <v>32.629973230113798</v>
      </c>
      <c r="B1997">
        <v>121.564818787994</v>
      </c>
      <c r="C1997">
        <v>2001</v>
      </c>
    </row>
    <row r="1998" spans="1:11" x14ac:dyDescent="0.25">
      <c r="A1998">
        <v>50.354772579125402</v>
      </c>
      <c r="B1998">
        <v>139.28961813700599</v>
      </c>
      <c r="C1998">
        <v>2001</v>
      </c>
    </row>
    <row r="1999" spans="1:11" x14ac:dyDescent="0.25">
      <c r="A1999">
        <v>61.0651544421194</v>
      </c>
      <c r="B1999">
        <v>150</v>
      </c>
      <c r="C1999">
        <v>2001</v>
      </c>
    </row>
    <row r="2000" spans="1:11" x14ac:dyDescent="0.25">
      <c r="A2000">
        <v>60.191122393221697</v>
      </c>
      <c r="B2000">
        <v>150</v>
      </c>
      <c r="C2000">
        <v>2000</v>
      </c>
    </row>
    <row r="2001" spans="1:11" x14ac:dyDescent="0.25">
      <c r="A2001">
        <v>49.645227420874598</v>
      </c>
      <c r="B2001">
        <v>139.45410502765299</v>
      </c>
      <c r="C2001">
        <v>2000</v>
      </c>
    </row>
    <row r="2002" spans="1:11" x14ac:dyDescent="0.25">
      <c r="A2002" t="s">
        <v>84</v>
      </c>
    </row>
    <row r="2003" spans="1:11" x14ac:dyDescent="0.25">
      <c r="A2003">
        <v>661</v>
      </c>
      <c r="B2003">
        <v>0</v>
      </c>
      <c r="C2003">
        <v>29.204391155681598</v>
      </c>
      <c r="D2003">
        <v>14.7968535032687</v>
      </c>
      <c r="E2003">
        <v>10</v>
      </c>
      <c r="F2003">
        <v>1.01722196789785</v>
      </c>
      <c r="G2003" t="s">
        <v>81</v>
      </c>
      <c r="H2003" t="s">
        <v>81</v>
      </c>
      <c r="I2003">
        <v>647</v>
      </c>
      <c r="J2003">
        <v>923</v>
      </c>
      <c r="K2003">
        <v>0</v>
      </c>
    </row>
    <row r="2004" spans="1:11" x14ac:dyDescent="0.25">
      <c r="A2004" t="s">
        <v>83</v>
      </c>
    </row>
    <row r="2005" spans="1:11" x14ac:dyDescent="0.25">
      <c r="A2005">
        <v>93.481722909720304</v>
      </c>
      <c r="B2005">
        <v>92.637752159791106</v>
      </c>
      <c r="C2005">
        <v>2000</v>
      </c>
    </row>
    <row r="2006" spans="1:11" x14ac:dyDescent="0.25">
      <c r="A2006">
        <v>72.831099883113396</v>
      </c>
      <c r="B2006">
        <v>71.987129133184197</v>
      </c>
      <c r="C2006">
        <v>2000</v>
      </c>
    </row>
    <row r="2007" spans="1:11" x14ac:dyDescent="0.25">
      <c r="A2007">
        <v>73.268115907562205</v>
      </c>
      <c r="B2007">
        <v>71.550113108735403</v>
      </c>
      <c r="C2007">
        <v>2001</v>
      </c>
    </row>
    <row r="2008" spans="1:11" x14ac:dyDescent="0.25">
      <c r="A2008">
        <v>93.918738934169099</v>
      </c>
      <c r="B2008">
        <v>92.200736135342297</v>
      </c>
      <c r="C2008">
        <v>2001</v>
      </c>
    </row>
    <row r="2009" spans="1:11" x14ac:dyDescent="0.25">
      <c r="A2009">
        <v>100.21850801222401</v>
      </c>
      <c r="B2009">
        <v>98.500505213397602</v>
      </c>
      <c r="C2009">
        <v>2001</v>
      </c>
    </row>
    <row r="2010" spans="1:11" x14ac:dyDescent="0.25">
      <c r="A2010">
        <v>101.499494786602</v>
      </c>
      <c r="B2010">
        <v>99.781491987775595</v>
      </c>
      <c r="C2010">
        <v>2001</v>
      </c>
    </row>
    <row r="2011" spans="1:11" x14ac:dyDescent="0.25">
      <c r="A2011">
        <v>104.381694386554</v>
      </c>
      <c r="B2011">
        <v>102.663691587727</v>
      </c>
      <c r="C2011">
        <v>2001</v>
      </c>
    </row>
    <row r="2012" spans="1:11" x14ac:dyDescent="0.25">
      <c r="A2012">
        <v>103.944678362106</v>
      </c>
      <c r="B2012">
        <v>103.100707612176</v>
      </c>
      <c r="C2012">
        <v>2000</v>
      </c>
    </row>
    <row r="2013" spans="1:11" x14ac:dyDescent="0.25">
      <c r="A2013">
        <v>101.062478762154</v>
      </c>
      <c r="B2013">
        <v>100.21850801222401</v>
      </c>
      <c r="C2013">
        <v>2000</v>
      </c>
    </row>
    <row r="2014" spans="1:11" x14ac:dyDescent="0.25">
      <c r="A2014">
        <v>99.781491987775595</v>
      </c>
      <c r="B2014">
        <v>98.937521237846397</v>
      </c>
      <c r="C2014">
        <v>2000</v>
      </c>
    </row>
    <row r="2015" spans="1:11" x14ac:dyDescent="0.25">
      <c r="A2015" t="s">
        <v>84</v>
      </c>
    </row>
    <row r="2016" spans="1:11" x14ac:dyDescent="0.25">
      <c r="A2016">
        <v>978</v>
      </c>
      <c r="B2016">
        <v>0</v>
      </c>
      <c r="C2016">
        <v>38.672822199277803</v>
      </c>
      <c r="D2016">
        <v>5.2427913672701996</v>
      </c>
      <c r="E2016">
        <v>6</v>
      </c>
      <c r="F2016">
        <v>1.01722196789785</v>
      </c>
      <c r="G2016" t="s">
        <v>81</v>
      </c>
      <c r="H2016" t="s">
        <v>81</v>
      </c>
      <c r="I2016">
        <v>244</v>
      </c>
      <c r="J2016">
        <v>268</v>
      </c>
      <c r="K2016">
        <v>0.108134401500911</v>
      </c>
    </row>
    <row r="2017" spans="1:11" x14ac:dyDescent="0.25">
      <c r="A2017" t="s">
        <v>83</v>
      </c>
    </row>
    <row r="2018" spans="1:11" x14ac:dyDescent="0.25">
      <c r="A2018">
        <v>127.854669336166</v>
      </c>
      <c r="B2018">
        <v>138.639657314229</v>
      </c>
      <c r="C2018">
        <v>2000</v>
      </c>
    </row>
    <row r="2019" spans="1:11" x14ac:dyDescent="0.25">
      <c r="A2019">
        <v>100.508854511435</v>
      </c>
      <c r="B2019">
        <v>111.293842489498</v>
      </c>
      <c r="C2019">
        <v>2000</v>
      </c>
    </row>
    <row r="2020" spans="1:11" x14ac:dyDescent="0.25">
      <c r="A2020">
        <v>100.945870535884</v>
      </c>
      <c r="B2020">
        <v>110.856826465049</v>
      </c>
      <c r="C2020">
        <v>2001</v>
      </c>
    </row>
    <row r="2021" spans="1:11" x14ac:dyDescent="0.25">
      <c r="A2021">
        <v>128.29168536061499</v>
      </c>
      <c r="B2021">
        <v>138.20264128977999</v>
      </c>
      <c r="C2021">
        <v>2001</v>
      </c>
    </row>
    <row r="2022" spans="1:11" x14ac:dyDescent="0.25">
      <c r="A2022">
        <v>131.998898688758</v>
      </c>
      <c r="B2022">
        <v>141.909854617923</v>
      </c>
      <c r="C2022">
        <v>2001</v>
      </c>
    </row>
    <row r="2023" spans="1:11" x14ac:dyDescent="0.25">
      <c r="A2023">
        <v>131.561882664309</v>
      </c>
      <c r="B2023">
        <v>142.34687064237201</v>
      </c>
      <c r="C2023">
        <v>2000</v>
      </c>
    </row>
    <row r="2024" spans="1:11" x14ac:dyDescent="0.25">
      <c r="A2024" t="s">
        <v>84</v>
      </c>
    </row>
    <row r="2025" spans="1:11" x14ac:dyDescent="0.25">
      <c r="A2025">
        <v>976</v>
      </c>
      <c r="B2025">
        <v>0</v>
      </c>
      <c r="C2025">
        <v>18.471610698307501</v>
      </c>
      <c r="D2025">
        <v>24.622580119895002</v>
      </c>
      <c r="E2025">
        <v>6</v>
      </c>
      <c r="F2025">
        <v>1.01722196789785</v>
      </c>
      <c r="G2025" t="s">
        <v>81</v>
      </c>
      <c r="H2025" t="s">
        <v>81</v>
      </c>
      <c r="I2025">
        <v>481</v>
      </c>
      <c r="J2025">
        <v>977</v>
      </c>
      <c r="K2025">
        <v>0.108003845282467</v>
      </c>
    </row>
    <row r="2026" spans="1:11" x14ac:dyDescent="0.25">
      <c r="A2026" t="s">
        <v>83</v>
      </c>
    </row>
    <row r="2027" spans="1:11" x14ac:dyDescent="0.25">
      <c r="A2027">
        <v>116.774989722653</v>
      </c>
      <c r="B2027">
        <v>22.012198583233101</v>
      </c>
      <c r="C2027">
        <v>2000</v>
      </c>
    </row>
    <row r="2028" spans="1:11" x14ac:dyDescent="0.25">
      <c r="A2028">
        <v>103.713588538442</v>
      </c>
      <c r="B2028">
        <v>8.9507973990218694</v>
      </c>
      <c r="C2028">
        <v>2000</v>
      </c>
    </row>
    <row r="2029" spans="1:11" x14ac:dyDescent="0.25">
      <c r="A2029">
        <v>103.276572513993</v>
      </c>
      <c r="B2029">
        <v>9.3878134234706891</v>
      </c>
      <c r="C2029">
        <v>2001</v>
      </c>
    </row>
    <row r="2030" spans="1:11" x14ac:dyDescent="0.25">
      <c r="A2030">
        <v>116.337973698204</v>
      </c>
      <c r="B2030">
        <v>22.449214607681899</v>
      </c>
      <c r="C2030">
        <v>2001</v>
      </c>
    </row>
    <row r="2031" spans="1:11" x14ac:dyDescent="0.25">
      <c r="A2031">
        <v>133.74876707129101</v>
      </c>
      <c r="B2031">
        <v>39.8600079807687</v>
      </c>
      <c r="C2031">
        <v>2001</v>
      </c>
    </row>
    <row r="2032" spans="1:11" x14ac:dyDescent="0.25">
      <c r="A2032">
        <v>134.18578309573999</v>
      </c>
      <c r="B2032">
        <v>39.422991956319898</v>
      </c>
      <c r="C2032">
        <v>2000</v>
      </c>
    </row>
    <row r="2033" spans="1:11" x14ac:dyDescent="0.25">
      <c r="A2033" t="s">
        <v>84</v>
      </c>
    </row>
    <row r="2034" spans="1:11" x14ac:dyDescent="0.25">
      <c r="A2034">
        <v>862</v>
      </c>
      <c r="B2034">
        <v>0</v>
      </c>
      <c r="C2034">
        <v>6.9869325869549099</v>
      </c>
      <c r="D2034">
        <v>36.080869101565902</v>
      </c>
      <c r="E2034">
        <v>6</v>
      </c>
      <c r="F2034">
        <v>1.01722196789785</v>
      </c>
      <c r="G2034" t="s">
        <v>82</v>
      </c>
      <c r="H2034" t="s">
        <v>82</v>
      </c>
      <c r="I2034">
        <v>0</v>
      </c>
      <c r="J2034">
        <v>0</v>
      </c>
      <c r="K2034">
        <v>0.103818452298958</v>
      </c>
    </row>
    <row r="2035" spans="1:11" x14ac:dyDescent="0.25">
      <c r="A2035" t="s">
        <v>83</v>
      </c>
    </row>
    <row r="2036" spans="1:11" x14ac:dyDescent="0.25">
      <c r="A2036">
        <v>124.120854309912</v>
      </c>
      <c r="B2036">
        <v>5.0114049591112204</v>
      </c>
      <c r="C2036">
        <v>2000</v>
      </c>
    </row>
    <row r="2037" spans="1:11" x14ac:dyDescent="0.25">
      <c r="A2037">
        <v>119.109449350801</v>
      </c>
      <c r="B2037">
        <v>0</v>
      </c>
      <c r="C2037">
        <v>2000</v>
      </c>
    </row>
    <row r="2038" spans="1:11" x14ac:dyDescent="0.25">
      <c r="A2038">
        <v>119.98348139969799</v>
      </c>
      <c r="B2038">
        <v>0</v>
      </c>
      <c r="C2038">
        <v>2001</v>
      </c>
    </row>
    <row r="2039" spans="1:11" x14ac:dyDescent="0.25">
      <c r="A2039">
        <v>124.853091264445</v>
      </c>
      <c r="B2039">
        <v>4.8696098647469404</v>
      </c>
      <c r="C2039">
        <v>2001</v>
      </c>
    </row>
    <row r="2040" spans="1:11" x14ac:dyDescent="0.25">
      <c r="A2040">
        <v>150</v>
      </c>
      <c r="B2040">
        <v>30.016518600301701</v>
      </c>
      <c r="C2040">
        <v>2001</v>
      </c>
    </row>
    <row r="2041" spans="1:11" x14ac:dyDescent="0.25">
      <c r="A2041">
        <v>150</v>
      </c>
      <c r="B2041">
        <v>30.890550649199302</v>
      </c>
      <c r="C2041">
        <v>2000</v>
      </c>
    </row>
    <row r="2042" spans="1:11" x14ac:dyDescent="0.25">
      <c r="A2042" t="s">
        <v>84</v>
      </c>
    </row>
    <row r="2043" spans="1:11" x14ac:dyDescent="0.25">
      <c r="A2043">
        <v>261</v>
      </c>
      <c r="B2043">
        <v>0</v>
      </c>
      <c r="C2043">
        <v>8.5517422876568201</v>
      </c>
      <c r="D2043">
        <v>34.485973940273098</v>
      </c>
      <c r="E2043">
        <v>6</v>
      </c>
      <c r="F2043">
        <v>1.01722196789785</v>
      </c>
      <c r="G2043" t="s">
        <v>81</v>
      </c>
      <c r="H2043" t="s">
        <v>82</v>
      </c>
      <c r="I2043">
        <v>874</v>
      </c>
      <c r="J2043">
        <v>0</v>
      </c>
      <c r="K2043">
        <v>0</v>
      </c>
    </row>
    <row r="2044" spans="1:11" x14ac:dyDescent="0.25">
      <c r="A2044" t="s">
        <v>83</v>
      </c>
    </row>
    <row r="2045" spans="1:11" x14ac:dyDescent="0.25">
      <c r="A2045">
        <v>125.78982368941899</v>
      </c>
      <c r="B2045">
        <v>106.821644549669</v>
      </c>
      <c r="C2045">
        <v>2000</v>
      </c>
    </row>
    <row r="2046" spans="1:11" x14ac:dyDescent="0.25">
      <c r="A2046">
        <v>119.786247020673</v>
      </c>
      <c r="B2046">
        <v>100.818067880922</v>
      </c>
      <c r="C2046">
        <v>2000</v>
      </c>
    </row>
    <row r="2047" spans="1:11" x14ac:dyDescent="0.25">
      <c r="A2047">
        <v>119.34923099622399</v>
      </c>
      <c r="B2047">
        <v>101.255083905371</v>
      </c>
      <c r="C2047">
        <v>2001</v>
      </c>
    </row>
    <row r="2048" spans="1:11" x14ac:dyDescent="0.25">
      <c r="A2048">
        <v>125.439644252601</v>
      </c>
      <c r="B2048">
        <v>107.345497161748</v>
      </c>
      <c r="C2048">
        <v>2001</v>
      </c>
    </row>
    <row r="2049" spans="1:11" x14ac:dyDescent="0.25">
      <c r="A2049">
        <v>150</v>
      </c>
      <c r="B2049">
        <v>131.905852909147</v>
      </c>
      <c r="C2049">
        <v>2001</v>
      </c>
    </row>
    <row r="2050" spans="1:11" x14ac:dyDescent="0.25">
      <c r="A2050">
        <v>150</v>
      </c>
      <c r="B2050">
        <v>131.03182086024901</v>
      </c>
      <c r="C2050">
        <v>2000</v>
      </c>
    </row>
    <row r="2051" spans="1:11" x14ac:dyDescent="0.25">
      <c r="A2051" t="s">
        <v>84</v>
      </c>
    </row>
    <row r="2052" spans="1:11" x14ac:dyDescent="0.25">
      <c r="A2052">
        <v>590</v>
      </c>
      <c r="B2052">
        <v>0</v>
      </c>
      <c r="C2052">
        <v>12.220794281023499</v>
      </c>
      <c r="D2052">
        <v>30.575595596633502</v>
      </c>
      <c r="E2052">
        <v>8</v>
      </c>
      <c r="F2052">
        <v>1.01722196789785</v>
      </c>
      <c r="G2052" t="s">
        <v>81</v>
      </c>
      <c r="H2052" t="s">
        <v>81</v>
      </c>
      <c r="I2052">
        <v>667</v>
      </c>
      <c r="J2052">
        <v>262</v>
      </c>
      <c r="K2052">
        <v>0</v>
      </c>
    </row>
    <row r="2053" spans="1:11" x14ac:dyDescent="0.25">
      <c r="A2053" t="s">
        <v>83</v>
      </c>
    </row>
    <row r="2054" spans="1:11" x14ac:dyDescent="0.25">
      <c r="A2054">
        <v>104.584767807552</v>
      </c>
      <c r="B2054">
        <v>69.470490434887296</v>
      </c>
      <c r="C2054">
        <v>2000</v>
      </c>
    </row>
    <row r="2055" spans="1:11" x14ac:dyDescent="0.25">
      <c r="A2055">
        <v>99.781491987775595</v>
      </c>
      <c r="B2055">
        <v>64.667214615111106</v>
      </c>
      <c r="C2055">
        <v>2000</v>
      </c>
    </row>
    <row r="2056" spans="1:11" x14ac:dyDescent="0.25">
      <c r="A2056">
        <v>95.943361299954304</v>
      </c>
      <c r="B2056">
        <v>60.829083927289801</v>
      </c>
      <c r="C2056">
        <v>2000</v>
      </c>
    </row>
    <row r="2057" spans="1:11" x14ac:dyDescent="0.25">
      <c r="A2057">
        <v>96.380377324403199</v>
      </c>
      <c r="B2057">
        <v>60.392067902840999</v>
      </c>
      <c r="C2057">
        <v>2001</v>
      </c>
    </row>
    <row r="2058" spans="1:11" x14ac:dyDescent="0.25">
      <c r="A2058">
        <v>100.21850801222401</v>
      </c>
      <c r="B2058">
        <v>64.230198590662198</v>
      </c>
      <c r="C2058">
        <v>2001</v>
      </c>
    </row>
    <row r="2059" spans="1:11" x14ac:dyDescent="0.25">
      <c r="A2059">
        <v>105.02178383200101</v>
      </c>
      <c r="B2059">
        <v>69.033474410438501</v>
      </c>
      <c r="C2059">
        <v>2001</v>
      </c>
    </row>
    <row r="2060" spans="1:11" x14ac:dyDescent="0.25">
      <c r="A2060">
        <v>126.641994817198</v>
      </c>
      <c r="B2060">
        <v>90.653685395635605</v>
      </c>
      <c r="C2060">
        <v>2001</v>
      </c>
    </row>
    <row r="2061" spans="1:11" x14ac:dyDescent="0.25">
      <c r="A2061">
        <v>126.204978792749</v>
      </c>
      <c r="B2061">
        <v>91.0907014200844</v>
      </c>
      <c r="C2061">
        <v>2000</v>
      </c>
    </row>
    <row r="2062" spans="1:11" x14ac:dyDescent="0.25">
      <c r="A2062" t="s">
        <v>84</v>
      </c>
    </row>
    <row r="2063" spans="1:11" x14ac:dyDescent="0.25">
      <c r="A2063">
        <v>25</v>
      </c>
      <c r="B2063">
        <v>0</v>
      </c>
      <c r="C2063">
        <v>32.389703909303897</v>
      </c>
      <c r="D2063">
        <v>9.9269012008086293</v>
      </c>
      <c r="E2063">
        <v>8</v>
      </c>
      <c r="F2063">
        <v>1.01722196789785</v>
      </c>
      <c r="G2063" t="s">
        <v>81</v>
      </c>
      <c r="H2063" t="s">
        <v>81</v>
      </c>
      <c r="I2063">
        <v>928</v>
      </c>
      <c r="J2063">
        <v>897</v>
      </c>
      <c r="K2063">
        <v>0</v>
      </c>
    </row>
    <row r="2064" spans="1:11" x14ac:dyDescent="0.25">
      <c r="A2064" t="s">
        <v>83</v>
      </c>
    </row>
    <row r="2065" spans="1:11" x14ac:dyDescent="0.25">
      <c r="A2065">
        <v>37.940064901462598</v>
      </c>
      <c r="B2065">
        <v>46.901494872240299</v>
      </c>
      <c r="C2065">
        <v>2000</v>
      </c>
    </row>
    <row r="2066" spans="1:11" x14ac:dyDescent="0.25">
      <c r="A2066">
        <v>15.0370856265694</v>
      </c>
      <c r="B2066">
        <v>23.998515597347101</v>
      </c>
      <c r="C2066">
        <v>2000</v>
      </c>
    </row>
    <row r="2067" spans="1:11" x14ac:dyDescent="0.25">
      <c r="A2067">
        <v>15.4741016510182</v>
      </c>
      <c r="B2067">
        <v>23.561499572898299</v>
      </c>
      <c r="C2067">
        <v>2001</v>
      </c>
    </row>
    <row r="2068" spans="1:11" x14ac:dyDescent="0.25">
      <c r="A2068">
        <v>38.3770809259114</v>
      </c>
      <c r="B2068">
        <v>46.464478847791497</v>
      </c>
      <c r="C2068">
        <v>2001</v>
      </c>
    </row>
    <row r="2069" spans="1:11" x14ac:dyDescent="0.25">
      <c r="A2069">
        <v>41.694094065895499</v>
      </c>
      <c r="B2069">
        <v>49.781491987775603</v>
      </c>
      <c r="C2069">
        <v>2001</v>
      </c>
    </row>
    <row r="2070" spans="1:11" x14ac:dyDescent="0.25">
      <c r="A2070">
        <v>45.396460081172101</v>
      </c>
      <c r="B2070">
        <v>53.483858003052099</v>
      </c>
      <c r="C2070">
        <v>2001</v>
      </c>
    </row>
    <row r="2071" spans="1:11" x14ac:dyDescent="0.25">
      <c r="A2071">
        <v>44.959444056723299</v>
      </c>
      <c r="B2071">
        <v>53.920874027501</v>
      </c>
      <c r="C2071">
        <v>2000</v>
      </c>
    </row>
    <row r="2072" spans="1:11" x14ac:dyDescent="0.25">
      <c r="A2072">
        <v>41.257078041446697</v>
      </c>
      <c r="B2072">
        <v>50.218508012224397</v>
      </c>
      <c r="C2072">
        <v>2000</v>
      </c>
    </row>
    <row r="2073" spans="1:11" x14ac:dyDescent="0.25">
      <c r="A2073" t="s">
        <v>84</v>
      </c>
    </row>
    <row r="2074" spans="1:11" x14ac:dyDescent="0.25">
      <c r="A2074">
        <v>979</v>
      </c>
      <c r="B2074">
        <v>0</v>
      </c>
      <c r="C2074">
        <v>26.713013033227298</v>
      </c>
      <c r="D2074">
        <v>15.5281929688619</v>
      </c>
      <c r="E2074">
        <v>10</v>
      </c>
      <c r="F2074">
        <v>1.01722196789785</v>
      </c>
      <c r="G2074" t="s">
        <v>81</v>
      </c>
      <c r="H2074" t="s">
        <v>81</v>
      </c>
      <c r="I2074">
        <v>752</v>
      </c>
      <c r="J2074">
        <v>891</v>
      </c>
      <c r="K2074">
        <v>0.108134401500911</v>
      </c>
    </row>
    <row r="2075" spans="1:11" x14ac:dyDescent="0.25">
      <c r="A2075" t="s">
        <v>83</v>
      </c>
    </row>
    <row r="2076" spans="1:11" x14ac:dyDescent="0.25">
      <c r="A2076">
        <v>91.227790495956995</v>
      </c>
      <c r="B2076">
        <v>91.368343843779897</v>
      </c>
      <c r="C2076">
        <v>2000</v>
      </c>
    </row>
    <row r="2077" spans="1:11" x14ac:dyDescent="0.25">
      <c r="A2077">
        <v>72.338837834237395</v>
      </c>
      <c r="B2077">
        <v>72.479391182060297</v>
      </c>
      <c r="C2077">
        <v>2000</v>
      </c>
    </row>
    <row r="2078" spans="1:11" x14ac:dyDescent="0.25">
      <c r="A2078">
        <v>72.775853858686204</v>
      </c>
      <c r="B2078">
        <v>72.042375157611403</v>
      </c>
      <c r="C2078">
        <v>2001</v>
      </c>
    </row>
    <row r="2079" spans="1:11" x14ac:dyDescent="0.25">
      <c r="A2079">
        <v>91.664806520405804</v>
      </c>
      <c r="B2079">
        <v>90.931327819331003</v>
      </c>
      <c r="C2079">
        <v>2001</v>
      </c>
    </row>
    <row r="2080" spans="1:11" x14ac:dyDescent="0.25">
      <c r="A2080">
        <v>100.21850801222401</v>
      </c>
      <c r="B2080">
        <v>99.485029311149603</v>
      </c>
      <c r="C2080">
        <v>2001</v>
      </c>
    </row>
    <row r="2081" spans="1:11" x14ac:dyDescent="0.25">
      <c r="A2081">
        <v>100.51497068885</v>
      </c>
      <c r="B2081">
        <v>99.781491987775595</v>
      </c>
      <c r="C2081">
        <v>2001</v>
      </c>
    </row>
    <row r="2082" spans="1:11" x14ac:dyDescent="0.25">
      <c r="A2082">
        <v>102.644897068261</v>
      </c>
      <c r="B2082">
        <v>101.911418367187</v>
      </c>
      <c r="C2082">
        <v>2001</v>
      </c>
    </row>
    <row r="2083" spans="1:11" x14ac:dyDescent="0.25">
      <c r="A2083">
        <v>102.20788104381199</v>
      </c>
      <c r="B2083">
        <v>102.348434391635</v>
      </c>
      <c r="C2083">
        <v>2000</v>
      </c>
    </row>
    <row r="2084" spans="1:11" x14ac:dyDescent="0.25">
      <c r="A2084">
        <v>100.077954664402</v>
      </c>
      <c r="B2084">
        <v>100.21850801222401</v>
      </c>
      <c r="C2084">
        <v>2000</v>
      </c>
    </row>
    <row r="2085" spans="1:11" x14ac:dyDescent="0.25">
      <c r="A2085">
        <v>99.781491987775595</v>
      </c>
      <c r="B2085">
        <v>99.922045335598497</v>
      </c>
      <c r="C2085">
        <v>2000</v>
      </c>
    </row>
    <row r="2086" spans="1:11" x14ac:dyDescent="0.25">
      <c r="A2086" t="s">
        <v>84</v>
      </c>
    </row>
    <row r="2087" spans="1:11" x14ac:dyDescent="0.25">
      <c r="A2087">
        <v>958</v>
      </c>
      <c r="B2087">
        <v>0</v>
      </c>
      <c r="C2087">
        <v>2.4576354562807099</v>
      </c>
      <c r="D2087">
        <v>39.694689417103298</v>
      </c>
      <c r="E2087">
        <v>6</v>
      </c>
      <c r="F2087">
        <v>1.01722196789785</v>
      </c>
      <c r="G2087" t="s">
        <v>81</v>
      </c>
      <c r="H2087" t="s">
        <v>82</v>
      </c>
      <c r="I2087">
        <v>101</v>
      </c>
      <c r="J2087">
        <v>0</v>
      </c>
      <c r="K2087">
        <v>0.107039270283285</v>
      </c>
    </row>
    <row r="2088" spans="1:11" x14ac:dyDescent="0.25">
      <c r="A2088" t="s">
        <v>83</v>
      </c>
    </row>
    <row r="2089" spans="1:11" x14ac:dyDescent="0.25">
      <c r="A2089">
        <v>56.335494384579398</v>
      </c>
      <c r="B2089">
        <v>122.137384128134</v>
      </c>
      <c r="C2089">
        <v>2000</v>
      </c>
    </row>
    <row r="2090" spans="1:11" x14ac:dyDescent="0.25">
      <c r="A2090">
        <v>54.610423507921503</v>
      </c>
      <c r="B2090">
        <v>120.41231325147599</v>
      </c>
      <c r="C2090">
        <v>2000</v>
      </c>
    </row>
    <row r="2091" spans="1:11" x14ac:dyDescent="0.25">
      <c r="A2091">
        <v>55.047439532370298</v>
      </c>
      <c r="B2091">
        <v>119.975297227027</v>
      </c>
      <c r="C2091">
        <v>2001</v>
      </c>
    </row>
    <row r="2092" spans="1:11" x14ac:dyDescent="0.25">
      <c r="A2092">
        <v>56.797990049353501</v>
      </c>
      <c r="B2092">
        <v>121.72584774401101</v>
      </c>
      <c r="C2092">
        <v>2001</v>
      </c>
    </row>
    <row r="2093" spans="1:11" x14ac:dyDescent="0.25">
      <c r="A2093">
        <v>85.072142305342894</v>
      </c>
      <c r="B2093">
        <v>150</v>
      </c>
      <c r="C2093">
        <v>2001</v>
      </c>
    </row>
    <row r="2094" spans="1:11" x14ac:dyDescent="0.25">
      <c r="A2094">
        <v>84.198110256445304</v>
      </c>
      <c r="B2094">
        <v>150</v>
      </c>
      <c r="C2094">
        <v>2000</v>
      </c>
    </row>
    <row r="2095" spans="1:11" x14ac:dyDescent="0.25">
      <c r="A2095" t="s">
        <v>84</v>
      </c>
    </row>
    <row r="2096" spans="1:11" x14ac:dyDescent="0.25">
      <c r="A2096">
        <v>919</v>
      </c>
      <c r="B2096">
        <v>0</v>
      </c>
      <c r="C2096">
        <v>39.1021312331806</v>
      </c>
      <c r="D2096">
        <v>2.8020215683302498</v>
      </c>
      <c r="E2096">
        <v>8</v>
      </c>
      <c r="F2096">
        <v>1.01722196789785</v>
      </c>
      <c r="G2096" t="s">
        <v>81</v>
      </c>
      <c r="H2096" t="s">
        <v>81</v>
      </c>
      <c r="I2096">
        <v>652</v>
      </c>
      <c r="J2096">
        <v>332</v>
      </c>
      <c r="K2096">
        <v>0.10530400139967799</v>
      </c>
    </row>
    <row r="2097" spans="1:11" x14ac:dyDescent="0.25">
      <c r="A2097" t="s">
        <v>83</v>
      </c>
    </row>
    <row r="2098" spans="1:11" x14ac:dyDescent="0.25">
      <c r="A2098">
        <v>94.815109252373404</v>
      </c>
      <c r="B2098">
        <v>113.312549402622</v>
      </c>
      <c r="C2098">
        <v>2000</v>
      </c>
    </row>
    <row r="2099" spans="1:11" x14ac:dyDescent="0.25">
      <c r="A2099">
        <v>81.2840518375274</v>
      </c>
      <c r="B2099">
        <v>99.781491987775595</v>
      </c>
      <c r="C2099">
        <v>2000</v>
      </c>
    </row>
    <row r="2100" spans="1:11" x14ac:dyDescent="0.25">
      <c r="A2100">
        <v>67.165727098545105</v>
      </c>
      <c r="B2100">
        <v>85.6631672487933</v>
      </c>
      <c r="C2100">
        <v>2000</v>
      </c>
    </row>
    <row r="2101" spans="1:11" x14ac:dyDescent="0.25">
      <c r="A2101">
        <v>66.728711074096296</v>
      </c>
      <c r="B2101">
        <v>86.100183273242095</v>
      </c>
      <c r="C2101">
        <v>2001</v>
      </c>
    </row>
    <row r="2102" spans="1:11" x14ac:dyDescent="0.25">
      <c r="A2102">
        <v>80.847035813078506</v>
      </c>
      <c r="B2102">
        <v>100.21850801222401</v>
      </c>
      <c r="C2102">
        <v>2001</v>
      </c>
    </row>
    <row r="2103" spans="1:11" x14ac:dyDescent="0.25">
      <c r="A2103">
        <v>94.378093227924595</v>
      </c>
      <c r="B2103">
        <v>113.74956542707</v>
      </c>
      <c r="C2103">
        <v>2001</v>
      </c>
    </row>
    <row r="2104" spans="1:11" x14ac:dyDescent="0.25">
      <c r="A2104">
        <v>96.359421679921894</v>
      </c>
      <c r="B2104">
        <v>115.73089387906801</v>
      </c>
      <c r="C2104">
        <v>2001</v>
      </c>
    </row>
    <row r="2105" spans="1:11" x14ac:dyDescent="0.25">
      <c r="A2105">
        <v>96.796437704370703</v>
      </c>
      <c r="B2105">
        <v>115.293877854619</v>
      </c>
      <c r="C2105">
        <v>2000</v>
      </c>
    </row>
    <row r="2106" spans="1:11" x14ac:dyDescent="0.25">
      <c r="A2106" t="s">
        <v>84</v>
      </c>
    </row>
    <row r="2107" spans="1:11" x14ac:dyDescent="0.25">
      <c r="A2107">
        <v>996</v>
      </c>
      <c r="B2107">
        <v>0</v>
      </c>
      <c r="C2107">
        <v>31.749475393784401</v>
      </c>
      <c r="D2107">
        <v>9.7452711693709908</v>
      </c>
      <c r="E2107">
        <v>6</v>
      </c>
      <c r="F2107">
        <v>1.01722196789785</v>
      </c>
      <c r="G2107" t="s">
        <v>81</v>
      </c>
      <c r="H2107" t="s">
        <v>81</v>
      </c>
      <c r="I2107">
        <v>402</v>
      </c>
      <c r="J2107">
        <v>419</v>
      </c>
      <c r="K2107">
        <v>0.10958376574027801</v>
      </c>
    </row>
    <row r="2108" spans="1:11" x14ac:dyDescent="0.25">
      <c r="A2108" t="s">
        <v>83</v>
      </c>
    </row>
    <row r="2109" spans="1:11" x14ac:dyDescent="0.25">
      <c r="A2109">
        <v>33.799098956309599</v>
      </c>
      <c r="B2109">
        <v>131.55712640823199</v>
      </c>
      <c r="C2109">
        <v>2000</v>
      </c>
    </row>
    <row r="2110" spans="1:11" x14ac:dyDescent="0.25">
      <c r="A2110">
        <v>11.3488296062492</v>
      </c>
      <c r="B2110">
        <v>109.106857058172</v>
      </c>
      <c r="C2110">
        <v>2000</v>
      </c>
    </row>
    <row r="2111" spans="1:11" x14ac:dyDescent="0.25">
      <c r="A2111">
        <v>11.785845630698001</v>
      </c>
      <c r="B2111">
        <v>108.669841033723</v>
      </c>
      <c r="C2111">
        <v>2001</v>
      </c>
    </row>
    <row r="2112" spans="1:11" x14ac:dyDescent="0.25">
      <c r="A2112">
        <v>34.236114980758401</v>
      </c>
      <c r="B2112">
        <v>131.12011038378299</v>
      </c>
      <c r="C2112">
        <v>2001</v>
      </c>
    </row>
    <row r="2113" spans="1:11" x14ac:dyDescent="0.25">
      <c r="A2113">
        <v>41.127062309122401</v>
      </c>
      <c r="B2113">
        <v>138.01105771214699</v>
      </c>
      <c r="C2113">
        <v>2001</v>
      </c>
    </row>
    <row r="2114" spans="1:11" x14ac:dyDescent="0.25">
      <c r="A2114">
        <v>40.690046284673599</v>
      </c>
      <c r="B2114">
        <v>138.448073736596</v>
      </c>
      <c r="C2114">
        <v>2000</v>
      </c>
    </row>
    <row r="2115" spans="1:11" x14ac:dyDescent="0.25">
      <c r="A2115" t="s">
        <v>84</v>
      </c>
    </row>
    <row r="2116" spans="1:11" x14ac:dyDescent="0.25">
      <c r="A2116">
        <v>434</v>
      </c>
      <c r="B2116">
        <v>0</v>
      </c>
      <c r="C2116">
        <v>37.041081192864802</v>
      </c>
      <c r="D2116">
        <v>4.4055926097577203</v>
      </c>
      <c r="E2116">
        <v>8</v>
      </c>
      <c r="F2116">
        <v>1.01722196789785</v>
      </c>
      <c r="G2116" t="s">
        <v>82</v>
      </c>
      <c r="H2116" t="s">
        <v>81</v>
      </c>
      <c r="I2116">
        <v>0</v>
      </c>
      <c r="J2116">
        <v>440</v>
      </c>
      <c r="K2116">
        <v>0</v>
      </c>
    </row>
    <row r="2117" spans="1:11" x14ac:dyDescent="0.25">
      <c r="A2117" t="s">
        <v>83</v>
      </c>
    </row>
    <row r="2118" spans="1:11" x14ac:dyDescent="0.25">
      <c r="A2118">
        <v>26.388880510170399</v>
      </c>
      <c r="B2118">
        <v>115.20644987814801</v>
      </c>
      <c r="C2118">
        <v>2000</v>
      </c>
    </row>
    <row r="2119" spans="1:11" x14ac:dyDescent="0.25">
      <c r="A2119">
        <v>10.8350587437171</v>
      </c>
      <c r="B2119">
        <v>99.652628111694398</v>
      </c>
      <c r="C2119">
        <v>2000</v>
      </c>
    </row>
    <row r="2120" spans="1:11" x14ac:dyDescent="0.25">
      <c r="A2120">
        <v>0</v>
      </c>
      <c r="B2120">
        <v>88.817569367977299</v>
      </c>
      <c r="C2120">
        <v>2000</v>
      </c>
    </row>
    <row r="2121" spans="1:11" x14ac:dyDescent="0.25">
      <c r="A2121">
        <v>0</v>
      </c>
      <c r="B2121">
        <v>89.691601416874903</v>
      </c>
      <c r="C2121">
        <v>2001</v>
      </c>
    </row>
    <row r="2122" spans="1:11" x14ac:dyDescent="0.25">
      <c r="A2122">
        <v>10.655770471430699</v>
      </c>
      <c r="B2122">
        <v>100.347371888306</v>
      </c>
      <c r="C2122">
        <v>2001</v>
      </c>
    </row>
    <row r="2123" spans="1:11" x14ac:dyDescent="0.25">
      <c r="A2123">
        <v>25.995118877742001</v>
      </c>
      <c r="B2123">
        <v>115.686720294617</v>
      </c>
      <c r="C2123">
        <v>2001</v>
      </c>
    </row>
    <row r="2124" spans="1:11" x14ac:dyDescent="0.25">
      <c r="A2124">
        <v>29.088716091236801</v>
      </c>
      <c r="B2124">
        <v>118.78031750811201</v>
      </c>
      <c r="C2124">
        <v>2001</v>
      </c>
    </row>
    <row r="2125" spans="1:11" x14ac:dyDescent="0.25">
      <c r="A2125">
        <v>29.525732115685699</v>
      </c>
      <c r="B2125">
        <v>118.343301483663</v>
      </c>
      <c r="C2125">
        <v>2000</v>
      </c>
    </row>
    <row r="2126" spans="1:11" x14ac:dyDescent="0.25">
      <c r="A2126" t="s">
        <v>84</v>
      </c>
    </row>
    <row r="2127" spans="1:11" x14ac:dyDescent="0.25">
      <c r="A2127">
        <v>755</v>
      </c>
      <c r="B2127">
        <v>0</v>
      </c>
      <c r="C2127">
        <v>14.548170907750199</v>
      </c>
      <c r="D2127">
        <v>26.740730927795099</v>
      </c>
      <c r="E2127">
        <v>8</v>
      </c>
      <c r="F2127">
        <v>1.01722196789785</v>
      </c>
      <c r="G2127" t="s">
        <v>81</v>
      </c>
      <c r="H2127" t="s">
        <v>81</v>
      </c>
      <c r="I2127">
        <v>176</v>
      </c>
      <c r="J2127">
        <v>872</v>
      </c>
      <c r="K2127">
        <v>0.100785207567138</v>
      </c>
    </row>
    <row r="2128" spans="1:11" x14ac:dyDescent="0.25">
      <c r="A2128" t="s">
        <v>83</v>
      </c>
    </row>
    <row r="2129" spans="1:11" x14ac:dyDescent="0.25">
      <c r="A2129">
        <v>93.366162378981599</v>
      </c>
      <c r="B2129">
        <v>14.142463110449199</v>
      </c>
      <c r="C2129">
        <v>2000</v>
      </c>
    </row>
    <row r="2130" spans="1:11" x14ac:dyDescent="0.25">
      <c r="A2130">
        <v>83.079052076250605</v>
      </c>
      <c r="B2130">
        <v>3.85535280771821</v>
      </c>
      <c r="C2130">
        <v>2000</v>
      </c>
    </row>
    <row r="2131" spans="1:11" x14ac:dyDescent="0.25">
      <c r="A2131">
        <v>83.5160681006994</v>
      </c>
      <c r="B2131">
        <v>3.4183367832693898</v>
      </c>
      <c r="C2131">
        <v>2001</v>
      </c>
    </row>
    <row r="2132" spans="1:11" x14ac:dyDescent="0.25">
      <c r="A2132">
        <v>93.803178403430394</v>
      </c>
      <c r="B2132">
        <v>13.705447086000399</v>
      </c>
      <c r="C2132">
        <v>2001</v>
      </c>
    </row>
    <row r="2133" spans="1:11" x14ac:dyDescent="0.25">
      <c r="A2133">
        <v>100.21850801222401</v>
      </c>
      <c r="B2133">
        <v>20.120776694794401</v>
      </c>
      <c r="C2133">
        <v>2001</v>
      </c>
    </row>
    <row r="2134" spans="1:11" x14ac:dyDescent="0.25">
      <c r="A2134">
        <v>112.711730576359</v>
      </c>
      <c r="B2134">
        <v>32.613999258929098</v>
      </c>
      <c r="C2134">
        <v>2001</v>
      </c>
    </row>
    <row r="2135" spans="1:11" x14ac:dyDescent="0.25">
      <c r="A2135">
        <v>112.27471455190999</v>
      </c>
      <c r="B2135">
        <v>33.0510152833779</v>
      </c>
      <c r="C2135">
        <v>2000</v>
      </c>
    </row>
    <row r="2136" spans="1:11" x14ac:dyDescent="0.25">
      <c r="A2136">
        <v>99.781491987775595</v>
      </c>
      <c r="B2136">
        <v>20.557792719243199</v>
      </c>
      <c r="C2136">
        <v>2000</v>
      </c>
    </row>
    <row r="2137" spans="1:11" x14ac:dyDescent="0.25">
      <c r="A2137" t="s">
        <v>84</v>
      </c>
    </row>
    <row r="2138" spans="1:11" x14ac:dyDescent="0.25">
      <c r="A2138">
        <v>36</v>
      </c>
      <c r="B2138">
        <v>0</v>
      </c>
      <c r="C2138">
        <v>38.2517754952666</v>
      </c>
      <c r="D2138">
        <v>2.1242907756053002</v>
      </c>
      <c r="E2138">
        <v>6</v>
      </c>
      <c r="F2138">
        <v>1.01722196789785</v>
      </c>
      <c r="G2138" t="s">
        <v>82</v>
      </c>
      <c r="H2138" t="s">
        <v>81</v>
      </c>
      <c r="I2138">
        <v>0</v>
      </c>
      <c r="J2138">
        <v>39</v>
      </c>
      <c r="K2138">
        <v>0</v>
      </c>
    </row>
    <row r="2139" spans="1:11" x14ac:dyDescent="0.25">
      <c r="A2139" t="s">
        <v>83</v>
      </c>
    </row>
    <row r="2140" spans="1:11" x14ac:dyDescent="0.25">
      <c r="A2140">
        <v>27.255101577560499</v>
      </c>
      <c r="B2140">
        <v>44.341962720964197</v>
      </c>
      <c r="C2140">
        <v>2000</v>
      </c>
    </row>
    <row r="2141" spans="1:11" x14ac:dyDescent="0.25">
      <c r="A2141">
        <v>0</v>
      </c>
      <c r="B2141">
        <v>17.086861143403699</v>
      </c>
      <c r="C2141">
        <v>2000</v>
      </c>
    </row>
    <row r="2142" spans="1:11" x14ac:dyDescent="0.25">
      <c r="A2142">
        <v>0</v>
      </c>
      <c r="B2142">
        <v>17.960893192301398</v>
      </c>
      <c r="C2142">
        <v>2001</v>
      </c>
    </row>
    <row r="2143" spans="1:11" x14ac:dyDescent="0.25">
      <c r="A2143">
        <v>26.841078112696302</v>
      </c>
      <c r="B2143">
        <v>44.8019713049977</v>
      </c>
      <c r="C2143">
        <v>2001</v>
      </c>
    </row>
    <row r="2144" spans="1:11" x14ac:dyDescent="0.25">
      <c r="A2144">
        <v>28.331682245546499</v>
      </c>
      <c r="B2144">
        <v>46.292575437847901</v>
      </c>
      <c r="C2144">
        <v>2001</v>
      </c>
    </row>
    <row r="2145" spans="1:11" x14ac:dyDescent="0.25">
      <c r="A2145">
        <v>28.768698269995401</v>
      </c>
      <c r="B2145">
        <v>45.855559413399099</v>
      </c>
      <c r="C2145">
        <v>2000</v>
      </c>
    </row>
    <row r="2146" spans="1:11" x14ac:dyDescent="0.25">
      <c r="A2146" t="s">
        <v>84</v>
      </c>
    </row>
    <row r="2147" spans="1:11" x14ac:dyDescent="0.25">
      <c r="A2147">
        <v>736</v>
      </c>
      <c r="B2147">
        <v>0</v>
      </c>
      <c r="C2147">
        <v>5.1316266706686502</v>
      </c>
      <c r="D2147">
        <v>35.184510078480798</v>
      </c>
      <c r="E2147">
        <v>8</v>
      </c>
      <c r="F2147">
        <v>1.01722196789785</v>
      </c>
      <c r="G2147" t="s">
        <v>81</v>
      </c>
      <c r="H2147" t="s">
        <v>82</v>
      </c>
      <c r="I2147">
        <v>734</v>
      </c>
      <c r="J2147">
        <v>0</v>
      </c>
      <c r="K2147">
        <v>0.102125662797643</v>
      </c>
    </row>
    <row r="2148" spans="1:11" x14ac:dyDescent="0.25">
      <c r="A2148" t="s">
        <v>83</v>
      </c>
    </row>
    <row r="2149" spans="1:11" x14ac:dyDescent="0.25">
      <c r="A2149">
        <v>82.483171027348305</v>
      </c>
      <c r="B2149">
        <v>124.928749302813</v>
      </c>
      <c r="C2149">
        <v>2000</v>
      </c>
    </row>
    <row r="2150" spans="1:11" x14ac:dyDescent="0.25">
      <c r="A2150">
        <v>78.828100025742998</v>
      </c>
      <c r="B2150">
        <v>121.27367830120799</v>
      </c>
      <c r="C2150">
        <v>2000</v>
      </c>
    </row>
    <row r="2151" spans="1:11" x14ac:dyDescent="0.25">
      <c r="A2151">
        <v>78.391084001294203</v>
      </c>
      <c r="B2151">
        <v>121.710694325657</v>
      </c>
      <c r="C2151">
        <v>2001</v>
      </c>
    </row>
    <row r="2152" spans="1:11" x14ac:dyDescent="0.25">
      <c r="A2152">
        <v>81.993229034384001</v>
      </c>
      <c r="B2152">
        <v>125.312839358746</v>
      </c>
      <c r="C2152">
        <v>2001</v>
      </c>
    </row>
    <row r="2153" spans="1:11" x14ac:dyDescent="0.25">
      <c r="A2153">
        <v>99.625494418705898</v>
      </c>
      <c r="B2153">
        <v>142.94510474306799</v>
      </c>
      <c r="C2153">
        <v>2001</v>
      </c>
    </row>
    <row r="2154" spans="1:11" x14ac:dyDescent="0.25">
      <c r="A2154">
        <v>106.680389675638</v>
      </c>
      <c r="B2154">
        <v>150</v>
      </c>
      <c r="C2154">
        <v>2001</v>
      </c>
    </row>
    <row r="2155" spans="1:11" x14ac:dyDescent="0.25">
      <c r="A2155">
        <v>107.554421724535</v>
      </c>
      <c r="B2155">
        <v>150</v>
      </c>
      <c r="C2155">
        <v>2000</v>
      </c>
    </row>
    <row r="2156" spans="1:11" x14ac:dyDescent="0.25">
      <c r="A2156">
        <v>100.374505581294</v>
      </c>
      <c r="B2156">
        <v>142.820083856759</v>
      </c>
      <c r="C2156">
        <v>2000</v>
      </c>
    </row>
    <row r="2157" spans="1:11" x14ac:dyDescent="0.25">
      <c r="A2157" t="s">
        <v>84</v>
      </c>
    </row>
    <row r="2158" spans="1:11" x14ac:dyDescent="0.25">
      <c r="A2158">
        <v>732</v>
      </c>
      <c r="B2158">
        <v>0</v>
      </c>
      <c r="C2158">
        <v>26.189932126877299</v>
      </c>
      <c r="D2158">
        <v>13.9225155628517</v>
      </c>
      <c r="E2158">
        <v>8</v>
      </c>
      <c r="F2158">
        <v>1.01722196789785</v>
      </c>
      <c r="G2158" t="s">
        <v>81</v>
      </c>
      <c r="H2158" t="s">
        <v>81</v>
      </c>
      <c r="I2158">
        <v>119</v>
      </c>
      <c r="J2158">
        <v>995</v>
      </c>
      <c r="K2158">
        <v>0.101113411737407</v>
      </c>
    </row>
    <row r="2159" spans="1:11" x14ac:dyDescent="0.25">
      <c r="A2159" t="s">
        <v>83</v>
      </c>
    </row>
    <row r="2160" spans="1:11" x14ac:dyDescent="0.25">
      <c r="A2160">
        <v>81.998590926643502</v>
      </c>
      <c r="B2160">
        <v>108.641101776916</v>
      </c>
      <c r="C2160">
        <v>2000</v>
      </c>
    </row>
    <row r="2161" spans="1:11" x14ac:dyDescent="0.25">
      <c r="A2161">
        <v>73.575997161951605</v>
      </c>
      <c r="B2161">
        <v>100.21850801222401</v>
      </c>
      <c r="C2161">
        <v>2000</v>
      </c>
    </row>
    <row r="2162" spans="1:11" x14ac:dyDescent="0.25">
      <c r="A2162">
        <v>63.479512320913102</v>
      </c>
      <c r="B2162">
        <v>90.122023171185901</v>
      </c>
      <c r="C2162">
        <v>2000</v>
      </c>
    </row>
    <row r="2163" spans="1:11" x14ac:dyDescent="0.25">
      <c r="A2163">
        <v>63.916528345362003</v>
      </c>
      <c r="B2163">
        <v>89.685007146737107</v>
      </c>
      <c r="C2163">
        <v>2001</v>
      </c>
    </row>
    <row r="2164" spans="1:11" x14ac:dyDescent="0.25">
      <c r="A2164">
        <v>74.0130131864004</v>
      </c>
      <c r="B2164">
        <v>99.781491987775595</v>
      </c>
      <c r="C2164">
        <v>2001</v>
      </c>
    </row>
    <row r="2165" spans="1:11" x14ac:dyDescent="0.25">
      <c r="A2165">
        <v>82.435606951092396</v>
      </c>
      <c r="B2165">
        <v>108.20408575246699</v>
      </c>
      <c r="C2165">
        <v>2001</v>
      </c>
    </row>
    <row r="2166" spans="1:11" x14ac:dyDescent="0.25">
      <c r="A2166">
        <v>92.280312116760001</v>
      </c>
      <c r="B2166">
        <v>118.048790918135</v>
      </c>
      <c r="C2166">
        <v>2001</v>
      </c>
    </row>
    <row r="2167" spans="1:11" x14ac:dyDescent="0.25">
      <c r="A2167">
        <v>91.843296092311206</v>
      </c>
      <c r="B2167">
        <v>118.48580694258401</v>
      </c>
      <c r="C2167">
        <v>2000</v>
      </c>
    </row>
    <row r="2168" spans="1:11" x14ac:dyDescent="0.25">
      <c r="A2168" t="s">
        <v>84</v>
      </c>
    </row>
    <row r="2169" spans="1:11" x14ac:dyDescent="0.25">
      <c r="A2169">
        <v>745</v>
      </c>
      <c r="B2169">
        <v>0</v>
      </c>
      <c r="C2169">
        <v>28.499732997058199</v>
      </c>
      <c r="D2169">
        <v>11.284066800854401</v>
      </c>
      <c r="E2169">
        <v>8</v>
      </c>
      <c r="F2169">
        <v>1.01722196789785</v>
      </c>
      <c r="G2169" t="s">
        <v>81</v>
      </c>
      <c r="H2169" t="s">
        <v>81</v>
      </c>
      <c r="I2169">
        <v>938</v>
      </c>
      <c r="J2169">
        <v>985</v>
      </c>
      <c r="K2169">
        <v>9.9787223602304201E-2</v>
      </c>
    </row>
    <row r="2170" spans="1:11" x14ac:dyDescent="0.25">
      <c r="A2170" t="s">
        <v>83</v>
      </c>
    </row>
    <row r="2171" spans="1:11" x14ac:dyDescent="0.25">
      <c r="A2171">
        <v>67.985026449893894</v>
      </c>
      <c r="B2171">
        <v>81.620911620376305</v>
      </c>
      <c r="C2171">
        <v>2000</v>
      </c>
    </row>
    <row r="2172" spans="1:11" x14ac:dyDescent="0.25">
      <c r="A2172">
        <v>49.781491987775603</v>
      </c>
      <c r="B2172">
        <v>63.417377158257999</v>
      </c>
      <c r="C2172">
        <v>2000</v>
      </c>
    </row>
    <row r="2173" spans="1:11" x14ac:dyDescent="0.25">
      <c r="A2173">
        <v>47.832671985668</v>
      </c>
      <c r="B2173">
        <v>61.468557156150503</v>
      </c>
      <c r="C2173">
        <v>2000</v>
      </c>
    </row>
    <row r="2174" spans="1:11" x14ac:dyDescent="0.25">
      <c r="A2174">
        <v>48.269688010116901</v>
      </c>
      <c r="B2174">
        <v>61.031541131701601</v>
      </c>
      <c r="C2174">
        <v>2001</v>
      </c>
    </row>
    <row r="2175" spans="1:11" x14ac:dyDescent="0.25">
      <c r="A2175">
        <v>50.218508012224397</v>
      </c>
      <c r="B2175">
        <v>62.980361133809197</v>
      </c>
      <c r="C2175">
        <v>2001</v>
      </c>
    </row>
    <row r="2176" spans="1:11" x14ac:dyDescent="0.25">
      <c r="A2176">
        <v>68.422042474342703</v>
      </c>
      <c r="B2176">
        <v>81.183895595927495</v>
      </c>
      <c r="C2176">
        <v>2001</v>
      </c>
    </row>
    <row r="2177" spans="1:11" x14ac:dyDescent="0.25">
      <c r="A2177">
        <v>76.401082628588895</v>
      </c>
      <c r="B2177">
        <v>89.162935750173702</v>
      </c>
      <c r="C2177">
        <v>2001</v>
      </c>
    </row>
    <row r="2178" spans="1:11" x14ac:dyDescent="0.25">
      <c r="A2178">
        <v>75.9640666041401</v>
      </c>
      <c r="B2178">
        <v>89.599951774622497</v>
      </c>
      <c r="C2178">
        <v>2000</v>
      </c>
    </row>
    <row r="2179" spans="1:11" x14ac:dyDescent="0.25">
      <c r="A2179" t="s">
        <v>84</v>
      </c>
    </row>
    <row r="2180" spans="1:11" x14ac:dyDescent="0.25">
      <c r="A2180">
        <v>1003</v>
      </c>
      <c r="B2180">
        <v>0</v>
      </c>
      <c r="C2180">
        <v>14.161815298124599</v>
      </c>
      <c r="D2180">
        <v>25.621984499788098</v>
      </c>
      <c r="E2180">
        <v>8</v>
      </c>
      <c r="F2180">
        <v>1.01722196789785</v>
      </c>
      <c r="G2180" t="s">
        <v>81</v>
      </c>
      <c r="H2180" t="s">
        <v>81</v>
      </c>
      <c r="I2180">
        <v>938</v>
      </c>
      <c r="J2180">
        <v>985</v>
      </c>
      <c r="K2180">
        <v>0.110239492672438</v>
      </c>
    </row>
    <row r="2181" spans="1:11" x14ac:dyDescent="0.25">
      <c r="A2181" t="s">
        <v>83</v>
      </c>
    </row>
    <row r="2182" spans="1:11" x14ac:dyDescent="0.25">
      <c r="A2182">
        <v>58.9170471843832</v>
      </c>
      <c r="B2182">
        <v>70.412013219865798</v>
      </c>
      <c r="C2182">
        <v>2000</v>
      </c>
    </row>
    <row r="2183" spans="1:11" x14ac:dyDescent="0.25">
      <c r="A2183">
        <v>50.218508012224397</v>
      </c>
      <c r="B2183">
        <v>61.713474047707003</v>
      </c>
      <c r="C2183">
        <v>2000</v>
      </c>
    </row>
    <row r="2184" spans="1:11" x14ac:dyDescent="0.25">
      <c r="A2184">
        <v>48.903131553168002</v>
      </c>
      <c r="B2184">
        <v>60.398097588650501</v>
      </c>
      <c r="C2184">
        <v>2000</v>
      </c>
    </row>
    <row r="2185" spans="1:11" x14ac:dyDescent="0.25">
      <c r="A2185">
        <v>48.466115528719101</v>
      </c>
      <c r="B2185">
        <v>60.835113613099402</v>
      </c>
      <c r="C2185">
        <v>2001</v>
      </c>
    </row>
    <row r="2186" spans="1:11" x14ac:dyDescent="0.25">
      <c r="A2186">
        <v>49.781491987775603</v>
      </c>
      <c r="B2186">
        <v>62.150490072155797</v>
      </c>
      <c r="C2186">
        <v>2001</v>
      </c>
    </row>
    <row r="2187" spans="1:11" x14ac:dyDescent="0.25">
      <c r="A2187">
        <v>58.480031159934398</v>
      </c>
      <c r="B2187">
        <v>70.849029244314593</v>
      </c>
      <c r="C2187">
        <v>2001</v>
      </c>
    </row>
    <row r="2188" spans="1:11" x14ac:dyDescent="0.25">
      <c r="A2188">
        <v>76.597510147191201</v>
      </c>
      <c r="B2188">
        <v>88.966508231571396</v>
      </c>
      <c r="C2188">
        <v>2001</v>
      </c>
    </row>
    <row r="2189" spans="1:11" x14ac:dyDescent="0.25">
      <c r="A2189">
        <v>77.034526171639996</v>
      </c>
      <c r="B2189">
        <v>88.529492207122601</v>
      </c>
      <c r="C2189">
        <v>2000</v>
      </c>
    </row>
    <row r="2190" spans="1:11" x14ac:dyDescent="0.25">
      <c r="A2190" t="s">
        <v>84</v>
      </c>
    </row>
    <row r="2191" spans="1:11" x14ac:dyDescent="0.25">
      <c r="A2191">
        <v>757</v>
      </c>
      <c r="B2191">
        <v>0</v>
      </c>
      <c r="C2191">
        <v>29.630761513878301</v>
      </c>
      <c r="D2191">
        <v>10.051550633817</v>
      </c>
      <c r="E2191">
        <v>6</v>
      </c>
      <c r="F2191">
        <v>1.01722196789785</v>
      </c>
      <c r="G2191" t="s">
        <v>81</v>
      </c>
      <c r="H2191" t="s">
        <v>81</v>
      </c>
      <c r="I2191">
        <v>915</v>
      </c>
      <c r="J2191">
        <v>667</v>
      </c>
      <c r="K2191">
        <v>0.101399532687084</v>
      </c>
    </row>
    <row r="2192" spans="1:11" x14ac:dyDescent="0.25">
      <c r="A2192" t="s">
        <v>83</v>
      </c>
    </row>
    <row r="2193" spans="1:11" x14ac:dyDescent="0.25">
      <c r="A2193">
        <v>73.786364836514295</v>
      </c>
      <c r="B2193">
        <v>37.144444803313398</v>
      </c>
      <c r="C2193">
        <v>2000</v>
      </c>
    </row>
    <row r="2194" spans="1:11" x14ac:dyDescent="0.25">
      <c r="A2194">
        <v>52.834252438329599</v>
      </c>
      <c r="B2194">
        <v>16.192332405128699</v>
      </c>
      <c r="C2194">
        <v>2000</v>
      </c>
    </row>
    <row r="2195" spans="1:11" x14ac:dyDescent="0.25">
      <c r="A2195">
        <v>52.397236413880798</v>
      </c>
      <c r="B2195">
        <v>16.629348429577501</v>
      </c>
      <c r="C2195">
        <v>2001</v>
      </c>
    </row>
    <row r="2196" spans="1:11" x14ac:dyDescent="0.25">
      <c r="A2196">
        <v>73.3493488120655</v>
      </c>
      <c r="B2196">
        <v>37.5814608277622</v>
      </c>
      <c r="C2196">
        <v>2001</v>
      </c>
    </row>
    <row r="2197" spans="1:11" x14ac:dyDescent="0.25">
      <c r="A2197">
        <v>80.456868426677403</v>
      </c>
      <c r="B2197">
        <v>44.688980442374103</v>
      </c>
      <c r="C2197">
        <v>2001</v>
      </c>
    </row>
    <row r="2198" spans="1:11" x14ac:dyDescent="0.25">
      <c r="A2198">
        <v>80.893884451126297</v>
      </c>
      <c r="B2198">
        <v>44.251964417925301</v>
      </c>
      <c r="C2198">
        <v>2000</v>
      </c>
    </row>
    <row r="2199" spans="1:11" x14ac:dyDescent="0.25">
      <c r="A2199" t="s">
        <v>84</v>
      </c>
    </row>
    <row r="2200" spans="1:11" x14ac:dyDescent="0.25">
      <c r="A2200">
        <v>735</v>
      </c>
      <c r="B2200">
        <v>0</v>
      </c>
      <c r="C2200">
        <v>22.9756714069878</v>
      </c>
      <c r="D2200">
        <v>16.706636393897501</v>
      </c>
      <c r="E2200">
        <v>8</v>
      </c>
      <c r="F2200">
        <v>1.01722196789785</v>
      </c>
      <c r="G2200" t="s">
        <v>81</v>
      </c>
      <c r="H2200" t="s">
        <v>81</v>
      </c>
      <c r="I2200">
        <v>924</v>
      </c>
      <c r="J2200">
        <v>344</v>
      </c>
      <c r="K2200">
        <v>0.101899323518764</v>
      </c>
    </row>
    <row r="2201" spans="1:11" x14ac:dyDescent="0.25">
      <c r="A2201" t="s">
        <v>83</v>
      </c>
    </row>
    <row r="2202" spans="1:11" x14ac:dyDescent="0.25">
      <c r="A2202">
        <v>51.501475744644097</v>
      </c>
      <c r="B2202">
        <v>122.42021756918599</v>
      </c>
      <c r="C2202">
        <v>2000</v>
      </c>
    </row>
    <row r="2203" spans="1:11" x14ac:dyDescent="0.25">
      <c r="A2203">
        <v>50.218508012224397</v>
      </c>
      <c r="B2203">
        <v>121.137249836767</v>
      </c>
      <c r="C2203">
        <v>2000</v>
      </c>
    </row>
    <row r="2204" spans="1:11" x14ac:dyDescent="0.25">
      <c r="A2204">
        <v>35.255222690449202</v>
      </c>
      <c r="B2204">
        <v>106.173964514991</v>
      </c>
      <c r="C2204">
        <v>2000</v>
      </c>
    </row>
    <row r="2205" spans="1:11" x14ac:dyDescent="0.25">
      <c r="A2205">
        <v>34.8182066660004</v>
      </c>
      <c r="B2205">
        <v>106.61098053944001</v>
      </c>
      <c r="C2205">
        <v>2001</v>
      </c>
    </row>
    <row r="2206" spans="1:11" x14ac:dyDescent="0.25">
      <c r="A2206">
        <v>49.781491987775603</v>
      </c>
      <c r="B2206">
        <v>121.574265861215</v>
      </c>
      <c r="C2206">
        <v>2001</v>
      </c>
    </row>
    <row r="2207" spans="1:11" x14ac:dyDescent="0.25">
      <c r="A2207">
        <v>51.064459720195302</v>
      </c>
      <c r="B2207">
        <v>122.857233593635</v>
      </c>
      <c r="C2207">
        <v>2001</v>
      </c>
    </row>
    <row r="2208" spans="1:11" x14ac:dyDescent="0.25">
      <c r="A2208">
        <v>62.877835605138202</v>
      </c>
      <c r="B2208">
        <v>134.670609478578</v>
      </c>
      <c r="C2208">
        <v>2001</v>
      </c>
    </row>
    <row r="2209" spans="1:11" x14ac:dyDescent="0.25">
      <c r="A2209">
        <v>63.314851629586997</v>
      </c>
      <c r="B2209">
        <v>134.23359345412899</v>
      </c>
      <c r="C2209">
        <v>2000</v>
      </c>
    </row>
    <row r="2210" spans="1:11" x14ac:dyDescent="0.25">
      <c r="A2210" t="s">
        <v>84</v>
      </c>
    </row>
    <row r="2211" spans="1:11" x14ac:dyDescent="0.25">
      <c r="A2211">
        <v>748</v>
      </c>
      <c r="B2211">
        <v>0</v>
      </c>
      <c r="C2211">
        <v>3.4167928095583302</v>
      </c>
      <c r="D2211">
        <v>36.118659342787097</v>
      </c>
      <c r="E2211">
        <v>8</v>
      </c>
      <c r="F2211">
        <v>1.01722196789785</v>
      </c>
      <c r="G2211" t="s">
        <v>81</v>
      </c>
      <c r="H2211" t="s">
        <v>81</v>
      </c>
      <c r="I2211">
        <v>867</v>
      </c>
      <c r="J2211">
        <v>277</v>
      </c>
      <c r="K2211">
        <v>0.101113411737407</v>
      </c>
    </row>
    <row r="2212" spans="1:11" x14ac:dyDescent="0.25">
      <c r="A2212" t="s">
        <v>83</v>
      </c>
    </row>
    <row r="2213" spans="1:11" x14ac:dyDescent="0.25">
      <c r="A2213">
        <v>96.809066291348401</v>
      </c>
      <c r="B2213">
        <v>66.332509566248802</v>
      </c>
      <c r="C2213">
        <v>2000</v>
      </c>
    </row>
    <row r="2214" spans="1:11" x14ac:dyDescent="0.25">
      <c r="A2214">
        <v>94.393028925800294</v>
      </c>
      <c r="B2214">
        <v>63.916472200700703</v>
      </c>
      <c r="C2214">
        <v>2000</v>
      </c>
    </row>
    <row r="2215" spans="1:11" x14ac:dyDescent="0.25">
      <c r="A2215">
        <v>94.830044950249103</v>
      </c>
      <c r="B2215">
        <v>63.479456176251901</v>
      </c>
      <c r="C2215">
        <v>2001</v>
      </c>
    </row>
    <row r="2216" spans="1:11" x14ac:dyDescent="0.25">
      <c r="A2216">
        <v>97.246082315797196</v>
      </c>
      <c r="B2216">
        <v>65.895493541799993</v>
      </c>
      <c r="C2216">
        <v>2001</v>
      </c>
    </row>
    <row r="2217" spans="1:11" x14ac:dyDescent="0.25">
      <c r="A2217">
        <v>100.21850801222401</v>
      </c>
      <c r="B2217">
        <v>68.867919238227202</v>
      </c>
      <c r="C2217">
        <v>2001</v>
      </c>
    </row>
    <row r="2218" spans="1:11" x14ac:dyDescent="0.25">
      <c r="A2218">
        <v>122.785831264449</v>
      </c>
      <c r="B2218">
        <v>91.4352424904516</v>
      </c>
      <c r="C2218">
        <v>2001</v>
      </c>
    </row>
    <row r="2219" spans="1:11" x14ac:dyDescent="0.25">
      <c r="A2219">
        <v>122.34881523999999</v>
      </c>
      <c r="B2219">
        <v>91.872258514900395</v>
      </c>
      <c r="C2219">
        <v>2000</v>
      </c>
    </row>
    <row r="2220" spans="1:11" x14ac:dyDescent="0.25">
      <c r="A2220">
        <v>99.781491987775595</v>
      </c>
      <c r="B2220">
        <v>69.304935262675997</v>
      </c>
      <c r="C2220">
        <v>2000</v>
      </c>
    </row>
    <row r="2221" spans="1:11" x14ac:dyDescent="0.25">
      <c r="A2221" t="s">
        <v>84</v>
      </c>
    </row>
    <row r="2222" spans="1:11" x14ac:dyDescent="0.25">
      <c r="A2222">
        <v>119</v>
      </c>
      <c r="B2222">
        <v>0</v>
      </c>
      <c r="C2222">
        <v>12.7473910889224</v>
      </c>
      <c r="D2222">
        <v>26.783627237431201</v>
      </c>
      <c r="E2222">
        <v>8</v>
      </c>
      <c r="F2222">
        <v>1.01722196789785</v>
      </c>
      <c r="G2222" t="s">
        <v>81</v>
      </c>
      <c r="H2222" t="s">
        <v>81</v>
      </c>
      <c r="I2222">
        <v>109</v>
      </c>
      <c r="J2222">
        <v>732</v>
      </c>
      <c r="K2222">
        <v>0</v>
      </c>
    </row>
    <row r="2223" spans="1:11" x14ac:dyDescent="0.25">
      <c r="A2223" t="s">
        <v>83</v>
      </c>
    </row>
    <row r="2224" spans="1:11" x14ac:dyDescent="0.25">
      <c r="A2224">
        <v>44.956562545600399</v>
      </c>
      <c r="B2224">
        <v>70.767204057778002</v>
      </c>
      <c r="C2224">
        <v>2000</v>
      </c>
    </row>
    <row r="2225" spans="1:11" x14ac:dyDescent="0.25">
      <c r="A2225">
        <v>35.942795864186401</v>
      </c>
      <c r="B2225">
        <v>61.753437376364097</v>
      </c>
      <c r="C2225">
        <v>2000</v>
      </c>
    </row>
    <row r="2226" spans="1:11" x14ac:dyDescent="0.25">
      <c r="A2226">
        <v>36.379811888635302</v>
      </c>
      <c r="B2226">
        <v>61.316421351915302</v>
      </c>
      <c r="C2226">
        <v>2001</v>
      </c>
    </row>
    <row r="2227" spans="1:11" x14ac:dyDescent="0.25">
      <c r="A2227">
        <v>45.3935785700492</v>
      </c>
      <c r="B2227">
        <v>70.330188033329193</v>
      </c>
      <c r="C2227">
        <v>2001</v>
      </c>
    </row>
    <row r="2228" spans="1:11" x14ac:dyDescent="0.25">
      <c r="A2228">
        <v>50.218508012224397</v>
      </c>
      <c r="B2228">
        <v>75.155117475504397</v>
      </c>
      <c r="C2228">
        <v>2001</v>
      </c>
    </row>
    <row r="2229" spans="1:11" x14ac:dyDescent="0.25">
      <c r="A2229">
        <v>64.332463014409498</v>
      </c>
      <c r="B2229">
        <v>89.269072477689505</v>
      </c>
      <c r="C2229">
        <v>2001</v>
      </c>
    </row>
    <row r="2230" spans="1:11" x14ac:dyDescent="0.25">
      <c r="A2230">
        <v>63.895446989960703</v>
      </c>
      <c r="B2230">
        <v>89.7060885021383</v>
      </c>
      <c r="C2230">
        <v>2000</v>
      </c>
    </row>
    <row r="2231" spans="1:11" x14ac:dyDescent="0.25">
      <c r="A2231">
        <v>49.781491987775603</v>
      </c>
      <c r="B2231">
        <v>75.592133499953206</v>
      </c>
      <c r="C2231">
        <v>2000</v>
      </c>
    </row>
    <row r="2232" spans="1:11" x14ac:dyDescent="0.25">
      <c r="A2232" t="s">
        <v>84</v>
      </c>
    </row>
    <row r="2233" spans="1:11" x14ac:dyDescent="0.25">
      <c r="A2233">
        <v>1038</v>
      </c>
      <c r="B2233">
        <v>0</v>
      </c>
      <c r="C2233">
        <v>32.950772216662003</v>
      </c>
      <c r="D2233">
        <v>6.5710871289077097</v>
      </c>
      <c r="E2233">
        <v>8</v>
      </c>
      <c r="F2233">
        <v>1.01722196789785</v>
      </c>
      <c r="G2233" t="s">
        <v>82</v>
      </c>
      <c r="H2233" t="s">
        <v>81</v>
      </c>
      <c r="I2233">
        <v>0</v>
      </c>
      <c r="J2233">
        <v>857</v>
      </c>
      <c r="K2233">
        <v>0.112948164971977</v>
      </c>
    </row>
    <row r="2234" spans="1:11" x14ac:dyDescent="0.25">
      <c r="A2234" t="s">
        <v>83</v>
      </c>
    </row>
    <row r="2235" spans="1:11" x14ac:dyDescent="0.25">
      <c r="A2235">
        <v>23.107572529013201</v>
      </c>
      <c r="B2235">
        <v>57.3637161176962</v>
      </c>
      <c r="C2235">
        <v>2000</v>
      </c>
    </row>
    <row r="2236" spans="1:11" x14ac:dyDescent="0.25">
      <c r="A2236">
        <v>16.029125929383799</v>
      </c>
      <c r="B2236">
        <v>50.285269518066897</v>
      </c>
      <c r="C2236">
        <v>2000</v>
      </c>
    </row>
    <row r="2237" spans="1:11" x14ac:dyDescent="0.25">
      <c r="A2237">
        <v>0</v>
      </c>
      <c r="B2237">
        <v>34.256143588683102</v>
      </c>
      <c r="C2237">
        <v>2000</v>
      </c>
    </row>
    <row r="2238" spans="1:11" x14ac:dyDescent="0.25">
      <c r="A2238">
        <v>0</v>
      </c>
      <c r="B2238">
        <v>33.382111539785399</v>
      </c>
      <c r="C2238">
        <v>2001</v>
      </c>
    </row>
    <row r="2239" spans="1:11" x14ac:dyDescent="0.25">
      <c r="A2239">
        <v>16.3326189421477</v>
      </c>
      <c r="B2239">
        <v>49.714730481933103</v>
      </c>
      <c r="C2239">
        <v>2001</v>
      </c>
    </row>
    <row r="2240" spans="1:11" x14ac:dyDescent="0.25">
      <c r="A2240">
        <v>23.491856430456799</v>
      </c>
      <c r="B2240">
        <v>56.873967970242198</v>
      </c>
      <c r="C2240">
        <v>2001</v>
      </c>
    </row>
    <row r="2241" spans="1:11" x14ac:dyDescent="0.25">
      <c r="A2241">
        <v>28.164682760577701</v>
      </c>
      <c r="B2241">
        <v>61.546794300363104</v>
      </c>
      <c r="C2241">
        <v>2001</v>
      </c>
    </row>
    <row r="2242" spans="1:11" x14ac:dyDescent="0.25">
      <c r="A2242">
        <v>27.7276667361288</v>
      </c>
      <c r="B2242">
        <v>61.983810324811898</v>
      </c>
      <c r="C2242">
        <v>2000</v>
      </c>
    </row>
    <row r="2243" spans="1:11" x14ac:dyDescent="0.25">
      <c r="A2243" t="s">
        <v>84</v>
      </c>
    </row>
    <row r="2244" spans="1:11" x14ac:dyDescent="0.25">
      <c r="A2244">
        <v>513</v>
      </c>
      <c r="B2244">
        <v>0</v>
      </c>
      <c r="C2244">
        <v>17.512227566372001</v>
      </c>
      <c r="D2244">
        <v>21.8242539576094</v>
      </c>
      <c r="E2244">
        <v>6</v>
      </c>
      <c r="F2244">
        <v>1.01722196789785</v>
      </c>
      <c r="G2244" t="s">
        <v>82</v>
      </c>
      <c r="H2244" t="s">
        <v>82</v>
      </c>
      <c r="I2244">
        <v>0</v>
      </c>
      <c r="J2244">
        <v>0</v>
      </c>
      <c r="K2244">
        <v>0</v>
      </c>
    </row>
    <row r="2245" spans="1:11" x14ac:dyDescent="0.25">
      <c r="A2245" t="s">
        <v>83</v>
      </c>
    </row>
    <row r="2246" spans="1:11" x14ac:dyDescent="0.25">
      <c r="A2246">
        <v>134.81038267771399</v>
      </c>
      <c r="B2246">
        <v>12.188459486892199</v>
      </c>
      <c r="C2246">
        <v>2000</v>
      </c>
    </row>
    <row r="2247" spans="1:11" x14ac:dyDescent="0.25">
      <c r="A2247">
        <v>122.621923190822</v>
      </c>
      <c r="B2247">
        <v>0</v>
      </c>
      <c r="C2247">
        <v>2000</v>
      </c>
    </row>
    <row r="2248" spans="1:11" x14ac:dyDescent="0.25">
      <c r="A2248">
        <v>121.747891141925</v>
      </c>
      <c r="B2248">
        <v>0</v>
      </c>
      <c r="C2248">
        <v>2001</v>
      </c>
    </row>
    <row r="2249" spans="1:11" x14ac:dyDescent="0.25">
      <c r="A2249">
        <v>134.32546138676</v>
      </c>
      <c r="B2249">
        <v>12.577570244835</v>
      </c>
      <c r="C2249">
        <v>2001</v>
      </c>
    </row>
    <row r="2250" spans="1:11" x14ac:dyDescent="0.25">
      <c r="A2250">
        <v>150</v>
      </c>
      <c r="B2250">
        <v>28.252108858075399</v>
      </c>
      <c r="C2250">
        <v>2001</v>
      </c>
    </row>
    <row r="2251" spans="1:11" x14ac:dyDescent="0.25">
      <c r="A2251">
        <v>150</v>
      </c>
      <c r="B2251">
        <v>27.378076809177699</v>
      </c>
      <c r="C2251">
        <v>2000</v>
      </c>
    </row>
    <row r="2252" spans="1:11" x14ac:dyDescent="0.25">
      <c r="A2252" t="s">
        <v>84</v>
      </c>
    </row>
    <row r="2253" spans="1:11" x14ac:dyDescent="0.25">
      <c r="A2253">
        <v>40</v>
      </c>
      <c r="B2253">
        <v>0</v>
      </c>
      <c r="C2253">
        <v>38.757467509715497</v>
      </c>
      <c r="D2253">
        <v>0.51194113871964897</v>
      </c>
      <c r="E2253">
        <v>6</v>
      </c>
      <c r="F2253">
        <v>1.01722196789785</v>
      </c>
      <c r="G2253" t="s">
        <v>81</v>
      </c>
      <c r="H2253" t="s">
        <v>81</v>
      </c>
      <c r="I2253">
        <v>987</v>
      </c>
      <c r="J2253">
        <v>952</v>
      </c>
      <c r="K2253">
        <v>0</v>
      </c>
    </row>
    <row r="2254" spans="1:11" x14ac:dyDescent="0.25">
      <c r="A2254" t="s">
        <v>83</v>
      </c>
    </row>
    <row r="2255" spans="1:11" x14ac:dyDescent="0.25">
      <c r="A2255">
        <v>27.6241761099615</v>
      </c>
      <c r="B2255">
        <v>46.941004781495103</v>
      </c>
      <c r="C2255">
        <v>2000</v>
      </c>
    </row>
    <row r="2256" spans="1:11" x14ac:dyDescent="0.25">
      <c r="A2256">
        <v>0.21850801222440999</v>
      </c>
      <c r="B2256">
        <v>19.535336683758</v>
      </c>
      <c r="C2256">
        <v>2000</v>
      </c>
    </row>
    <row r="2257" spans="1:11" x14ac:dyDescent="0.25">
      <c r="A2257">
        <v>-0.21850801222440999</v>
      </c>
      <c r="B2257">
        <v>19.972352708206898</v>
      </c>
      <c r="C2257">
        <v>2001</v>
      </c>
    </row>
    <row r="2258" spans="1:11" x14ac:dyDescent="0.25">
      <c r="A2258">
        <v>27.187160085512701</v>
      </c>
      <c r="B2258">
        <v>47.378020805943997</v>
      </c>
      <c r="C2258">
        <v>2001</v>
      </c>
    </row>
    <row r="2259" spans="1:11" x14ac:dyDescent="0.25">
      <c r="A2259">
        <v>27.549157136269699</v>
      </c>
      <c r="B2259">
        <v>47.740017856701002</v>
      </c>
      <c r="C2259">
        <v>2001</v>
      </c>
    </row>
    <row r="2260" spans="1:11" x14ac:dyDescent="0.25">
      <c r="A2260">
        <v>27.986173160718501</v>
      </c>
      <c r="B2260">
        <v>47.3030018322522</v>
      </c>
      <c r="C2260">
        <v>2000</v>
      </c>
    </row>
    <row r="2261" spans="1:11" x14ac:dyDescent="0.25">
      <c r="A2261" t="s">
        <v>84</v>
      </c>
    </row>
    <row r="2262" spans="1:11" x14ac:dyDescent="0.25">
      <c r="A2262">
        <v>912</v>
      </c>
      <c r="B2262">
        <v>0</v>
      </c>
      <c r="C2262">
        <v>28.812364861789401</v>
      </c>
      <c r="D2262">
        <v>10.3016486992717</v>
      </c>
      <c r="E2262">
        <v>8</v>
      </c>
      <c r="F2262">
        <v>1.01722196789785</v>
      </c>
      <c r="G2262" t="s">
        <v>82</v>
      </c>
      <c r="H2262" t="s">
        <v>81</v>
      </c>
      <c r="I2262">
        <v>0</v>
      </c>
      <c r="J2262">
        <v>806</v>
      </c>
      <c r="K2262">
        <v>0.105129910972954</v>
      </c>
    </row>
    <row r="2263" spans="1:11" x14ac:dyDescent="0.25">
      <c r="A2263" t="s">
        <v>83</v>
      </c>
    </row>
    <row r="2264" spans="1:11" x14ac:dyDescent="0.25">
      <c r="A2264">
        <v>20.590308060227201</v>
      </c>
      <c r="B2264">
        <v>99.627837762086301</v>
      </c>
      <c r="C2264">
        <v>2000</v>
      </c>
    </row>
    <row r="2265" spans="1:11" x14ac:dyDescent="0.25">
      <c r="A2265">
        <v>0</v>
      </c>
      <c r="B2265">
        <v>79.0375297018591</v>
      </c>
      <c r="C2265">
        <v>2000</v>
      </c>
    </row>
    <row r="2266" spans="1:11" x14ac:dyDescent="0.25">
      <c r="A2266">
        <v>0</v>
      </c>
      <c r="B2266">
        <v>79.911561750756704</v>
      </c>
      <c r="C2266">
        <v>2001</v>
      </c>
    </row>
    <row r="2267" spans="1:11" x14ac:dyDescent="0.25">
      <c r="A2267">
        <v>20.156529091357399</v>
      </c>
      <c r="B2267">
        <v>100.068090842114</v>
      </c>
      <c r="C2267">
        <v>2001</v>
      </c>
    </row>
    <row r="2268" spans="1:11" x14ac:dyDescent="0.25">
      <c r="A2268">
        <v>20.306946261467701</v>
      </c>
      <c r="B2268">
        <v>100.21850801222401</v>
      </c>
      <c r="C2268">
        <v>2001</v>
      </c>
    </row>
    <row r="2269" spans="1:11" x14ac:dyDescent="0.25">
      <c r="A2269">
        <v>27.439276216224499</v>
      </c>
      <c r="B2269">
        <v>107.350837966981</v>
      </c>
      <c r="C2269">
        <v>2001</v>
      </c>
    </row>
    <row r="2270" spans="1:11" x14ac:dyDescent="0.25">
      <c r="A2270">
        <v>27.876292240673301</v>
      </c>
      <c r="B2270">
        <v>106.913821942532</v>
      </c>
      <c r="C2270">
        <v>2000</v>
      </c>
    </row>
    <row r="2271" spans="1:11" x14ac:dyDescent="0.25">
      <c r="A2271">
        <v>20.743962285916499</v>
      </c>
      <c r="B2271">
        <v>99.781491987775595</v>
      </c>
      <c r="C2271">
        <v>2000</v>
      </c>
    </row>
    <row r="2272" spans="1:11" x14ac:dyDescent="0.25">
      <c r="A2272" t="s">
        <v>84</v>
      </c>
    </row>
    <row r="2273" spans="1:11" x14ac:dyDescent="0.25">
      <c r="A2273">
        <v>747</v>
      </c>
      <c r="B2273">
        <v>0</v>
      </c>
      <c r="C2273">
        <v>1.53565642363652</v>
      </c>
      <c r="D2273">
        <v>37.431517265516398</v>
      </c>
      <c r="E2273">
        <v>10</v>
      </c>
      <c r="F2273">
        <v>1.01722196789785</v>
      </c>
      <c r="G2273" t="s">
        <v>81</v>
      </c>
      <c r="H2273" t="s">
        <v>81</v>
      </c>
      <c r="I2273">
        <v>878</v>
      </c>
      <c r="J2273">
        <v>275</v>
      </c>
      <c r="K2273">
        <v>0.100785207567138</v>
      </c>
    </row>
    <row r="2274" spans="1:11" x14ac:dyDescent="0.25">
      <c r="A2274" t="s">
        <v>83</v>
      </c>
    </row>
    <row r="2275" spans="1:11" x14ac:dyDescent="0.25">
      <c r="A2275">
        <v>81.4176743493543</v>
      </c>
      <c r="B2275">
        <v>97.633551738981097</v>
      </c>
      <c r="C2275">
        <v>2000</v>
      </c>
    </row>
    <row r="2276" spans="1:11" x14ac:dyDescent="0.25">
      <c r="A2276">
        <v>80.331801278628205</v>
      </c>
      <c r="B2276">
        <v>96.547678668255102</v>
      </c>
      <c r="C2276">
        <v>2000</v>
      </c>
    </row>
    <row r="2277" spans="1:11" x14ac:dyDescent="0.25">
      <c r="A2277">
        <v>80.768817303077</v>
      </c>
      <c r="B2277">
        <v>96.110662643806293</v>
      </c>
      <c r="C2277">
        <v>2001</v>
      </c>
    </row>
    <row r="2278" spans="1:11" x14ac:dyDescent="0.25">
      <c r="A2278">
        <v>81.854690373803095</v>
      </c>
      <c r="B2278">
        <v>97.196535714532303</v>
      </c>
      <c r="C2278">
        <v>2001</v>
      </c>
    </row>
    <row r="2279" spans="1:11" x14ac:dyDescent="0.25">
      <c r="A2279">
        <v>84.439646647046303</v>
      </c>
      <c r="B2279">
        <v>99.781491987775595</v>
      </c>
      <c r="C2279">
        <v>2001</v>
      </c>
    </row>
    <row r="2280" spans="1:11" x14ac:dyDescent="0.25">
      <c r="A2280">
        <v>100.21850801222401</v>
      </c>
      <c r="B2280">
        <v>115.560353352954</v>
      </c>
      <c r="C2280">
        <v>2001</v>
      </c>
    </row>
    <row r="2281" spans="1:11" x14ac:dyDescent="0.25">
      <c r="A2281">
        <v>108.322770062351</v>
      </c>
      <c r="B2281">
        <v>123.66461540308001</v>
      </c>
      <c r="C2281">
        <v>2001</v>
      </c>
    </row>
    <row r="2282" spans="1:11" x14ac:dyDescent="0.25">
      <c r="A2282">
        <v>107.885754037902</v>
      </c>
      <c r="B2282">
        <v>124.101631427529</v>
      </c>
      <c r="C2282">
        <v>2000</v>
      </c>
    </row>
    <row r="2283" spans="1:11" x14ac:dyDescent="0.25">
      <c r="A2283">
        <v>99.781491987775595</v>
      </c>
      <c r="B2283">
        <v>115.99736937740199</v>
      </c>
      <c r="C2283">
        <v>2000</v>
      </c>
    </row>
    <row r="2284" spans="1:11" x14ac:dyDescent="0.25">
      <c r="A2284">
        <v>84.002630622597493</v>
      </c>
      <c r="B2284">
        <v>100.21850801222401</v>
      </c>
      <c r="C2284">
        <v>2000</v>
      </c>
    </row>
    <row r="2285" spans="1:11" x14ac:dyDescent="0.25">
      <c r="A2285" t="s">
        <v>84</v>
      </c>
    </row>
    <row r="2286" spans="1:11" x14ac:dyDescent="0.25">
      <c r="A2286">
        <v>277</v>
      </c>
      <c r="B2286">
        <v>0</v>
      </c>
      <c r="C2286">
        <v>36.172823784715497</v>
      </c>
      <c r="D2286">
        <v>2.7491837930068899</v>
      </c>
      <c r="E2286">
        <v>8</v>
      </c>
      <c r="F2286">
        <v>1.01722196789785</v>
      </c>
      <c r="G2286" t="s">
        <v>81</v>
      </c>
      <c r="H2286" t="s">
        <v>82</v>
      </c>
      <c r="I2286">
        <v>748</v>
      </c>
      <c r="J2286">
        <v>0</v>
      </c>
      <c r="K2286">
        <v>0</v>
      </c>
    </row>
    <row r="2287" spans="1:11" x14ac:dyDescent="0.25">
      <c r="A2287" t="s">
        <v>83</v>
      </c>
    </row>
    <row r="2288" spans="1:11" x14ac:dyDescent="0.25">
      <c r="A2288">
        <v>148.07808228762499</v>
      </c>
      <c r="B2288">
        <v>116.90617100928</v>
      </c>
      <c r="C2288">
        <v>2000</v>
      </c>
    </row>
    <row r="2289" spans="1:11" x14ac:dyDescent="0.25">
      <c r="A2289">
        <v>130.953403266121</v>
      </c>
      <c r="B2289">
        <v>99.781491987775595</v>
      </c>
      <c r="C2289">
        <v>2000</v>
      </c>
    </row>
    <row r="2290" spans="1:11" x14ac:dyDescent="0.25">
      <c r="A2290">
        <v>122.696492516623</v>
      </c>
      <c r="B2290">
        <v>91.524581238277705</v>
      </c>
      <c r="C2290">
        <v>2000</v>
      </c>
    </row>
    <row r="2291" spans="1:11" x14ac:dyDescent="0.25">
      <c r="A2291">
        <v>122.259476492174</v>
      </c>
      <c r="B2291">
        <v>91.961597262726499</v>
      </c>
      <c r="C2291">
        <v>2001</v>
      </c>
    </row>
    <row r="2292" spans="1:11" x14ac:dyDescent="0.25">
      <c r="A2292">
        <v>130.51638724167199</v>
      </c>
      <c r="B2292">
        <v>100.21850801222401</v>
      </c>
      <c r="C2292">
        <v>2001</v>
      </c>
    </row>
    <row r="2293" spans="1:11" x14ac:dyDescent="0.25">
      <c r="A2293">
        <v>148.033984706849</v>
      </c>
      <c r="B2293">
        <v>117.736105477401</v>
      </c>
      <c r="C2293">
        <v>2001</v>
      </c>
    </row>
    <row r="2294" spans="1:11" x14ac:dyDescent="0.25">
      <c r="A2294">
        <v>150</v>
      </c>
      <c r="B2294">
        <v>119.70212077055299</v>
      </c>
      <c r="C2294">
        <v>2001</v>
      </c>
    </row>
    <row r="2295" spans="1:11" x14ac:dyDescent="0.25">
      <c r="A2295">
        <v>150</v>
      </c>
      <c r="B2295">
        <v>118.82808872165501</v>
      </c>
      <c r="C2295">
        <v>2000</v>
      </c>
    </row>
    <row r="2296" spans="1:11" x14ac:dyDescent="0.25">
      <c r="A2296" t="s">
        <v>84</v>
      </c>
    </row>
    <row r="2297" spans="1:11" x14ac:dyDescent="0.25">
      <c r="A2297">
        <v>1016</v>
      </c>
      <c r="B2297">
        <v>0</v>
      </c>
      <c r="C2297">
        <v>38.575099874194102</v>
      </c>
      <c r="D2297">
        <v>0.22414123571134301</v>
      </c>
      <c r="E2297">
        <v>6</v>
      </c>
      <c r="F2297">
        <v>1.01722196789785</v>
      </c>
      <c r="G2297" t="s">
        <v>81</v>
      </c>
      <c r="H2297" t="s">
        <v>81</v>
      </c>
      <c r="I2297">
        <v>987</v>
      </c>
      <c r="J2297">
        <v>39</v>
      </c>
      <c r="K2297">
        <v>0.111346599392133</v>
      </c>
    </row>
    <row r="2298" spans="1:11" x14ac:dyDescent="0.25">
      <c r="A2298" t="s">
        <v>83</v>
      </c>
    </row>
    <row r="2299" spans="1:11" x14ac:dyDescent="0.25">
      <c r="A2299">
        <v>28.008390118367402</v>
      </c>
      <c r="B2299">
        <v>46.298883989597002</v>
      </c>
      <c r="C2299">
        <v>2000</v>
      </c>
    </row>
    <row r="2300" spans="1:11" x14ac:dyDescent="0.25">
      <c r="A2300">
        <v>0.73167541237643696</v>
      </c>
      <c r="B2300">
        <v>19.022169283606001</v>
      </c>
      <c r="C2300">
        <v>2000</v>
      </c>
    </row>
    <row r="2301" spans="1:11" x14ac:dyDescent="0.25">
      <c r="A2301">
        <v>0.29465938792761598</v>
      </c>
      <c r="B2301">
        <v>19.459185308054799</v>
      </c>
      <c r="C2301">
        <v>2001</v>
      </c>
    </row>
    <row r="2302" spans="1:11" x14ac:dyDescent="0.25">
      <c r="A2302">
        <v>27.5713740939186</v>
      </c>
      <c r="B2302">
        <v>46.735900014045797</v>
      </c>
      <c r="C2302">
        <v>2001</v>
      </c>
    </row>
    <row r="2303" spans="1:11" x14ac:dyDescent="0.25">
      <c r="A2303">
        <v>27.7298658816336</v>
      </c>
      <c r="B2303">
        <v>46.894391801760797</v>
      </c>
      <c r="C2303">
        <v>2001</v>
      </c>
    </row>
    <row r="2304" spans="1:11" x14ac:dyDescent="0.25">
      <c r="A2304">
        <v>28.166881906082399</v>
      </c>
      <c r="B2304">
        <v>46.457375777312002</v>
      </c>
      <c r="C2304">
        <v>2000</v>
      </c>
    </row>
    <row r="2305" spans="1:11" x14ac:dyDescent="0.25">
      <c r="A2305" t="s">
        <v>84</v>
      </c>
    </row>
    <row r="2306" spans="1:11" x14ac:dyDescent="0.25">
      <c r="A2306">
        <v>357</v>
      </c>
      <c r="B2306">
        <v>0</v>
      </c>
      <c r="C2306">
        <v>17.526110996278099</v>
      </c>
      <c r="D2306">
        <v>21.240947882081802</v>
      </c>
      <c r="E2306">
        <v>6</v>
      </c>
      <c r="F2306">
        <v>1.01722196789785</v>
      </c>
      <c r="G2306" t="s">
        <v>81</v>
      </c>
      <c r="H2306" t="s">
        <v>81</v>
      </c>
      <c r="I2306">
        <v>677</v>
      </c>
      <c r="J2306">
        <v>743</v>
      </c>
      <c r="K2306">
        <v>0</v>
      </c>
    </row>
    <row r="2307" spans="1:11" x14ac:dyDescent="0.25">
      <c r="A2307" t="s">
        <v>83</v>
      </c>
    </row>
    <row r="2308" spans="1:11" x14ac:dyDescent="0.25">
      <c r="A2308">
        <v>82.613839173979798</v>
      </c>
      <c r="B2308">
        <v>116.15724033869201</v>
      </c>
      <c r="C2308">
        <v>2000</v>
      </c>
    </row>
    <row r="2309" spans="1:11" x14ac:dyDescent="0.25">
      <c r="A2309">
        <v>70.221007240683505</v>
      </c>
      <c r="B2309">
        <v>103.764408405396</v>
      </c>
      <c r="C2309">
        <v>2000</v>
      </c>
    </row>
    <row r="2310" spans="1:11" x14ac:dyDescent="0.25">
      <c r="A2310">
        <v>70.6580232651323</v>
      </c>
      <c r="B2310">
        <v>103.327392380947</v>
      </c>
      <c r="C2310">
        <v>2001</v>
      </c>
    </row>
    <row r="2311" spans="1:11" x14ac:dyDescent="0.25">
      <c r="A2311">
        <v>83.050855198428593</v>
      </c>
      <c r="B2311">
        <v>115.720224314243</v>
      </c>
      <c r="C2311">
        <v>2001</v>
      </c>
    </row>
    <row r="2312" spans="1:11" x14ac:dyDescent="0.25">
      <c r="A2312">
        <v>98.070473484678701</v>
      </c>
      <c r="B2312">
        <v>130.73984260049301</v>
      </c>
      <c r="C2312">
        <v>2001</v>
      </c>
    </row>
    <row r="2313" spans="1:11" x14ac:dyDescent="0.25">
      <c r="A2313">
        <v>97.633457460229806</v>
      </c>
      <c r="B2313">
        <v>131.17685862494201</v>
      </c>
      <c r="C2313">
        <v>2000</v>
      </c>
    </row>
    <row r="2314" spans="1:11" x14ac:dyDescent="0.25">
      <c r="A2314" t="s">
        <v>84</v>
      </c>
    </row>
    <row r="2315" spans="1:11" x14ac:dyDescent="0.25">
      <c r="A2315">
        <v>746</v>
      </c>
      <c r="B2315">
        <v>0</v>
      </c>
      <c r="C2315">
        <v>27.881244599761398</v>
      </c>
      <c r="D2315">
        <v>10.4644920259479</v>
      </c>
      <c r="E2315">
        <v>8</v>
      </c>
      <c r="F2315">
        <v>1.01722196789785</v>
      </c>
      <c r="G2315" t="s">
        <v>81</v>
      </c>
      <c r="H2315" t="s">
        <v>81</v>
      </c>
      <c r="I2315">
        <v>964</v>
      </c>
      <c r="J2315">
        <v>643</v>
      </c>
      <c r="K2315">
        <v>0.10038021386068</v>
      </c>
    </row>
    <row r="2316" spans="1:11" x14ac:dyDescent="0.25">
      <c r="A2316" t="s">
        <v>83</v>
      </c>
    </row>
    <row r="2317" spans="1:11" x14ac:dyDescent="0.25">
      <c r="A2317">
        <v>83.594227648146699</v>
      </c>
      <c r="B2317">
        <v>66.087222289339095</v>
      </c>
      <c r="C2317">
        <v>2000</v>
      </c>
    </row>
    <row r="2318" spans="1:11" x14ac:dyDescent="0.25">
      <c r="A2318">
        <v>67.288497346583199</v>
      </c>
      <c r="B2318">
        <v>49.781491987775603</v>
      </c>
      <c r="C2318">
        <v>2000</v>
      </c>
    </row>
    <row r="2319" spans="1:11" x14ac:dyDescent="0.25">
      <c r="A2319">
        <v>63.879210523734599</v>
      </c>
      <c r="B2319">
        <v>46.372205164927003</v>
      </c>
      <c r="C2319">
        <v>2000</v>
      </c>
    </row>
    <row r="2320" spans="1:11" x14ac:dyDescent="0.25">
      <c r="A2320">
        <v>63.442194499285797</v>
      </c>
      <c r="B2320">
        <v>46.809221189375798</v>
      </c>
      <c r="C2320">
        <v>2001</v>
      </c>
    </row>
    <row r="2321" spans="1:11" x14ac:dyDescent="0.25">
      <c r="A2321">
        <v>66.851481322134404</v>
      </c>
      <c r="B2321">
        <v>50.218508012224397</v>
      </c>
      <c r="C2321">
        <v>2001</v>
      </c>
    </row>
    <row r="2322" spans="1:11" x14ac:dyDescent="0.25">
      <c r="A2322">
        <v>83.157211623697904</v>
      </c>
      <c r="B2322">
        <v>66.524238313787905</v>
      </c>
      <c r="C2322">
        <v>2001</v>
      </c>
    </row>
    <row r="2323" spans="1:11" x14ac:dyDescent="0.25">
      <c r="A2323">
        <v>90.556724896918197</v>
      </c>
      <c r="B2323">
        <v>73.923751587008198</v>
      </c>
      <c r="C2323">
        <v>2001</v>
      </c>
    </row>
    <row r="2324" spans="1:11" x14ac:dyDescent="0.25">
      <c r="A2324">
        <v>90.993740921367007</v>
      </c>
      <c r="B2324">
        <v>73.486735562559403</v>
      </c>
      <c r="C2324">
        <v>2000</v>
      </c>
    </row>
    <row r="2325" spans="1:11" x14ac:dyDescent="0.25">
      <c r="A2325" t="s">
        <v>84</v>
      </c>
    </row>
    <row r="2326" spans="1:11" x14ac:dyDescent="0.25">
      <c r="A2326">
        <v>793</v>
      </c>
      <c r="B2326">
        <v>0</v>
      </c>
      <c r="C2326">
        <v>15.290424107418101</v>
      </c>
      <c r="D2326">
        <v>22.994483367082101</v>
      </c>
      <c r="E2326">
        <v>8</v>
      </c>
      <c r="F2326">
        <v>1.01722196789785</v>
      </c>
      <c r="G2326" t="s">
        <v>81</v>
      </c>
      <c r="H2326" t="s">
        <v>82</v>
      </c>
      <c r="I2326">
        <v>587</v>
      </c>
      <c r="J2326">
        <v>0</v>
      </c>
      <c r="K2326">
        <v>0.102343747528348</v>
      </c>
    </row>
    <row r="2327" spans="1:11" x14ac:dyDescent="0.25">
      <c r="A2327" t="s">
        <v>83</v>
      </c>
    </row>
    <row r="2328" spans="1:11" x14ac:dyDescent="0.25">
      <c r="A2328">
        <v>133.5920486805</v>
      </c>
      <c r="B2328">
        <v>90.206527135702402</v>
      </c>
      <c r="C2328">
        <v>2000</v>
      </c>
    </row>
    <row r="2329" spans="1:11" x14ac:dyDescent="0.25">
      <c r="A2329">
        <v>122.709974295457</v>
      </c>
      <c r="B2329">
        <v>79.324452750659304</v>
      </c>
      <c r="C2329">
        <v>2000</v>
      </c>
    </row>
    <row r="2330" spans="1:11" x14ac:dyDescent="0.25">
      <c r="A2330">
        <v>123.146990319906</v>
      </c>
      <c r="B2330">
        <v>78.887436726210495</v>
      </c>
      <c r="C2330">
        <v>2001</v>
      </c>
    </row>
    <row r="2331" spans="1:11" x14ac:dyDescent="0.25">
      <c r="A2331">
        <v>133.88884108201</v>
      </c>
      <c r="B2331">
        <v>89.629287488314603</v>
      </c>
      <c r="C2331">
        <v>2001</v>
      </c>
    </row>
    <row r="2332" spans="1:11" x14ac:dyDescent="0.25">
      <c r="A2332">
        <v>143.90555491052501</v>
      </c>
      <c r="B2332">
        <v>99.646001316829995</v>
      </c>
      <c r="C2332">
        <v>2001</v>
      </c>
    </row>
    <row r="2333" spans="1:11" x14ac:dyDescent="0.25">
      <c r="A2333">
        <v>150</v>
      </c>
      <c r="B2333">
        <v>105.740446406305</v>
      </c>
      <c r="C2333">
        <v>2001</v>
      </c>
    </row>
    <row r="2334" spans="1:11" x14ac:dyDescent="0.25">
      <c r="A2334">
        <v>150</v>
      </c>
      <c r="B2334">
        <v>106.614478455202</v>
      </c>
      <c r="C2334">
        <v>2000</v>
      </c>
    </row>
    <row r="2335" spans="1:11" x14ac:dyDescent="0.25">
      <c r="A2335">
        <v>143.739520227968</v>
      </c>
      <c r="B2335">
        <v>100.35399868317</v>
      </c>
      <c r="C2335">
        <v>2000</v>
      </c>
    </row>
    <row r="2336" spans="1:11" x14ac:dyDescent="0.25">
      <c r="A2336" t="s">
        <v>84</v>
      </c>
    </row>
    <row r="2337" spans="1:11" x14ac:dyDescent="0.25">
      <c r="A2337">
        <v>903</v>
      </c>
      <c r="B2337">
        <v>0</v>
      </c>
      <c r="C2337">
        <v>4.9624609472062797</v>
      </c>
      <c r="D2337">
        <v>33.280299674069603</v>
      </c>
      <c r="E2337">
        <v>8</v>
      </c>
      <c r="F2337">
        <v>1.01722196789785</v>
      </c>
      <c r="G2337" t="s">
        <v>81</v>
      </c>
      <c r="H2337" t="s">
        <v>81</v>
      </c>
      <c r="I2337">
        <v>798</v>
      </c>
      <c r="J2337">
        <v>914</v>
      </c>
      <c r="K2337">
        <v>0.104952687375285</v>
      </c>
    </row>
    <row r="2338" spans="1:11" x14ac:dyDescent="0.25">
      <c r="A2338" t="s">
        <v>83</v>
      </c>
    </row>
    <row r="2339" spans="1:11" x14ac:dyDescent="0.25">
      <c r="A2339">
        <v>81.122679956775599</v>
      </c>
      <c r="B2339">
        <v>74.210726407459205</v>
      </c>
      <c r="C2339">
        <v>2000</v>
      </c>
    </row>
    <row r="2340" spans="1:11" x14ac:dyDescent="0.25">
      <c r="A2340">
        <v>77.613690169632704</v>
      </c>
      <c r="B2340">
        <v>70.701736620316197</v>
      </c>
      <c r="C2340">
        <v>2000</v>
      </c>
    </row>
    <row r="2341" spans="1:11" x14ac:dyDescent="0.25">
      <c r="A2341">
        <v>77.176674145183895</v>
      </c>
      <c r="B2341">
        <v>71.138752644765006</v>
      </c>
      <c r="C2341">
        <v>2001</v>
      </c>
    </row>
    <row r="2342" spans="1:11" x14ac:dyDescent="0.25">
      <c r="A2342">
        <v>80.685663932326804</v>
      </c>
      <c r="B2342">
        <v>74.647742431908</v>
      </c>
      <c r="C2342">
        <v>2001</v>
      </c>
    </row>
    <row r="2343" spans="1:11" x14ac:dyDescent="0.25">
      <c r="A2343">
        <v>99.781491987775595</v>
      </c>
      <c r="B2343">
        <v>93.743570487356706</v>
      </c>
      <c r="C2343">
        <v>2001</v>
      </c>
    </row>
    <row r="2344" spans="1:11" x14ac:dyDescent="0.25">
      <c r="A2344">
        <v>104.21838951178199</v>
      </c>
      <c r="B2344">
        <v>98.180468011363004</v>
      </c>
      <c r="C2344">
        <v>2001</v>
      </c>
    </row>
    <row r="2345" spans="1:11" x14ac:dyDescent="0.25">
      <c r="A2345">
        <v>104.655405536231</v>
      </c>
      <c r="B2345">
        <v>97.743451986914195</v>
      </c>
      <c r="C2345">
        <v>2000</v>
      </c>
    </row>
    <row r="2346" spans="1:11" x14ac:dyDescent="0.25">
      <c r="A2346">
        <v>100.21850801222401</v>
      </c>
      <c r="B2346">
        <v>93.306554462907897</v>
      </c>
      <c r="C2346">
        <v>2000</v>
      </c>
    </row>
    <row r="2347" spans="1:11" x14ac:dyDescent="0.25">
      <c r="A2347" t="s">
        <v>84</v>
      </c>
    </row>
    <row r="2348" spans="1:11" x14ac:dyDescent="0.25">
      <c r="A2348">
        <v>34</v>
      </c>
      <c r="B2348">
        <v>0</v>
      </c>
      <c r="C2348">
        <v>7.0030737797732501</v>
      </c>
      <c r="D2348">
        <v>31.024931411596501</v>
      </c>
      <c r="E2348">
        <v>10</v>
      </c>
      <c r="F2348">
        <v>1.01722196789785</v>
      </c>
      <c r="G2348" t="s">
        <v>81</v>
      </c>
      <c r="H2348" t="s">
        <v>81</v>
      </c>
      <c r="I2348">
        <v>770</v>
      </c>
      <c r="J2348">
        <v>663</v>
      </c>
      <c r="K2348">
        <v>0</v>
      </c>
    </row>
    <row r="2349" spans="1:11" x14ac:dyDescent="0.25">
      <c r="A2349" t="s">
        <v>83</v>
      </c>
    </row>
    <row r="2350" spans="1:11" x14ac:dyDescent="0.25">
      <c r="A2350">
        <v>43.468877906659301</v>
      </c>
      <c r="B2350">
        <v>46.967094758980302</v>
      </c>
      <c r="C2350">
        <v>2000</v>
      </c>
    </row>
    <row r="2351" spans="1:11" x14ac:dyDescent="0.25">
      <c r="A2351">
        <v>38.5169569478319</v>
      </c>
      <c r="B2351">
        <v>42.015173800152901</v>
      </c>
      <c r="C2351">
        <v>2000</v>
      </c>
    </row>
    <row r="2352" spans="1:11" x14ac:dyDescent="0.25">
      <c r="A2352">
        <v>38.079940923383099</v>
      </c>
      <c r="B2352">
        <v>42.452189824601803</v>
      </c>
      <c r="C2352">
        <v>2001</v>
      </c>
    </row>
    <row r="2353" spans="1:11" x14ac:dyDescent="0.25">
      <c r="A2353">
        <v>43.031861882210499</v>
      </c>
      <c r="B2353">
        <v>47.404110783429097</v>
      </c>
      <c r="C2353">
        <v>2001</v>
      </c>
    </row>
    <row r="2354" spans="1:11" x14ac:dyDescent="0.25">
      <c r="A2354">
        <v>45.846259111005701</v>
      </c>
      <c r="B2354">
        <v>50.218508012224397</v>
      </c>
      <c r="C2354">
        <v>2001</v>
      </c>
    </row>
    <row r="2355" spans="1:11" x14ac:dyDescent="0.25">
      <c r="A2355">
        <v>49.781491987775603</v>
      </c>
      <c r="B2355">
        <v>54.153740888994299</v>
      </c>
      <c r="C2355">
        <v>2001</v>
      </c>
    </row>
    <row r="2356" spans="1:11" x14ac:dyDescent="0.25">
      <c r="A2356">
        <v>64.969801269197902</v>
      </c>
      <c r="B2356">
        <v>69.342050170416499</v>
      </c>
      <c r="C2356">
        <v>2001</v>
      </c>
    </row>
    <row r="2357" spans="1:11" x14ac:dyDescent="0.25">
      <c r="A2357">
        <v>65.406817293646696</v>
      </c>
      <c r="B2357">
        <v>68.905034145967704</v>
      </c>
      <c r="C2357">
        <v>2000</v>
      </c>
    </row>
    <row r="2358" spans="1:11" x14ac:dyDescent="0.25">
      <c r="A2358">
        <v>50.218508012224397</v>
      </c>
      <c r="B2358">
        <v>53.716724864545398</v>
      </c>
      <c r="C2358">
        <v>2000</v>
      </c>
    </row>
    <row r="2359" spans="1:11" x14ac:dyDescent="0.25">
      <c r="A2359">
        <v>46.283275135454602</v>
      </c>
      <c r="B2359">
        <v>49.781491987775603</v>
      </c>
      <c r="C2359">
        <v>2000</v>
      </c>
    </row>
    <row r="2360" spans="1:11" x14ac:dyDescent="0.25">
      <c r="A2360" t="s">
        <v>84</v>
      </c>
    </row>
    <row r="2361" spans="1:11" x14ac:dyDescent="0.25">
      <c r="A2361">
        <v>828</v>
      </c>
      <c r="B2361">
        <v>0</v>
      </c>
      <c r="C2361">
        <v>33.4716191465916</v>
      </c>
      <c r="D2361">
        <v>4.3603802357856098</v>
      </c>
      <c r="E2361">
        <v>6</v>
      </c>
      <c r="F2361">
        <v>1.01722196789785</v>
      </c>
      <c r="G2361" t="s">
        <v>81</v>
      </c>
      <c r="H2361" t="s">
        <v>82</v>
      </c>
      <c r="I2361">
        <v>764</v>
      </c>
      <c r="J2361">
        <v>0</v>
      </c>
      <c r="K2361">
        <v>0.103203672621368</v>
      </c>
    </row>
    <row r="2362" spans="1:11" x14ac:dyDescent="0.25">
      <c r="A2362" t="s">
        <v>83</v>
      </c>
    </row>
    <row r="2363" spans="1:11" x14ac:dyDescent="0.25">
      <c r="A2363">
        <v>80.436276752206794</v>
      </c>
      <c r="B2363">
        <v>146.89156111881201</v>
      </c>
      <c r="C2363">
        <v>2000</v>
      </c>
    </row>
    <row r="2364" spans="1:11" x14ac:dyDescent="0.25">
      <c r="A2364">
        <v>56.574944312046298</v>
      </c>
      <c r="B2364">
        <v>123.030228678651</v>
      </c>
      <c r="C2364">
        <v>2000</v>
      </c>
    </row>
    <row r="2365" spans="1:11" x14ac:dyDescent="0.25">
      <c r="A2365">
        <v>56.137928287597497</v>
      </c>
      <c r="B2365">
        <v>123.46724470309999</v>
      </c>
      <c r="C2365">
        <v>2001</v>
      </c>
    </row>
    <row r="2366" spans="1:11" x14ac:dyDescent="0.25">
      <c r="A2366">
        <v>79.612613599133795</v>
      </c>
      <c r="B2366">
        <v>146.94193001463699</v>
      </c>
      <c r="C2366">
        <v>2001</v>
      </c>
    </row>
    <row r="2367" spans="1:11" x14ac:dyDescent="0.25">
      <c r="A2367">
        <v>82.670683584497297</v>
      </c>
      <c r="B2367">
        <v>150</v>
      </c>
      <c r="C2367">
        <v>2001</v>
      </c>
    </row>
    <row r="2368" spans="1:11" x14ac:dyDescent="0.25">
      <c r="A2368">
        <v>83.544715633394901</v>
      </c>
      <c r="B2368">
        <v>150</v>
      </c>
      <c r="C2368">
        <v>2000</v>
      </c>
    </row>
    <row r="2369" spans="1:11" x14ac:dyDescent="0.25">
      <c r="A2369" t="s">
        <v>84</v>
      </c>
    </row>
    <row r="2370" spans="1:11" x14ac:dyDescent="0.25">
      <c r="A2370">
        <v>832</v>
      </c>
      <c r="B2370">
        <v>0</v>
      </c>
      <c r="C2370">
        <v>2.7243136071400902</v>
      </c>
      <c r="D2370">
        <v>35.0064962782671</v>
      </c>
      <c r="E2370">
        <v>8</v>
      </c>
      <c r="F2370">
        <v>1.01722196789785</v>
      </c>
      <c r="G2370" t="s">
        <v>81</v>
      </c>
      <c r="H2370" t="s">
        <v>82</v>
      </c>
      <c r="I2370">
        <v>792</v>
      </c>
      <c r="J2370">
        <v>0</v>
      </c>
      <c r="K2370">
        <v>0.103203672621368</v>
      </c>
    </row>
    <row r="2371" spans="1:11" x14ac:dyDescent="0.25">
      <c r="A2371" t="s">
        <v>83</v>
      </c>
    </row>
    <row r="2372" spans="1:11" x14ac:dyDescent="0.25">
      <c r="A2372">
        <v>37.442228696539303</v>
      </c>
      <c r="B2372">
        <v>125.45047079887399</v>
      </c>
      <c r="C2372">
        <v>2000</v>
      </c>
    </row>
    <row r="2373" spans="1:11" x14ac:dyDescent="0.25">
      <c r="A2373">
        <v>35.530554380257797</v>
      </c>
      <c r="B2373">
        <v>123.538796482593</v>
      </c>
      <c r="C2373">
        <v>2000</v>
      </c>
    </row>
    <row r="2374" spans="1:11" x14ac:dyDescent="0.25">
      <c r="A2374">
        <v>35.967570404706699</v>
      </c>
      <c r="B2374">
        <v>123.10178045814401</v>
      </c>
      <c r="C2374">
        <v>2001</v>
      </c>
    </row>
    <row r="2375" spans="1:11" x14ac:dyDescent="0.25">
      <c r="A2375">
        <v>37.9086573398003</v>
      </c>
      <c r="B2375">
        <v>125.042867393237</v>
      </c>
      <c r="C2375">
        <v>2001</v>
      </c>
    </row>
    <row r="2376" spans="1:11" x14ac:dyDescent="0.25">
      <c r="A2376">
        <v>50.327302035061003</v>
      </c>
      <c r="B2376">
        <v>137.46151208849801</v>
      </c>
      <c r="C2376">
        <v>2001</v>
      </c>
    </row>
    <row r="2377" spans="1:11" x14ac:dyDescent="0.25">
      <c r="A2377">
        <v>62.865789946562899</v>
      </c>
      <c r="B2377">
        <v>150</v>
      </c>
      <c r="C2377">
        <v>2001</v>
      </c>
    </row>
    <row r="2378" spans="1:11" x14ac:dyDescent="0.25">
      <c r="A2378">
        <v>61.991757897665202</v>
      </c>
      <c r="B2378">
        <v>150</v>
      </c>
      <c r="C2378">
        <v>2000</v>
      </c>
    </row>
    <row r="2379" spans="1:11" x14ac:dyDescent="0.25">
      <c r="A2379">
        <v>49.672697964938898</v>
      </c>
      <c r="B2379">
        <v>137.68094006727401</v>
      </c>
      <c r="C2379">
        <v>2000</v>
      </c>
    </row>
    <row r="2380" spans="1:11" x14ac:dyDescent="0.25">
      <c r="A2380" t="s">
        <v>84</v>
      </c>
    </row>
    <row r="2381" spans="1:11" x14ac:dyDescent="0.25">
      <c r="A2381">
        <v>267</v>
      </c>
      <c r="B2381">
        <v>0</v>
      </c>
      <c r="C2381">
        <v>32.992771431845199</v>
      </c>
      <c r="D2381">
        <v>4.3017143251002503</v>
      </c>
      <c r="E2381">
        <v>8</v>
      </c>
      <c r="F2381">
        <v>1.01722196789785</v>
      </c>
      <c r="G2381" t="s">
        <v>81</v>
      </c>
      <c r="H2381" t="s">
        <v>82</v>
      </c>
      <c r="I2381">
        <v>587</v>
      </c>
      <c r="J2381">
        <v>0</v>
      </c>
      <c r="K2381">
        <v>0</v>
      </c>
    </row>
    <row r="2382" spans="1:11" x14ac:dyDescent="0.25">
      <c r="A2382" t="s">
        <v>83</v>
      </c>
    </row>
    <row r="2383" spans="1:11" x14ac:dyDescent="0.25">
      <c r="A2383">
        <v>146.819086910365</v>
      </c>
      <c r="B2383">
        <v>102.032897540132</v>
      </c>
      <c r="C2383">
        <v>2000</v>
      </c>
    </row>
    <row r="2384" spans="1:11" x14ac:dyDescent="0.25">
      <c r="A2384">
        <v>145.00469738245701</v>
      </c>
      <c r="B2384">
        <v>100.21850801222401</v>
      </c>
      <c r="C2384">
        <v>2000</v>
      </c>
    </row>
    <row r="2385" spans="1:11" x14ac:dyDescent="0.25">
      <c r="A2385">
        <v>123.410308208174</v>
      </c>
      <c r="B2385">
        <v>78.624118837942007</v>
      </c>
      <c r="C2385">
        <v>2000</v>
      </c>
    </row>
    <row r="2386" spans="1:11" x14ac:dyDescent="0.25">
      <c r="A2386">
        <v>123.847324232623</v>
      </c>
      <c r="B2386">
        <v>78.187102813493198</v>
      </c>
      <c r="C2386">
        <v>2001</v>
      </c>
    </row>
    <row r="2387" spans="1:11" x14ac:dyDescent="0.25">
      <c r="A2387">
        <v>145.44171340690599</v>
      </c>
      <c r="B2387">
        <v>99.781491987775595</v>
      </c>
      <c r="C2387">
        <v>2001</v>
      </c>
    </row>
    <row r="2388" spans="1:11" x14ac:dyDescent="0.25">
      <c r="A2388">
        <v>147.09737034962399</v>
      </c>
      <c r="B2388">
        <v>101.437148930494</v>
      </c>
      <c r="C2388">
        <v>2001</v>
      </c>
    </row>
    <row r="2389" spans="1:11" x14ac:dyDescent="0.25">
      <c r="A2389">
        <v>150</v>
      </c>
      <c r="B2389">
        <v>104.33977858087</v>
      </c>
      <c r="C2389">
        <v>2001</v>
      </c>
    </row>
    <row r="2390" spans="1:11" x14ac:dyDescent="0.25">
      <c r="A2390">
        <v>150</v>
      </c>
      <c r="B2390">
        <v>105.21381062976801</v>
      </c>
      <c r="C2390">
        <v>2000</v>
      </c>
    </row>
    <row r="2391" spans="1:11" x14ac:dyDescent="0.25">
      <c r="A2391" t="s">
        <v>84</v>
      </c>
    </row>
    <row r="2392" spans="1:11" x14ac:dyDescent="0.25">
      <c r="A2392">
        <v>589</v>
      </c>
      <c r="B2392">
        <v>0</v>
      </c>
      <c r="C2392">
        <v>10.2549895384573</v>
      </c>
      <c r="D2392">
        <v>26.978442080862202</v>
      </c>
      <c r="E2392">
        <v>6</v>
      </c>
      <c r="F2392">
        <v>1.01722196789785</v>
      </c>
      <c r="G2392" t="s">
        <v>81</v>
      </c>
      <c r="H2392" t="s">
        <v>82</v>
      </c>
      <c r="I2392">
        <v>954</v>
      </c>
      <c r="J2392">
        <v>0</v>
      </c>
      <c r="K2392">
        <v>0</v>
      </c>
    </row>
    <row r="2393" spans="1:11" x14ac:dyDescent="0.25">
      <c r="A2393" t="s">
        <v>83</v>
      </c>
    </row>
    <row r="2394" spans="1:11" x14ac:dyDescent="0.25">
      <c r="A2394">
        <v>130.76503504935201</v>
      </c>
      <c r="B2394">
        <v>77.640842558577006</v>
      </c>
      <c r="C2394">
        <v>2000</v>
      </c>
    </row>
    <row r="2395" spans="1:11" x14ac:dyDescent="0.25">
      <c r="A2395">
        <v>123.453480002909</v>
      </c>
      <c r="B2395">
        <v>70.3292875121343</v>
      </c>
      <c r="C2395">
        <v>2000</v>
      </c>
    </row>
    <row r="2396" spans="1:11" x14ac:dyDescent="0.25">
      <c r="A2396">
        <v>123.890496027358</v>
      </c>
      <c r="B2396">
        <v>69.892271487685505</v>
      </c>
      <c r="C2396">
        <v>2001</v>
      </c>
    </row>
    <row r="2397" spans="1:11" x14ac:dyDescent="0.25">
      <c r="A2397">
        <v>131.08168626819599</v>
      </c>
      <c r="B2397">
        <v>77.083461728523304</v>
      </c>
      <c r="C2397">
        <v>2001</v>
      </c>
    </row>
    <row r="2398" spans="1:11" x14ac:dyDescent="0.25">
      <c r="A2398">
        <v>150</v>
      </c>
      <c r="B2398">
        <v>96.001775460327494</v>
      </c>
      <c r="C2398">
        <v>2001</v>
      </c>
    </row>
    <row r="2399" spans="1:11" x14ac:dyDescent="0.25">
      <c r="A2399">
        <v>150</v>
      </c>
      <c r="B2399">
        <v>96.875807509225098</v>
      </c>
      <c r="C2399">
        <v>2000</v>
      </c>
    </row>
    <row r="2400" spans="1:11" x14ac:dyDescent="0.25">
      <c r="A2400" t="s">
        <v>84</v>
      </c>
    </row>
    <row r="2401" spans="1:11" x14ac:dyDescent="0.25">
      <c r="A2401">
        <v>972</v>
      </c>
      <c r="B2401">
        <v>0</v>
      </c>
      <c r="C2401">
        <v>16.821719316210899</v>
      </c>
      <c r="D2401">
        <v>20.3710180091498</v>
      </c>
      <c r="E2401">
        <v>6</v>
      </c>
      <c r="F2401">
        <v>1.01722196789785</v>
      </c>
      <c r="G2401" t="s">
        <v>82</v>
      </c>
      <c r="H2401" t="s">
        <v>82</v>
      </c>
      <c r="I2401">
        <v>0</v>
      </c>
      <c r="J2401">
        <v>0</v>
      </c>
      <c r="K2401">
        <v>0.107871585097263</v>
      </c>
    </row>
    <row r="2402" spans="1:11" x14ac:dyDescent="0.25">
      <c r="A2402" t="s">
        <v>83</v>
      </c>
    </row>
    <row r="2403" spans="1:11" x14ac:dyDescent="0.25">
      <c r="A2403">
        <v>135.834875233036</v>
      </c>
      <c r="B2403">
        <v>11.697095982240199</v>
      </c>
      <c r="C2403">
        <v>2000</v>
      </c>
    </row>
    <row r="2404" spans="1:11" x14ac:dyDescent="0.25">
      <c r="A2404">
        <v>124.137779250796</v>
      </c>
      <c r="B2404">
        <v>0</v>
      </c>
      <c r="C2404">
        <v>2000</v>
      </c>
    </row>
    <row r="2405" spans="1:11" x14ac:dyDescent="0.25">
      <c r="A2405">
        <v>123.26374720189899</v>
      </c>
      <c r="B2405">
        <v>0</v>
      </c>
      <c r="C2405">
        <v>2001</v>
      </c>
    </row>
    <row r="2406" spans="1:11" x14ac:dyDescent="0.25">
      <c r="A2406">
        <v>135.35615481907701</v>
      </c>
      <c r="B2406">
        <v>12.0924076171788</v>
      </c>
      <c r="C2406">
        <v>2001</v>
      </c>
    </row>
    <row r="2407" spans="1:11" x14ac:dyDescent="0.25">
      <c r="A2407">
        <v>150</v>
      </c>
      <c r="B2407">
        <v>26.7362527981014</v>
      </c>
      <c r="C2407">
        <v>2001</v>
      </c>
    </row>
    <row r="2408" spans="1:11" x14ac:dyDescent="0.25">
      <c r="A2408">
        <v>150</v>
      </c>
      <c r="B2408">
        <v>25.8622207492038</v>
      </c>
      <c r="C2408">
        <v>2000</v>
      </c>
    </row>
    <row r="2409" spans="1:11" x14ac:dyDescent="0.25">
      <c r="A2409" t="s">
        <v>84</v>
      </c>
    </row>
    <row r="2410" spans="1:11" x14ac:dyDescent="0.25">
      <c r="A2410">
        <v>994</v>
      </c>
      <c r="B2410">
        <v>0</v>
      </c>
      <c r="C2410">
        <v>25.7935678927598</v>
      </c>
      <c r="D2410">
        <v>11.3017055533095</v>
      </c>
      <c r="E2410">
        <v>6</v>
      </c>
      <c r="F2410">
        <v>1.01722196789785</v>
      </c>
      <c r="G2410" t="s">
        <v>82</v>
      </c>
      <c r="H2410" t="s">
        <v>81</v>
      </c>
      <c r="I2410">
        <v>0</v>
      </c>
      <c r="J2410">
        <v>4</v>
      </c>
      <c r="K2410">
        <v>0.10958376574027801</v>
      </c>
    </row>
    <row r="2411" spans="1:11" x14ac:dyDescent="0.25">
      <c r="A2411" t="s">
        <v>83</v>
      </c>
    </row>
    <row r="2412" spans="1:11" x14ac:dyDescent="0.25">
      <c r="A2412">
        <v>39.017038798643</v>
      </c>
      <c r="B2412">
        <v>18.390742600346901</v>
      </c>
      <c r="C2412">
        <v>2000</v>
      </c>
    </row>
    <row r="2413" spans="1:11" x14ac:dyDescent="0.25">
      <c r="A2413">
        <v>20.6262961982961</v>
      </c>
      <c r="B2413">
        <v>0</v>
      </c>
      <c r="C2413">
        <v>2000</v>
      </c>
    </row>
    <row r="2414" spans="1:11" x14ac:dyDescent="0.25">
      <c r="A2414">
        <v>21.500328247193799</v>
      </c>
      <c r="B2414">
        <v>0</v>
      </c>
      <c r="C2414">
        <v>2001</v>
      </c>
    </row>
    <row r="2415" spans="1:11" x14ac:dyDescent="0.25">
      <c r="A2415">
        <v>39.587199182779003</v>
      </c>
      <c r="B2415">
        <v>18.0868709355852</v>
      </c>
      <c r="C2415">
        <v>2001</v>
      </c>
    </row>
    <row r="2416" spans="1:11" x14ac:dyDescent="0.25">
      <c r="A2416">
        <v>47.512139638654197</v>
      </c>
      <c r="B2416">
        <v>26.011811391460402</v>
      </c>
      <c r="C2416">
        <v>2001</v>
      </c>
    </row>
    <row r="2417" spans="1:11" x14ac:dyDescent="0.25">
      <c r="A2417">
        <v>47.075123614205403</v>
      </c>
      <c r="B2417">
        <v>26.4488274159093</v>
      </c>
      <c r="C2417">
        <v>2000</v>
      </c>
    </row>
    <row r="2418" spans="1:11" x14ac:dyDescent="0.25">
      <c r="A2418" t="s">
        <v>84</v>
      </c>
    </row>
    <row r="2419" spans="1:11" x14ac:dyDescent="0.25">
      <c r="A2419">
        <v>982</v>
      </c>
      <c r="B2419">
        <v>0</v>
      </c>
      <c r="C2419">
        <v>34.810665638699597</v>
      </c>
      <c r="D2419">
        <v>2.2327204270170902</v>
      </c>
      <c r="E2419">
        <v>6</v>
      </c>
      <c r="F2419">
        <v>1.01722196789785</v>
      </c>
      <c r="G2419" t="s">
        <v>81</v>
      </c>
      <c r="H2419" t="s">
        <v>82</v>
      </c>
      <c r="I2419">
        <v>418</v>
      </c>
      <c r="J2419">
        <v>0</v>
      </c>
      <c r="K2419">
        <v>0.10826329407025199</v>
      </c>
    </row>
    <row r="2420" spans="1:11" x14ac:dyDescent="0.25">
      <c r="A2420" t="s">
        <v>83</v>
      </c>
    </row>
    <row r="2421" spans="1:11" x14ac:dyDescent="0.25">
      <c r="A2421">
        <v>40.497516365421603</v>
      </c>
      <c r="B2421">
        <v>148.40805808607701</v>
      </c>
      <c r="C2421">
        <v>2000</v>
      </c>
    </row>
    <row r="2422" spans="1:11" x14ac:dyDescent="0.25">
      <c r="A2422">
        <v>15.6773207819405</v>
      </c>
      <c r="B2422">
        <v>123.587862502596</v>
      </c>
      <c r="C2422">
        <v>2000</v>
      </c>
    </row>
    <row r="2423" spans="1:11" x14ac:dyDescent="0.25">
      <c r="A2423">
        <v>15.2403047574916</v>
      </c>
      <c r="B2423">
        <v>124.024878527045</v>
      </c>
      <c r="C2423">
        <v>2001</v>
      </c>
    </row>
    <row r="2424" spans="1:11" x14ac:dyDescent="0.25">
      <c r="A2424">
        <v>39.649824635494497</v>
      </c>
      <c r="B2424">
        <v>148.434398405048</v>
      </c>
      <c r="C2424">
        <v>2001</v>
      </c>
    </row>
    <row r="2425" spans="1:11" x14ac:dyDescent="0.25">
      <c r="A2425">
        <v>41.215426230446703</v>
      </c>
      <c r="B2425">
        <v>150</v>
      </c>
      <c r="C2425">
        <v>2001</v>
      </c>
    </row>
    <row r="2426" spans="1:11" x14ac:dyDescent="0.25">
      <c r="A2426">
        <v>42.089458279344399</v>
      </c>
      <c r="B2426">
        <v>150</v>
      </c>
      <c r="C2426">
        <v>2000</v>
      </c>
    </row>
    <row r="2427" spans="1:11" x14ac:dyDescent="0.25">
      <c r="A2427" t="s">
        <v>84</v>
      </c>
    </row>
    <row r="2428" spans="1:11" x14ac:dyDescent="0.25">
      <c r="A2428">
        <v>754</v>
      </c>
      <c r="B2428">
        <v>0</v>
      </c>
      <c r="C2428">
        <v>1.0654845943401099</v>
      </c>
      <c r="D2428">
        <v>35.9480336635756</v>
      </c>
      <c r="E2428">
        <v>6</v>
      </c>
      <c r="F2428">
        <v>1.01722196789785</v>
      </c>
      <c r="G2428" t="s">
        <v>81</v>
      </c>
      <c r="H2428" t="s">
        <v>81</v>
      </c>
      <c r="I2428">
        <v>188</v>
      </c>
      <c r="J2428">
        <v>940</v>
      </c>
      <c r="K2428">
        <v>0.10038021386068</v>
      </c>
    </row>
    <row r="2429" spans="1:11" x14ac:dyDescent="0.25">
      <c r="A2429" t="s">
        <v>83</v>
      </c>
    </row>
    <row r="2430" spans="1:11" x14ac:dyDescent="0.25">
      <c r="A2430">
        <v>62.305595518236601</v>
      </c>
      <c r="B2430">
        <v>23.5668738752405</v>
      </c>
      <c r="C2430">
        <v>2000</v>
      </c>
    </row>
    <row r="2431" spans="1:11" x14ac:dyDescent="0.25">
      <c r="A2431">
        <v>61.552184136328897</v>
      </c>
      <c r="B2431">
        <v>22.8134624933328</v>
      </c>
      <c r="C2431">
        <v>2000</v>
      </c>
    </row>
    <row r="2432" spans="1:11" x14ac:dyDescent="0.25">
      <c r="A2432">
        <v>61.989200160777699</v>
      </c>
      <c r="B2432">
        <v>22.376446468883898</v>
      </c>
      <c r="C2432">
        <v>2001</v>
      </c>
    </row>
    <row r="2433" spans="1:11" x14ac:dyDescent="0.25">
      <c r="A2433">
        <v>62.742611542685403</v>
      </c>
      <c r="B2433">
        <v>23.129857850791598</v>
      </c>
      <c r="C2433">
        <v>2001</v>
      </c>
    </row>
    <row r="2434" spans="1:11" x14ac:dyDescent="0.25">
      <c r="A2434">
        <v>88.161709916522</v>
      </c>
      <c r="B2434">
        <v>48.548956224628199</v>
      </c>
      <c r="C2434">
        <v>2001</v>
      </c>
    </row>
    <row r="2435" spans="1:11" x14ac:dyDescent="0.25">
      <c r="A2435">
        <v>87.724693892073205</v>
      </c>
      <c r="B2435">
        <v>48.985972249077001</v>
      </c>
      <c r="C2435">
        <v>2000</v>
      </c>
    </row>
    <row r="2436" spans="1:11" x14ac:dyDescent="0.25">
      <c r="A2436" t="s">
        <v>84</v>
      </c>
    </row>
    <row r="2437" spans="1:11" x14ac:dyDescent="0.25">
      <c r="A2437">
        <v>1017</v>
      </c>
      <c r="B2437">
        <v>0</v>
      </c>
      <c r="C2437">
        <v>21.936912022750398</v>
      </c>
      <c r="D2437">
        <v>15.075415701011901</v>
      </c>
      <c r="E2437">
        <v>8</v>
      </c>
      <c r="F2437">
        <v>1.01722196789785</v>
      </c>
      <c r="G2437" t="s">
        <v>82</v>
      </c>
      <c r="H2437" t="s">
        <v>81</v>
      </c>
      <c r="I2437">
        <v>0</v>
      </c>
      <c r="J2437">
        <v>164</v>
      </c>
      <c r="K2437">
        <v>0.111250480700389</v>
      </c>
    </row>
    <row r="2438" spans="1:11" x14ac:dyDescent="0.25">
      <c r="A2438" t="s">
        <v>83</v>
      </c>
    </row>
    <row r="2439" spans="1:11" x14ac:dyDescent="0.25">
      <c r="A2439">
        <v>61.660891438387402</v>
      </c>
      <c r="B2439">
        <v>15.3707156296676</v>
      </c>
      <c r="C2439">
        <v>2000</v>
      </c>
    </row>
    <row r="2440" spans="1:11" x14ac:dyDescent="0.25">
      <c r="A2440">
        <v>50.378601052538102</v>
      </c>
      <c r="B2440">
        <v>4.0884252438182598</v>
      </c>
      <c r="C2440">
        <v>2000</v>
      </c>
    </row>
    <row r="2441" spans="1:11" x14ac:dyDescent="0.25">
      <c r="A2441">
        <v>46.290175808719802</v>
      </c>
      <c r="B2441">
        <v>0</v>
      </c>
      <c r="C2441">
        <v>2000</v>
      </c>
    </row>
    <row r="2442" spans="1:11" x14ac:dyDescent="0.25">
      <c r="A2442">
        <v>45.416143759822099</v>
      </c>
      <c r="B2442">
        <v>0</v>
      </c>
      <c r="C2442">
        <v>2001</v>
      </c>
    </row>
    <row r="2443" spans="1:11" x14ac:dyDescent="0.25">
      <c r="A2443">
        <v>49.621398947461898</v>
      </c>
      <c r="B2443">
        <v>4.2052551876397803</v>
      </c>
      <c r="C2443">
        <v>2001</v>
      </c>
    </row>
    <row r="2444" spans="1:11" x14ac:dyDescent="0.25">
      <c r="A2444">
        <v>61.068906629313503</v>
      </c>
      <c r="B2444">
        <v>15.652762869491299</v>
      </c>
      <c r="C2444">
        <v>2001</v>
      </c>
    </row>
    <row r="2445" spans="1:11" x14ac:dyDescent="0.25">
      <c r="A2445">
        <v>71.806319693017699</v>
      </c>
      <c r="B2445">
        <v>26.3901759331956</v>
      </c>
      <c r="C2445">
        <v>2001</v>
      </c>
    </row>
    <row r="2446" spans="1:11" x14ac:dyDescent="0.25">
      <c r="A2446">
        <v>72.243335717466493</v>
      </c>
      <c r="B2446">
        <v>25.953159908746699</v>
      </c>
      <c r="C2446">
        <v>2000</v>
      </c>
    </row>
    <row r="2447" spans="1:11" x14ac:dyDescent="0.25">
      <c r="A2447" t="s">
        <v>84</v>
      </c>
    </row>
    <row r="2448" spans="1:11" x14ac:dyDescent="0.25">
      <c r="A2448">
        <v>275</v>
      </c>
      <c r="B2448">
        <v>0</v>
      </c>
      <c r="C2448">
        <v>17.857419789157898</v>
      </c>
      <c r="D2448">
        <v>18.968797132987</v>
      </c>
      <c r="E2448">
        <v>6</v>
      </c>
      <c r="F2448">
        <v>1.01722196789785</v>
      </c>
      <c r="G2448" t="s">
        <v>81</v>
      </c>
      <c r="H2448" t="s">
        <v>82</v>
      </c>
      <c r="I2448">
        <v>747</v>
      </c>
      <c r="J2448">
        <v>0</v>
      </c>
      <c r="K2448">
        <v>0</v>
      </c>
    </row>
    <row r="2449" spans="1:11" x14ac:dyDescent="0.25">
      <c r="A2449" t="s">
        <v>83</v>
      </c>
    </row>
    <row r="2450" spans="1:11" x14ac:dyDescent="0.25">
      <c r="A2450">
        <v>120.97902064875601</v>
      </c>
      <c r="B2450">
        <v>136.47448373668499</v>
      </c>
      <c r="C2450">
        <v>2000</v>
      </c>
    </row>
    <row r="2451" spans="1:11" x14ac:dyDescent="0.25">
      <c r="A2451">
        <v>108.245961188751</v>
      </c>
      <c r="B2451">
        <v>123.74142427667999</v>
      </c>
      <c r="C2451">
        <v>2000</v>
      </c>
    </row>
    <row r="2452" spans="1:11" x14ac:dyDescent="0.25">
      <c r="A2452">
        <v>107.808945164302</v>
      </c>
      <c r="B2452">
        <v>124.178440301129</v>
      </c>
      <c r="C2452">
        <v>2001</v>
      </c>
    </row>
    <row r="2453" spans="1:11" x14ac:dyDescent="0.25">
      <c r="A2453">
        <v>120.330090959114</v>
      </c>
      <c r="B2453">
        <v>136.69958609594099</v>
      </c>
      <c r="C2453">
        <v>2001</v>
      </c>
    </row>
    <row r="2454" spans="1:11" x14ac:dyDescent="0.25">
      <c r="A2454">
        <v>133.630504863174</v>
      </c>
      <c r="B2454">
        <v>150</v>
      </c>
      <c r="C2454">
        <v>2001</v>
      </c>
    </row>
    <row r="2455" spans="1:11" x14ac:dyDescent="0.25">
      <c r="A2455">
        <v>134.50453691207099</v>
      </c>
      <c r="B2455">
        <v>150</v>
      </c>
      <c r="C2455">
        <v>2000</v>
      </c>
    </row>
    <row r="2456" spans="1:11" x14ac:dyDescent="0.25">
      <c r="A2456" t="s">
        <v>84</v>
      </c>
    </row>
    <row r="2457" spans="1:11" x14ac:dyDescent="0.25">
      <c r="A2457">
        <v>808</v>
      </c>
      <c r="B2457">
        <v>0</v>
      </c>
      <c r="C2457">
        <v>28.600917002184801</v>
      </c>
      <c r="D2457">
        <v>8.1343005042307706</v>
      </c>
      <c r="E2457">
        <v>8</v>
      </c>
      <c r="F2457">
        <v>1.01722196789785</v>
      </c>
      <c r="G2457" t="s">
        <v>81</v>
      </c>
      <c r="H2457" t="s">
        <v>81</v>
      </c>
      <c r="I2457">
        <v>904</v>
      </c>
      <c r="J2457">
        <v>516</v>
      </c>
      <c r="K2457">
        <v>0.10256144766988801</v>
      </c>
    </row>
    <row r="2458" spans="1:11" x14ac:dyDescent="0.25">
      <c r="A2458" t="s">
        <v>83</v>
      </c>
    </row>
    <row r="2459" spans="1:11" x14ac:dyDescent="0.25">
      <c r="A2459">
        <v>104.827059089587</v>
      </c>
      <c r="B2459">
        <v>37.677033562067301</v>
      </c>
      <c r="C2459">
        <v>2000</v>
      </c>
    </row>
    <row r="2460" spans="1:11" x14ac:dyDescent="0.25">
      <c r="A2460">
        <v>100.21850801222401</v>
      </c>
      <c r="B2460">
        <v>33.068482484704901</v>
      </c>
      <c r="C2460">
        <v>2000</v>
      </c>
    </row>
    <row r="2461" spans="1:11" x14ac:dyDescent="0.25">
      <c r="A2461">
        <v>84.603156729188299</v>
      </c>
      <c r="B2461">
        <v>17.4531312016688</v>
      </c>
      <c r="C2461">
        <v>2000</v>
      </c>
    </row>
    <row r="2462" spans="1:11" x14ac:dyDescent="0.25">
      <c r="A2462">
        <v>84.166140704739504</v>
      </c>
      <c r="B2462">
        <v>17.890147226117602</v>
      </c>
      <c r="C2462">
        <v>2001</v>
      </c>
    </row>
    <row r="2463" spans="1:11" x14ac:dyDescent="0.25">
      <c r="A2463">
        <v>99.781491987775595</v>
      </c>
      <c r="B2463">
        <v>33.505498509153703</v>
      </c>
      <c r="C2463">
        <v>2001</v>
      </c>
    </row>
    <row r="2464" spans="1:11" x14ac:dyDescent="0.25">
      <c r="A2464">
        <v>104.390043065138</v>
      </c>
      <c r="B2464">
        <v>38.114049586516103</v>
      </c>
      <c r="C2464">
        <v>2001</v>
      </c>
    </row>
    <row r="2465" spans="1:11" x14ac:dyDescent="0.25">
      <c r="A2465">
        <v>110.141862111889</v>
      </c>
      <c r="B2465">
        <v>43.8658686332668</v>
      </c>
      <c r="C2465">
        <v>2001</v>
      </c>
    </row>
    <row r="2466" spans="1:11" x14ac:dyDescent="0.25">
      <c r="A2466">
        <v>110.57887813633801</v>
      </c>
      <c r="B2466">
        <v>43.428852608817998</v>
      </c>
      <c r="C2466">
        <v>2000</v>
      </c>
    </row>
    <row r="2467" spans="1:11" x14ac:dyDescent="0.25">
      <c r="A2467" t="s">
        <v>84</v>
      </c>
    </row>
    <row r="2468" spans="1:11" x14ac:dyDescent="0.25">
      <c r="A2468">
        <v>837</v>
      </c>
      <c r="B2468">
        <v>0</v>
      </c>
      <c r="C2468">
        <v>29.845568544662001</v>
      </c>
      <c r="D2468">
        <v>6.5313745299584003</v>
      </c>
      <c r="E2468">
        <v>8</v>
      </c>
      <c r="F2468">
        <v>1.01722196789785</v>
      </c>
      <c r="G2468" t="s">
        <v>82</v>
      </c>
      <c r="H2468" t="s">
        <v>81</v>
      </c>
      <c r="I2468">
        <v>0</v>
      </c>
      <c r="J2468">
        <v>818</v>
      </c>
      <c r="K2468">
        <v>0.10341204281958701</v>
      </c>
    </row>
    <row r="2469" spans="1:11" x14ac:dyDescent="0.25">
      <c r="A2469" t="s">
        <v>83</v>
      </c>
    </row>
    <row r="2470" spans="1:11" x14ac:dyDescent="0.25">
      <c r="A2470">
        <v>20.887965763291099</v>
      </c>
      <c r="B2470">
        <v>50.472515780579698</v>
      </c>
      <c r="C2470">
        <v>2000</v>
      </c>
    </row>
    <row r="2471" spans="1:11" x14ac:dyDescent="0.25">
      <c r="A2471">
        <v>20.636562384443302</v>
      </c>
      <c r="B2471">
        <v>50.221112401731901</v>
      </c>
      <c r="C2471">
        <v>2000</v>
      </c>
    </row>
    <row r="2472" spans="1:11" x14ac:dyDescent="0.25">
      <c r="A2472">
        <v>0</v>
      </c>
      <c r="B2472">
        <v>29.584550017288599</v>
      </c>
      <c r="C2472">
        <v>2000</v>
      </c>
    </row>
    <row r="2473" spans="1:11" x14ac:dyDescent="0.25">
      <c r="A2473">
        <v>0</v>
      </c>
      <c r="B2473">
        <v>28.710517968390999</v>
      </c>
      <c r="C2473">
        <v>2001</v>
      </c>
    </row>
    <row r="2474" spans="1:11" x14ac:dyDescent="0.25">
      <c r="A2474">
        <v>21.0683696298771</v>
      </c>
      <c r="B2474">
        <v>49.778887598268099</v>
      </c>
      <c r="C2474">
        <v>2001</v>
      </c>
    </row>
    <row r="2475" spans="1:11" x14ac:dyDescent="0.25">
      <c r="A2475">
        <v>21.320042049305702</v>
      </c>
      <c r="B2475">
        <v>50.0305600176967</v>
      </c>
      <c r="C2475">
        <v>2001</v>
      </c>
    </row>
    <row r="2476" spans="1:11" x14ac:dyDescent="0.25">
      <c r="A2476">
        <v>25.940891139125501</v>
      </c>
      <c r="B2476">
        <v>54.6514091075165</v>
      </c>
      <c r="C2476">
        <v>2001</v>
      </c>
    </row>
    <row r="2477" spans="1:11" x14ac:dyDescent="0.25">
      <c r="A2477">
        <v>25.503875114676699</v>
      </c>
      <c r="B2477">
        <v>55.088425131965302</v>
      </c>
      <c r="C2477">
        <v>2000</v>
      </c>
    </row>
    <row r="2478" spans="1:11" x14ac:dyDescent="0.25">
      <c r="A2478" t="s">
        <v>84</v>
      </c>
    </row>
    <row r="2479" spans="1:11" x14ac:dyDescent="0.25">
      <c r="A2479">
        <v>813</v>
      </c>
      <c r="B2479">
        <v>0</v>
      </c>
      <c r="C2479">
        <v>4.9918908760066101</v>
      </c>
      <c r="D2479">
        <v>31.183408216378901</v>
      </c>
      <c r="E2479">
        <v>6</v>
      </c>
      <c r="F2479">
        <v>1.01722196789785</v>
      </c>
      <c r="G2479" t="s">
        <v>81</v>
      </c>
      <c r="H2479" t="s">
        <v>81</v>
      </c>
      <c r="I2479">
        <v>727</v>
      </c>
      <c r="J2479">
        <v>488</v>
      </c>
      <c r="K2479">
        <v>0.102777870221907</v>
      </c>
    </row>
    <row r="2480" spans="1:11" x14ac:dyDescent="0.25">
      <c r="A2480" t="s">
        <v>83</v>
      </c>
    </row>
    <row r="2481" spans="1:11" x14ac:dyDescent="0.25">
      <c r="A2481">
        <v>115.100356621244</v>
      </c>
      <c r="B2481">
        <v>22.449095740196601</v>
      </c>
      <c r="C2481">
        <v>2000</v>
      </c>
    </row>
    <row r="2482" spans="1:11" x14ac:dyDescent="0.25">
      <c r="A2482">
        <v>111.57055673187701</v>
      </c>
      <c r="B2482">
        <v>18.919295850829101</v>
      </c>
      <c r="C2482">
        <v>2000</v>
      </c>
    </row>
    <row r="2483" spans="1:11" x14ac:dyDescent="0.25">
      <c r="A2483">
        <v>111.133540707428</v>
      </c>
      <c r="B2483">
        <v>19.3563118752779</v>
      </c>
      <c r="C2483">
        <v>2001</v>
      </c>
    </row>
    <row r="2484" spans="1:11" x14ac:dyDescent="0.25">
      <c r="A2484">
        <v>114.663340596796</v>
      </c>
      <c r="B2484">
        <v>22.886111764645399</v>
      </c>
      <c r="C2484">
        <v>2001</v>
      </c>
    </row>
    <row r="2485" spans="1:11" x14ac:dyDescent="0.25">
      <c r="A2485">
        <v>136.71334000710499</v>
      </c>
      <c r="B2485">
        <v>44.9361111749553</v>
      </c>
      <c r="C2485">
        <v>2001</v>
      </c>
    </row>
    <row r="2486" spans="1:11" x14ac:dyDescent="0.25">
      <c r="A2486">
        <v>137.150356031554</v>
      </c>
      <c r="B2486">
        <v>44.499095150506399</v>
      </c>
      <c r="C2486">
        <v>2000</v>
      </c>
    </row>
    <row r="2487" spans="1:11" x14ac:dyDescent="0.25">
      <c r="A2487" t="s">
        <v>84</v>
      </c>
    </row>
    <row r="2488" spans="1:11" x14ac:dyDescent="0.25">
      <c r="A2488">
        <v>508</v>
      </c>
      <c r="B2488">
        <v>0</v>
      </c>
      <c r="C2488">
        <v>33.6846784511376</v>
      </c>
      <c r="D2488">
        <v>2.42948593636847</v>
      </c>
      <c r="E2488">
        <v>6</v>
      </c>
      <c r="F2488">
        <v>1.01722196789785</v>
      </c>
      <c r="G2488" t="s">
        <v>82</v>
      </c>
      <c r="H2488" t="s">
        <v>81</v>
      </c>
      <c r="I2488">
        <v>0</v>
      </c>
      <c r="J2488">
        <v>487</v>
      </c>
      <c r="K2488">
        <v>0</v>
      </c>
    </row>
    <row r="2489" spans="1:11" x14ac:dyDescent="0.25">
      <c r="A2489" t="s">
        <v>83</v>
      </c>
    </row>
    <row r="2490" spans="1:11" x14ac:dyDescent="0.25">
      <c r="A2490">
        <v>133.21873310255401</v>
      </c>
      <c r="B2490">
        <v>23.614856097579999</v>
      </c>
      <c r="C2490">
        <v>2000</v>
      </c>
    </row>
    <row r="2491" spans="1:11" x14ac:dyDescent="0.25">
      <c r="A2491">
        <v>109.603877004974</v>
      </c>
      <c r="B2491">
        <v>0</v>
      </c>
      <c r="C2491">
        <v>2000</v>
      </c>
    </row>
    <row r="2492" spans="1:11" x14ac:dyDescent="0.25">
      <c r="A2492">
        <v>108.72984495607599</v>
      </c>
      <c r="B2492">
        <v>0</v>
      </c>
      <c r="C2492">
        <v>2001</v>
      </c>
    </row>
    <row r="2493" spans="1:11" x14ac:dyDescent="0.25">
      <c r="A2493">
        <v>132.752317968272</v>
      </c>
      <c r="B2493">
        <v>24.022473012195501</v>
      </c>
      <c r="C2493">
        <v>2001</v>
      </c>
    </row>
    <row r="2494" spans="1:11" x14ac:dyDescent="0.25">
      <c r="A2494">
        <v>134.484923503592</v>
      </c>
      <c r="B2494">
        <v>25.755078547515701</v>
      </c>
      <c r="C2494">
        <v>2001</v>
      </c>
    </row>
    <row r="2495" spans="1:11" x14ac:dyDescent="0.25">
      <c r="A2495">
        <v>134.92193952804101</v>
      </c>
      <c r="B2495">
        <v>25.3180625230668</v>
      </c>
      <c r="C2495">
        <v>2000</v>
      </c>
    </row>
    <row r="2496" spans="1:11" x14ac:dyDescent="0.25">
      <c r="A2496" t="s">
        <v>84</v>
      </c>
    </row>
    <row r="2497" spans="1:11" x14ac:dyDescent="0.25">
      <c r="A2497">
        <v>739</v>
      </c>
      <c r="B2497">
        <v>0</v>
      </c>
      <c r="C2497">
        <v>17.244081760111801</v>
      </c>
      <c r="D2497">
        <v>18.801761236799301</v>
      </c>
      <c r="E2497">
        <v>6</v>
      </c>
      <c r="F2497">
        <v>1.01722196789785</v>
      </c>
      <c r="G2497" t="s">
        <v>81</v>
      </c>
      <c r="H2497" t="s">
        <v>82</v>
      </c>
      <c r="I2497">
        <v>1011</v>
      </c>
      <c r="J2497">
        <v>0</v>
      </c>
      <c r="K2497">
        <v>0.100785207567138</v>
      </c>
    </row>
    <row r="2498" spans="1:11" x14ac:dyDescent="0.25">
      <c r="A2498" t="s">
        <v>83</v>
      </c>
    </row>
    <row r="2499" spans="1:11" x14ac:dyDescent="0.25">
      <c r="A2499">
        <v>119.99209336268</v>
      </c>
      <c r="B2499">
        <v>136.59117183939699</v>
      </c>
      <c r="C2499">
        <v>2000</v>
      </c>
    </row>
    <row r="2500" spans="1:11" x14ac:dyDescent="0.25">
      <c r="A2500">
        <v>107.694153494357</v>
      </c>
      <c r="B2500">
        <v>124.29323197107399</v>
      </c>
      <c r="C2500">
        <v>2000</v>
      </c>
    </row>
    <row r="2501" spans="1:11" x14ac:dyDescent="0.25">
      <c r="A2501">
        <v>107.257137469908</v>
      </c>
      <c r="B2501">
        <v>124.730247995523</v>
      </c>
      <c r="C2501">
        <v>2001</v>
      </c>
    </row>
    <row r="2502" spans="1:11" x14ac:dyDescent="0.25">
      <c r="A2502">
        <v>119.346011897406</v>
      </c>
      <c r="B2502">
        <v>136.81912242302101</v>
      </c>
      <c r="C2502">
        <v>2001</v>
      </c>
    </row>
    <row r="2503" spans="1:11" x14ac:dyDescent="0.25">
      <c r="A2503">
        <v>132.526889474385</v>
      </c>
      <c r="B2503">
        <v>150</v>
      </c>
      <c r="C2503">
        <v>2001</v>
      </c>
    </row>
    <row r="2504" spans="1:11" x14ac:dyDescent="0.25">
      <c r="A2504">
        <v>133.40092152328299</v>
      </c>
      <c r="B2504">
        <v>150</v>
      </c>
      <c r="C2504">
        <v>2000</v>
      </c>
    </row>
    <row r="2505" spans="1:11" x14ac:dyDescent="0.25">
      <c r="A2505" t="s">
        <v>84</v>
      </c>
    </row>
    <row r="2506" spans="1:11" x14ac:dyDescent="0.25">
      <c r="A2506">
        <v>263</v>
      </c>
      <c r="B2506">
        <v>0</v>
      </c>
      <c r="C2506">
        <v>10.7294985909428</v>
      </c>
      <c r="D2506">
        <v>25.174300490067399</v>
      </c>
      <c r="E2506">
        <v>8</v>
      </c>
      <c r="F2506">
        <v>1.01722196789785</v>
      </c>
      <c r="G2506" t="s">
        <v>81</v>
      </c>
      <c r="H2506" t="s">
        <v>81</v>
      </c>
      <c r="I2506">
        <v>881</v>
      </c>
      <c r="J2506">
        <v>894</v>
      </c>
      <c r="K2506">
        <v>0</v>
      </c>
    </row>
    <row r="2507" spans="1:11" x14ac:dyDescent="0.25">
      <c r="A2507" t="s">
        <v>83</v>
      </c>
    </row>
    <row r="2508" spans="1:11" x14ac:dyDescent="0.25">
      <c r="A2508">
        <v>111.184325233658</v>
      </c>
      <c r="B2508">
        <v>106.84986927772</v>
      </c>
      <c r="C2508">
        <v>2000</v>
      </c>
    </row>
    <row r="2509" spans="1:11" x14ac:dyDescent="0.25">
      <c r="A2509">
        <v>104.552963968163</v>
      </c>
      <c r="B2509">
        <v>100.21850801222401</v>
      </c>
      <c r="C2509">
        <v>2000</v>
      </c>
    </row>
    <row r="2510" spans="1:11" x14ac:dyDescent="0.25">
      <c r="A2510">
        <v>103.597424021271</v>
      </c>
      <c r="B2510">
        <v>99.262968065332402</v>
      </c>
      <c r="C2510">
        <v>2000</v>
      </c>
    </row>
    <row r="2511" spans="1:11" x14ac:dyDescent="0.25">
      <c r="A2511">
        <v>104.03444004571899</v>
      </c>
      <c r="B2511">
        <v>98.825952040883607</v>
      </c>
      <c r="C2511">
        <v>2001</v>
      </c>
    </row>
    <row r="2512" spans="1:11" x14ac:dyDescent="0.25">
      <c r="A2512">
        <v>104.989979992611</v>
      </c>
      <c r="B2512">
        <v>99.781491987775595</v>
      </c>
      <c r="C2512">
        <v>2001</v>
      </c>
    </row>
    <row r="2513" spans="1:11" x14ac:dyDescent="0.25">
      <c r="A2513">
        <v>111.62134125810699</v>
      </c>
      <c r="B2513">
        <v>106.412853253271</v>
      </c>
      <c r="C2513">
        <v>2001</v>
      </c>
    </row>
    <row r="2514" spans="1:11" x14ac:dyDescent="0.25">
      <c r="A2514">
        <v>129.422259846261</v>
      </c>
      <c r="B2514">
        <v>124.213771841425</v>
      </c>
      <c r="C2514">
        <v>2001</v>
      </c>
    </row>
    <row r="2515" spans="1:11" x14ac:dyDescent="0.25">
      <c r="A2515">
        <v>128.98524382181199</v>
      </c>
      <c r="B2515">
        <v>124.65078786587399</v>
      </c>
      <c r="C2515">
        <v>2000</v>
      </c>
    </row>
    <row r="2516" spans="1:11" x14ac:dyDescent="0.25">
      <c r="A2516" t="s">
        <v>84</v>
      </c>
    </row>
    <row r="2517" spans="1:11" x14ac:dyDescent="0.25">
      <c r="A2517">
        <v>514</v>
      </c>
      <c r="B2517">
        <v>0</v>
      </c>
      <c r="C2517">
        <v>28.4385091773607</v>
      </c>
      <c r="D2517">
        <v>7.1650498115836703</v>
      </c>
      <c r="E2517">
        <v>6</v>
      </c>
      <c r="F2517">
        <v>1.01722196789785</v>
      </c>
      <c r="G2517" t="s">
        <v>82</v>
      </c>
      <c r="H2517" t="s">
        <v>82</v>
      </c>
      <c r="I2517">
        <v>0</v>
      </c>
      <c r="J2517">
        <v>0</v>
      </c>
      <c r="K2517">
        <v>0</v>
      </c>
    </row>
    <row r="2518" spans="1:11" x14ac:dyDescent="0.25">
      <c r="A2518" t="s">
        <v>83</v>
      </c>
    </row>
    <row r="2519" spans="1:11" x14ac:dyDescent="0.25">
      <c r="A2519">
        <v>145.02149212270399</v>
      </c>
      <c r="B2519">
        <v>19.759994093712798</v>
      </c>
      <c r="C2519">
        <v>2000</v>
      </c>
    </row>
    <row r="2520" spans="1:11" x14ac:dyDescent="0.25">
      <c r="A2520">
        <v>125.261498028991</v>
      </c>
      <c r="B2520">
        <v>0</v>
      </c>
      <c r="C2520">
        <v>2000</v>
      </c>
    </row>
    <row r="2521" spans="1:11" x14ac:dyDescent="0.25">
      <c r="A2521">
        <v>124.387465980093</v>
      </c>
      <c r="B2521">
        <v>0</v>
      </c>
      <c r="C2521">
        <v>2001</v>
      </c>
    </row>
    <row r="2522" spans="1:11" x14ac:dyDescent="0.25">
      <c r="A2522">
        <v>144.84559725867601</v>
      </c>
      <c r="B2522">
        <v>20.458131278582499</v>
      </c>
      <c r="C2522">
        <v>2001</v>
      </c>
    </row>
    <row r="2523" spans="1:11" x14ac:dyDescent="0.25">
      <c r="A2523">
        <v>150</v>
      </c>
      <c r="B2523">
        <v>25.6125340199067</v>
      </c>
      <c r="C2523">
        <v>2001</v>
      </c>
    </row>
    <row r="2524" spans="1:11" x14ac:dyDescent="0.25">
      <c r="A2524">
        <v>150</v>
      </c>
      <c r="B2524">
        <v>24.738501971009001</v>
      </c>
      <c r="C2524">
        <v>2000</v>
      </c>
    </row>
    <row r="2525" spans="1:11" x14ac:dyDescent="0.25">
      <c r="A2525" t="s">
        <v>84</v>
      </c>
    </row>
    <row r="2526" spans="1:11" x14ac:dyDescent="0.25">
      <c r="A2526">
        <v>1026</v>
      </c>
      <c r="B2526">
        <v>0</v>
      </c>
      <c r="C2526">
        <v>31.983777164659301</v>
      </c>
      <c r="D2526">
        <v>3.4716421696317901</v>
      </c>
      <c r="E2526">
        <v>8</v>
      </c>
      <c r="F2526">
        <v>1.01722196789785</v>
      </c>
      <c r="G2526" t="s">
        <v>81</v>
      </c>
      <c r="H2526" t="s">
        <v>81</v>
      </c>
      <c r="I2526">
        <v>904</v>
      </c>
      <c r="J2526">
        <v>484</v>
      </c>
      <c r="K2526">
        <v>0.11163001737657099</v>
      </c>
    </row>
    <row r="2527" spans="1:11" x14ac:dyDescent="0.25">
      <c r="A2527" t="s">
        <v>83</v>
      </c>
    </row>
    <row r="2528" spans="1:11" x14ac:dyDescent="0.25">
      <c r="A2528">
        <v>106.72349022455199</v>
      </c>
      <c r="B2528">
        <v>40.564689148484902</v>
      </c>
      <c r="C2528">
        <v>2000</v>
      </c>
    </row>
    <row r="2529" spans="1:11" x14ac:dyDescent="0.25">
      <c r="A2529">
        <v>100.21850801222401</v>
      </c>
      <c r="B2529">
        <v>34.059706936156999</v>
      </c>
      <c r="C2529">
        <v>2000</v>
      </c>
    </row>
    <row r="2530" spans="1:11" x14ac:dyDescent="0.25">
      <c r="A2530">
        <v>84.107544503462293</v>
      </c>
      <c r="B2530">
        <v>17.948743427394799</v>
      </c>
      <c r="C2530">
        <v>2000</v>
      </c>
    </row>
    <row r="2531" spans="1:11" x14ac:dyDescent="0.25">
      <c r="A2531">
        <v>83.670528479013399</v>
      </c>
      <c r="B2531">
        <v>18.3857594518437</v>
      </c>
      <c r="C2531">
        <v>2001</v>
      </c>
    </row>
    <row r="2532" spans="1:11" x14ac:dyDescent="0.25">
      <c r="A2532">
        <v>99.781491987775595</v>
      </c>
      <c r="B2532">
        <v>34.496722960605801</v>
      </c>
      <c r="C2532">
        <v>2001</v>
      </c>
    </row>
    <row r="2533" spans="1:11" x14ac:dyDescent="0.25">
      <c r="A2533">
        <v>106.286474200103</v>
      </c>
      <c r="B2533">
        <v>41.001705172933697</v>
      </c>
      <c r="C2533">
        <v>2001</v>
      </c>
    </row>
    <row r="2534" spans="1:11" x14ac:dyDescent="0.25">
      <c r="A2534">
        <v>108.741295920103</v>
      </c>
      <c r="B2534">
        <v>43.456526892933503</v>
      </c>
      <c r="C2534">
        <v>2001</v>
      </c>
    </row>
    <row r="2535" spans="1:11" x14ac:dyDescent="0.25">
      <c r="A2535">
        <v>109.17831194455199</v>
      </c>
      <c r="B2535">
        <v>43.019510868484701</v>
      </c>
      <c r="C2535">
        <v>2000</v>
      </c>
    </row>
    <row r="2536" spans="1:11" x14ac:dyDescent="0.25">
      <c r="A2536" t="s">
        <v>84</v>
      </c>
    </row>
    <row r="2537" spans="1:11" x14ac:dyDescent="0.25">
      <c r="A2537">
        <v>587</v>
      </c>
      <c r="B2537">
        <v>0</v>
      </c>
      <c r="C2537">
        <v>19.591437079288099</v>
      </c>
      <c r="D2537">
        <v>15.8338540231788</v>
      </c>
      <c r="E2537">
        <v>8</v>
      </c>
      <c r="F2537">
        <v>1.01722196789785</v>
      </c>
      <c r="G2537" t="s">
        <v>81</v>
      </c>
      <c r="H2537" t="s">
        <v>81</v>
      </c>
      <c r="I2537">
        <v>1009</v>
      </c>
      <c r="J2537">
        <v>267</v>
      </c>
      <c r="K2537">
        <v>0</v>
      </c>
    </row>
    <row r="2538" spans="1:11" x14ac:dyDescent="0.25">
      <c r="A2538" t="s">
        <v>83</v>
      </c>
    </row>
    <row r="2539" spans="1:11" x14ac:dyDescent="0.25">
      <c r="A2539">
        <v>111.884950615417</v>
      </c>
      <c r="B2539">
        <v>67.757025326484595</v>
      </c>
      <c r="C2539">
        <v>2000</v>
      </c>
    </row>
    <row r="2540" spans="1:11" x14ac:dyDescent="0.25">
      <c r="A2540">
        <v>99.781491987775595</v>
      </c>
      <c r="B2540">
        <v>55.653566698843598</v>
      </c>
      <c r="C2540">
        <v>2000</v>
      </c>
    </row>
    <row r="2541" spans="1:11" x14ac:dyDescent="0.25">
      <c r="A2541">
        <v>98.031712603462296</v>
      </c>
      <c r="B2541">
        <v>53.903787314530398</v>
      </c>
      <c r="C2541">
        <v>2000</v>
      </c>
    </row>
    <row r="2542" spans="1:11" x14ac:dyDescent="0.25">
      <c r="A2542">
        <v>98.468728627911105</v>
      </c>
      <c r="B2542">
        <v>53.466771290081503</v>
      </c>
      <c r="C2542">
        <v>2001</v>
      </c>
    </row>
    <row r="2543" spans="1:11" x14ac:dyDescent="0.25">
      <c r="A2543">
        <v>100.21850801222401</v>
      </c>
      <c r="B2543">
        <v>55.216550674394803</v>
      </c>
      <c r="C2543">
        <v>2001</v>
      </c>
    </row>
    <row r="2544" spans="1:11" x14ac:dyDescent="0.25">
      <c r="A2544">
        <v>112.321966639865</v>
      </c>
      <c r="B2544">
        <v>67.3200093020357</v>
      </c>
      <c r="C2544">
        <v>2001</v>
      </c>
    </row>
    <row r="2545" spans="1:11" x14ac:dyDescent="0.25">
      <c r="A2545">
        <v>123.518192191973</v>
      </c>
      <c r="B2545">
        <v>78.516234854143406</v>
      </c>
      <c r="C2545">
        <v>2001</v>
      </c>
    </row>
    <row r="2546" spans="1:11" x14ac:dyDescent="0.25">
      <c r="A2546">
        <v>123.08117616752401</v>
      </c>
      <c r="B2546">
        <v>78.9532508785922</v>
      </c>
      <c r="C2546">
        <v>2000</v>
      </c>
    </row>
    <row r="2547" spans="1:11" x14ac:dyDescent="0.25">
      <c r="A2547" t="s">
        <v>84</v>
      </c>
    </row>
    <row r="2548" spans="1:11" x14ac:dyDescent="0.25">
      <c r="A2548">
        <v>358</v>
      </c>
      <c r="B2548">
        <v>0</v>
      </c>
      <c r="C2548">
        <v>30.370773835195902</v>
      </c>
      <c r="D2548">
        <v>4.7465820821650802</v>
      </c>
      <c r="E2548">
        <v>8</v>
      </c>
      <c r="F2548">
        <v>1.01722196789785</v>
      </c>
      <c r="G2548" t="s">
        <v>81</v>
      </c>
      <c r="H2548" t="s">
        <v>82</v>
      </c>
      <c r="I2548">
        <v>957</v>
      </c>
      <c r="J2548">
        <v>0</v>
      </c>
      <c r="K2548">
        <v>0</v>
      </c>
    </row>
    <row r="2549" spans="1:11" x14ac:dyDescent="0.25">
      <c r="A2549" t="s">
        <v>83</v>
      </c>
    </row>
    <row r="2550" spans="1:11" x14ac:dyDescent="0.25">
      <c r="A2550">
        <v>60.7926717513295</v>
      </c>
      <c r="B2550">
        <v>146.694114271595</v>
      </c>
      <c r="C2550">
        <v>2000</v>
      </c>
    </row>
    <row r="2551" spans="1:11" x14ac:dyDescent="0.25">
      <c r="A2551">
        <v>49.781491987775603</v>
      </c>
      <c r="B2551">
        <v>135.682934508041</v>
      </c>
      <c r="C2551">
        <v>2000</v>
      </c>
    </row>
    <row r="2552" spans="1:11" x14ac:dyDescent="0.25">
      <c r="A2552">
        <v>39.485344985451398</v>
      </c>
      <c r="B2552">
        <v>125.386787505717</v>
      </c>
      <c r="C2552">
        <v>2000</v>
      </c>
    </row>
    <row r="2553" spans="1:11" x14ac:dyDescent="0.25">
      <c r="A2553">
        <v>39.9223610099002</v>
      </c>
      <c r="B2553">
        <v>124.949771481268</v>
      </c>
      <c r="C2553">
        <v>2001</v>
      </c>
    </row>
    <row r="2554" spans="1:11" x14ac:dyDescent="0.25">
      <c r="A2554">
        <v>50.218508012224397</v>
      </c>
      <c r="B2554">
        <v>135.24591848359199</v>
      </c>
      <c r="C2554">
        <v>2001</v>
      </c>
    </row>
    <row r="2555" spans="1:11" x14ac:dyDescent="0.25">
      <c r="A2555">
        <v>61.565794501521999</v>
      </c>
      <c r="B2555">
        <v>146.59320497288999</v>
      </c>
      <c r="C2555">
        <v>2001</v>
      </c>
    </row>
    <row r="2556" spans="1:11" x14ac:dyDescent="0.25">
      <c r="A2556">
        <v>64.972589528632099</v>
      </c>
      <c r="B2556">
        <v>150</v>
      </c>
      <c r="C2556">
        <v>2001</v>
      </c>
    </row>
    <row r="2557" spans="1:11" x14ac:dyDescent="0.25">
      <c r="A2557">
        <v>64.098557479734396</v>
      </c>
      <c r="B2557">
        <v>150</v>
      </c>
      <c r="C2557">
        <v>2000</v>
      </c>
    </row>
    <row r="2558" spans="1:11" x14ac:dyDescent="0.25">
      <c r="A2558" t="s">
        <v>84</v>
      </c>
    </row>
    <row r="2559" spans="1:11" x14ac:dyDescent="0.25">
      <c r="A2559">
        <v>965</v>
      </c>
      <c r="B2559">
        <v>0</v>
      </c>
      <c r="C2559">
        <v>3.7741482828205601</v>
      </c>
      <c r="D2559">
        <v>30.958103097388399</v>
      </c>
      <c r="E2559">
        <v>8</v>
      </c>
      <c r="F2559">
        <v>1.01722196789785</v>
      </c>
      <c r="G2559" t="s">
        <v>81</v>
      </c>
      <c r="H2559" t="s">
        <v>81</v>
      </c>
      <c r="I2559">
        <v>191</v>
      </c>
      <c r="J2559">
        <v>675</v>
      </c>
      <c r="K2559">
        <v>0.107324462279519</v>
      </c>
    </row>
    <row r="2560" spans="1:11" x14ac:dyDescent="0.25">
      <c r="A2560" t="s">
        <v>83</v>
      </c>
    </row>
    <row r="2561" spans="1:11" x14ac:dyDescent="0.25">
      <c r="A2561">
        <v>63.223392852215902</v>
      </c>
      <c r="B2561">
        <v>49.773186557825099</v>
      </c>
      <c r="C2561">
        <v>2000</v>
      </c>
    </row>
    <row r="2562" spans="1:11" x14ac:dyDescent="0.25">
      <c r="A2562">
        <v>60.554667008229899</v>
      </c>
      <c r="B2562">
        <v>47.104460713839103</v>
      </c>
      <c r="C2562">
        <v>2000</v>
      </c>
    </row>
    <row r="2563" spans="1:11" x14ac:dyDescent="0.25">
      <c r="A2563">
        <v>60.117650983781097</v>
      </c>
      <c r="B2563">
        <v>47.541476738287898</v>
      </c>
      <c r="C2563">
        <v>2001</v>
      </c>
    </row>
    <row r="2564" spans="1:11" x14ac:dyDescent="0.25">
      <c r="A2564">
        <v>62.7863768277671</v>
      </c>
      <c r="B2564">
        <v>50.210202582273901</v>
      </c>
      <c r="C2564">
        <v>2001</v>
      </c>
    </row>
    <row r="2565" spans="1:11" x14ac:dyDescent="0.25">
      <c r="A2565">
        <v>62.794682257717596</v>
      </c>
      <c r="B2565">
        <v>50.218508012224397</v>
      </c>
      <c r="C2565">
        <v>2001</v>
      </c>
    </row>
    <row r="2566" spans="1:11" x14ac:dyDescent="0.25">
      <c r="A2566">
        <v>84.677061460602701</v>
      </c>
      <c r="B2566">
        <v>72.100887215109495</v>
      </c>
      <c r="C2566">
        <v>2001</v>
      </c>
    </row>
    <row r="2567" spans="1:11" x14ac:dyDescent="0.25">
      <c r="A2567">
        <v>85.114077485051496</v>
      </c>
      <c r="B2567">
        <v>71.6638711906607</v>
      </c>
      <c r="C2567">
        <v>2000</v>
      </c>
    </row>
    <row r="2568" spans="1:11" x14ac:dyDescent="0.25">
      <c r="A2568">
        <v>63.231698282166398</v>
      </c>
      <c r="B2568">
        <v>49.781491987775603</v>
      </c>
      <c r="C2568">
        <v>2000</v>
      </c>
    </row>
    <row r="2569" spans="1:11" x14ac:dyDescent="0.25">
      <c r="A2569" t="s">
        <v>84</v>
      </c>
    </row>
    <row r="2570" spans="1:11" x14ac:dyDescent="0.25">
      <c r="A2570">
        <v>668</v>
      </c>
      <c r="B2570">
        <v>0</v>
      </c>
      <c r="C2570">
        <v>14.7968535032683</v>
      </c>
      <c r="D2570">
        <v>19.935397876940598</v>
      </c>
      <c r="E2570">
        <v>8</v>
      </c>
      <c r="F2570">
        <v>1.01722196789785</v>
      </c>
      <c r="G2570" t="s">
        <v>81</v>
      </c>
      <c r="H2570" t="s">
        <v>81</v>
      </c>
      <c r="I2570">
        <v>191</v>
      </c>
      <c r="J2570">
        <v>582</v>
      </c>
      <c r="K2570">
        <v>0</v>
      </c>
    </row>
    <row r="2571" spans="1:11" x14ac:dyDescent="0.25">
      <c r="A2571" t="s">
        <v>83</v>
      </c>
    </row>
    <row r="2572" spans="1:11" x14ac:dyDescent="0.25">
      <c r="A2572">
        <v>70.975565341751107</v>
      </c>
      <c r="B2572">
        <v>57.609473285087901</v>
      </c>
      <c r="C2572">
        <v>2000</v>
      </c>
    </row>
    <row r="2573" spans="1:11" x14ac:dyDescent="0.25">
      <c r="A2573">
        <v>63.147584044438801</v>
      </c>
      <c r="B2573">
        <v>49.781491987775603</v>
      </c>
      <c r="C2573">
        <v>2000</v>
      </c>
    </row>
    <row r="2574" spans="1:11" x14ac:dyDescent="0.25">
      <c r="A2574">
        <v>60.512609889366097</v>
      </c>
      <c r="B2574">
        <v>47.146517832702898</v>
      </c>
      <c r="C2574">
        <v>2000</v>
      </c>
    </row>
    <row r="2575" spans="1:11" x14ac:dyDescent="0.25">
      <c r="A2575">
        <v>60.075593864917302</v>
      </c>
      <c r="B2575">
        <v>47.583533857151799</v>
      </c>
      <c r="C2575">
        <v>2001</v>
      </c>
    </row>
    <row r="2576" spans="1:11" x14ac:dyDescent="0.25">
      <c r="A2576">
        <v>62.710568019989999</v>
      </c>
      <c r="B2576">
        <v>50.218508012224397</v>
      </c>
      <c r="C2576">
        <v>2001</v>
      </c>
    </row>
    <row r="2577" spans="1:11" x14ac:dyDescent="0.25">
      <c r="A2577">
        <v>70.538549317302198</v>
      </c>
      <c r="B2577">
        <v>58.046489309536703</v>
      </c>
      <c r="C2577">
        <v>2001</v>
      </c>
    </row>
    <row r="2578" spans="1:11" x14ac:dyDescent="0.25">
      <c r="A2578">
        <v>84.635004341738806</v>
      </c>
      <c r="B2578">
        <v>72.142944333973304</v>
      </c>
      <c r="C2578">
        <v>2001</v>
      </c>
    </row>
    <row r="2579" spans="1:11" x14ac:dyDescent="0.25">
      <c r="A2579">
        <v>85.072020366187701</v>
      </c>
      <c r="B2579">
        <v>71.705928309524495</v>
      </c>
      <c r="C2579">
        <v>2000</v>
      </c>
    </row>
    <row r="2580" spans="1:11" x14ac:dyDescent="0.25">
      <c r="A2580" t="s">
        <v>84</v>
      </c>
    </row>
    <row r="2581" spans="1:11" x14ac:dyDescent="0.25">
      <c r="A2581">
        <v>680</v>
      </c>
      <c r="B2581">
        <v>0</v>
      </c>
      <c r="C2581">
        <v>23.395936245685899</v>
      </c>
      <c r="D2581">
        <v>11.3162412797156</v>
      </c>
      <c r="E2581">
        <v>6</v>
      </c>
      <c r="F2581">
        <v>1.01722196789785</v>
      </c>
      <c r="G2581" t="s">
        <v>81</v>
      </c>
      <c r="H2581" t="s">
        <v>81</v>
      </c>
      <c r="I2581">
        <v>897</v>
      </c>
      <c r="J2581">
        <v>910</v>
      </c>
      <c r="K2581">
        <v>0</v>
      </c>
    </row>
    <row r="2582" spans="1:11" x14ac:dyDescent="0.25">
      <c r="A2582" t="s">
        <v>83</v>
      </c>
    </row>
    <row r="2583" spans="1:11" x14ac:dyDescent="0.25">
      <c r="A2583">
        <v>75.664673334767201</v>
      </c>
      <c r="B2583">
        <v>84.730965291485802</v>
      </c>
      <c r="C2583">
        <v>2000</v>
      </c>
    </row>
    <row r="2584" spans="1:11" x14ac:dyDescent="0.25">
      <c r="A2584">
        <v>59.121248163234597</v>
      </c>
      <c r="B2584">
        <v>68.187540119953198</v>
      </c>
      <c r="C2584">
        <v>2000</v>
      </c>
    </row>
    <row r="2585" spans="1:11" x14ac:dyDescent="0.25">
      <c r="A2585">
        <v>59.558264187683399</v>
      </c>
      <c r="B2585">
        <v>67.750524095504403</v>
      </c>
      <c r="C2585">
        <v>2001</v>
      </c>
    </row>
    <row r="2586" spans="1:11" x14ac:dyDescent="0.25">
      <c r="A2586">
        <v>76.101689359216095</v>
      </c>
      <c r="B2586">
        <v>84.293949267036993</v>
      </c>
      <c r="C2586">
        <v>2001</v>
      </c>
    </row>
    <row r="2587" spans="1:11" x14ac:dyDescent="0.25">
      <c r="A2587">
        <v>84.103480305646102</v>
      </c>
      <c r="B2587">
        <v>92.295740213466999</v>
      </c>
      <c r="C2587">
        <v>2001</v>
      </c>
    </row>
    <row r="2588" spans="1:11" x14ac:dyDescent="0.25">
      <c r="A2588">
        <v>83.666464281197307</v>
      </c>
      <c r="B2588">
        <v>92.732756237915794</v>
      </c>
      <c r="C2588">
        <v>2000</v>
      </c>
    </row>
    <row r="2589" spans="1:11" x14ac:dyDescent="0.25">
      <c r="A2589" t="s">
        <v>84</v>
      </c>
    </row>
    <row r="2590" spans="1:11" x14ac:dyDescent="0.25">
      <c r="A2590">
        <v>1043</v>
      </c>
      <c r="B2590">
        <v>0</v>
      </c>
      <c r="C2590">
        <v>6.6952467644338602</v>
      </c>
      <c r="D2590">
        <v>27.40159416813</v>
      </c>
      <c r="E2590">
        <v>6</v>
      </c>
      <c r="F2590">
        <v>1.01722196789785</v>
      </c>
      <c r="G2590" t="s">
        <v>81</v>
      </c>
      <c r="H2590" t="s">
        <v>82</v>
      </c>
      <c r="I2590">
        <v>922</v>
      </c>
      <c r="J2590">
        <v>0</v>
      </c>
      <c r="K2590">
        <v>0.11311285623311</v>
      </c>
    </row>
    <row r="2591" spans="1:11" x14ac:dyDescent="0.25">
      <c r="A2591" t="s">
        <v>83</v>
      </c>
    </row>
    <row r="2592" spans="1:11" x14ac:dyDescent="0.25">
      <c r="A2592">
        <v>10.409961794480701</v>
      </c>
      <c r="B2592">
        <v>130.44854511227899</v>
      </c>
      <c r="C2592">
        <v>2000</v>
      </c>
    </row>
    <row r="2593" spans="1:11" x14ac:dyDescent="0.25">
      <c r="A2593">
        <v>5.6328012295221601</v>
      </c>
      <c r="B2593">
        <v>125.671384547321</v>
      </c>
      <c r="C2593">
        <v>2000</v>
      </c>
    </row>
    <row r="2594" spans="1:11" x14ac:dyDescent="0.25">
      <c r="A2594">
        <v>5.1957852050733404</v>
      </c>
      <c r="B2594">
        <v>126.108400571769</v>
      </c>
      <c r="C2594">
        <v>2001</v>
      </c>
    </row>
    <row r="2595" spans="1:11" x14ac:dyDescent="0.25">
      <c r="A2595">
        <v>9.8871334178117802</v>
      </c>
      <c r="B2595">
        <v>130.79974878450801</v>
      </c>
      <c r="C2595">
        <v>2001</v>
      </c>
    </row>
    <row r="2596" spans="1:11" x14ac:dyDescent="0.25">
      <c r="A2596">
        <v>29.087384633303898</v>
      </c>
      <c r="B2596">
        <v>150</v>
      </c>
      <c r="C2596">
        <v>2001</v>
      </c>
    </row>
    <row r="2597" spans="1:11" x14ac:dyDescent="0.25">
      <c r="A2597">
        <v>29.961416682201602</v>
      </c>
      <c r="B2597">
        <v>150</v>
      </c>
      <c r="C2597">
        <v>2000</v>
      </c>
    </row>
    <row r="2598" spans="1:11" x14ac:dyDescent="0.25">
      <c r="A2598" t="s">
        <v>84</v>
      </c>
    </row>
    <row r="2599" spans="1:11" x14ac:dyDescent="0.25">
      <c r="A2599">
        <v>847</v>
      </c>
      <c r="B2599">
        <v>0</v>
      </c>
      <c r="C2599">
        <v>16.057206303750299</v>
      </c>
      <c r="D2599">
        <v>17.602284018923299</v>
      </c>
      <c r="E2599">
        <v>8</v>
      </c>
      <c r="F2599">
        <v>1.01722196789785</v>
      </c>
      <c r="G2599" t="s">
        <v>82</v>
      </c>
      <c r="H2599" t="s">
        <v>81</v>
      </c>
      <c r="I2599">
        <v>0</v>
      </c>
      <c r="J2599">
        <v>195</v>
      </c>
      <c r="K2599">
        <v>0.10361701455149699</v>
      </c>
    </row>
    <row r="2600" spans="1:11" x14ac:dyDescent="0.25">
      <c r="A2600" t="s">
        <v>83</v>
      </c>
    </row>
    <row r="2601" spans="1:11" x14ac:dyDescent="0.25">
      <c r="A2601">
        <v>43.369132709842503</v>
      </c>
      <c r="B2601">
        <v>11.4944204718037</v>
      </c>
      <c r="C2601">
        <v>2000</v>
      </c>
    </row>
    <row r="2602" spans="1:11" x14ac:dyDescent="0.25">
      <c r="A2602">
        <v>31.8747122380388</v>
      </c>
      <c r="B2602">
        <v>0</v>
      </c>
      <c r="C2602">
        <v>2000</v>
      </c>
    </row>
    <row r="2603" spans="1:11" x14ac:dyDescent="0.25">
      <c r="A2603">
        <v>32.7487442869365</v>
      </c>
      <c r="B2603">
        <v>0</v>
      </c>
      <c r="C2603">
        <v>2001</v>
      </c>
    </row>
    <row r="2604" spans="1:11" x14ac:dyDescent="0.25">
      <c r="A2604">
        <v>43.9626427437193</v>
      </c>
      <c r="B2604">
        <v>11.2138984567828</v>
      </c>
      <c r="C2604">
        <v>2001</v>
      </c>
    </row>
    <row r="2605" spans="1:11" x14ac:dyDescent="0.25">
      <c r="A2605">
        <v>50.218508012224397</v>
      </c>
      <c r="B2605">
        <v>17.469763725287901</v>
      </c>
      <c r="C2605">
        <v>2001</v>
      </c>
    </row>
    <row r="2606" spans="1:11" x14ac:dyDescent="0.25">
      <c r="A2606">
        <v>56.331090133157602</v>
      </c>
      <c r="B2606">
        <v>23.582345846221099</v>
      </c>
      <c r="C2606">
        <v>2001</v>
      </c>
    </row>
    <row r="2607" spans="1:11" x14ac:dyDescent="0.25">
      <c r="A2607">
        <v>55.8940741087088</v>
      </c>
      <c r="B2607">
        <v>24.019361870669901</v>
      </c>
      <c r="C2607">
        <v>2000</v>
      </c>
    </row>
    <row r="2608" spans="1:11" x14ac:dyDescent="0.25">
      <c r="A2608">
        <v>49.781491987775603</v>
      </c>
      <c r="B2608">
        <v>17.9067797497367</v>
      </c>
      <c r="C2608">
        <v>2000</v>
      </c>
    </row>
    <row r="2609" spans="1:11" x14ac:dyDescent="0.25">
      <c r="A2609" t="s">
        <v>84</v>
      </c>
    </row>
    <row r="2610" spans="1:11" x14ac:dyDescent="0.25">
      <c r="A2610">
        <v>940</v>
      </c>
      <c r="B2610">
        <v>0</v>
      </c>
      <c r="C2610">
        <v>8.3539588167396293</v>
      </c>
      <c r="D2610">
        <v>25.043130380128702</v>
      </c>
      <c r="E2610">
        <v>10</v>
      </c>
      <c r="F2610">
        <v>1.01722196789785</v>
      </c>
      <c r="G2610" t="s">
        <v>81</v>
      </c>
      <c r="H2610" t="s">
        <v>81</v>
      </c>
      <c r="I2610">
        <v>754</v>
      </c>
      <c r="J2610">
        <v>565</v>
      </c>
      <c r="K2610">
        <v>0.10613089671621601</v>
      </c>
    </row>
    <row r="2611" spans="1:11" x14ac:dyDescent="0.25">
      <c r="A2611" t="s">
        <v>83</v>
      </c>
    </row>
    <row r="2612" spans="1:11" x14ac:dyDescent="0.25">
      <c r="A2612">
        <v>93.355746234471596</v>
      </c>
      <c r="B2612">
        <v>55.169201764818098</v>
      </c>
      <c r="C2612">
        <v>2000</v>
      </c>
    </row>
    <row r="2613" spans="1:11" x14ac:dyDescent="0.25">
      <c r="A2613">
        <v>88.405052481877902</v>
      </c>
      <c r="B2613">
        <v>50.218508012224397</v>
      </c>
      <c r="C2613">
        <v>2000</v>
      </c>
    </row>
    <row r="2614" spans="1:11" x14ac:dyDescent="0.25">
      <c r="A2614">
        <v>87.448605305401898</v>
      </c>
      <c r="B2614">
        <v>49.2620608357484</v>
      </c>
      <c r="C2614">
        <v>2000</v>
      </c>
    </row>
    <row r="2615" spans="1:11" x14ac:dyDescent="0.25">
      <c r="A2615">
        <v>87.885621329850693</v>
      </c>
      <c r="B2615">
        <v>48.825044811299499</v>
      </c>
      <c r="C2615">
        <v>2001</v>
      </c>
    </row>
    <row r="2616" spans="1:11" x14ac:dyDescent="0.25">
      <c r="A2616">
        <v>88.842068506326697</v>
      </c>
      <c r="B2616">
        <v>49.781491987775603</v>
      </c>
      <c r="C2616">
        <v>2001</v>
      </c>
    </row>
    <row r="2617" spans="1:11" x14ac:dyDescent="0.25">
      <c r="A2617">
        <v>93.792762258920405</v>
      </c>
      <c r="B2617">
        <v>54.732185740369303</v>
      </c>
      <c r="C2617">
        <v>2001</v>
      </c>
    </row>
    <row r="2618" spans="1:11" x14ac:dyDescent="0.25">
      <c r="A2618">
        <v>100.21850801222401</v>
      </c>
      <c r="B2618">
        <v>61.157931493673303</v>
      </c>
      <c r="C2618">
        <v>2001</v>
      </c>
    </row>
    <row r="2619" spans="1:11" x14ac:dyDescent="0.25">
      <c r="A2619">
        <v>111.50092957284799</v>
      </c>
      <c r="B2619">
        <v>72.440353054297105</v>
      </c>
      <c r="C2619">
        <v>2001</v>
      </c>
    </row>
    <row r="2620" spans="1:11" x14ac:dyDescent="0.25">
      <c r="A2620">
        <v>111.063913548399</v>
      </c>
      <c r="B2620">
        <v>72.877369078746</v>
      </c>
      <c r="C2620">
        <v>2000</v>
      </c>
    </row>
    <row r="2621" spans="1:11" x14ac:dyDescent="0.25">
      <c r="A2621">
        <v>99.781491987775595</v>
      </c>
      <c r="B2621">
        <v>61.594947518122098</v>
      </c>
      <c r="C2621">
        <v>2000</v>
      </c>
    </row>
    <row r="2622" spans="1:11" x14ac:dyDescent="0.25">
      <c r="A2622" t="s">
        <v>84</v>
      </c>
    </row>
    <row r="2623" spans="1:11" x14ac:dyDescent="0.25">
      <c r="A2623">
        <v>102</v>
      </c>
      <c r="B2623">
        <v>0</v>
      </c>
      <c r="C2623">
        <v>20.136612450001099</v>
      </c>
      <c r="D2623">
        <v>13.157153452111899</v>
      </c>
      <c r="E2623">
        <v>6</v>
      </c>
      <c r="F2623">
        <v>1.01722196789785</v>
      </c>
      <c r="G2623" t="s">
        <v>82</v>
      </c>
      <c r="H2623" t="s">
        <v>81</v>
      </c>
      <c r="I2623">
        <v>0</v>
      </c>
      <c r="J2623">
        <v>925</v>
      </c>
      <c r="K2623">
        <v>0</v>
      </c>
    </row>
    <row r="2624" spans="1:11" x14ac:dyDescent="0.25">
      <c r="A2624" t="s">
        <v>83</v>
      </c>
    </row>
    <row r="2625" spans="1:11" x14ac:dyDescent="0.25">
      <c r="A2625">
        <v>14.3708924219404</v>
      </c>
      <c r="B2625">
        <v>71.377196989166407</v>
      </c>
      <c r="C2625">
        <v>2000</v>
      </c>
    </row>
    <row r="2626" spans="1:11" x14ac:dyDescent="0.25">
      <c r="A2626">
        <v>0</v>
      </c>
      <c r="B2626">
        <v>57.006304567226003</v>
      </c>
      <c r="C2626">
        <v>2000</v>
      </c>
    </row>
    <row r="2627" spans="1:11" x14ac:dyDescent="0.25">
      <c r="A2627">
        <v>0</v>
      </c>
      <c r="B2627">
        <v>57.8803366161236</v>
      </c>
      <c r="C2627">
        <v>2001</v>
      </c>
    </row>
    <row r="2628" spans="1:11" x14ac:dyDescent="0.25">
      <c r="A2628">
        <v>14.1065780051022</v>
      </c>
      <c r="B2628">
        <v>71.986914621225793</v>
      </c>
      <c r="C2628">
        <v>2001</v>
      </c>
    </row>
    <row r="2629" spans="1:11" x14ac:dyDescent="0.25">
      <c r="A2629">
        <v>23.323739628397199</v>
      </c>
      <c r="B2629">
        <v>81.204076244520806</v>
      </c>
      <c r="C2629">
        <v>2001</v>
      </c>
    </row>
    <row r="2630" spans="1:11" x14ac:dyDescent="0.25">
      <c r="A2630">
        <v>23.760755652846001</v>
      </c>
      <c r="B2630">
        <v>80.767060220071997</v>
      </c>
      <c r="C2630">
        <v>2000</v>
      </c>
    </row>
    <row r="2631" spans="1:11" x14ac:dyDescent="0.25">
      <c r="A2631" t="s">
        <v>84</v>
      </c>
    </row>
    <row r="2632" spans="1:11" x14ac:dyDescent="0.25">
      <c r="A2632">
        <v>600</v>
      </c>
      <c r="B2632">
        <v>0</v>
      </c>
      <c r="C2632">
        <v>6.6684238365358803</v>
      </c>
      <c r="D2632">
        <v>26.6196962062678</v>
      </c>
      <c r="E2632">
        <v>6</v>
      </c>
      <c r="F2632">
        <v>1.01722196789785</v>
      </c>
      <c r="G2632" t="s">
        <v>81</v>
      </c>
      <c r="H2632" t="s">
        <v>82</v>
      </c>
      <c r="I2632">
        <v>823</v>
      </c>
      <c r="J2632">
        <v>0</v>
      </c>
      <c r="K2632">
        <v>0</v>
      </c>
    </row>
    <row r="2633" spans="1:11" x14ac:dyDescent="0.25">
      <c r="A2633" t="s">
        <v>83</v>
      </c>
    </row>
    <row r="2634" spans="1:11" x14ac:dyDescent="0.25">
      <c r="A2634">
        <v>131.002296781268</v>
      </c>
      <c r="B2634">
        <v>64.767103590053694</v>
      </c>
      <c r="C2634">
        <v>2000</v>
      </c>
    </row>
    <row r="2635" spans="1:11" x14ac:dyDescent="0.25">
      <c r="A2635">
        <v>126.243236572557</v>
      </c>
      <c r="B2635">
        <v>60.008043381342603</v>
      </c>
      <c r="C2635">
        <v>2000</v>
      </c>
    </row>
    <row r="2636" spans="1:11" x14ac:dyDescent="0.25">
      <c r="A2636">
        <v>126.680252597006</v>
      </c>
      <c r="B2636">
        <v>59.571027356893801</v>
      </c>
      <c r="C2636">
        <v>2001</v>
      </c>
    </row>
    <row r="2637" spans="1:11" x14ac:dyDescent="0.25">
      <c r="A2637">
        <v>131.35176781757599</v>
      </c>
      <c r="B2637">
        <v>64.242542577463894</v>
      </c>
      <c r="C2637">
        <v>2001</v>
      </c>
    </row>
    <row r="2638" spans="1:11" x14ac:dyDescent="0.25">
      <c r="A2638">
        <v>150</v>
      </c>
      <c r="B2638">
        <v>82.890774759887705</v>
      </c>
      <c r="C2638">
        <v>2001</v>
      </c>
    </row>
    <row r="2639" spans="1:11" x14ac:dyDescent="0.25">
      <c r="A2639">
        <v>150</v>
      </c>
      <c r="B2639">
        <v>83.764806808785394</v>
      </c>
      <c r="C2639">
        <v>2000</v>
      </c>
    </row>
    <row r="2640" spans="1:11" x14ac:dyDescent="0.25">
      <c r="A2640" t="s">
        <v>84</v>
      </c>
    </row>
    <row r="2641" spans="1:11" x14ac:dyDescent="0.25">
      <c r="A2641">
        <v>804</v>
      </c>
      <c r="B2641">
        <v>0</v>
      </c>
      <c r="C2641">
        <v>32.974135630673203</v>
      </c>
      <c r="D2641">
        <v>0.26625810578000397</v>
      </c>
      <c r="E2641">
        <v>6</v>
      </c>
      <c r="F2641">
        <v>1.01722196789785</v>
      </c>
      <c r="G2641" t="s">
        <v>82</v>
      </c>
      <c r="H2641" t="s">
        <v>81</v>
      </c>
      <c r="I2641">
        <v>0</v>
      </c>
      <c r="J2641">
        <v>11</v>
      </c>
      <c r="K2641">
        <v>0.10256144766988801</v>
      </c>
    </row>
    <row r="2642" spans="1:11" x14ac:dyDescent="0.25">
      <c r="A2642" t="s">
        <v>83</v>
      </c>
    </row>
    <row r="2643" spans="1:11" x14ac:dyDescent="0.25">
      <c r="A2643">
        <v>29.368736271221099</v>
      </c>
      <c r="B2643">
        <v>23.0994771619429</v>
      </c>
      <c r="C2643">
        <v>2000</v>
      </c>
    </row>
    <row r="2644" spans="1:11" x14ac:dyDescent="0.25">
      <c r="A2644">
        <v>6.2692591092782202</v>
      </c>
      <c r="B2644">
        <v>0</v>
      </c>
      <c r="C2644">
        <v>2000</v>
      </c>
    </row>
    <row r="2645" spans="1:11" x14ac:dyDescent="0.25">
      <c r="A2645">
        <v>5.3952270603805701</v>
      </c>
      <c r="B2645">
        <v>0</v>
      </c>
      <c r="C2645">
        <v>2001</v>
      </c>
    </row>
    <row r="2646" spans="1:11" x14ac:dyDescent="0.25">
      <c r="A2646">
        <v>28.928219714865602</v>
      </c>
      <c r="B2646">
        <v>23.532992654485</v>
      </c>
      <c r="C2646">
        <v>2001</v>
      </c>
    </row>
    <row r="2647" spans="1:11" x14ac:dyDescent="0.25">
      <c r="A2647">
        <v>29.118242892961899</v>
      </c>
      <c r="B2647">
        <v>23.7230158325813</v>
      </c>
      <c r="C2647">
        <v>2001</v>
      </c>
    </row>
    <row r="2648" spans="1:11" x14ac:dyDescent="0.25">
      <c r="A2648">
        <v>29.555258917410701</v>
      </c>
      <c r="B2648">
        <v>23.285999808132502</v>
      </c>
      <c r="C2648">
        <v>2000</v>
      </c>
    </row>
    <row r="2649" spans="1:11" x14ac:dyDescent="0.25">
      <c r="A2649" t="s">
        <v>84</v>
      </c>
    </row>
    <row r="2650" spans="1:11" x14ac:dyDescent="0.25">
      <c r="A2650">
        <v>801</v>
      </c>
      <c r="B2650">
        <v>0</v>
      </c>
      <c r="C2650">
        <v>18.136713947226401</v>
      </c>
      <c r="D2650">
        <v>15.097154403024501</v>
      </c>
      <c r="E2650">
        <v>8</v>
      </c>
      <c r="F2650">
        <v>1.01722196789785</v>
      </c>
      <c r="G2650" t="s">
        <v>81</v>
      </c>
      <c r="H2650" t="s">
        <v>81</v>
      </c>
      <c r="I2650">
        <v>91</v>
      </c>
      <c r="J2650">
        <v>435</v>
      </c>
      <c r="K2650">
        <v>0.102343747528348</v>
      </c>
    </row>
    <row r="2651" spans="1:11" x14ac:dyDescent="0.25">
      <c r="A2651" t="s">
        <v>83</v>
      </c>
    </row>
    <row r="2652" spans="1:11" x14ac:dyDescent="0.25">
      <c r="A2652">
        <v>15.948539324085299</v>
      </c>
      <c r="B2652">
        <v>93.533738121168795</v>
      </c>
      <c r="C2652">
        <v>2000</v>
      </c>
    </row>
    <row r="2653" spans="1:11" x14ac:dyDescent="0.25">
      <c r="A2653">
        <v>3.1239459035608701</v>
      </c>
      <c r="B2653">
        <v>80.709144700644302</v>
      </c>
      <c r="C2653">
        <v>2000</v>
      </c>
    </row>
    <row r="2654" spans="1:11" x14ac:dyDescent="0.25">
      <c r="A2654">
        <v>3.5609619280096898</v>
      </c>
      <c r="B2654">
        <v>80.272128676195507</v>
      </c>
      <c r="C2654">
        <v>2001</v>
      </c>
    </row>
    <row r="2655" spans="1:11" x14ac:dyDescent="0.25">
      <c r="A2655">
        <v>16.385555348534101</v>
      </c>
      <c r="B2655">
        <v>93.096722096719901</v>
      </c>
      <c r="C2655">
        <v>2001</v>
      </c>
    </row>
    <row r="2656" spans="1:11" x14ac:dyDescent="0.25">
      <c r="A2656">
        <v>23.070325239589799</v>
      </c>
      <c r="B2656">
        <v>99.781491987775595</v>
      </c>
      <c r="C2656">
        <v>2001</v>
      </c>
    </row>
    <row r="2657" spans="1:11" x14ac:dyDescent="0.25">
      <c r="A2657">
        <v>27.060855603533099</v>
      </c>
      <c r="B2657">
        <v>103.772022351719</v>
      </c>
      <c r="C2657">
        <v>2001</v>
      </c>
    </row>
    <row r="2658" spans="1:11" x14ac:dyDescent="0.25">
      <c r="A2658">
        <v>26.623839579084301</v>
      </c>
      <c r="B2658">
        <v>104.209038376168</v>
      </c>
      <c r="C2658">
        <v>2000</v>
      </c>
    </row>
    <row r="2659" spans="1:11" x14ac:dyDescent="0.25">
      <c r="A2659">
        <v>22.633309215141001</v>
      </c>
      <c r="B2659">
        <v>100.21850801222401</v>
      </c>
      <c r="C2659">
        <v>2000</v>
      </c>
    </row>
    <row r="2660" spans="1:11" x14ac:dyDescent="0.25">
      <c r="A2660" t="s">
        <v>84</v>
      </c>
    </row>
    <row r="2661" spans="1:11" x14ac:dyDescent="0.25">
      <c r="A2661">
        <v>592</v>
      </c>
      <c r="B2661">
        <v>0</v>
      </c>
      <c r="C2661">
        <v>13.8537845219071</v>
      </c>
      <c r="D2661">
        <v>19.303883380250401</v>
      </c>
      <c r="E2661">
        <v>6</v>
      </c>
      <c r="F2661">
        <v>1.01722196789785</v>
      </c>
      <c r="G2661" t="s">
        <v>81</v>
      </c>
      <c r="H2661" t="s">
        <v>82</v>
      </c>
      <c r="I2661">
        <v>564</v>
      </c>
      <c r="J2661">
        <v>0</v>
      </c>
      <c r="K2661">
        <v>0</v>
      </c>
    </row>
    <row r="2662" spans="1:11" x14ac:dyDescent="0.25">
      <c r="A2662" t="s">
        <v>83</v>
      </c>
    </row>
    <row r="2663" spans="1:11" x14ac:dyDescent="0.25">
      <c r="A2663">
        <v>136.47730515667399</v>
      </c>
      <c r="B2663">
        <v>76.175808264306696</v>
      </c>
      <c r="C2663">
        <v>2000</v>
      </c>
    </row>
    <row r="2664" spans="1:11" x14ac:dyDescent="0.25">
      <c r="A2664">
        <v>126.772496190277</v>
      </c>
      <c r="B2664">
        <v>66.4709992979097</v>
      </c>
      <c r="C2664">
        <v>2000</v>
      </c>
    </row>
    <row r="2665" spans="1:11" x14ac:dyDescent="0.25">
      <c r="A2665">
        <v>126.335480165829</v>
      </c>
      <c r="B2665">
        <v>66.908015322358494</v>
      </c>
      <c r="C2665">
        <v>2001</v>
      </c>
    </row>
    <row r="2666" spans="1:11" x14ac:dyDescent="0.25">
      <c r="A2666">
        <v>136.222881160507</v>
      </c>
      <c r="B2666">
        <v>76.795416317036896</v>
      </c>
      <c r="C2666">
        <v>2001</v>
      </c>
    </row>
    <row r="2667" spans="1:11" x14ac:dyDescent="0.25">
      <c r="A2667">
        <v>150</v>
      </c>
      <c r="B2667">
        <v>90.572535156529995</v>
      </c>
      <c r="C2667">
        <v>2001</v>
      </c>
    </row>
    <row r="2668" spans="1:11" x14ac:dyDescent="0.25">
      <c r="A2668">
        <v>150</v>
      </c>
      <c r="B2668">
        <v>89.698503107632305</v>
      </c>
      <c r="C2668">
        <v>2000</v>
      </c>
    </row>
    <row r="2669" spans="1:11" x14ac:dyDescent="0.25">
      <c r="A2669" t="s">
        <v>84</v>
      </c>
    </row>
    <row r="2670" spans="1:11" x14ac:dyDescent="0.25">
      <c r="A2670">
        <v>262</v>
      </c>
      <c r="B2670">
        <v>0</v>
      </c>
      <c r="C2670">
        <v>30.370773835196001</v>
      </c>
      <c r="D2670">
        <v>2.7004514993934698</v>
      </c>
      <c r="E2670">
        <v>8</v>
      </c>
      <c r="F2670">
        <v>1.01722196789785</v>
      </c>
      <c r="G2670" t="s">
        <v>81</v>
      </c>
      <c r="H2670" t="s">
        <v>82</v>
      </c>
      <c r="I2670">
        <v>590</v>
      </c>
      <c r="J2670">
        <v>0</v>
      </c>
      <c r="K2670">
        <v>0</v>
      </c>
    </row>
    <row r="2671" spans="1:11" x14ac:dyDescent="0.25">
      <c r="A2671" t="s">
        <v>83</v>
      </c>
    </row>
    <row r="2672" spans="1:11" x14ac:dyDescent="0.25">
      <c r="A2672">
        <v>148.12015678997199</v>
      </c>
      <c r="B2672">
        <v>111.74859637083</v>
      </c>
      <c r="C2672">
        <v>2000</v>
      </c>
    </row>
    <row r="2673" spans="1:11" x14ac:dyDescent="0.25">
      <c r="A2673">
        <v>136.15305240691799</v>
      </c>
      <c r="B2673">
        <v>99.781491987775595</v>
      </c>
      <c r="C2673">
        <v>2000</v>
      </c>
    </row>
    <row r="2674" spans="1:11" x14ac:dyDescent="0.25">
      <c r="A2674">
        <v>126.833620315988</v>
      </c>
      <c r="B2674">
        <v>90.462059896845503</v>
      </c>
      <c r="C2674">
        <v>2000</v>
      </c>
    </row>
    <row r="2675" spans="1:11" x14ac:dyDescent="0.25">
      <c r="A2675">
        <v>126.39660429153901</v>
      </c>
      <c r="B2675">
        <v>90.899075921294298</v>
      </c>
      <c r="C2675">
        <v>2001</v>
      </c>
    </row>
    <row r="2676" spans="1:11" x14ac:dyDescent="0.25">
      <c r="A2676">
        <v>135.71603638246901</v>
      </c>
      <c r="B2676">
        <v>100.21850801222401</v>
      </c>
      <c r="C2676">
        <v>2001</v>
      </c>
    </row>
    <row r="2677" spans="1:11" x14ac:dyDescent="0.25">
      <c r="A2677">
        <v>148.06082807505501</v>
      </c>
      <c r="B2677">
        <v>112.56329970481001</v>
      </c>
      <c r="C2677">
        <v>2001</v>
      </c>
    </row>
    <row r="2678" spans="1:11" x14ac:dyDescent="0.25">
      <c r="A2678">
        <v>150</v>
      </c>
      <c r="B2678">
        <v>114.50247162975499</v>
      </c>
      <c r="C2678">
        <v>2001</v>
      </c>
    </row>
    <row r="2679" spans="1:11" x14ac:dyDescent="0.25">
      <c r="A2679">
        <v>150</v>
      </c>
      <c r="B2679">
        <v>113.628439580858</v>
      </c>
      <c r="C2679">
        <v>2000</v>
      </c>
    </row>
    <row r="2680" spans="1:11" x14ac:dyDescent="0.25">
      <c r="A2680" t="s">
        <v>84</v>
      </c>
    </row>
    <row r="2681" spans="1:11" x14ac:dyDescent="0.25">
      <c r="A2681">
        <v>111</v>
      </c>
      <c r="B2681">
        <v>0</v>
      </c>
      <c r="C2681">
        <v>6.9235735384075099</v>
      </c>
      <c r="D2681">
        <v>26.141627257209901</v>
      </c>
      <c r="E2681">
        <v>8</v>
      </c>
      <c r="F2681">
        <v>1.01722196789785</v>
      </c>
      <c r="G2681" t="s">
        <v>81</v>
      </c>
      <c r="H2681" t="s">
        <v>81</v>
      </c>
      <c r="I2681">
        <v>857</v>
      </c>
      <c r="J2681">
        <v>918</v>
      </c>
      <c r="K2681">
        <v>0</v>
      </c>
    </row>
    <row r="2682" spans="1:11" x14ac:dyDescent="0.25">
      <c r="A2682" t="s">
        <v>83</v>
      </c>
    </row>
    <row r="2683" spans="1:11" x14ac:dyDescent="0.25">
      <c r="A2683">
        <v>35.096963251524897</v>
      </c>
      <c r="B2683">
        <v>70.909483162173899</v>
      </c>
      <c r="C2683">
        <v>2000</v>
      </c>
    </row>
    <row r="2684" spans="1:11" x14ac:dyDescent="0.25">
      <c r="A2684">
        <v>30.2012574524732</v>
      </c>
      <c r="B2684">
        <v>66.013777363122202</v>
      </c>
      <c r="C2684">
        <v>2000</v>
      </c>
    </row>
    <row r="2685" spans="1:11" x14ac:dyDescent="0.25">
      <c r="A2685">
        <v>30.638273476921999</v>
      </c>
      <c r="B2685">
        <v>65.576761338673407</v>
      </c>
      <c r="C2685">
        <v>2001</v>
      </c>
    </row>
    <row r="2686" spans="1:11" x14ac:dyDescent="0.25">
      <c r="A2686">
        <v>35.533979275973699</v>
      </c>
      <c r="B2686">
        <v>70.472467137725104</v>
      </c>
      <c r="C2686">
        <v>2001</v>
      </c>
    </row>
    <row r="2687" spans="1:11" x14ac:dyDescent="0.25">
      <c r="A2687">
        <v>50.218508012224397</v>
      </c>
      <c r="B2687">
        <v>85.156995873975802</v>
      </c>
      <c r="C2687">
        <v>2001</v>
      </c>
    </row>
    <row r="2688" spans="1:11" x14ac:dyDescent="0.25">
      <c r="A2688">
        <v>54.018901180797897</v>
      </c>
      <c r="B2688">
        <v>88.957389042549295</v>
      </c>
      <c r="C2688">
        <v>2001</v>
      </c>
    </row>
    <row r="2689" spans="1:11" x14ac:dyDescent="0.25">
      <c r="A2689">
        <v>53.581885156349102</v>
      </c>
      <c r="B2689">
        <v>89.394405066998104</v>
      </c>
      <c r="C2689">
        <v>2000</v>
      </c>
    </row>
    <row r="2690" spans="1:11" x14ac:dyDescent="0.25">
      <c r="A2690">
        <v>49.781491987775603</v>
      </c>
      <c r="B2690">
        <v>85.594011898424696</v>
      </c>
      <c r="C2690">
        <v>2000</v>
      </c>
    </row>
    <row r="2691" spans="1:11" x14ac:dyDescent="0.25">
      <c r="A2691" t="s">
        <v>84</v>
      </c>
    </row>
    <row r="2692" spans="1:11" x14ac:dyDescent="0.25">
      <c r="A2692">
        <v>426</v>
      </c>
      <c r="B2692">
        <v>0</v>
      </c>
      <c r="C2692">
        <v>17.663984015473101</v>
      </c>
      <c r="D2692">
        <v>15.3595259441312</v>
      </c>
      <c r="E2692">
        <v>6</v>
      </c>
      <c r="F2692">
        <v>1.01722196789785</v>
      </c>
      <c r="G2692" t="s">
        <v>81</v>
      </c>
      <c r="H2692" t="s">
        <v>82</v>
      </c>
      <c r="I2692">
        <v>922</v>
      </c>
      <c r="J2692">
        <v>0</v>
      </c>
      <c r="K2692">
        <v>0</v>
      </c>
    </row>
    <row r="2693" spans="1:11" x14ac:dyDescent="0.25">
      <c r="A2693" t="s">
        <v>83</v>
      </c>
    </row>
    <row r="2694" spans="1:11" x14ac:dyDescent="0.25">
      <c r="A2694">
        <v>17.481042507407501</v>
      </c>
      <c r="B2694">
        <v>139.03754504408101</v>
      </c>
      <c r="C2694">
        <v>2000</v>
      </c>
    </row>
    <row r="2695" spans="1:11" x14ac:dyDescent="0.25">
      <c r="A2695">
        <v>4.8738416200849102</v>
      </c>
      <c r="B2695">
        <v>126.430344156758</v>
      </c>
      <c r="C2695">
        <v>2000</v>
      </c>
    </row>
    <row r="2696" spans="1:11" x14ac:dyDescent="0.25">
      <c r="A2696">
        <v>4.4368255956360896</v>
      </c>
      <c r="B2696">
        <v>126.867360181207</v>
      </c>
      <c r="C2696">
        <v>2001</v>
      </c>
    </row>
    <row r="2697" spans="1:11" x14ac:dyDescent="0.25">
      <c r="A2697">
        <v>16.810270468537102</v>
      </c>
      <c r="B2697">
        <v>139.24080505410799</v>
      </c>
      <c r="C2697">
        <v>2001</v>
      </c>
    </row>
    <row r="2698" spans="1:11" x14ac:dyDescent="0.25">
      <c r="A2698">
        <v>27.569465414429398</v>
      </c>
      <c r="B2698">
        <v>150</v>
      </c>
      <c r="C2698">
        <v>2001</v>
      </c>
    </row>
    <row r="2699" spans="1:11" x14ac:dyDescent="0.25">
      <c r="A2699">
        <v>28.443497463327098</v>
      </c>
      <c r="B2699">
        <v>150</v>
      </c>
      <c r="C2699">
        <v>2000</v>
      </c>
    </row>
    <row r="2700" spans="1:11" x14ac:dyDescent="0.25">
      <c r="A2700" t="s">
        <v>84</v>
      </c>
    </row>
    <row r="2701" spans="1:11" x14ac:dyDescent="0.25">
      <c r="A2701">
        <v>678</v>
      </c>
      <c r="B2701">
        <v>0</v>
      </c>
      <c r="C2701">
        <v>8.2785417036310207</v>
      </c>
      <c r="D2701">
        <v>24.661135139488099</v>
      </c>
      <c r="E2701">
        <v>6</v>
      </c>
      <c r="F2701">
        <v>1.01722196789785</v>
      </c>
      <c r="G2701" t="s">
        <v>81</v>
      </c>
      <c r="H2701" t="s">
        <v>81</v>
      </c>
      <c r="I2701">
        <v>868</v>
      </c>
      <c r="J2701">
        <v>594</v>
      </c>
      <c r="K2701">
        <v>0</v>
      </c>
    </row>
    <row r="2702" spans="1:11" x14ac:dyDescent="0.25">
      <c r="A2702" t="s">
        <v>83</v>
      </c>
    </row>
    <row r="2703" spans="1:11" x14ac:dyDescent="0.25">
      <c r="A2703">
        <v>78.915013972160097</v>
      </c>
      <c r="B2703">
        <v>58.006793516695701</v>
      </c>
      <c r="C2703">
        <v>2000</v>
      </c>
    </row>
    <row r="2704" spans="1:11" x14ac:dyDescent="0.25">
      <c r="A2704">
        <v>73.061200995186994</v>
      </c>
      <c r="B2704">
        <v>52.152980539722599</v>
      </c>
      <c r="C2704">
        <v>2000</v>
      </c>
    </row>
    <row r="2705" spans="1:11" x14ac:dyDescent="0.25">
      <c r="A2705">
        <v>72.624184970738199</v>
      </c>
      <c r="B2705">
        <v>52.5899965641714</v>
      </c>
      <c r="C2705">
        <v>2001</v>
      </c>
    </row>
    <row r="2706" spans="1:11" x14ac:dyDescent="0.25">
      <c r="A2706">
        <v>78.477997947711302</v>
      </c>
      <c r="B2706">
        <v>58.443809541144503</v>
      </c>
      <c r="C2706">
        <v>2001</v>
      </c>
    </row>
    <row r="2707" spans="1:11" x14ac:dyDescent="0.25">
      <c r="A2707">
        <v>95.916053836601193</v>
      </c>
      <c r="B2707">
        <v>75.881865430034395</v>
      </c>
      <c r="C2707">
        <v>2001</v>
      </c>
    </row>
    <row r="2708" spans="1:11" x14ac:dyDescent="0.25">
      <c r="A2708">
        <v>96.353069861050002</v>
      </c>
      <c r="B2708">
        <v>75.4448494055856</v>
      </c>
      <c r="C2708">
        <v>2000</v>
      </c>
    </row>
    <row r="2709" spans="1:11" x14ac:dyDescent="0.25">
      <c r="A2709" t="s">
        <v>84</v>
      </c>
    </row>
    <row r="2710" spans="1:11" x14ac:dyDescent="0.25">
      <c r="A2710">
        <v>988</v>
      </c>
      <c r="B2710">
        <v>0</v>
      </c>
      <c r="C2710">
        <v>1.8841092176759</v>
      </c>
      <c r="D2710">
        <v>31.0388603634294</v>
      </c>
      <c r="E2710">
        <v>6</v>
      </c>
      <c r="F2710">
        <v>1.01722196789785</v>
      </c>
      <c r="G2710" t="s">
        <v>81</v>
      </c>
      <c r="H2710" t="s">
        <v>81</v>
      </c>
      <c r="I2710">
        <v>947</v>
      </c>
      <c r="J2710">
        <v>1029</v>
      </c>
      <c r="K2710">
        <v>0.108640479089613</v>
      </c>
    </row>
    <row r="2711" spans="1:11" x14ac:dyDescent="0.25">
      <c r="A2711" t="s">
        <v>83</v>
      </c>
    </row>
    <row r="2712" spans="1:11" x14ac:dyDescent="0.25">
      <c r="A2712">
        <v>106.565165875738</v>
      </c>
      <c r="B2712">
        <v>103.144752907173</v>
      </c>
      <c r="C2712">
        <v>2000</v>
      </c>
    </row>
    <row r="2713" spans="1:11" x14ac:dyDescent="0.25">
      <c r="A2713">
        <v>105.23289947142401</v>
      </c>
      <c r="B2713">
        <v>101.81248650285799</v>
      </c>
      <c r="C2713">
        <v>2000</v>
      </c>
    </row>
    <row r="2714" spans="1:11" x14ac:dyDescent="0.25">
      <c r="A2714">
        <v>104.795883446975</v>
      </c>
      <c r="B2714">
        <v>102.249502527307</v>
      </c>
      <c r="C2714">
        <v>2001</v>
      </c>
    </row>
    <row r="2715" spans="1:11" x14ac:dyDescent="0.25">
      <c r="A2715">
        <v>106.128149851289</v>
      </c>
      <c r="B2715">
        <v>103.58176893162199</v>
      </c>
      <c r="C2715">
        <v>2001</v>
      </c>
    </row>
    <row r="2716" spans="1:11" x14ac:dyDescent="0.25">
      <c r="A2716">
        <v>128.07593849457299</v>
      </c>
      <c r="B2716">
        <v>125.529557574905</v>
      </c>
      <c r="C2716">
        <v>2001</v>
      </c>
    </row>
    <row r="2717" spans="1:11" x14ac:dyDescent="0.25">
      <c r="A2717">
        <v>128.512954519022</v>
      </c>
      <c r="B2717">
        <v>125.092541550456</v>
      </c>
      <c r="C2717">
        <v>2000</v>
      </c>
    </row>
    <row r="2718" spans="1:11" x14ac:dyDescent="0.25">
      <c r="A2718" t="s">
        <v>84</v>
      </c>
    </row>
    <row r="2719" spans="1:11" x14ac:dyDescent="0.25">
      <c r="A2719">
        <v>730</v>
      </c>
      <c r="B2719">
        <v>0</v>
      </c>
      <c r="C2719">
        <v>3.4617142293499801</v>
      </c>
      <c r="D2719">
        <v>29.172376985764298</v>
      </c>
      <c r="E2719">
        <v>8</v>
      </c>
      <c r="F2719">
        <v>1.01722196789785</v>
      </c>
      <c r="G2719" t="s">
        <v>81</v>
      </c>
      <c r="H2719" t="s">
        <v>82</v>
      </c>
      <c r="I2719">
        <v>853</v>
      </c>
      <c r="J2719">
        <v>0</v>
      </c>
      <c r="K2719">
        <v>0.10038021386068</v>
      </c>
    </row>
    <row r="2720" spans="1:11" x14ac:dyDescent="0.25">
      <c r="A2720" t="s">
        <v>83</v>
      </c>
    </row>
    <row r="2721" spans="1:11" x14ac:dyDescent="0.25">
      <c r="A2721">
        <v>81.450944540816096</v>
      </c>
      <c r="B2721">
        <v>129.17644702703799</v>
      </c>
      <c r="C2721">
        <v>2000</v>
      </c>
    </row>
    <row r="2722" spans="1:11" x14ac:dyDescent="0.25">
      <c r="A2722">
        <v>78.980202305486102</v>
      </c>
      <c r="B2722">
        <v>126.705704791708</v>
      </c>
      <c r="C2722">
        <v>2000</v>
      </c>
    </row>
    <row r="2723" spans="1:11" x14ac:dyDescent="0.25">
      <c r="A2723">
        <v>78.543186281037293</v>
      </c>
      <c r="B2723">
        <v>127.142720816157</v>
      </c>
      <c r="C2723">
        <v>2001</v>
      </c>
    </row>
    <row r="2724" spans="1:11" x14ac:dyDescent="0.25">
      <c r="A2724">
        <v>80.968047257913994</v>
      </c>
      <c r="B2724">
        <v>129.56758179303301</v>
      </c>
      <c r="C2724">
        <v>2001</v>
      </c>
    </row>
    <row r="2725" spans="1:11" x14ac:dyDescent="0.25">
      <c r="A2725">
        <v>99.582448039358098</v>
      </c>
      <c r="B2725">
        <v>148.18198257447801</v>
      </c>
      <c r="C2725">
        <v>2001</v>
      </c>
    </row>
    <row r="2726" spans="1:11" x14ac:dyDescent="0.25">
      <c r="A2726">
        <v>101.40046546488099</v>
      </c>
      <c r="B2726">
        <v>150</v>
      </c>
      <c r="C2726">
        <v>2001</v>
      </c>
    </row>
    <row r="2727" spans="1:11" x14ac:dyDescent="0.25">
      <c r="A2727">
        <v>102.274497513778</v>
      </c>
      <c r="B2727">
        <v>150</v>
      </c>
      <c r="C2727">
        <v>2000</v>
      </c>
    </row>
    <row r="2728" spans="1:11" x14ac:dyDescent="0.25">
      <c r="A2728">
        <v>100.417551960642</v>
      </c>
      <c r="B2728">
        <v>148.143054446864</v>
      </c>
      <c r="C2728">
        <v>2000</v>
      </c>
    </row>
    <row r="2729" spans="1:11" x14ac:dyDescent="0.25">
      <c r="A2729" t="s">
        <v>84</v>
      </c>
    </row>
    <row r="2730" spans="1:11" x14ac:dyDescent="0.25">
      <c r="A2730">
        <v>937</v>
      </c>
      <c r="B2730">
        <v>0</v>
      </c>
      <c r="C2730">
        <v>9.4695082742392405</v>
      </c>
      <c r="D2730">
        <v>23.148950264252601</v>
      </c>
      <c r="E2730">
        <v>6</v>
      </c>
      <c r="F2730">
        <v>1.01722196789785</v>
      </c>
      <c r="G2730" t="s">
        <v>82</v>
      </c>
      <c r="H2730" t="s">
        <v>81</v>
      </c>
      <c r="I2730">
        <v>0</v>
      </c>
      <c r="J2730">
        <v>116</v>
      </c>
      <c r="K2730">
        <v>0.10597100655396299</v>
      </c>
    </row>
    <row r="2731" spans="1:11" x14ac:dyDescent="0.25">
      <c r="A2731" t="s">
        <v>83</v>
      </c>
    </row>
    <row r="2732" spans="1:11" x14ac:dyDescent="0.25">
      <c r="A2732">
        <v>6.63251816227673</v>
      </c>
      <c r="B2732">
        <v>65.467883610803895</v>
      </c>
      <c r="C2732">
        <v>2000</v>
      </c>
    </row>
    <row r="2733" spans="1:11" x14ac:dyDescent="0.25">
      <c r="A2733">
        <v>0</v>
      </c>
      <c r="B2733">
        <v>58.835365448527099</v>
      </c>
      <c r="C2733">
        <v>2000</v>
      </c>
    </row>
    <row r="2734" spans="1:11" x14ac:dyDescent="0.25">
      <c r="A2734">
        <v>0</v>
      </c>
      <c r="B2734">
        <v>57.961333399629503</v>
      </c>
      <c r="C2734">
        <v>2001</v>
      </c>
    </row>
    <row r="2735" spans="1:11" x14ac:dyDescent="0.25">
      <c r="A2735">
        <v>6.7593888681566501</v>
      </c>
      <c r="B2735">
        <v>64.720722267786101</v>
      </c>
      <c r="C2735">
        <v>2001</v>
      </c>
    </row>
    <row r="2736" spans="1:11" x14ac:dyDescent="0.25">
      <c r="A2736">
        <v>23.283241236644301</v>
      </c>
      <c r="B2736">
        <v>81.244574636273697</v>
      </c>
      <c r="C2736">
        <v>2001</v>
      </c>
    </row>
    <row r="2737" spans="1:11" x14ac:dyDescent="0.25">
      <c r="A2737">
        <v>22.846225212195399</v>
      </c>
      <c r="B2737">
        <v>81.681590660722506</v>
      </c>
      <c r="C2737">
        <v>2000</v>
      </c>
    </row>
    <row r="2738" spans="1:11" x14ac:dyDescent="0.25">
      <c r="A2738" t="s">
        <v>84</v>
      </c>
    </row>
    <row r="2739" spans="1:11" x14ac:dyDescent="0.25">
      <c r="A2739">
        <v>985</v>
      </c>
      <c r="B2739">
        <v>0</v>
      </c>
      <c r="C2739">
        <v>2.8242454698514998</v>
      </c>
      <c r="D2739">
        <v>29.749622890343499</v>
      </c>
      <c r="E2739">
        <v>8</v>
      </c>
      <c r="F2739">
        <v>1.01722196789785</v>
      </c>
      <c r="G2739" t="s">
        <v>81</v>
      </c>
      <c r="H2739" t="s">
        <v>81</v>
      </c>
      <c r="I2739">
        <v>1003</v>
      </c>
      <c r="J2739">
        <v>323</v>
      </c>
      <c r="K2739">
        <v>0.108516290029368</v>
      </c>
    </row>
    <row r="2740" spans="1:11" x14ac:dyDescent="0.25">
      <c r="A2740" t="s">
        <v>83</v>
      </c>
    </row>
    <row r="2741" spans="1:11" x14ac:dyDescent="0.25">
      <c r="A2741">
        <v>78.776469215176505</v>
      </c>
      <c r="B2741">
        <v>90.781635410520906</v>
      </c>
      <c r="C2741">
        <v>2000</v>
      </c>
    </row>
    <row r="2742" spans="1:11" x14ac:dyDescent="0.25">
      <c r="A2742">
        <v>76.779426091709098</v>
      </c>
      <c r="B2742">
        <v>88.784592287053499</v>
      </c>
      <c r="C2742">
        <v>2000</v>
      </c>
    </row>
    <row r="2743" spans="1:11" x14ac:dyDescent="0.25">
      <c r="A2743">
        <v>76.342410067260303</v>
      </c>
      <c r="B2743">
        <v>89.221608311502294</v>
      </c>
      <c r="C2743">
        <v>2001</v>
      </c>
    </row>
    <row r="2744" spans="1:11" x14ac:dyDescent="0.25">
      <c r="A2744">
        <v>78.339453190727696</v>
      </c>
      <c r="B2744">
        <v>91.218651434969701</v>
      </c>
      <c r="C2744">
        <v>2001</v>
      </c>
    </row>
    <row r="2745" spans="1:11" x14ac:dyDescent="0.25">
      <c r="A2745">
        <v>87.3393097679824</v>
      </c>
      <c r="B2745">
        <v>100.21850801222401</v>
      </c>
      <c r="C2745">
        <v>2001</v>
      </c>
    </row>
    <row r="2746" spans="1:11" x14ac:dyDescent="0.25">
      <c r="A2746">
        <v>99.375613274232094</v>
      </c>
      <c r="B2746">
        <v>112.254811518474</v>
      </c>
      <c r="C2746">
        <v>2001</v>
      </c>
    </row>
    <row r="2747" spans="1:11" x14ac:dyDescent="0.25">
      <c r="A2747">
        <v>99.812629298680903</v>
      </c>
      <c r="B2747">
        <v>111.81779549402501</v>
      </c>
      <c r="C2747">
        <v>2000</v>
      </c>
    </row>
    <row r="2748" spans="1:11" x14ac:dyDescent="0.25">
      <c r="A2748">
        <v>87.776325792431194</v>
      </c>
      <c r="B2748">
        <v>99.781491987775595</v>
      </c>
      <c r="C2748">
        <v>2000</v>
      </c>
    </row>
    <row r="2749" spans="1:11" x14ac:dyDescent="0.25">
      <c r="A2749" t="s">
        <v>84</v>
      </c>
    </row>
    <row r="2750" spans="1:11" x14ac:dyDescent="0.25">
      <c r="A2750">
        <v>884</v>
      </c>
      <c r="B2750">
        <v>0</v>
      </c>
      <c r="C2750">
        <v>28.304681178256899</v>
      </c>
      <c r="D2750">
        <v>4.0318166413862997</v>
      </c>
      <c r="E2750">
        <v>6</v>
      </c>
      <c r="F2750">
        <v>1.01722196789785</v>
      </c>
      <c r="G2750" t="s">
        <v>82</v>
      </c>
      <c r="H2750" t="s">
        <v>82</v>
      </c>
      <c r="I2750">
        <v>0</v>
      </c>
      <c r="J2750">
        <v>0</v>
      </c>
      <c r="K2750">
        <v>0.104401248428883</v>
      </c>
    </row>
    <row r="2751" spans="1:11" x14ac:dyDescent="0.25">
      <c r="A2751" t="s">
        <v>83</v>
      </c>
    </row>
    <row r="2752" spans="1:11" x14ac:dyDescent="0.25">
      <c r="A2752">
        <v>147.203563650056</v>
      </c>
      <c r="B2752">
        <v>19.631904513701102</v>
      </c>
      <c r="C2752">
        <v>2000</v>
      </c>
    </row>
    <row r="2753" spans="1:11" x14ac:dyDescent="0.25">
      <c r="A2753">
        <v>127.571659136355</v>
      </c>
      <c r="B2753">
        <v>0</v>
      </c>
      <c r="C2753">
        <v>2000</v>
      </c>
    </row>
    <row r="2754" spans="1:11" x14ac:dyDescent="0.25">
      <c r="A2754">
        <v>126.697627087458</v>
      </c>
      <c r="B2754">
        <v>0</v>
      </c>
      <c r="C2754">
        <v>2001</v>
      </c>
    </row>
    <row r="2755" spans="1:11" x14ac:dyDescent="0.25">
      <c r="A2755">
        <v>147.09458657469401</v>
      </c>
      <c r="B2755">
        <v>20.396959487236199</v>
      </c>
      <c r="C2755">
        <v>2001</v>
      </c>
    </row>
    <row r="2756" spans="1:11" x14ac:dyDescent="0.25">
      <c r="A2756">
        <v>150</v>
      </c>
      <c r="B2756">
        <v>23.302372912542499</v>
      </c>
      <c r="C2756">
        <v>2001</v>
      </c>
    </row>
    <row r="2757" spans="1:11" x14ac:dyDescent="0.25">
      <c r="A2757">
        <v>150</v>
      </c>
      <c r="B2757">
        <v>22.428340863644902</v>
      </c>
      <c r="C2757">
        <v>2000</v>
      </c>
    </row>
    <row r="2758" spans="1:11" x14ac:dyDescent="0.25">
      <c r="A2758" t="s">
        <v>84</v>
      </c>
    </row>
    <row r="2759" spans="1:11" x14ac:dyDescent="0.25">
      <c r="A2759">
        <v>781</v>
      </c>
      <c r="B2759">
        <v>0</v>
      </c>
      <c r="C2759">
        <v>2.0873551363161198</v>
      </c>
      <c r="D2759">
        <v>29.857162615857199</v>
      </c>
      <c r="E2759">
        <v>6</v>
      </c>
      <c r="F2759">
        <v>1.01722196789785</v>
      </c>
      <c r="G2759" t="s">
        <v>81</v>
      </c>
      <c r="H2759" t="s">
        <v>82</v>
      </c>
      <c r="I2759">
        <v>838</v>
      </c>
      <c r="J2759">
        <v>0</v>
      </c>
      <c r="K2759">
        <v>0.101399532687084</v>
      </c>
    </row>
    <row r="2760" spans="1:11" x14ac:dyDescent="0.25">
      <c r="A2760" t="s">
        <v>83</v>
      </c>
    </row>
    <row r="2761" spans="1:11" x14ac:dyDescent="0.25">
      <c r="A2761">
        <v>129.09202785965101</v>
      </c>
      <c r="B2761">
        <v>55.076178757363799</v>
      </c>
      <c r="C2761">
        <v>2000</v>
      </c>
    </row>
    <row r="2762" spans="1:11" x14ac:dyDescent="0.25">
      <c r="A2762">
        <v>127.630322887929</v>
      </c>
      <c r="B2762">
        <v>53.6144737856417</v>
      </c>
      <c r="C2762">
        <v>2000</v>
      </c>
    </row>
    <row r="2763" spans="1:11" x14ac:dyDescent="0.25">
      <c r="A2763">
        <v>127.19330686348</v>
      </c>
      <c r="B2763">
        <v>54.051489810090501</v>
      </c>
      <c r="C2763">
        <v>2001</v>
      </c>
    </row>
    <row r="2764" spans="1:11" x14ac:dyDescent="0.25">
      <c r="A2764">
        <v>128.683567835025</v>
      </c>
      <c r="B2764">
        <v>55.541750781635898</v>
      </c>
      <c r="C2764">
        <v>2001</v>
      </c>
    </row>
    <row r="2765" spans="1:11" x14ac:dyDescent="0.25">
      <c r="A2765">
        <v>150</v>
      </c>
      <c r="B2765">
        <v>76.858182946610697</v>
      </c>
      <c r="C2765">
        <v>2001</v>
      </c>
    </row>
    <row r="2766" spans="1:11" x14ac:dyDescent="0.25">
      <c r="A2766">
        <v>150</v>
      </c>
      <c r="B2766">
        <v>75.984150897713107</v>
      </c>
      <c r="C2766">
        <v>2000</v>
      </c>
    </row>
    <row r="2767" spans="1:11" x14ac:dyDescent="0.25">
      <c r="A2767" t="s">
        <v>84</v>
      </c>
    </row>
    <row r="2768" spans="1:11" x14ac:dyDescent="0.25">
      <c r="A2768">
        <v>191</v>
      </c>
      <c r="B2768">
        <v>0</v>
      </c>
      <c r="C2768">
        <v>17.1113111027176</v>
      </c>
      <c r="D2768">
        <v>14.8256074059748</v>
      </c>
      <c r="E2768">
        <v>8</v>
      </c>
      <c r="F2768">
        <v>1.01722196789785</v>
      </c>
      <c r="G2768" t="s">
        <v>81</v>
      </c>
      <c r="H2768" t="s">
        <v>81</v>
      </c>
      <c r="I2768">
        <v>2</v>
      </c>
      <c r="J2768">
        <v>965</v>
      </c>
      <c r="K2768">
        <v>0</v>
      </c>
    </row>
    <row r="2769" spans="1:11" x14ac:dyDescent="0.25">
      <c r="A2769" t="s">
        <v>83</v>
      </c>
    </row>
    <row r="2770" spans="1:11" x14ac:dyDescent="0.25">
      <c r="A2770">
        <v>50.3049288449321</v>
      </c>
      <c r="B2770">
        <v>36.387623813188299</v>
      </c>
      <c r="C2770">
        <v>2000</v>
      </c>
    </row>
    <row r="2771" spans="1:11" x14ac:dyDescent="0.25">
      <c r="A2771">
        <v>50.218508012224397</v>
      </c>
      <c r="B2771">
        <v>36.301202980480603</v>
      </c>
      <c r="C2771">
        <v>2000</v>
      </c>
    </row>
    <row r="2772" spans="1:11" x14ac:dyDescent="0.25">
      <c r="A2772">
        <v>38.205404729207899</v>
      </c>
      <c r="B2772">
        <v>24.288099697463998</v>
      </c>
      <c r="C2772">
        <v>2000</v>
      </c>
    </row>
    <row r="2773" spans="1:11" x14ac:dyDescent="0.25">
      <c r="A2773">
        <v>37.768388704758998</v>
      </c>
      <c r="B2773">
        <v>24.7251157219128</v>
      </c>
      <c r="C2773">
        <v>2001</v>
      </c>
    </row>
    <row r="2774" spans="1:11" x14ac:dyDescent="0.25">
      <c r="A2774">
        <v>49.781491987775603</v>
      </c>
      <c r="B2774">
        <v>36.738219004929398</v>
      </c>
      <c r="C2774">
        <v>2001</v>
      </c>
    </row>
    <row r="2775" spans="1:11" x14ac:dyDescent="0.25">
      <c r="A2775">
        <v>49.867912820483298</v>
      </c>
      <c r="B2775">
        <v>36.8246398376371</v>
      </c>
      <c r="C2775">
        <v>2001</v>
      </c>
    </row>
    <row r="2776" spans="1:11" x14ac:dyDescent="0.25">
      <c r="A2776">
        <v>60.351200352457603</v>
      </c>
      <c r="B2776">
        <v>47.307927369611399</v>
      </c>
      <c r="C2776">
        <v>2001</v>
      </c>
    </row>
    <row r="2777" spans="1:11" x14ac:dyDescent="0.25">
      <c r="A2777">
        <v>60.788216376906497</v>
      </c>
      <c r="B2777">
        <v>46.870911345162597</v>
      </c>
      <c r="C2777">
        <v>2000</v>
      </c>
    </row>
    <row r="2778" spans="1:11" x14ac:dyDescent="0.25">
      <c r="A2778" t="s">
        <v>84</v>
      </c>
    </row>
    <row r="2779" spans="1:11" x14ac:dyDescent="0.25">
      <c r="A2779">
        <v>186</v>
      </c>
      <c r="B2779">
        <v>0</v>
      </c>
      <c r="C2779">
        <v>29.747807118498098</v>
      </c>
      <c r="D2779">
        <v>1.9800109836831601</v>
      </c>
      <c r="E2779">
        <v>6</v>
      </c>
      <c r="F2779">
        <v>1.01722196789785</v>
      </c>
      <c r="G2779" t="s">
        <v>82</v>
      </c>
      <c r="H2779" t="s">
        <v>81</v>
      </c>
      <c r="I2779">
        <v>0</v>
      </c>
      <c r="J2779">
        <v>197</v>
      </c>
      <c r="K2779">
        <v>0</v>
      </c>
    </row>
    <row r="2780" spans="1:11" x14ac:dyDescent="0.25">
      <c r="A2780" t="s">
        <v>83</v>
      </c>
    </row>
    <row r="2781" spans="1:11" x14ac:dyDescent="0.25">
      <c r="A2781">
        <v>77.232324894789599</v>
      </c>
      <c r="B2781">
        <v>21.239747907301499</v>
      </c>
      <c r="C2781">
        <v>2000</v>
      </c>
    </row>
    <row r="2782" spans="1:11" x14ac:dyDescent="0.25">
      <c r="A2782">
        <v>55.9925769874881</v>
      </c>
      <c r="B2782">
        <v>0</v>
      </c>
      <c r="C2782">
        <v>2000</v>
      </c>
    </row>
    <row r="2783" spans="1:11" x14ac:dyDescent="0.25">
      <c r="A2783">
        <v>56.866609036385697</v>
      </c>
      <c r="B2783">
        <v>0</v>
      </c>
      <c r="C2783">
        <v>2001</v>
      </c>
    </row>
    <row r="2784" spans="1:11" x14ac:dyDescent="0.25">
      <c r="A2784">
        <v>77.696613406923106</v>
      </c>
      <c r="B2784">
        <v>20.830004370537399</v>
      </c>
      <c r="C2784">
        <v>2001</v>
      </c>
    </row>
    <row r="2785" spans="1:11" x14ac:dyDescent="0.25">
      <c r="A2785">
        <v>79.083056356466997</v>
      </c>
      <c r="B2785">
        <v>22.216447320081201</v>
      </c>
      <c r="C2785">
        <v>2001</v>
      </c>
    </row>
    <row r="2786" spans="1:11" x14ac:dyDescent="0.25">
      <c r="A2786">
        <v>78.646040332018103</v>
      </c>
      <c r="B2786">
        <v>22.653463344530099</v>
      </c>
      <c r="C2786">
        <v>2000</v>
      </c>
    </row>
    <row r="2787" spans="1:11" x14ac:dyDescent="0.25">
      <c r="A2787" t="s">
        <v>84</v>
      </c>
    </row>
    <row r="2788" spans="1:11" x14ac:dyDescent="0.25">
      <c r="A2788">
        <v>794</v>
      </c>
      <c r="B2788">
        <v>0</v>
      </c>
      <c r="C2788">
        <v>16.402542592205599</v>
      </c>
      <c r="D2788">
        <v>15.150016034501199</v>
      </c>
      <c r="E2788">
        <v>8</v>
      </c>
      <c r="F2788">
        <v>1.01722196789785</v>
      </c>
      <c r="G2788" t="s">
        <v>81</v>
      </c>
      <c r="H2788" t="s">
        <v>82</v>
      </c>
      <c r="I2788">
        <v>780</v>
      </c>
      <c r="J2788">
        <v>0</v>
      </c>
      <c r="K2788">
        <v>0.10256144766988801</v>
      </c>
    </row>
    <row r="2789" spans="1:11" x14ac:dyDescent="0.25">
      <c r="A2789" t="s">
        <v>83</v>
      </c>
    </row>
    <row r="2790" spans="1:11" x14ac:dyDescent="0.25">
      <c r="A2790">
        <v>139.078393652942</v>
      </c>
      <c r="B2790">
        <v>99.738553672302899</v>
      </c>
      <c r="C2790">
        <v>2000</v>
      </c>
    </row>
    <row r="2791" spans="1:11" x14ac:dyDescent="0.25">
      <c r="A2791">
        <v>127.47046381904499</v>
      </c>
      <c r="B2791">
        <v>88.130623838405995</v>
      </c>
      <c r="C2791">
        <v>2000</v>
      </c>
    </row>
    <row r="2792" spans="1:11" x14ac:dyDescent="0.25">
      <c r="A2792">
        <v>127.907479843494</v>
      </c>
      <c r="B2792">
        <v>87.6936078139572</v>
      </c>
      <c r="C2792">
        <v>2001</v>
      </c>
    </row>
    <row r="2793" spans="1:11" x14ac:dyDescent="0.25">
      <c r="A2793">
        <v>139.49624820089701</v>
      </c>
      <c r="B2793">
        <v>99.2823761713598</v>
      </c>
      <c r="C2793">
        <v>2001</v>
      </c>
    </row>
    <row r="2794" spans="1:11" x14ac:dyDescent="0.25">
      <c r="A2794">
        <v>139.98537890190701</v>
      </c>
      <c r="B2794">
        <v>99.771506872370296</v>
      </c>
      <c r="C2794">
        <v>2001</v>
      </c>
    </row>
    <row r="2795" spans="1:11" x14ac:dyDescent="0.25">
      <c r="A2795">
        <v>150</v>
      </c>
      <c r="B2795">
        <v>109.786127970463</v>
      </c>
      <c r="C2795">
        <v>2001</v>
      </c>
    </row>
    <row r="2796" spans="1:11" x14ac:dyDescent="0.25">
      <c r="A2796">
        <v>150</v>
      </c>
      <c r="B2796">
        <v>110.660160019361</v>
      </c>
      <c r="C2796">
        <v>2000</v>
      </c>
    </row>
    <row r="2797" spans="1:11" x14ac:dyDescent="0.25">
      <c r="A2797">
        <v>139.568333108269</v>
      </c>
      <c r="B2797">
        <v>100.22849312763</v>
      </c>
      <c r="C2797">
        <v>2000</v>
      </c>
    </row>
    <row r="2798" spans="1:11" x14ac:dyDescent="0.25">
      <c r="A2798" t="s">
        <v>84</v>
      </c>
    </row>
    <row r="2799" spans="1:11" x14ac:dyDescent="0.25">
      <c r="A2799">
        <v>873</v>
      </c>
      <c r="B2799">
        <v>0</v>
      </c>
      <c r="C2799">
        <v>6.7292515096156897</v>
      </c>
      <c r="D2799">
        <v>24.5881243138952</v>
      </c>
      <c r="E2799">
        <v>6</v>
      </c>
      <c r="F2799">
        <v>1.01722196789785</v>
      </c>
      <c r="G2799" t="s">
        <v>81</v>
      </c>
      <c r="H2799" t="s">
        <v>81</v>
      </c>
      <c r="I2799">
        <v>891</v>
      </c>
      <c r="J2799">
        <v>955</v>
      </c>
      <c r="K2799">
        <v>0.104210552406962</v>
      </c>
    </row>
    <row r="2800" spans="1:11" x14ac:dyDescent="0.25">
      <c r="A2800" t="s">
        <v>83</v>
      </c>
    </row>
    <row r="2801" spans="1:11" x14ac:dyDescent="0.25">
      <c r="A2801">
        <v>112.42671651785101</v>
      </c>
      <c r="B2801">
        <v>111.73435319389399</v>
      </c>
      <c r="C2801">
        <v>2000</v>
      </c>
    </row>
    <row r="2802" spans="1:11" x14ac:dyDescent="0.25">
      <c r="A2802">
        <v>107.668417143092</v>
      </c>
      <c r="B2802">
        <v>106.976053819135</v>
      </c>
      <c r="C2802">
        <v>2000</v>
      </c>
    </row>
    <row r="2803" spans="1:11" x14ac:dyDescent="0.25">
      <c r="A2803">
        <v>107.23140111864301</v>
      </c>
      <c r="B2803">
        <v>107.413069843584</v>
      </c>
      <c r="C2803">
        <v>2001</v>
      </c>
    </row>
    <row r="2804" spans="1:11" x14ac:dyDescent="0.25">
      <c r="A2804">
        <v>111.989700493402</v>
      </c>
      <c r="B2804">
        <v>112.171369218343</v>
      </c>
      <c r="C2804">
        <v>2001</v>
      </c>
    </row>
    <row r="2805" spans="1:11" x14ac:dyDescent="0.25">
      <c r="A2805">
        <v>129.37612993241601</v>
      </c>
      <c r="B2805">
        <v>129.55779865735599</v>
      </c>
      <c r="C2805">
        <v>2001</v>
      </c>
    </row>
    <row r="2806" spans="1:11" x14ac:dyDescent="0.25">
      <c r="A2806">
        <v>129.81314595686399</v>
      </c>
      <c r="B2806">
        <v>129.12078263290701</v>
      </c>
      <c r="C2806">
        <v>2000</v>
      </c>
    </row>
    <row r="2807" spans="1:11" x14ac:dyDescent="0.25">
      <c r="A2807" t="s">
        <v>84</v>
      </c>
    </row>
    <row r="2808" spans="1:11" x14ac:dyDescent="0.25">
      <c r="A2808">
        <v>911</v>
      </c>
      <c r="B2808">
        <v>0</v>
      </c>
      <c r="C2808">
        <v>23.478511572114002</v>
      </c>
      <c r="D2808">
        <v>7.7959296667524702</v>
      </c>
      <c r="E2808">
        <v>8</v>
      </c>
      <c r="F2808">
        <v>1.01722196789785</v>
      </c>
      <c r="G2808" t="s">
        <v>81</v>
      </c>
      <c r="H2808" t="s">
        <v>81</v>
      </c>
      <c r="I2808">
        <v>769</v>
      </c>
      <c r="J2808">
        <v>674</v>
      </c>
      <c r="K2808">
        <v>0.105129910972954</v>
      </c>
    </row>
    <row r="2809" spans="1:11" x14ac:dyDescent="0.25">
      <c r="A2809" t="s">
        <v>83</v>
      </c>
    </row>
    <row r="2810" spans="1:11" x14ac:dyDescent="0.25">
      <c r="A2810">
        <v>66.054752806222595</v>
      </c>
      <c r="B2810">
        <v>43.047671734847697</v>
      </c>
      <c r="C2810">
        <v>2000</v>
      </c>
    </row>
    <row r="2811" spans="1:11" x14ac:dyDescent="0.25">
      <c r="A2811">
        <v>50.218508012224397</v>
      </c>
      <c r="B2811">
        <v>27.211426940849499</v>
      </c>
      <c r="C2811">
        <v>2000</v>
      </c>
    </row>
    <row r="2812" spans="1:11" x14ac:dyDescent="0.25">
      <c r="A2812">
        <v>49.452938061414002</v>
      </c>
      <c r="B2812">
        <v>26.445856990039101</v>
      </c>
      <c r="C2812">
        <v>2000</v>
      </c>
    </row>
    <row r="2813" spans="1:11" x14ac:dyDescent="0.25">
      <c r="A2813">
        <v>49.015922036965101</v>
      </c>
      <c r="B2813">
        <v>26.882873014487899</v>
      </c>
      <c r="C2813">
        <v>2001</v>
      </c>
    </row>
    <row r="2814" spans="1:11" x14ac:dyDescent="0.25">
      <c r="A2814">
        <v>49.781491987775603</v>
      </c>
      <c r="B2814">
        <v>27.648442965298401</v>
      </c>
      <c r="C2814">
        <v>2001</v>
      </c>
    </row>
    <row r="2815" spans="1:11" x14ac:dyDescent="0.25">
      <c r="A2815">
        <v>65.6177367817738</v>
      </c>
      <c r="B2815">
        <v>43.484687759296499</v>
      </c>
      <c r="C2815">
        <v>2001</v>
      </c>
    </row>
    <row r="2816" spans="1:11" x14ac:dyDescent="0.25">
      <c r="A2816">
        <v>71.1302915147878</v>
      </c>
      <c r="B2816">
        <v>48.997242492310598</v>
      </c>
      <c r="C2816">
        <v>2001</v>
      </c>
    </row>
    <row r="2817" spans="1:11" x14ac:dyDescent="0.25">
      <c r="A2817">
        <v>71.567307539236694</v>
      </c>
      <c r="B2817">
        <v>48.560226467861803</v>
      </c>
      <c r="C2817">
        <v>2000</v>
      </c>
    </row>
    <row r="2818" spans="1:11" x14ac:dyDescent="0.25">
      <c r="A2818" t="s">
        <v>84</v>
      </c>
    </row>
    <row r="2819" spans="1:11" x14ac:dyDescent="0.25">
      <c r="A2819">
        <v>879</v>
      </c>
      <c r="B2819">
        <v>0</v>
      </c>
      <c r="C2819">
        <v>12.313557889670699</v>
      </c>
      <c r="D2819">
        <v>18.8500368659722</v>
      </c>
      <c r="E2819">
        <v>6</v>
      </c>
      <c r="F2819">
        <v>1.01722196789785</v>
      </c>
      <c r="G2819" t="s">
        <v>82</v>
      </c>
      <c r="H2819" t="s">
        <v>81</v>
      </c>
      <c r="I2819">
        <v>0</v>
      </c>
      <c r="J2819">
        <v>759</v>
      </c>
      <c r="K2819">
        <v>0.104401248428883</v>
      </c>
    </row>
    <row r="2820" spans="1:11" x14ac:dyDescent="0.25">
      <c r="A2820" t="s">
        <v>83</v>
      </c>
    </row>
    <row r="2821" spans="1:11" x14ac:dyDescent="0.25">
      <c r="A2821">
        <v>33.453402639244501</v>
      </c>
      <c r="B2821">
        <v>8.6206620079112</v>
      </c>
      <c r="C2821">
        <v>2000</v>
      </c>
    </row>
    <row r="2822" spans="1:11" x14ac:dyDescent="0.25">
      <c r="A2822">
        <v>24.832740631333301</v>
      </c>
      <c r="B2822">
        <v>0</v>
      </c>
      <c r="C2822">
        <v>2000</v>
      </c>
    </row>
    <row r="2823" spans="1:11" x14ac:dyDescent="0.25">
      <c r="A2823">
        <v>23.958708582435701</v>
      </c>
      <c r="B2823">
        <v>0</v>
      </c>
      <c r="C2823">
        <v>2001</v>
      </c>
    </row>
    <row r="2824" spans="1:11" x14ac:dyDescent="0.25">
      <c r="A2824">
        <v>32.752047143162997</v>
      </c>
      <c r="B2824">
        <v>8.79333856072736</v>
      </c>
      <c r="C2824">
        <v>2001</v>
      </c>
    </row>
    <row r="2825" spans="1:11" x14ac:dyDescent="0.25">
      <c r="A2825">
        <v>46.213205772524702</v>
      </c>
      <c r="B2825">
        <v>22.254497190089001</v>
      </c>
      <c r="C2825">
        <v>2001</v>
      </c>
    </row>
    <row r="2826" spans="1:11" x14ac:dyDescent="0.25">
      <c r="A2826">
        <v>46.650221796973497</v>
      </c>
      <c r="B2826">
        <v>21.817481165640199</v>
      </c>
      <c r="C2826">
        <v>2000</v>
      </c>
    </row>
    <row r="2827" spans="1:11" x14ac:dyDescent="0.25">
      <c r="A2827" t="s">
        <v>84</v>
      </c>
    </row>
    <row r="2828" spans="1:11" x14ac:dyDescent="0.25">
      <c r="A2828">
        <v>946</v>
      </c>
      <c r="B2828">
        <v>0</v>
      </c>
      <c r="C2828">
        <v>12.548649800854699</v>
      </c>
      <c r="D2828">
        <v>18.560729402808199</v>
      </c>
      <c r="E2828">
        <v>6</v>
      </c>
      <c r="F2828">
        <v>1.01722196789785</v>
      </c>
      <c r="G2828" t="s">
        <v>81</v>
      </c>
      <c r="H2828" t="s">
        <v>82</v>
      </c>
      <c r="I2828">
        <v>988</v>
      </c>
      <c r="J2828">
        <v>0</v>
      </c>
      <c r="K2828">
        <v>0.106443073044999</v>
      </c>
    </row>
    <row r="2829" spans="1:11" x14ac:dyDescent="0.25">
      <c r="A2829" t="s">
        <v>83</v>
      </c>
    </row>
    <row r="2830" spans="1:11" x14ac:dyDescent="0.25">
      <c r="A2830">
        <v>137.005950392839</v>
      </c>
      <c r="B2830">
        <v>134.169736424695</v>
      </c>
      <c r="C2830">
        <v>2000</v>
      </c>
    </row>
    <row r="2831" spans="1:11" x14ac:dyDescent="0.25">
      <c r="A2831">
        <v>128.22085501881099</v>
      </c>
      <c r="B2831">
        <v>125.384641050667</v>
      </c>
      <c r="C2831">
        <v>2000</v>
      </c>
    </row>
    <row r="2832" spans="1:11" x14ac:dyDescent="0.25">
      <c r="A2832">
        <v>127.783838994362</v>
      </c>
      <c r="B2832">
        <v>125.82165707511599</v>
      </c>
      <c r="C2832">
        <v>2001</v>
      </c>
    </row>
    <row r="2833" spans="1:11" x14ac:dyDescent="0.25">
      <c r="A2833">
        <v>136.745214358173</v>
      </c>
      <c r="B2833">
        <v>134.78303243892699</v>
      </c>
      <c r="C2833">
        <v>2001</v>
      </c>
    </row>
    <row r="2834" spans="1:11" x14ac:dyDescent="0.25">
      <c r="A2834">
        <v>150</v>
      </c>
      <c r="B2834">
        <v>148.03781808075399</v>
      </c>
      <c r="C2834">
        <v>2001</v>
      </c>
    </row>
    <row r="2835" spans="1:11" x14ac:dyDescent="0.25">
      <c r="A2835">
        <v>150</v>
      </c>
      <c r="B2835">
        <v>147.163786031857</v>
      </c>
      <c r="C2835">
        <v>2000</v>
      </c>
    </row>
    <row r="2836" spans="1:11" x14ac:dyDescent="0.25">
      <c r="A2836" t="s">
        <v>84</v>
      </c>
    </row>
    <row r="2837" spans="1:11" x14ac:dyDescent="0.25">
      <c r="A2837">
        <v>848</v>
      </c>
      <c r="B2837">
        <v>0</v>
      </c>
      <c r="C2837">
        <v>11.864644792473101</v>
      </c>
      <c r="D2837">
        <v>18.937814796801</v>
      </c>
      <c r="E2837">
        <v>8</v>
      </c>
      <c r="F2837">
        <v>1.01722196789785</v>
      </c>
      <c r="G2837" t="s">
        <v>81</v>
      </c>
      <c r="H2837" t="s">
        <v>81</v>
      </c>
      <c r="I2837">
        <v>411</v>
      </c>
      <c r="J2837">
        <v>733</v>
      </c>
      <c r="K2837">
        <v>0.10361701455149699</v>
      </c>
    </row>
    <row r="2838" spans="1:11" x14ac:dyDescent="0.25">
      <c r="A2838" t="s">
        <v>83</v>
      </c>
    </row>
    <row r="2839" spans="1:11" x14ac:dyDescent="0.25">
      <c r="A2839">
        <v>50.054082061193697</v>
      </c>
      <c r="B2839">
        <v>119.32504827963</v>
      </c>
      <c r="C2839">
        <v>2000</v>
      </c>
    </row>
    <row r="2840" spans="1:11" x14ac:dyDescent="0.25">
      <c r="A2840">
        <v>49.781491987775603</v>
      </c>
      <c r="B2840">
        <v>119.05245820621199</v>
      </c>
      <c r="C2840">
        <v>2000</v>
      </c>
    </row>
    <row r="2841" spans="1:11" x14ac:dyDescent="0.25">
      <c r="A2841">
        <v>41.664511272066299</v>
      </c>
      <c r="B2841">
        <v>110.935477490502</v>
      </c>
      <c r="C2841">
        <v>2000</v>
      </c>
    </row>
    <row r="2842" spans="1:11" x14ac:dyDescent="0.25">
      <c r="A2842">
        <v>42.101527296515101</v>
      </c>
      <c r="B2842">
        <v>110.498461466054</v>
      </c>
      <c r="C2842">
        <v>2001</v>
      </c>
    </row>
    <row r="2843" spans="1:11" x14ac:dyDescent="0.25">
      <c r="A2843">
        <v>50.218508012224397</v>
      </c>
      <c r="B2843">
        <v>118.615442181763</v>
      </c>
      <c r="C2843">
        <v>2001</v>
      </c>
    </row>
    <row r="2844" spans="1:11" x14ac:dyDescent="0.25">
      <c r="A2844">
        <v>50.491098085642498</v>
      </c>
      <c r="B2844">
        <v>118.888032255181</v>
      </c>
      <c r="C2844">
        <v>2001</v>
      </c>
    </row>
    <row r="2845" spans="1:11" x14ac:dyDescent="0.25">
      <c r="A2845">
        <v>63.882155349315497</v>
      </c>
      <c r="B2845">
        <v>132.27908951885399</v>
      </c>
      <c r="C2845">
        <v>2001</v>
      </c>
    </row>
    <row r="2846" spans="1:11" x14ac:dyDescent="0.25">
      <c r="A2846">
        <v>63.445139324866602</v>
      </c>
      <c r="B2846">
        <v>132.716105543303</v>
      </c>
      <c r="C2846">
        <v>2000</v>
      </c>
    </row>
    <row r="2847" spans="1:11" x14ac:dyDescent="0.25">
      <c r="A2847" t="s">
        <v>84</v>
      </c>
    </row>
    <row r="2848" spans="1:11" x14ac:dyDescent="0.25">
      <c r="A2848">
        <v>182</v>
      </c>
      <c r="B2848">
        <v>0</v>
      </c>
      <c r="C2848">
        <v>5.8272664235176999</v>
      </c>
      <c r="D2848">
        <v>24.810247975922099</v>
      </c>
      <c r="E2848">
        <v>8</v>
      </c>
      <c r="F2848">
        <v>1.01722196789785</v>
      </c>
      <c r="G2848" t="s">
        <v>81</v>
      </c>
      <c r="H2848" t="s">
        <v>81</v>
      </c>
      <c r="I2848">
        <v>759</v>
      </c>
      <c r="J2848">
        <v>877</v>
      </c>
      <c r="K2848">
        <v>0</v>
      </c>
    </row>
    <row r="2849" spans="1:11" x14ac:dyDescent="0.25">
      <c r="A2849" t="s">
        <v>83</v>
      </c>
    </row>
    <row r="2850" spans="1:11" x14ac:dyDescent="0.25">
      <c r="A2850">
        <v>70.975553793351096</v>
      </c>
      <c r="B2850">
        <v>45.569076709253103</v>
      </c>
      <c r="C2850">
        <v>2000</v>
      </c>
    </row>
    <row r="2851" spans="1:11" x14ac:dyDescent="0.25">
      <c r="A2851">
        <v>66.855054189501104</v>
      </c>
      <c r="B2851">
        <v>41.448577105403103</v>
      </c>
      <c r="C2851">
        <v>2000</v>
      </c>
    </row>
    <row r="2852" spans="1:11" x14ac:dyDescent="0.25">
      <c r="A2852">
        <v>66.418038165052295</v>
      </c>
      <c r="B2852">
        <v>41.885593129851898</v>
      </c>
      <c r="C2852">
        <v>2001</v>
      </c>
    </row>
    <row r="2853" spans="1:11" x14ac:dyDescent="0.25">
      <c r="A2853">
        <v>70.538537768902302</v>
      </c>
      <c r="B2853">
        <v>46.006092733701898</v>
      </c>
      <c r="C2853">
        <v>2001</v>
      </c>
    </row>
    <row r="2854" spans="1:11" x14ac:dyDescent="0.25">
      <c r="A2854">
        <v>74.750953047424801</v>
      </c>
      <c r="B2854">
        <v>50.218508012224397</v>
      </c>
      <c r="C2854">
        <v>2001</v>
      </c>
    </row>
    <row r="2855" spans="1:11" x14ac:dyDescent="0.25">
      <c r="A2855">
        <v>88.082032355596695</v>
      </c>
      <c r="B2855">
        <v>63.549587320396199</v>
      </c>
      <c r="C2855">
        <v>2001</v>
      </c>
    </row>
    <row r="2856" spans="1:11" x14ac:dyDescent="0.25">
      <c r="A2856">
        <v>88.519048380045504</v>
      </c>
      <c r="B2856">
        <v>63.112571295947397</v>
      </c>
      <c r="C2856">
        <v>2000</v>
      </c>
    </row>
    <row r="2857" spans="1:11" x14ac:dyDescent="0.25">
      <c r="A2857">
        <v>75.187969071873596</v>
      </c>
      <c r="B2857">
        <v>49.781491987775603</v>
      </c>
      <c r="C2857">
        <v>2000</v>
      </c>
    </row>
    <row r="2858" spans="1:11" x14ac:dyDescent="0.25">
      <c r="A2858" t="s">
        <v>84</v>
      </c>
    </row>
    <row r="2859" spans="1:11" x14ac:dyDescent="0.25">
      <c r="A2859">
        <v>1028</v>
      </c>
      <c r="B2859">
        <v>0</v>
      </c>
      <c r="C2859">
        <v>22.128058682184498</v>
      </c>
      <c r="D2859">
        <v>8.2876795581426794</v>
      </c>
      <c r="E2859">
        <v>6</v>
      </c>
      <c r="F2859">
        <v>1.01722196789785</v>
      </c>
      <c r="G2859" t="s">
        <v>82</v>
      </c>
      <c r="H2859" t="s">
        <v>82</v>
      </c>
      <c r="I2859">
        <v>0</v>
      </c>
      <c r="J2859">
        <v>0</v>
      </c>
      <c r="K2859">
        <v>0.11181500015983301</v>
      </c>
    </row>
    <row r="2860" spans="1:11" x14ac:dyDescent="0.25">
      <c r="A2860" t="s">
        <v>83</v>
      </c>
    </row>
    <row r="2861" spans="1:11" x14ac:dyDescent="0.25">
      <c r="A2861">
        <v>144.25880369901799</v>
      </c>
      <c r="B2861">
        <v>15.328962439099801</v>
      </c>
      <c r="C2861">
        <v>2000</v>
      </c>
    </row>
    <row r="2862" spans="1:11" x14ac:dyDescent="0.25">
      <c r="A2862">
        <v>128.92984125991899</v>
      </c>
      <c r="B2862">
        <v>0</v>
      </c>
      <c r="C2862">
        <v>2000</v>
      </c>
    </row>
    <row r="2863" spans="1:11" x14ac:dyDescent="0.25">
      <c r="A2863">
        <v>128.055809211021</v>
      </c>
      <c r="B2863">
        <v>0</v>
      </c>
      <c r="C2863">
        <v>2001</v>
      </c>
    </row>
    <row r="2864" spans="1:11" x14ac:dyDescent="0.25">
      <c r="A2864">
        <v>144.02064746925399</v>
      </c>
      <c r="B2864">
        <v>15.9648382582333</v>
      </c>
      <c r="C2864">
        <v>2001</v>
      </c>
    </row>
    <row r="2865" spans="1:11" x14ac:dyDescent="0.25">
      <c r="A2865">
        <v>150</v>
      </c>
      <c r="B2865">
        <v>21.944190788979199</v>
      </c>
      <c r="C2865">
        <v>2001</v>
      </c>
    </row>
    <row r="2866" spans="1:11" x14ac:dyDescent="0.25">
      <c r="A2866">
        <v>150</v>
      </c>
      <c r="B2866">
        <v>21.070158740081499</v>
      </c>
      <c r="C2866">
        <v>2000</v>
      </c>
    </row>
    <row r="2867" spans="1:11" x14ac:dyDescent="0.25">
      <c r="A2867" t="s">
        <v>84</v>
      </c>
    </row>
    <row r="2868" spans="1:11" x14ac:dyDescent="0.25">
      <c r="A2868">
        <v>961</v>
      </c>
      <c r="B2868">
        <v>0</v>
      </c>
      <c r="C2868">
        <v>29.727806463236799</v>
      </c>
      <c r="D2868">
        <v>0.63462494022609695</v>
      </c>
      <c r="E2868">
        <v>6</v>
      </c>
      <c r="F2868">
        <v>1.01722196789785</v>
      </c>
      <c r="G2868" t="s">
        <v>82</v>
      </c>
      <c r="H2868" t="s">
        <v>81</v>
      </c>
      <c r="I2868">
        <v>0</v>
      </c>
      <c r="J2868">
        <v>759</v>
      </c>
      <c r="K2868">
        <v>0.107182885561868</v>
      </c>
    </row>
    <row r="2869" spans="1:11" x14ac:dyDescent="0.25">
      <c r="A2869" t="s">
        <v>83</v>
      </c>
    </row>
    <row r="2870" spans="1:11" x14ac:dyDescent="0.25">
      <c r="A2870">
        <v>46.326399034765302</v>
      </c>
      <c r="B2870">
        <v>21.234674374000502</v>
      </c>
      <c r="C2870">
        <v>2000</v>
      </c>
    </row>
    <row r="2871" spans="1:11" x14ac:dyDescent="0.25">
      <c r="A2871">
        <v>25.0917246607649</v>
      </c>
      <c r="B2871">
        <v>0</v>
      </c>
      <c r="C2871">
        <v>2000</v>
      </c>
    </row>
    <row r="2872" spans="1:11" x14ac:dyDescent="0.25">
      <c r="A2872">
        <v>25.9657567096625</v>
      </c>
      <c r="B2872">
        <v>0</v>
      </c>
      <c r="C2872">
        <v>2001</v>
      </c>
    </row>
    <row r="2873" spans="1:11" x14ac:dyDescent="0.25">
      <c r="A2873">
        <v>46.772549415574098</v>
      </c>
      <c r="B2873">
        <v>20.806792705911601</v>
      </c>
      <c r="C2873">
        <v>2001</v>
      </c>
    </row>
    <row r="2874" spans="1:11" x14ac:dyDescent="0.25">
      <c r="A2874">
        <v>47.2167298361381</v>
      </c>
      <c r="B2874">
        <v>21.2509731264756</v>
      </c>
      <c r="C2874">
        <v>2001</v>
      </c>
    </row>
    <row r="2875" spans="1:11" x14ac:dyDescent="0.25">
      <c r="A2875">
        <v>46.779713811689298</v>
      </c>
      <c r="B2875">
        <v>21.687989150924398</v>
      </c>
      <c r="C2875">
        <v>2000</v>
      </c>
    </row>
    <row r="2876" spans="1:11" x14ac:dyDescent="0.25">
      <c r="A2876" t="s">
        <v>84</v>
      </c>
    </row>
    <row r="2877" spans="1:11" x14ac:dyDescent="0.25">
      <c r="A2877">
        <v>861</v>
      </c>
      <c r="B2877">
        <v>0</v>
      </c>
      <c r="C2877">
        <v>26.787196397174199</v>
      </c>
      <c r="D2877">
        <v>3.53506594914424</v>
      </c>
      <c r="E2877">
        <v>8</v>
      </c>
      <c r="F2877">
        <v>1.01722196789785</v>
      </c>
      <c r="G2877" t="s">
        <v>81</v>
      </c>
      <c r="H2877" t="s">
        <v>82</v>
      </c>
      <c r="I2877">
        <v>807</v>
      </c>
      <c r="J2877">
        <v>0</v>
      </c>
      <c r="K2877">
        <v>0.103818452298958</v>
      </c>
    </row>
    <row r="2878" spans="1:11" x14ac:dyDescent="0.25">
      <c r="A2878" t="s">
        <v>83</v>
      </c>
    </row>
    <row r="2879" spans="1:11" x14ac:dyDescent="0.25">
      <c r="A2879">
        <v>147.47030274046301</v>
      </c>
      <c r="B2879">
        <v>66.096838836261099</v>
      </c>
      <c r="C2879">
        <v>2000</v>
      </c>
    </row>
    <row r="2880" spans="1:11" x14ac:dyDescent="0.25">
      <c r="A2880">
        <v>131.59197191642701</v>
      </c>
      <c r="B2880">
        <v>50.218508012224397</v>
      </c>
      <c r="C2880">
        <v>2000</v>
      </c>
    </row>
    <row r="2881" spans="1:11" x14ac:dyDescent="0.25">
      <c r="A2881">
        <v>128.34041466177601</v>
      </c>
      <c r="B2881">
        <v>46.966950757573997</v>
      </c>
      <c r="C2881">
        <v>2000</v>
      </c>
    </row>
    <row r="2882" spans="1:11" x14ac:dyDescent="0.25">
      <c r="A2882">
        <v>128.77743068622499</v>
      </c>
      <c r="B2882">
        <v>46.529934733125103</v>
      </c>
      <c r="C2882">
        <v>2001</v>
      </c>
    </row>
    <row r="2883" spans="1:11" x14ac:dyDescent="0.25">
      <c r="A2883">
        <v>132.02898794087599</v>
      </c>
      <c r="B2883">
        <v>49.781491987775603</v>
      </c>
      <c r="C2883">
        <v>2001</v>
      </c>
    </row>
    <row r="2884" spans="1:11" x14ac:dyDescent="0.25">
      <c r="A2884">
        <v>147.53035905037399</v>
      </c>
      <c r="B2884">
        <v>65.282863097273605</v>
      </c>
      <c r="C2884">
        <v>2001</v>
      </c>
    </row>
    <row r="2885" spans="1:11" x14ac:dyDescent="0.25">
      <c r="A2885">
        <v>150</v>
      </c>
      <c r="B2885">
        <v>67.7525040469001</v>
      </c>
      <c r="C2885">
        <v>2001</v>
      </c>
    </row>
    <row r="2886" spans="1:11" x14ac:dyDescent="0.25">
      <c r="A2886">
        <v>150</v>
      </c>
      <c r="B2886">
        <v>68.626536095797704</v>
      </c>
      <c r="C2886">
        <v>2000</v>
      </c>
    </row>
    <row r="2887" spans="1:11" x14ac:dyDescent="0.25">
      <c r="A2887" t="s">
        <v>84</v>
      </c>
    </row>
    <row r="2888" spans="1:11" x14ac:dyDescent="0.25">
      <c r="A2888">
        <v>192</v>
      </c>
      <c r="B2888">
        <v>0</v>
      </c>
      <c r="C2888">
        <v>23.9053193058018</v>
      </c>
      <c r="D2888">
        <v>6.4150846946462803</v>
      </c>
      <c r="E2888">
        <v>8</v>
      </c>
      <c r="F2888">
        <v>1.01722196789785</v>
      </c>
      <c r="G2888" t="s">
        <v>81</v>
      </c>
      <c r="H2888" t="s">
        <v>81</v>
      </c>
      <c r="I2888">
        <v>12</v>
      </c>
      <c r="J2888">
        <v>189</v>
      </c>
      <c r="K2888">
        <v>0</v>
      </c>
    </row>
    <row r="2889" spans="1:11" x14ac:dyDescent="0.25">
      <c r="A2889" t="s">
        <v>83</v>
      </c>
    </row>
    <row r="2890" spans="1:11" x14ac:dyDescent="0.25">
      <c r="A2890">
        <v>51.326321551267</v>
      </c>
      <c r="B2890">
        <v>37.235005663347202</v>
      </c>
      <c r="C2890">
        <v>2000</v>
      </c>
    </row>
    <row r="2891" spans="1:11" x14ac:dyDescent="0.25">
      <c r="A2891">
        <v>49.781491987775603</v>
      </c>
      <c r="B2891">
        <v>35.690176099855698</v>
      </c>
      <c r="C2891">
        <v>2000</v>
      </c>
    </row>
    <row r="2892" spans="1:11" x14ac:dyDescent="0.25">
      <c r="A2892">
        <v>34.422708163704797</v>
      </c>
      <c r="B2892">
        <v>20.331392275784999</v>
      </c>
      <c r="C2892">
        <v>2000</v>
      </c>
    </row>
    <row r="2893" spans="1:11" x14ac:dyDescent="0.25">
      <c r="A2893">
        <v>34.859724188153699</v>
      </c>
      <c r="B2893">
        <v>19.894376251336201</v>
      </c>
      <c r="C2893">
        <v>2001</v>
      </c>
    </row>
    <row r="2894" spans="1:11" x14ac:dyDescent="0.25">
      <c r="A2894">
        <v>50.218508012224397</v>
      </c>
      <c r="B2894">
        <v>35.253160075406903</v>
      </c>
      <c r="C2894">
        <v>2001</v>
      </c>
    </row>
    <row r="2895" spans="1:11" x14ac:dyDescent="0.25">
      <c r="A2895">
        <v>51.763337575715802</v>
      </c>
      <c r="B2895">
        <v>36.797989638898301</v>
      </c>
      <c r="C2895">
        <v>2001</v>
      </c>
    </row>
    <row r="2896" spans="1:11" x14ac:dyDescent="0.25">
      <c r="A2896">
        <v>56.299487465186203</v>
      </c>
      <c r="B2896">
        <v>41.334139528368702</v>
      </c>
      <c r="C2896">
        <v>2001</v>
      </c>
    </row>
    <row r="2897" spans="1:11" x14ac:dyDescent="0.25">
      <c r="A2897">
        <v>55.862471440737401</v>
      </c>
      <c r="B2897">
        <v>41.771155552817604</v>
      </c>
      <c r="C2897">
        <v>2000</v>
      </c>
    </row>
    <row r="2898" spans="1:11" x14ac:dyDescent="0.25">
      <c r="A2898" t="s">
        <v>84</v>
      </c>
    </row>
    <row r="2899" spans="1:11" x14ac:dyDescent="0.25">
      <c r="A2899">
        <v>872</v>
      </c>
      <c r="B2899">
        <v>0</v>
      </c>
      <c r="C2899">
        <v>23.456606452357502</v>
      </c>
      <c r="D2899">
        <v>6.7757282639671104</v>
      </c>
      <c r="E2899">
        <v>8</v>
      </c>
      <c r="F2899">
        <v>1.01722196789785</v>
      </c>
      <c r="G2899" t="s">
        <v>81</v>
      </c>
      <c r="H2899" t="s">
        <v>81</v>
      </c>
      <c r="I2899">
        <v>183</v>
      </c>
      <c r="J2899">
        <v>596</v>
      </c>
      <c r="K2899">
        <v>0.104210552406962</v>
      </c>
    </row>
    <row r="2900" spans="1:11" x14ac:dyDescent="0.25">
      <c r="A2900" t="s">
        <v>83</v>
      </c>
    </row>
    <row r="2901" spans="1:11" x14ac:dyDescent="0.25">
      <c r="A2901">
        <v>128.59937388943899</v>
      </c>
      <c r="B2901">
        <v>49.8990069180212</v>
      </c>
      <c r="C2901">
        <v>2000</v>
      </c>
    </row>
    <row r="2902" spans="1:11" x14ac:dyDescent="0.25">
      <c r="A2902">
        <v>112.013048403353</v>
      </c>
      <c r="B2902">
        <v>33.312681431935097</v>
      </c>
      <c r="C2902">
        <v>2000</v>
      </c>
    </row>
    <row r="2903" spans="1:11" x14ac:dyDescent="0.25">
      <c r="A2903">
        <v>112.450064427802</v>
      </c>
      <c r="B2903">
        <v>32.875665407486302</v>
      </c>
      <c r="C2903">
        <v>2001</v>
      </c>
    </row>
    <row r="2904" spans="1:11" x14ac:dyDescent="0.25">
      <c r="A2904">
        <v>129.036389913888</v>
      </c>
      <c r="B2904">
        <v>49.461990893572398</v>
      </c>
      <c r="C2904">
        <v>2001</v>
      </c>
    </row>
    <row r="2905" spans="1:11" x14ac:dyDescent="0.25">
      <c r="A2905">
        <v>129.35589100809099</v>
      </c>
      <c r="B2905">
        <v>49.781491987775603</v>
      </c>
      <c r="C2905">
        <v>2001</v>
      </c>
    </row>
    <row r="2906" spans="1:11" x14ac:dyDescent="0.25">
      <c r="A2906">
        <v>133.82755331681699</v>
      </c>
      <c r="B2906">
        <v>54.253154296500902</v>
      </c>
      <c r="C2906">
        <v>2001</v>
      </c>
    </row>
    <row r="2907" spans="1:11" x14ac:dyDescent="0.25">
      <c r="A2907">
        <v>133.39053729236801</v>
      </c>
      <c r="B2907">
        <v>54.690170320949697</v>
      </c>
      <c r="C2907">
        <v>2000</v>
      </c>
    </row>
    <row r="2908" spans="1:11" x14ac:dyDescent="0.25">
      <c r="A2908">
        <v>128.91887498364201</v>
      </c>
      <c r="B2908">
        <v>50.218508012224397</v>
      </c>
      <c r="C2908">
        <v>2000</v>
      </c>
    </row>
    <row r="2909" spans="1:11" x14ac:dyDescent="0.25">
      <c r="A2909" t="s">
        <v>84</v>
      </c>
    </row>
    <row r="2910" spans="1:11" x14ac:dyDescent="0.25">
      <c r="A2910">
        <v>1029</v>
      </c>
      <c r="B2910">
        <v>0</v>
      </c>
      <c r="C2910">
        <v>8.37115292325859</v>
      </c>
      <c r="D2910">
        <v>21.819742269183202</v>
      </c>
      <c r="E2910">
        <v>6</v>
      </c>
      <c r="F2910">
        <v>1.01722196789785</v>
      </c>
      <c r="G2910" t="s">
        <v>81</v>
      </c>
      <c r="H2910" t="s">
        <v>82</v>
      </c>
      <c r="I2910">
        <v>988</v>
      </c>
      <c r="J2910">
        <v>0</v>
      </c>
      <c r="K2910">
        <v>0.11217599016186</v>
      </c>
    </row>
    <row r="2911" spans="1:11" x14ac:dyDescent="0.25">
      <c r="A2911" t="s">
        <v>83</v>
      </c>
    </row>
    <row r="2912" spans="1:11" x14ac:dyDescent="0.25">
      <c r="A2912">
        <v>134.72903368018399</v>
      </c>
      <c r="B2912">
        <v>130.593887166548</v>
      </c>
      <c r="C2912">
        <v>2000</v>
      </c>
    </row>
    <row r="2913" spans="1:11" x14ac:dyDescent="0.25">
      <c r="A2913">
        <v>128.87032129155699</v>
      </c>
      <c r="B2913">
        <v>124.735174777921</v>
      </c>
      <c r="C2913">
        <v>2000</v>
      </c>
    </row>
    <row r="2914" spans="1:11" x14ac:dyDescent="0.25">
      <c r="A2914">
        <v>128.43330526710801</v>
      </c>
      <c r="B2914">
        <v>125.17219080237</v>
      </c>
      <c r="C2914">
        <v>2001</v>
      </c>
    </row>
    <row r="2915" spans="1:11" x14ac:dyDescent="0.25">
      <c r="A2915">
        <v>134.41319087525201</v>
      </c>
      <c r="B2915">
        <v>131.15207641051401</v>
      </c>
      <c r="C2915">
        <v>2001</v>
      </c>
    </row>
    <row r="2916" spans="1:11" x14ac:dyDescent="0.25">
      <c r="A2916">
        <v>150</v>
      </c>
      <c r="B2916">
        <v>146.738885535262</v>
      </c>
      <c r="C2916">
        <v>2001</v>
      </c>
    </row>
    <row r="2917" spans="1:11" x14ac:dyDescent="0.25">
      <c r="A2917">
        <v>150</v>
      </c>
      <c r="B2917">
        <v>145.86485348636501</v>
      </c>
      <c r="C2917">
        <v>2000</v>
      </c>
    </row>
    <row r="2918" spans="1:11" x14ac:dyDescent="0.25">
      <c r="A2918" t="s">
        <v>84</v>
      </c>
    </row>
    <row r="2919" spans="1:11" x14ac:dyDescent="0.25">
      <c r="A2919">
        <v>507</v>
      </c>
      <c r="B2919">
        <v>0</v>
      </c>
      <c r="C2919">
        <v>28.9983004914567</v>
      </c>
      <c r="D2919">
        <v>1.14871959319818</v>
      </c>
      <c r="E2919">
        <v>6</v>
      </c>
      <c r="F2919">
        <v>1.01722196789785</v>
      </c>
      <c r="G2919" t="s">
        <v>82</v>
      </c>
      <c r="H2919" t="s">
        <v>81</v>
      </c>
      <c r="I2919">
        <v>0</v>
      </c>
      <c r="J2919">
        <v>505</v>
      </c>
      <c r="K2919">
        <v>0</v>
      </c>
    </row>
    <row r="2920" spans="1:11" x14ac:dyDescent="0.25">
      <c r="A2920" t="s">
        <v>83</v>
      </c>
    </row>
    <row r="2921" spans="1:11" x14ac:dyDescent="0.25">
      <c r="A2921">
        <v>128.41584572892401</v>
      </c>
      <c r="B2921">
        <v>20.715076921151901</v>
      </c>
      <c r="C2921">
        <v>2000</v>
      </c>
    </row>
    <row r="2922" spans="1:11" x14ac:dyDescent="0.25">
      <c r="A2922">
        <v>107.700768807773</v>
      </c>
      <c r="B2922">
        <v>0</v>
      </c>
      <c r="C2922">
        <v>2000</v>
      </c>
    </row>
    <row r="2923" spans="1:11" x14ac:dyDescent="0.25">
      <c r="A2923">
        <v>108.57480085667</v>
      </c>
      <c r="B2923">
        <v>0</v>
      </c>
      <c r="C2923">
        <v>2001</v>
      </c>
    </row>
    <row r="2924" spans="1:11" x14ac:dyDescent="0.25">
      <c r="A2924">
        <v>128.869513776307</v>
      </c>
      <c r="B2924">
        <v>20.294712919636599</v>
      </c>
      <c r="C2924">
        <v>2001</v>
      </c>
    </row>
    <row r="2925" spans="1:11" x14ac:dyDescent="0.25">
      <c r="A2925">
        <v>129.67345517887199</v>
      </c>
      <c r="B2925">
        <v>21.098654322202101</v>
      </c>
      <c r="C2925">
        <v>2001</v>
      </c>
    </row>
    <row r="2926" spans="1:11" x14ac:dyDescent="0.25">
      <c r="A2926">
        <v>129.23643915442301</v>
      </c>
      <c r="B2926">
        <v>21.5356703466509</v>
      </c>
      <c r="C2926">
        <v>2000</v>
      </c>
    </row>
    <row r="2927" spans="1:11" x14ac:dyDescent="0.25">
      <c r="A2927" t="s">
        <v>84</v>
      </c>
    </row>
    <row r="2928" spans="1:11" x14ac:dyDescent="0.25">
      <c r="A2928">
        <v>1022</v>
      </c>
      <c r="B2928">
        <v>0</v>
      </c>
      <c r="C2928">
        <v>23.415384315200999</v>
      </c>
      <c r="D2928">
        <v>6.5939165829848001</v>
      </c>
      <c r="E2928">
        <v>8</v>
      </c>
      <c r="F2928">
        <v>1.01722196789785</v>
      </c>
      <c r="G2928" t="s">
        <v>81</v>
      </c>
      <c r="H2928" t="s">
        <v>82</v>
      </c>
      <c r="I2928">
        <v>888</v>
      </c>
      <c r="J2928">
        <v>0</v>
      </c>
      <c r="K2928">
        <v>0.11153635023422701</v>
      </c>
    </row>
    <row r="2929" spans="1:11" x14ac:dyDescent="0.25">
      <c r="A2929" t="s">
        <v>83</v>
      </c>
    </row>
    <row r="2930" spans="1:11" x14ac:dyDescent="0.25">
      <c r="A2930">
        <v>115.944186311899</v>
      </c>
      <c r="B2930">
        <v>145.385922831898</v>
      </c>
      <c r="C2930">
        <v>2000</v>
      </c>
    </row>
    <row r="2931" spans="1:11" x14ac:dyDescent="0.25">
      <c r="A2931">
        <v>99.781491987775595</v>
      </c>
      <c r="B2931">
        <v>129.22322850777499</v>
      </c>
      <c r="C2931">
        <v>2000</v>
      </c>
    </row>
    <row r="2932" spans="1:11" x14ac:dyDescent="0.25">
      <c r="A2932">
        <v>99.556991328450593</v>
      </c>
      <c r="B2932">
        <v>128.99872784844999</v>
      </c>
      <c r="C2932">
        <v>2000</v>
      </c>
    </row>
    <row r="2933" spans="1:11" x14ac:dyDescent="0.25">
      <c r="A2933">
        <v>99.994007352899402</v>
      </c>
      <c r="B2933">
        <v>128.56171182400101</v>
      </c>
      <c r="C2933">
        <v>2001</v>
      </c>
    </row>
    <row r="2934" spans="1:11" x14ac:dyDescent="0.25">
      <c r="A2934">
        <v>100.21850801222401</v>
      </c>
      <c r="B2934">
        <v>128.78621248332601</v>
      </c>
      <c r="C2934">
        <v>2001</v>
      </c>
    </row>
    <row r="2935" spans="1:11" x14ac:dyDescent="0.25">
      <c r="A2935">
        <v>116.721166436187</v>
      </c>
      <c r="B2935">
        <v>145.28887090728799</v>
      </c>
      <c r="C2935">
        <v>2001</v>
      </c>
    </row>
    <row r="2936" spans="1:11" x14ac:dyDescent="0.25">
      <c r="A2936">
        <v>121.432295528899</v>
      </c>
      <c r="B2936">
        <v>150</v>
      </c>
      <c r="C2936">
        <v>2001</v>
      </c>
    </row>
    <row r="2937" spans="1:11" x14ac:dyDescent="0.25">
      <c r="A2937">
        <v>120.558263480001</v>
      </c>
      <c r="B2937">
        <v>150</v>
      </c>
      <c r="C2937">
        <v>2000</v>
      </c>
    </row>
    <row r="2938" spans="1:11" x14ac:dyDescent="0.25">
      <c r="A2938" t="s">
        <v>84</v>
      </c>
    </row>
    <row r="2939" spans="1:11" x14ac:dyDescent="0.25">
      <c r="A2939">
        <v>907</v>
      </c>
      <c r="B2939">
        <v>0</v>
      </c>
      <c r="C2939">
        <v>25.084040542821999</v>
      </c>
      <c r="D2939">
        <v>4.75155239745055</v>
      </c>
      <c r="E2939">
        <v>8</v>
      </c>
      <c r="F2939">
        <v>1.01722196789785</v>
      </c>
      <c r="G2939" t="s">
        <v>81</v>
      </c>
      <c r="H2939" t="s">
        <v>81</v>
      </c>
      <c r="I2939">
        <v>809</v>
      </c>
      <c r="J2939">
        <v>255</v>
      </c>
      <c r="K2939">
        <v>0.104952687375285</v>
      </c>
    </row>
    <row r="2940" spans="1:11" x14ac:dyDescent="0.25">
      <c r="A2940" t="s">
        <v>83</v>
      </c>
    </row>
    <row r="2941" spans="1:11" x14ac:dyDescent="0.25">
      <c r="A2941">
        <v>106.084387755988</v>
      </c>
      <c r="B2941">
        <v>129.865095495188</v>
      </c>
      <c r="C2941">
        <v>2000</v>
      </c>
    </row>
    <row r="2942" spans="1:11" x14ac:dyDescent="0.25">
      <c r="A2942">
        <v>100.21850801222401</v>
      </c>
      <c r="B2942">
        <v>123.999215751425</v>
      </c>
      <c r="C2942">
        <v>2000</v>
      </c>
    </row>
    <row r="2943" spans="1:11" x14ac:dyDescent="0.25">
      <c r="A2943">
        <v>88.347292588599899</v>
      </c>
      <c r="B2943">
        <v>112.1280003278</v>
      </c>
      <c r="C2943">
        <v>2000</v>
      </c>
    </row>
    <row r="2944" spans="1:11" x14ac:dyDescent="0.25">
      <c r="A2944">
        <v>87.910276564151005</v>
      </c>
      <c r="B2944">
        <v>112.565016352249</v>
      </c>
      <c r="C2944">
        <v>2001</v>
      </c>
    </row>
    <row r="2945" spans="1:11" x14ac:dyDescent="0.25">
      <c r="A2945">
        <v>99.781491987775595</v>
      </c>
      <c r="B2945">
        <v>124.43623177587401</v>
      </c>
      <c r="C2945">
        <v>2001</v>
      </c>
    </row>
    <row r="2946" spans="1:11" x14ac:dyDescent="0.25">
      <c r="A2946">
        <v>105.647371731539</v>
      </c>
      <c r="B2946">
        <v>130.30211151963701</v>
      </c>
      <c r="C2946">
        <v>2001</v>
      </c>
    </row>
    <row r="2947" spans="1:11" x14ac:dyDescent="0.25">
      <c r="A2947">
        <v>109.007226652939</v>
      </c>
      <c r="B2947">
        <v>133.66196644103701</v>
      </c>
      <c r="C2947">
        <v>2001</v>
      </c>
    </row>
    <row r="2948" spans="1:11" x14ac:dyDescent="0.25">
      <c r="A2948">
        <v>109.444242677388</v>
      </c>
      <c r="B2948">
        <v>133.224950416588</v>
      </c>
      <c r="C2948">
        <v>2000</v>
      </c>
    </row>
    <row r="2949" spans="1:11" x14ac:dyDescent="0.25">
      <c r="A2949" t="s">
        <v>84</v>
      </c>
    </row>
    <row r="2950" spans="1:11" x14ac:dyDescent="0.25">
      <c r="A2950">
        <v>105</v>
      </c>
      <c r="B2950">
        <v>0</v>
      </c>
      <c r="C2950">
        <v>7.28079012844118</v>
      </c>
      <c r="D2950">
        <v>22.517965483504</v>
      </c>
      <c r="E2950">
        <v>8</v>
      </c>
      <c r="F2950">
        <v>1.01722196789785</v>
      </c>
      <c r="G2950" t="s">
        <v>82</v>
      </c>
      <c r="H2950" t="s">
        <v>81</v>
      </c>
      <c r="I2950">
        <v>0</v>
      </c>
      <c r="J2950">
        <v>1037</v>
      </c>
      <c r="K2950">
        <v>0</v>
      </c>
    </row>
    <row r="2951" spans="1:11" x14ac:dyDescent="0.25">
      <c r="A2951" t="s">
        <v>83</v>
      </c>
    </row>
    <row r="2952" spans="1:11" x14ac:dyDescent="0.25">
      <c r="A2952">
        <v>4.9297880599924202</v>
      </c>
      <c r="B2952">
        <v>55.148580373795198</v>
      </c>
      <c r="C2952">
        <v>2000</v>
      </c>
    </row>
    <row r="2953" spans="1:11" x14ac:dyDescent="0.25">
      <c r="A2953">
        <v>-2.8430157840042498E-4</v>
      </c>
      <c r="B2953">
        <v>50.218508012224397</v>
      </c>
      <c r="C2953">
        <v>2000</v>
      </c>
    </row>
    <row r="2954" spans="1:11" x14ac:dyDescent="0.25">
      <c r="A2954">
        <v>-0.21850801222440999</v>
      </c>
      <c r="B2954">
        <v>50.000284301578397</v>
      </c>
      <c r="C2954">
        <v>2000</v>
      </c>
    </row>
    <row r="2955" spans="1:11" x14ac:dyDescent="0.25">
      <c r="A2955">
        <v>0</v>
      </c>
      <c r="B2955">
        <v>49.344760264905197</v>
      </c>
      <c r="C2955">
        <v>2001</v>
      </c>
    </row>
    <row r="2956" spans="1:11" x14ac:dyDescent="0.25">
      <c r="A2956">
        <v>0.22748573220899301</v>
      </c>
      <c r="B2956">
        <v>49.572245997114102</v>
      </c>
      <c r="C2956">
        <v>2001</v>
      </c>
    </row>
    <row r="2957" spans="1:11" x14ac:dyDescent="0.25">
      <c r="A2957">
        <v>5.2070288549403401</v>
      </c>
      <c r="B2957">
        <v>54.551789119845502</v>
      </c>
      <c r="C2957">
        <v>2001</v>
      </c>
    </row>
    <row r="2958" spans="1:11" x14ac:dyDescent="0.25">
      <c r="A2958">
        <v>21.289410176351598</v>
      </c>
      <c r="B2958">
        <v>70.6341704412567</v>
      </c>
      <c r="C2958">
        <v>2001</v>
      </c>
    </row>
    <row r="2959" spans="1:11" x14ac:dyDescent="0.25">
      <c r="A2959">
        <v>20.852394151902701</v>
      </c>
      <c r="B2959">
        <v>71.071186465705495</v>
      </c>
      <c r="C2959">
        <v>2000</v>
      </c>
    </row>
    <row r="2960" spans="1:11" x14ac:dyDescent="0.25">
      <c r="A2960" t="s">
        <v>84</v>
      </c>
    </row>
    <row r="2961" spans="1:11" x14ac:dyDescent="0.25">
      <c r="A2961">
        <v>850</v>
      </c>
      <c r="B2961">
        <v>0</v>
      </c>
      <c r="C2961">
        <v>29.137233340588299</v>
      </c>
      <c r="D2961">
        <v>0.48554667307303101</v>
      </c>
      <c r="E2961">
        <v>10</v>
      </c>
      <c r="F2961">
        <v>1.01722196789785</v>
      </c>
      <c r="G2961" t="s">
        <v>81</v>
      </c>
      <c r="H2961" t="s">
        <v>81</v>
      </c>
      <c r="I2961">
        <v>900</v>
      </c>
      <c r="J2961">
        <v>891</v>
      </c>
      <c r="K2961">
        <v>0.10361701455149699</v>
      </c>
    </row>
    <row r="2962" spans="1:11" x14ac:dyDescent="0.25">
      <c r="A2962" t="s">
        <v>83</v>
      </c>
    </row>
    <row r="2963" spans="1:11" x14ac:dyDescent="0.25">
      <c r="A2963">
        <v>101.535462918471</v>
      </c>
      <c r="B2963">
        <v>102.33418582675201</v>
      </c>
      <c r="C2963">
        <v>2000</v>
      </c>
    </row>
    <row r="2964" spans="1:11" x14ac:dyDescent="0.25">
      <c r="A2964">
        <v>100.21850801222401</v>
      </c>
      <c r="B2964">
        <v>101.01723092050599</v>
      </c>
      <c r="C2964">
        <v>2000</v>
      </c>
    </row>
    <row r="2965" spans="1:11" x14ac:dyDescent="0.25">
      <c r="A2965">
        <v>98.982769079493906</v>
      </c>
      <c r="B2965">
        <v>99.781491987775595</v>
      </c>
      <c r="C2965">
        <v>2000</v>
      </c>
    </row>
    <row r="2966" spans="1:11" x14ac:dyDescent="0.25">
      <c r="A2966">
        <v>80.932327638325802</v>
      </c>
      <c r="B2966">
        <v>81.731050546607506</v>
      </c>
      <c r="C2966">
        <v>2000</v>
      </c>
    </row>
    <row r="2967" spans="1:11" x14ac:dyDescent="0.25">
      <c r="A2967">
        <v>80.495311613877007</v>
      </c>
      <c r="B2967">
        <v>82.168066571056301</v>
      </c>
      <c r="C2967">
        <v>2001</v>
      </c>
    </row>
    <row r="2968" spans="1:11" x14ac:dyDescent="0.25">
      <c r="A2968">
        <v>98.545753055045097</v>
      </c>
      <c r="B2968">
        <v>100.21850801222401</v>
      </c>
      <c r="C2968">
        <v>2001</v>
      </c>
    </row>
    <row r="2969" spans="1:11" x14ac:dyDescent="0.25">
      <c r="A2969">
        <v>99.781491987775595</v>
      </c>
      <c r="B2969">
        <v>101.454246944955</v>
      </c>
      <c r="C2969">
        <v>2001</v>
      </c>
    </row>
    <row r="2970" spans="1:11" x14ac:dyDescent="0.25">
      <c r="A2970">
        <v>101.098446894022</v>
      </c>
      <c r="B2970">
        <v>102.771201851201</v>
      </c>
      <c r="C2970">
        <v>2001</v>
      </c>
    </row>
    <row r="2971" spans="1:11" x14ac:dyDescent="0.25">
      <c r="A2971">
        <v>101.441780239134</v>
      </c>
      <c r="B2971">
        <v>103.11453519631399</v>
      </c>
      <c r="C2971">
        <v>2001</v>
      </c>
    </row>
    <row r="2972" spans="1:11" x14ac:dyDescent="0.25">
      <c r="A2972">
        <v>101.878796263583</v>
      </c>
      <c r="B2972">
        <v>102.677519171865</v>
      </c>
      <c r="C2972">
        <v>2000</v>
      </c>
    </row>
    <row r="2973" spans="1:11" x14ac:dyDescent="0.25">
      <c r="A2973" t="s">
        <v>84</v>
      </c>
    </row>
    <row r="2974" spans="1:11" x14ac:dyDescent="0.25">
      <c r="A2974">
        <v>438</v>
      </c>
      <c r="B2974">
        <v>0</v>
      </c>
      <c r="C2974">
        <v>23.310500533634801</v>
      </c>
      <c r="D2974">
        <v>6.3016550405779697</v>
      </c>
      <c r="E2974">
        <v>8</v>
      </c>
      <c r="F2974">
        <v>1.01722196789785</v>
      </c>
      <c r="G2974" t="s">
        <v>81</v>
      </c>
      <c r="H2974" t="s">
        <v>81</v>
      </c>
      <c r="I2974">
        <v>118</v>
      </c>
      <c r="J2974">
        <v>411</v>
      </c>
      <c r="K2974">
        <v>0</v>
      </c>
    </row>
    <row r="2975" spans="1:11" x14ac:dyDescent="0.25">
      <c r="A2975" t="s">
        <v>83</v>
      </c>
    </row>
    <row r="2976" spans="1:11" x14ac:dyDescent="0.25">
      <c r="A2976">
        <v>37.023228304010303</v>
      </c>
      <c r="B2976">
        <v>106.664874434776</v>
      </c>
      <c r="C2976">
        <v>2000</v>
      </c>
    </row>
    <row r="2977" spans="1:11" x14ac:dyDescent="0.25">
      <c r="A2977">
        <v>30.576861881458399</v>
      </c>
      <c r="B2977">
        <v>100.21850801222401</v>
      </c>
      <c r="C2977">
        <v>2000</v>
      </c>
    </row>
    <row r="2978" spans="1:11" x14ac:dyDescent="0.25">
      <c r="A2978">
        <v>20.5402153038245</v>
      </c>
      <c r="B2978">
        <v>90.181861434590502</v>
      </c>
      <c r="C2978">
        <v>2000</v>
      </c>
    </row>
    <row r="2979" spans="1:11" x14ac:dyDescent="0.25">
      <c r="A2979">
        <v>20.977231328273302</v>
      </c>
      <c r="B2979">
        <v>89.744845410141707</v>
      </c>
      <c r="C2979">
        <v>2001</v>
      </c>
    </row>
    <row r="2980" spans="1:11" x14ac:dyDescent="0.25">
      <c r="A2980">
        <v>31.013877905907201</v>
      </c>
      <c r="B2980">
        <v>99.781491987775595</v>
      </c>
      <c r="C2980">
        <v>2001</v>
      </c>
    </row>
    <row r="2981" spans="1:11" x14ac:dyDescent="0.25">
      <c r="A2981">
        <v>37.460244328459098</v>
      </c>
      <c r="B2981">
        <v>106.227858410327</v>
      </c>
      <c r="C2981">
        <v>2001</v>
      </c>
    </row>
    <row r="2982" spans="1:11" x14ac:dyDescent="0.25">
      <c r="A2982">
        <v>41.916187340350099</v>
      </c>
      <c r="B2982">
        <v>110.68380142221901</v>
      </c>
      <c r="C2982">
        <v>2001</v>
      </c>
    </row>
    <row r="2983" spans="1:11" x14ac:dyDescent="0.25">
      <c r="A2983">
        <v>41.479171315901297</v>
      </c>
      <c r="B2983">
        <v>111.120817446667</v>
      </c>
      <c r="C2983">
        <v>2000</v>
      </c>
    </row>
    <row r="2984" spans="1:11" x14ac:dyDescent="0.25">
      <c r="A2984" t="s">
        <v>84</v>
      </c>
    </row>
    <row r="2985" spans="1:11" x14ac:dyDescent="0.25">
      <c r="A2985">
        <v>852</v>
      </c>
      <c r="B2985">
        <v>0</v>
      </c>
      <c r="C2985">
        <v>15.5181350718637</v>
      </c>
      <c r="D2985">
        <v>14.022106472214499</v>
      </c>
      <c r="E2985">
        <v>6</v>
      </c>
      <c r="F2985">
        <v>1.01722196789785</v>
      </c>
      <c r="G2985" t="s">
        <v>82</v>
      </c>
      <c r="H2985" t="s">
        <v>81</v>
      </c>
      <c r="I2985">
        <v>0</v>
      </c>
      <c r="J2985">
        <v>517</v>
      </c>
      <c r="K2985">
        <v>0.10361701455149699</v>
      </c>
    </row>
    <row r="2986" spans="1:11" x14ac:dyDescent="0.25">
      <c r="A2986" t="s">
        <v>83</v>
      </c>
    </row>
    <row r="2987" spans="1:11" x14ac:dyDescent="0.25">
      <c r="A2987">
        <v>116.839698033527</v>
      </c>
      <c r="B2987">
        <v>11.0877655793381</v>
      </c>
      <c r="C2987">
        <v>2000</v>
      </c>
    </row>
    <row r="2988" spans="1:11" x14ac:dyDescent="0.25">
      <c r="A2988">
        <v>105.751932454189</v>
      </c>
      <c r="B2988">
        <v>0</v>
      </c>
      <c r="C2988">
        <v>2000</v>
      </c>
    </row>
    <row r="2989" spans="1:11" x14ac:dyDescent="0.25">
      <c r="A2989">
        <v>106.625964503087</v>
      </c>
      <c r="B2989">
        <v>0</v>
      </c>
      <c r="C2989">
        <v>2001</v>
      </c>
    </row>
    <row r="2990" spans="1:11" x14ac:dyDescent="0.25">
      <c r="A2990">
        <v>117.48415600511601</v>
      </c>
      <c r="B2990">
        <v>10.858191502029101</v>
      </c>
      <c r="C2990">
        <v>2001</v>
      </c>
    </row>
    <row r="2991" spans="1:11" x14ac:dyDescent="0.25">
      <c r="A2991">
        <v>127.29556160456799</v>
      </c>
      <c r="B2991">
        <v>20.669597101481799</v>
      </c>
      <c r="C2991">
        <v>2001</v>
      </c>
    </row>
    <row r="2992" spans="1:11" x14ac:dyDescent="0.25">
      <c r="A2992">
        <v>126.85854558011999</v>
      </c>
      <c r="B2992">
        <v>21.1066131259307</v>
      </c>
      <c r="C2992">
        <v>2000</v>
      </c>
    </row>
    <row r="2993" spans="1:11" x14ac:dyDescent="0.25">
      <c r="A2993" t="s">
        <v>84</v>
      </c>
    </row>
    <row r="2994" spans="1:11" x14ac:dyDescent="0.25">
      <c r="A2994">
        <v>424</v>
      </c>
      <c r="B2994">
        <v>0</v>
      </c>
      <c r="C2994">
        <v>3.3614067909551699</v>
      </c>
      <c r="D2994">
        <v>26.1283818647962</v>
      </c>
      <c r="E2994">
        <v>6</v>
      </c>
      <c r="F2994">
        <v>1.01722196789785</v>
      </c>
      <c r="G2994" t="s">
        <v>81</v>
      </c>
      <c r="H2994" t="s">
        <v>82</v>
      </c>
      <c r="I2994">
        <v>416</v>
      </c>
      <c r="J2994">
        <v>0</v>
      </c>
      <c r="K2994">
        <v>0</v>
      </c>
    </row>
    <row r="2995" spans="1:11" x14ac:dyDescent="0.25">
      <c r="A2995" t="s">
        <v>83</v>
      </c>
    </row>
    <row r="2996" spans="1:11" x14ac:dyDescent="0.25">
      <c r="A2996">
        <v>4.9187070892055598</v>
      </c>
      <c r="B2996">
        <v>131.71804528038501</v>
      </c>
      <c r="C2996">
        <v>2000</v>
      </c>
    </row>
    <row r="2997" spans="1:11" x14ac:dyDescent="0.25">
      <c r="A2997">
        <v>2.5667402868048899</v>
      </c>
      <c r="B2997">
        <v>129.36607847798501</v>
      </c>
      <c r="C2997">
        <v>2000</v>
      </c>
    </row>
    <row r="2998" spans="1:11" x14ac:dyDescent="0.25">
      <c r="A2998">
        <v>3.00375631125371</v>
      </c>
      <c r="B2998">
        <v>128.92906245353601</v>
      </c>
      <c r="C2998">
        <v>2001</v>
      </c>
    </row>
    <row r="2999" spans="1:11" x14ac:dyDescent="0.25">
      <c r="A2999">
        <v>5.4055365812748697</v>
      </c>
      <c r="B2999">
        <v>131.330842723557</v>
      </c>
      <c r="C2999">
        <v>2001</v>
      </c>
    </row>
    <row r="3000" spans="1:11" x14ac:dyDescent="0.25">
      <c r="A3000">
        <v>24.074693857718</v>
      </c>
      <c r="B3000">
        <v>150</v>
      </c>
      <c r="C3000">
        <v>2001</v>
      </c>
    </row>
    <row r="3001" spans="1:11" x14ac:dyDescent="0.25">
      <c r="A3001">
        <v>23.200661808820399</v>
      </c>
      <c r="B3001">
        <v>150</v>
      </c>
      <c r="C3001">
        <v>2000</v>
      </c>
    </row>
    <row r="3002" spans="1:11" x14ac:dyDescent="0.25">
      <c r="A3002" t="s">
        <v>84</v>
      </c>
    </row>
    <row r="3003" spans="1:11" x14ac:dyDescent="0.25">
      <c r="A3003">
        <v>894</v>
      </c>
      <c r="B3003">
        <v>0</v>
      </c>
      <c r="C3003">
        <v>18.569705763112701</v>
      </c>
      <c r="D3003">
        <v>10.839524677585301</v>
      </c>
      <c r="E3003">
        <v>6</v>
      </c>
      <c r="F3003">
        <v>1.01722196789785</v>
      </c>
      <c r="G3003" t="s">
        <v>81</v>
      </c>
      <c r="H3003" t="s">
        <v>82</v>
      </c>
      <c r="I3003">
        <v>263</v>
      </c>
      <c r="J3003">
        <v>0</v>
      </c>
      <c r="K3003">
        <v>0.104772231836848</v>
      </c>
    </row>
    <row r="3004" spans="1:11" x14ac:dyDescent="0.25">
      <c r="A3004" t="s">
        <v>83</v>
      </c>
    </row>
    <row r="3005" spans="1:11" x14ac:dyDescent="0.25">
      <c r="A3005">
        <v>142.25476187450701</v>
      </c>
      <c r="B3005">
        <v>137.918742134833</v>
      </c>
      <c r="C3005">
        <v>2000</v>
      </c>
    </row>
    <row r="3006" spans="1:11" x14ac:dyDescent="0.25">
      <c r="A3006">
        <v>128.98602571367999</v>
      </c>
      <c r="B3006">
        <v>124.65000597400601</v>
      </c>
      <c r="C3006">
        <v>2000</v>
      </c>
    </row>
    <row r="3007" spans="1:11" x14ac:dyDescent="0.25">
      <c r="A3007">
        <v>129.423041738129</v>
      </c>
      <c r="B3007">
        <v>124.212989949557</v>
      </c>
      <c r="C3007">
        <v>2001</v>
      </c>
    </row>
    <row r="3008" spans="1:11" x14ac:dyDescent="0.25">
      <c r="A3008">
        <v>142.41583531677401</v>
      </c>
      <c r="B3008">
        <v>137.20578352820201</v>
      </c>
      <c r="C3008">
        <v>2001</v>
      </c>
    </row>
    <row r="3009" spans="1:11" x14ac:dyDescent="0.25">
      <c r="A3009">
        <v>150</v>
      </c>
      <c r="B3009">
        <v>144.789948211428</v>
      </c>
      <c r="C3009">
        <v>2001</v>
      </c>
    </row>
    <row r="3010" spans="1:11" x14ac:dyDescent="0.25">
      <c r="A3010">
        <v>150</v>
      </c>
      <c r="B3010">
        <v>145.66398026032601</v>
      </c>
      <c r="C3010">
        <v>2000</v>
      </c>
    </row>
    <row r="3011" spans="1:11" x14ac:dyDescent="0.25">
      <c r="A3011" t="s">
        <v>84</v>
      </c>
    </row>
    <row r="3012" spans="1:11" x14ac:dyDescent="0.25">
      <c r="A3012">
        <v>1027</v>
      </c>
      <c r="B3012">
        <v>0</v>
      </c>
      <c r="C3012">
        <v>11.7583003131551</v>
      </c>
      <c r="D3012">
        <v>17.553091668981999</v>
      </c>
      <c r="E3012">
        <v>8</v>
      </c>
      <c r="F3012">
        <v>1.01722196789785</v>
      </c>
      <c r="G3012" t="s">
        <v>81</v>
      </c>
      <c r="H3012" t="s">
        <v>82</v>
      </c>
      <c r="I3012">
        <v>807</v>
      </c>
      <c r="J3012">
        <v>0</v>
      </c>
      <c r="K3012">
        <v>0.11163001737657099</v>
      </c>
    </row>
    <row r="3013" spans="1:11" x14ac:dyDescent="0.25">
      <c r="A3013" t="s">
        <v>83</v>
      </c>
    </row>
    <row r="3014" spans="1:11" x14ac:dyDescent="0.25">
      <c r="A3014">
        <v>137.426269290584</v>
      </c>
      <c r="B3014">
        <v>54.623218807555602</v>
      </c>
      <c r="C3014">
        <v>2000</v>
      </c>
    </row>
    <row r="3015" spans="1:11" x14ac:dyDescent="0.25">
      <c r="A3015">
        <v>133.021558495253</v>
      </c>
      <c r="B3015">
        <v>50.218508012224397</v>
      </c>
      <c r="C3015">
        <v>2000</v>
      </c>
    </row>
    <row r="3016" spans="1:11" x14ac:dyDescent="0.25">
      <c r="A3016">
        <v>129.055207951189</v>
      </c>
      <c r="B3016">
        <v>46.252157468160902</v>
      </c>
      <c r="C3016">
        <v>2000</v>
      </c>
    </row>
    <row r="3017" spans="1:11" x14ac:dyDescent="0.25">
      <c r="A3017">
        <v>129.49222397563801</v>
      </c>
      <c r="B3017">
        <v>45.815141443712001</v>
      </c>
      <c r="C3017">
        <v>2001</v>
      </c>
    </row>
    <row r="3018" spans="1:11" x14ac:dyDescent="0.25">
      <c r="A3018">
        <v>133.45857451970201</v>
      </c>
      <c r="B3018">
        <v>49.781491987775603</v>
      </c>
      <c r="C3018">
        <v>2001</v>
      </c>
    </row>
    <row r="3019" spans="1:11" x14ac:dyDescent="0.25">
      <c r="A3019">
        <v>137.749910409563</v>
      </c>
      <c r="B3019">
        <v>54.072827877637103</v>
      </c>
      <c r="C3019">
        <v>2001</v>
      </c>
    </row>
    <row r="3020" spans="1:11" x14ac:dyDescent="0.25">
      <c r="A3020">
        <v>150</v>
      </c>
      <c r="B3020">
        <v>66.322917468073797</v>
      </c>
      <c r="C3020">
        <v>2001</v>
      </c>
    </row>
    <row r="3021" spans="1:11" x14ac:dyDescent="0.25">
      <c r="A3021">
        <v>150</v>
      </c>
      <c r="B3021">
        <v>67.196949516971401</v>
      </c>
      <c r="C3021">
        <v>2000</v>
      </c>
    </row>
    <row r="3022" spans="1:11" x14ac:dyDescent="0.25">
      <c r="A3022" t="s">
        <v>84</v>
      </c>
    </row>
    <row r="3023" spans="1:11" x14ac:dyDescent="0.25">
      <c r="A3023">
        <v>356</v>
      </c>
      <c r="B3023">
        <v>0</v>
      </c>
      <c r="C3023">
        <v>15.4834226427385</v>
      </c>
      <c r="D3023">
        <v>13.8005539887899</v>
      </c>
      <c r="E3023">
        <v>6</v>
      </c>
      <c r="F3023">
        <v>1.01722196789785</v>
      </c>
      <c r="G3023" t="s">
        <v>81</v>
      </c>
      <c r="H3023" t="s">
        <v>81</v>
      </c>
      <c r="I3023">
        <v>925</v>
      </c>
      <c r="J3023">
        <v>343</v>
      </c>
      <c r="K3023">
        <v>0</v>
      </c>
    </row>
    <row r="3024" spans="1:11" x14ac:dyDescent="0.25">
      <c r="A3024" t="s">
        <v>83</v>
      </c>
    </row>
    <row r="3025" spans="1:11" x14ac:dyDescent="0.25">
      <c r="A3025">
        <v>66.470308978334003</v>
      </c>
      <c r="B3025">
        <v>123.979752339409</v>
      </c>
      <c r="C3025">
        <v>2000</v>
      </c>
    </row>
    <row r="3026" spans="1:11" x14ac:dyDescent="0.25">
      <c r="A3026">
        <v>55.521875831676297</v>
      </c>
      <c r="B3026">
        <v>113.031319192751</v>
      </c>
      <c r="C3026">
        <v>2000</v>
      </c>
    </row>
    <row r="3027" spans="1:11" x14ac:dyDescent="0.25">
      <c r="A3027">
        <v>55.958891856125099</v>
      </c>
      <c r="B3027">
        <v>112.59430316830201</v>
      </c>
      <c r="C3027">
        <v>2001</v>
      </c>
    </row>
    <row r="3028" spans="1:11" x14ac:dyDescent="0.25">
      <c r="A3028">
        <v>66.907325002782798</v>
      </c>
      <c r="B3028">
        <v>123.54273631496</v>
      </c>
      <c r="C3028">
        <v>2001</v>
      </c>
    </row>
    <row r="3029" spans="1:11" x14ac:dyDescent="0.25">
      <c r="A3029">
        <v>76.665790312387202</v>
      </c>
      <c r="B3029">
        <v>133.30120162456399</v>
      </c>
      <c r="C3029">
        <v>2001</v>
      </c>
    </row>
    <row r="3030" spans="1:11" x14ac:dyDescent="0.25">
      <c r="A3030">
        <v>76.228774287938407</v>
      </c>
      <c r="B3030">
        <v>133.738217649013</v>
      </c>
      <c r="C3030">
        <v>2000</v>
      </c>
    </row>
    <row r="3031" spans="1:11" x14ac:dyDescent="0.25">
      <c r="A3031" t="s">
        <v>84</v>
      </c>
    </row>
    <row r="3032" spans="1:11" x14ac:dyDescent="0.25">
      <c r="A3032">
        <v>265</v>
      </c>
      <c r="B3032">
        <v>0</v>
      </c>
      <c r="C3032">
        <v>25.174300490068099</v>
      </c>
      <c r="D3032">
        <v>3.9872717359560599</v>
      </c>
      <c r="E3032">
        <v>8</v>
      </c>
      <c r="F3032">
        <v>1.01722196789785</v>
      </c>
      <c r="G3032" t="s">
        <v>81</v>
      </c>
      <c r="H3032" t="s">
        <v>82</v>
      </c>
      <c r="I3032">
        <v>962</v>
      </c>
      <c r="J3032">
        <v>0</v>
      </c>
      <c r="K3032">
        <v>0</v>
      </c>
    </row>
    <row r="3033" spans="1:11" x14ac:dyDescent="0.25">
      <c r="A3033" t="s">
        <v>83</v>
      </c>
    </row>
    <row r="3034" spans="1:11" x14ac:dyDescent="0.25">
      <c r="A3034">
        <v>117.38287910495799</v>
      </c>
      <c r="B3034">
        <v>147.14945296144299</v>
      </c>
      <c r="C3034">
        <v>2000</v>
      </c>
    </row>
    <row r="3035" spans="1:11" x14ac:dyDescent="0.25">
      <c r="A3035">
        <v>100.21850801222401</v>
      </c>
      <c r="B3035">
        <v>129.98508186870899</v>
      </c>
      <c r="C3035">
        <v>2000</v>
      </c>
    </row>
    <row r="3036" spans="1:11" x14ac:dyDescent="0.25">
      <c r="A3036">
        <v>99.3945726602077</v>
      </c>
      <c r="B3036">
        <v>129.16114651669301</v>
      </c>
      <c r="C3036">
        <v>2000</v>
      </c>
    </row>
    <row r="3037" spans="1:11" x14ac:dyDescent="0.25">
      <c r="A3037">
        <v>98.957556635758806</v>
      </c>
      <c r="B3037">
        <v>129.59816254114099</v>
      </c>
      <c r="C3037">
        <v>2001</v>
      </c>
    </row>
    <row r="3038" spans="1:11" x14ac:dyDescent="0.25">
      <c r="A3038">
        <v>99.781491987775595</v>
      </c>
      <c r="B3038">
        <v>130.422097893158</v>
      </c>
      <c r="C3038">
        <v>2001</v>
      </c>
    </row>
    <row r="3039" spans="1:11" x14ac:dyDescent="0.25">
      <c r="A3039">
        <v>116.571087367318</v>
      </c>
      <c r="B3039">
        <v>147.21169327270101</v>
      </c>
      <c r="C3039">
        <v>2001</v>
      </c>
    </row>
    <row r="3040" spans="1:11" x14ac:dyDescent="0.25">
      <c r="A3040">
        <v>119.359394094617</v>
      </c>
      <c r="B3040">
        <v>150</v>
      </c>
      <c r="C3040">
        <v>2001</v>
      </c>
    </row>
    <row r="3041" spans="1:11" x14ac:dyDescent="0.25">
      <c r="A3041">
        <v>120.233426143515</v>
      </c>
      <c r="B3041">
        <v>150</v>
      </c>
      <c r="C3041">
        <v>2000</v>
      </c>
    </row>
    <row r="3042" spans="1:11" x14ac:dyDescent="0.25">
      <c r="A3042" t="s">
        <v>84</v>
      </c>
    </row>
    <row r="3043" spans="1:11" x14ac:dyDescent="0.25">
      <c r="A3043">
        <v>816</v>
      </c>
      <c r="B3043">
        <v>0</v>
      </c>
      <c r="C3043">
        <v>5.9951726667434002</v>
      </c>
      <c r="D3043">
        <v>23.0054437208968</v>
      </c>
      <c r="E3043">
        <v>6</v>
      </c>
      <c r="F3043">
        <v>1.01722196789785</v>
      </c>
      <c r="G3043" t="s">
        <v>81</v>
      </c>
      <c r="H3043" t="s">
        <v>82</v>
      </c>
      <c r="I3043">
        <v>266</v>
      </c>
      <c r="J3043">
        <v>0</v>
      </c>
      <c r="K3043">
        <v>0.102777870221907</v>
      </c>
    </row>
    <row r="3044" spans="1:11" x14ac:dyDescent="0.25">
      <c r="A3044" t="s">
        <v>83</v>
      </c>
    </row>
    <row r="3045" spans="1:11" x14ac:dyDescent="0.25">
      <c r="A3045">
        <v>133.55935794988201</v>
      </c>
      <c r="B3045">
        <v>114.18298903450101</v>
      </c>
      <c r="C3045">
        <v>2000</v>
      </c>
    </row>
    <row r="3046" spans="1:11" x14ac:dyDescent="0.25">
      <c r="A3046">
        <v>129.27495948148501</v>
      </c>
      <c r="B3046">
        <v>109.898590566105</v>
      </c>
      <c r="C3046">
        <v>2000</v>
      </c>
    </row>
    <row r="3047" spans="1:11" x14ac:dyDescent="0.25">
      <c r="A3047">
        <v>129.71197550593399</v>
      </c>
      <c r="B3047">
        <v>109.46157454165601</v>
      </c>
      <c r="C3047">
        <v>2001</v>
      </c>
    </row>
    <row r="3048" spans="1:11" x14ac:dyDescent="0.25">
      <c r="A3048">
        <v>133.90603153161501</v>
      </c>
      <c r="B3048">
        <v>113.655630567337</v>
      </c>
      <c r="C3048">
        <v>2001</v>
      </c>
    </row>
    <row r="3049" spans="1:11" x14ac:dyDescent="0.25">
      <c r="A3049">
        <v>150</v>
      </c>
      <c r="B3049">
        <v>129.74959903572201</v>
      </c>
      <c r="C3049">
        <v>2001</v>
      </c>
    </row>
    <row r="3050" spans="1:11" x14ac:dyDescent="0.25">
      <c r="A3050">
        <v>150</v>
      </c>
      <c r="B3050">
        <v>130.62363108461901</v>
      </c>
      <c r="C3050">
        <v>2000</v>
      </c>
    </row>
    <row r="3051" spans="1:11" x14ac:dyDescent="0.25">
      <c r="A3051" t="s">
        <v>84</v>
      </c>
    </row>
    <row r="3052" spans="1:11" x14ac:dyDescent="0.25">
      <c r="A3052">
        <v>796</v>
      </c>
      <c r="B3052">
        <v>0</v>
      </c>
      <c r="C3052">
        <v>15.542028136759299</v>
      </c>
      <c r="D3052">
        <v>13.4392372570659</v>
      </c>
      <c r="E3052">
        <v>6</v>
      </c>
      <c r="F3052">
        <v>1.01722196789785</v>
      </c>
      <c r="G3052" t="s">
        <v>81</v>
      </c>
      <c r="H3052" t="s">
        <v>82</v>
      </c>
      <c r="I3052">
        <v>260</v>
      </c>
      <c r="J3052">
        <v>0</v>
      </c>
      <c r="K3052">
        <v>0.10256144766988801</v>
      </c>
    </row>
    <row r="3053" spans="1:11" x14ac:dyDescent="0.25">
      <c r="A3053" t="s">
        <v>83</v>
      </c>
    </row>
    <row r="3054" spans="1:11" x14ac:dyDescent="0.25">
      <c r="A3054">
        <v>140.08096221528001</v>
      </c>
      <c r="B3054">
        <v>140.59835107527499</v>
      </c>
      <c r="C3054">
        <v>2000</v>
      </c>
    </row>
    <row r="3055" spans="1:11" x14ac:dyDescent="0.25">
      <c r="A3055">
        <v>129.208269864888</v>
      </c>
      <c r="B3055">
        <v>129.725658724884</v>
      </c>
      <c r="C3055">
        <v>2000</v>
      </c>
    </row>
    <row r="3056" spans="1:11" x14ac:dyDescent="0.25">
      <c r="A3056">
        <v>129.645285889337</v>
      </c>
      <c r="B3056">
        <v>129.28864270043499</v>
      </c>
      <c r="C3056">
        <v>2001</v>
      </c>
    </row>
    <row r="3057" spans="1:11" x14ac:dyDescent="0.25">
      <c r="A3057">
        <v>140.63515937823101</v>
      </c>
      <c r="B3057">
        <v>140.278516189329</v>
      </c>
      <c r="C3057">
        <v>2001</v>
      </c>
    </row>
    <row r="3058" spans="1:11" x14ac:dyDescent="0.25">
      <c r="A3058">
        <v>150.13813517667799</v>
      </c>
      <c r="B3058">
        <v>149.78149198777601</v>
      </c>
      <c r="C3058">
        <v>2001</v>
      </c>
    </row>
    <row r="3059" spans="1:11" x14ac:dyDescent="0.25">
      <c r="A3059">
        <v>149.482611140004</v>
      </c>
      <c r="B3059">
        <v>150</v>
      </c>
      <c r="C3059">
        <v>2000</v>
      </c>
    </row>
    <row r="3060" spans="1:11" x14ac:dyDescent="0.25">
      <c r="A3060" t="s">
        <v>84</v>
      </c>
    </row>
    <row r="3061" spans="1:11" x14ac:dyDescent="0.25">
      <c r="A3061">
        <v>425</v>
      </c>
      <c r="B3061">
        <v>0</v>
      </c>
      <c r="C3061">
        <v>16.486271560939802</v>
      </c>
      <c r="D3061">
        <v>12.4728414986886</v>
      </c>
      <c r="E3061">
        <v>6</v>
      </c>
      <c r="F3061">
        <v>1.01722196789785</v>
      </c>
      <c r="G3061" t="s">
        <v>82</v>
      </c>
      <c r="H3061" t="s">
        <v>82</v>
      </c>
      <c r="I3061">
        <v>0</v>
      </c>
      <c r="J3061">
        <v>0</v>
      </c>
      <c r="K3061">
        <v>0</v>
      </c>
    </row>
    <row r="3062" spans="1:11" x14ac:dyDescent="0.25">
      <c r="A3062" t="s">
        <v>83</v>
      </c>
    </row>
    <row r="3063" spans="1:11" x14ac:dyDescent="0.25">
      <c r="A3063">
        <v>11.9063453536279</v>
      </c>
      <c r="B3063">
        <v>140.99214410756801</v>
      </c>
      <c r="C3063">
        <v>2000</v>
      </c>
    </row>
    <row r="3064" spans="1:11" x14ac:dyDescent="0.25">
      <c r="A3064">
        <v>0</v>
      </c>
      <c r="B3064">
        <v>129.08579875394</v>
      </c>
      <c r="C3064">
        <v>2000</v>
      </c>
    </row>
    <row r="3065" spans="1:11" x14ac:dyDescent="0.25">
      <c r="A3065">
        <v>0</v>
      </c>
      <c r="B3065">
        <v>129.95983080283801</v>
      </c>
      <c r="C3065">
        <v>2001</v>
      </c>
    </row>
    <row r="3066" spans="1:11" x14ac:dyDescent="0.25">
      <c r="A3066">
        <v>11.408763480819101</v>
      </c>
      <c r="B3066">
        <v>141.36859428365699</v>
      </c>
      <c r="C3066">
        <v>2001</v>
      </c>
    </row>
    <row r="3067" spans="1:11" x14ac:dyDescent="0.25">
      <c r="A3067">
        <v>20.040169197162299</v>
      </c>
      <c r="B3067">
        <v>150</v>
      </c>
      <c r="C3067">
        <v>2001</v>
      </c>
    </row>
    <row r="3068" spans="1:11" x14ac:dyDescent="0.25">
      <c r="A3068">
        <v>20.914201246059999</v>
      </c>
      <c r="B3068">
        <v>150</v>
      </c>
      <c r="C3068">
        <v>2000</v>
      </c>
    </row>
    <row r="3069" spans="1:11" x14ac:dyDescent="0.25">
      <c r="A3069" t="s">
        <v>84</v>
      </c>
    </row>
    <row r="3070" spans="1:11" x14ac:dyDescent="0.25">
      <c r="A3070">
        <v>594</v>
      </c>
      <c r="B3070">
        <v>0</v>
      </c>
      <c r="C3070">
        <v>24.4843148598383</v>
      </c>
      <c r="D3070">
        <v>4.4438063326286699</v>
      </c>
      <c r="E3070">
        <v>8</v>
      </c>
      <c r="F3070">
        <v>1.01722196789785</v>
      </c>
      <c r="G3070" t="s">
        <v>81</v>
      </c>
      <c r="H3070" t="s">
        <v>81</v>
      </c>
      <c r="I3070">
        <v>678</v>
      </c>
      <c r="J3070">
        <v>845</v>
      </c>
      <c r="K3070">
        <v>0</v>
      </c>
    </row>
    <row r="3071" spans="1:11" x14ac:dyDescent="0.25">
      <c r="A3071" t="s">
        <v>83</v>
      </c>
    </row>
    <row r="3072" spans="1:11" x14ac:dyDescent="0.25">
      <c r="A3072">
        <v>113.809186672699</v>
      </c>
      <c r="B3072">
        <v>92.614782734133499</v>
      </c>
      <c r="C3072">
        <v>2000</v>
      </c>
    </row>
    <row r="3073" spans="1:11" x14ac:dyDescent="0.25">
      <c r="A3073">
        <v>100.21850801222401</v>
      </c>
      <c r="B3073">
        <v>79.024104073659402</v>
      </c>
      <c r="C3073">
        <v>2000</v>
      </c>
    </row>
    <row r="3074" spans="1:11" x14ac:dyDescent="0.25">
      <c r="A3074">
        <v>96.496161602600296</v>
      </c>
      <c r="B3074">
        <v>75.301757664035307</v>
      </c>
      <c r="C3074">
        <v>2000</v>
      </c>
    </row>
    <row r="3075" spans="1:11" x14ac:dyDescent="0.25">
      <c r="A3075">
        <v>96.059145578151501</v>
      </c>
      <c r="B3075">
        <v>75.738773688484102</v>
      </c>
      <c r="C3075">
        <v>2001</v>
      </c>
    </row>
    <row r="3076" spans="1:11" x14ac:dyDescent="0.25">
      <c r="A3076">
        <v>99.781491987775595</v>
      </c>
      <c r="B3076">
        <v>79.461120098108196</v>
      </c>
      <c r="C3076">
        <v>2001</v>
      </c>
    </row>
    <row r="3077" spans="1:11" x14ac:dyDescent="0.25">
      <c r="A3077">
        <v>113.37217064825001</v>
      </c>
      <c r="B3077">
        <v>93.051798758582294</v>
      </c>
      <c r="C3077">
        <v>2001</v>
      </c>
    </row>
    <row r="3078" spans="1:11" x14ac:dyDescent="0.25">
      <c r="A3078">
        <v>116.514416240331</v>
      </c>
      <c r="B3078">
        <v>96.194044350663802</v>
      </c>
      <c r="C3078">
        <v>2001</v>
      </c>
    </row>
    <row r="3079" spans="1:11" x14ac:dyDescent="0.25">
      <c r="A3079">
        <v>116.95143226478</v>
      </c>
      <c r="B3079">
        <v>95.757028326215007</v>
      </c>
      <c r="C3079">
        <v>2000</v>
      </c>
    </row>
    <row r="3080" spans="1:11" x14ac:dyDescent="0.25">
      <c r="A3080" t="s">
        <v>84</v>
      </c>
    </row>
    <row r="3081" spans="1:11" x14ac:dyDescent="0.25">
      <c r="A3081">
        <v>729</v>
      </c>
      <c r="B3081">
        <v>0</v>
      </c>
      <c r="C3081">
        <v>25.6892815417532</v>
      </c>
      <c r="D3081">
        <v>3.0000585498105199</v>
      </c>
      <c r="E3081">
        <v>8</v>
      </c>
      <c r="F3081">
        <v>1.01722196789785</v>
      </c>
      <c r="G3081" t="s">
        <v>81</v>
      </c>
      <c r="H3081" t="s">
        <v>81</v>
      </c>
      <c r="I3081">
        <v>968</v>
      </c>
      <c r="J3081">
        <v>809</v>
      </c>
      <c r="K3081">
        <v>9.9787223602304201E-2</v>
      </c>
    </row>
    <row r="3082" spans="1:11" x14ac:dyDescent="0.25">
      <c r="A3082" t="s">
        <v>83</v>
      </c>
    </row>
    <row r="3083" spans="1:11" x14ac:dyDescent="0.25">
      <c r="A3083">
        <v>82.371155005116705</v>
      </c>
      <c r="B3083">
        <v>104.981209056913</v>
      </c>
      <c r="C3083">
        <v>2000</v>
      </c>
    </row>
    <row r="3084" spans="1:11" x14ac:dyDescent="0.25">
      <c r="A3084">
        <v>77.171437935979</v>
      </c>
      <c r="B3084">
        <v>99.781491987775595</v>
      </c>
      <c r="C3084">
        <v>2000</v>
      </c>
    </row>
    <row r="3085" spans="1:11" x14ac:dyDescent="0.25">
      <c r="A3085">
        <v>64.206089823132601</v>
      </c>
      <c r="B3085">
        <v>86.816143874929196</v>
      </c>
      <c r="C3085">
        <v>2000</v>
      </c>
    </row>
    <row r="3086" spans="1:11" x14ac:dyDescent="0.25">
      <c r="A3086">
        <v>63.769073798683799</v>
      </c>
      <c r="B3086">
        <v>87.253159899378005</v>
      </c>
      <c r="C3086">
        <v>2001</v>
      </c>
    </row>
    <row r="3087" spans="1:11" x14ac:dyDescent="0.25">
      <c r="A3087">
        <v>76.734421911530205</v>
      </c>
      <c r="B3087">
        <v>100.21850801222401</v>
      </c>
      <c r="C3087">
        <v>2001</v>
      </c>
    </row>
    <row r="3088" spans="1:11" x14ac:dyDescent="0.25">
      <c r="A3088">
        <v>81.934138980667896</v>
      </c>
      <c r="B3088">
        <v>105.418225081362</v>
      </c>
      <c r="C3088">
        <v>2001</v>
      </c>
    </row>
    <row r="3089" spans="1:11" x14ac:dyDescent="0.25">
      <c r="A3089">
        <v>84.0555007251956</v>
      </c>
      <c r="B3089">
        <v>107.53958682589</v>
      </c>
      <c r="C3089">
        <v>2001</v>
      </c>
    </row>
    <row r="3090" spans="1:11" x14ac:dyDescent="0.25">
      <c r="A3090">
        <v>84.492516749644395</v>
      </c>
      <c r="B3090">
        <v>107.102570801441</v>
      </c>
      <c r="C3090">
        <v>2000</v>
      </c>
    </row>
    <row r="3091" spans="1:11" x14ac:dyDescent="0.25">
      <c r="A3091" t="s">
        <v>84</v>
      </c>
    </row>
    <row r="3092" spans="1:11" x14ac:dyDescent="0.25">
      <c r="A3092">
        <v>933</v>
      </c>
      <c r="B3092">
        <v>0</v>
      </c>
      <c r="C3092">
        <v>11.616492050859501</v>
      </c>
      <c r="D3092">
        <v>17.042989464279199</v>
      </c>
      <c r="E3092">
        <v>8</v>
      </c>
      <c r="F3092">
        <v>1.01722196789785</v>
      </c>
      <c r="G3092" t="s">
        <v>81</v>
      </c>
      <c r="H3092" t="s">
        <v>81</v>
      </c>
      <c r="I3092">
        <v>500</v>
      </c>
      <c r="J3092">
        <v>566</v>
      </c>
      <c r="K3092">
        <v>0.10580846500036099</v>
      </c>
    </row>
    <row r="3093" spans="1:11" x14ac:dyDescent="0.25">
      <c r="A3093" t="s">
        <v>83</v>
      </c>
    </row>
    <row r="3094" spans="1:11" x14ac:dyDescent="0.25">
      <c r="A3094">
        <v>131.59439802337599</v>
      </c>
      <c r="B3094">
        <v>54.130527522471198</v>
      </c>
      <c r="C3094">
        <v>2000</v>
      </c>
    </row>
    <row r="3095" spans="1:11" x14ac:dyDescent="0.25">
      <c r="A3095">
        <v>127.682378513129</v>
      </c>
      <c r="B3095">
        <v>50.218508012224397</v>
      </c>
      <c r="C3095">
        <v>2000</v>
      </c>
    </row>
    <row r="3096" spans="1:11" x14ac:dyDescent="0.25">
      <c r="A3096">
        <v>123.380297720614</v>
      </c>
      <c r="B3096">
        <v>45.916427219708801</v>
      </c>
      <c r="C3096">
        <v>2000</v>
      </c>
    </row>
    <row r="3097" spans="1:11" x14ac:dyDescent="0.25">
      <c r="A3097">
        <v>123.817313745063</v>
      </c>
      <c r="B3097">
        <v>45.479411195259999</v>
      </c>
      <c r="C3097">
        <v>2001</v>
      </c>
    </row>
    <row r="3098" spans="1:11" x14ac:dyDescent="0.25">
      <c r="A3098">
        <v>128.11939453757799</v>
      </c>
      <c r="B3098">
        <v>49.781491987775603</v>
      </c>
      <c r="C3098">
        <v>2001</v>
      </c>
    </row>
    <row r="3099" spans="1:11" x14ac:dyDescent="0.25">
      <c r="A3099">
        <v>132.031414047825</v>
      </c>
      <c r="B3099">
        <v>53.693511498022403</v>
      </c>
      <c r="C3099">
        <v>2001</v>
      </c>
    </row>
    <row r="3100" spans="1:11" x14ac:dyDescent="0.25">
      <c r="A3100">
        <v>144.082627469708</v>
      </c>
      <c r="B3100">
        <v>65.744724919905096</v>
      </c>
      <c r="C3100">
        <v>2001</v>
      </c>
    </row>
    <row r="3101" spans="1:11" x14ac:dyDescent="0.25">
      <c r="A3101">
        <v>143.64561144525899</v>
      </c>
      <c r="B3101">
        <v>66.181740944353905</v>
      </c>
      <c r="C3101">
        <v>2000</v>
      </c>
    </row>
    <row r="3102" spans="1:11" x14ac:dyDescent="0.25">
      <c r="A3102" t="s">
        <v>84</v>
      </c>
    </row>
    <row r="3103" spans="1:11" x14ac:dyDescent="0.25">
      <c r="A3103">
        <v>856</v>
      </c>
      <c r="B3103">
        <v>0</v>
      </c>
      <c r="C3103">
        <v>26.929293438946999</v>
      </c>
      <c r="D3103">
        <v>1.7244830392619701</v>
      </c>
      <c r="E3103">
        <v>6</v>
      </c>
      <c r="F3103">
        <v>1.01722196789785</v>
      </c>
      <c r="G3103" t="s">
        <v>81</v>
      </c>
      <c r="H3103" t="s">
        <v>82</v>
      </c>
      <c r="I3103">
        <v>250</v>
      </c>
      <c r="J3103">
        <v>0</v>
      </c>
      <c r="K3103">
        <v>0.103818452298958</v>
      </c>
    </row>
    <row r="3104" spans="1:11" x14ac:dyDescent="0.25">
      <c r="A3104" t="s">
        <v>83</v>
      </c>
    </row>
    <row r="3105" spans="1:11" x14ac:dyDescent="0.25">
      <c r="A3105">
        <v>148.79375691427899</v>
      </c>
      <c r="B3105">
        <v>134.68511461643999</v>
      </c>
      <c r="C3105">
        <v>2000</v>
      </c>
    </row>
    <row r="3106" spans="1:11" x14ac:dyDescent="0.25">
      <c r="A3106">
        <v>129.95722835787899</v>
      </c>
      <c r="B3106">
        <v>115.848586060041</v>
      </c>
      <c r="C3106">
        <v>2000</v>
      </c>
    </row>
    <row r="3107" spans="1:11" x14ac:dyDescent="0.25">
      <c r="A3107">
        <v>129.52021233343001</v>
      </c>
      <c r="B3107">
        <v>116.28560208448999</v>
      </c>
      <c r="C3107">
        <v>2001</v>
      </c>
    </row>
    <row r="3108" spans="1:11" x14ac:dyDescent="0.25">
      <c r="A3108">
        <v>148.76745578351401</v>
      </c>
      <c r="B3108">
        <v>135.53284553457399</v>
      </c>
      <c r="C3108">
        <v>2001</v>
      </c>
    </row>
    <row r="3109" spans="1:11" x14ac:dyDescent="0.25">
      <c r="A3109">
        <v>150</v>
      </c>
      <c r="B3109">
        <v>136.76538975105899</v>
      </c>
      <c r="C3109">
        <v>2001</v>
      </c>
    </row>
    <row r="3110" spans="1:11" x14ac:dyDescent="0.25">
      <c r="A3110">
        <v>150</v>
      </c>
      <c r="B3110">
        <v>135.891357702161</v>
      </c>
      <c r="C3110">
        <v>2000</v>
      </c>
    </row>
    <row r="3111" spans="1:11" x14ac:dyDescent="0.25">
      <c r="A3111" t="s">
        <v>84</v>
      </c>
    </row>
    <row r="3112" spans="1:11" x14ac:dyDescent="0.25">
      <c r="A3112">
        <v>882</v>
      </c>
      <c r="B3112">
        <v>0</v>
      </c>
      <c r="C3112">
        <v>3.5879953777809299</v>
      </c>
      <c r="D3112">
        <v>25.031526858819898</v>
      </c>
      <c r="E3112">
        <v>6</v>
      </c>
      <c r="F3112">
        <v>1.01722196789785</v>
      </c>
      <c r="G3112" t="s">
        <v>81</v>
      </c>
      <c r="H3112" t="s">
        <v>82</v>
      </c>
      <c r="I3112">
        <v>439</v>
      </c>
      <c r="J3112">
        <v>0</v>
      </c>
      <c r="K3112">
        <v>0.104401248428883</v>
      </c>
    </row>
    <row r="3113" spans="1:11" x14ac:dyDescent="0.25">
      <c r="A3113" t="s">
        <v>83</v>
      </c>
    </row>
    <row r="3114" spans="1:11" x14ac:dyDescent="0.25">
      <c r="A3114">
        <v>18.599835877569301</v>
      </c>
      <c r="B3114">
        <v>132.49115153794901</v>
      </c>
      <c r="C3114">
        <v>2000</v>
      </c>
    </row>
    <row r="3115" spans="1:11" x14ac:dyDescent="0.25">
      <c r="A3115">
        <v>16.090134104024902</v>
      </c>
      <c r="B3115">
        <v>129.981449764405</v>
      </c>
      <c r="C3115">
        <v>2000</v>
      </c>
    </row>
    <row r="3116" spans="1:11" x14ac:dyDescent="0.25">
      <c r="A3116">
        <v>16.5271501284737</v>
      </c>
      <c r="B3116">
        <v>129.54443373995599</v>
      </c>
      <c r="C3116">
        <v>2001</v>
      </c>
    </row>
    <row r="3117" spans="1:11" x14ac:dyDescent="0.25">
      <c r="A3117">
        <v>19.091640079919099</v>
      </c>
      <c r="B3117">
        <v>132.108923691401</v>
      </c>
      <c r="C3117">
        <v>2001</v>
      </c>
    </row>
    <row r="3118" spans="1:11" x14ac:dyDescent="0.25">
      <c r="A3118">
        <v>36.982716388517801</v>
      </c>
      <c r="B3118">
        <v>150</v>
      </c>
      <c r="C3118">
        <v>2001</v>
      </c>
    </row>
    <row r="3119" spans="1:11" x14ac:dyDescent="0.25">
      <c r="A3119">
        <v>36.108684339620098</v>
      </c>
      <c r="B3119">
        <v>150</v>
      </c>
      <c r="C3119">
        <v>2000</v>
      </c>
    </row>
    <row r="3120" spans="1:11" x14ac:dyDescent="0.25">
      <c r="A3120" t="s">
        <v>84</v>
      </c>
    </row>
    <row r="3121" spans="1:11" x14ac:dyDescent="0.25">
      <c r="A3121">
        <v>955</v>
      </c>
      <c r="B3121">
        <v>0</v>
      </c>
      <c r="C3121">
        <v>13.1456313289727</v>
      </c>
      <c r="D3121">
        <v>15.1971417758594</v>
      </c>
      <c r="E3121">
        <v>6</v>
      </c>
      <c r="F3121">
        <v>1.01722196789785</v>
      </c>
      <c r="G3121" t="s">
        <v>81</v>
      </c>
      <c r="H3121" t="s">
        <v>82</v>
      </c>
      <c r="I3121">
        <v>873</v>
      </c>
      <c r="J3121">
        <v>0</v>
      </c>
      <c r="K3121">
        <v>0.106893551284177</v>
      </c>
    </row>
    <row r="3122" spans="1:11" x14ac:dyDescent="0.25">
      <c r="A3122" t="s">
        <v>83</v>
      </c>
    </row>
    <row r="3123" spans="1:11" x14ac:dyDescent="0.25">
      <c r="A3123">
        <v>139.37116004003701</v>
      </c>
      <c r="B3123">
        <v>137.95080672547601</v>
      </c>
      <c r="C3123">
        <v>2000</v>
      </c>
    </row>
    <row r="3124" spans="1:11" x14ac:dyDescent="0.25">
      <c r="A3124">
        <v>130.17714095216601</v>
      </c>
      <c r="B3124">
        <v>128.75678763760499</v>
      </c>
      <c r="C3124">
        <v>2000</v>
      </c>
    </row>
    <row r="3125" spans="1:11" x14ac:dyDescent="0.25">
      <c r="A3125">
        <v>129.74012492771701</v>
      </c>
      <c r="B3125">
        <v>129.19380366205399</v>
      </c>
      <c r="C3125">
        <v>2001</v>
      </c>
    </row>
    <row r="3126" spans="1:11" x14ac:dyDescent="0.25">
      <c r="A3126">
        <v>139.13683595123601</v>
      </c>
      <c r="B3126">
        <v>138.590514685573</v>
      </c>
      <c r="C3126">
        <v>2001</v>
      </c>
    </row>
    <row r="3127" spans="1:11" x14ac:dyDescent="0.25">
      <c r="A3127">
        <v>150</v>
      </c>
      <c r="B3127">
        <v>149.45367873433699</v>
      </c>
      <c r="C3127">
        <v>2001</v>
      </c>
    </row>
    <row r="3128" spans="1:11" x14ac:dyDescent="0.25">
      <c r="A3128">
        <v>150</v>
      </c>
      <c r="B3128">
        <v>148.57964668544</v>
      </c>
      <c r="C3128">
        <v>2000</v>
      </c>
    </row>
    <row r="3129" spans="1:11" x14ac:dyDescent="0.25">
      <c r="A3129" t="s">
        <v>84</v>
      </c>
    </row>
    <row r="3130" spans="1:11" x14ac:dyDescent="0.25">
      <c r="A3130">
        <v>966</v>
      </c>
      <c r="B3130">
        <v>0</v>
      </c>
      <c r="C3130">
        <v>6.3322464671871899</v>
      </c>
      <c r="D3130">
        <v>21.969866248489701</v>
      </c>
      <c r="E3130">
        <v>6</v>
      </c>
      <c r="F3130">
        <v>1.01722196789785</v>
      </c>
      <c r="G3130" t="s">
        <v>81</v>
      </c>
      <c r="H3130" t="s">
        <v>82</v>
      </c>
      <c r="I3130">
        <v>266</v>
      </c>
      <c r="J3130">
        <v>0</v>
      </c>
      <c r="K3130">
        <v>0.107601745899833</v>
      </c>
    </row>
    <row r="3131" spans="1:11" x14ac:dyDescent="0.25">
      <c r="A3131" t="s">
        <v>83</v>
      </c>
    </row>
    <row r="3132" spans="1:11" x14ac:dyDescent="0.25">
      <c r="A3132">
        <v>134.29533903757499</v>
      </c>
      <c r="B3132">
        <v>113.931136755936</v>
      </c>
      <c r="C3132">
        <v>2000</v>
      </c>
    </row>
    <row r="3133" spans="1:11" x14ac:dyDescent="0.25">
      <c r="A3133">
        <v>129.768876164614</v>
      </c>
      <c r="B3133">
        <v>109.404673882976</v>
      </c>
      <c r="C3133">
        <v>2000</v>
      </c>
    </row>
    <row r="3134" spans="1:11" x14ac:dyDescent="0.25">
      <c r="A3134">
        <v>130.20589218906301</v>
      </c>
      <c r="B3134">
        <v>108.96765785852701</v>
      </c>
      <c r="C3134">
        <v>2001</v>
      </c>
    </row>
    <row r="3135" spans="1:11" x14ac:dyDescent="0.25">
      <c r="A3135">
        <v>134.63457815028801</v>
      </c>
      <c r="B3135">
        <v>113.396343819752</v>
      </c>
      <c r="C3135">
        <v>2001</v>
      </c>
    </row>
    <row r="3136" spans="1:11" x14ac:dyDescent="0.25">
      <c r="A3136">
        <v>150</v>
      </c>
      <c r="B3136">
        <v>128.76176566946401</v>
      </c>
      <c r="C3136">
        <v>2001</v>
      </c>
    </row>
    <row r="3137" spans="1:11" x14ac:dyDescent="0.25">
      <c r="A3137">
        <v>150</v>
      </c>
      <c r="B3137">
        <v>129.635797718361</v>
      </c>
      <c r="C3137">
        <v>2000</v>
      </c>
    </row>
    <row r="3138" spans="1:11" x14ac:dyDescent="0.25">
      <c r="A3138" t="s">
        <v>84</v>
      </c>
    </row>
    <row r="3139" spans="1:11" x14ac:dyDescent="0.25">
      <c r="A3139">
        <v>773</v>
      </c>
      <c r="B3139">
        <v>0</v>
      </c>
      <c r="C3139">
        <v>5.2566683006999604</v>
      </c>
      <c r="D3139">
        <v>22.9372804650917</v>
      </c>
      <c r="E3139">
        <v>6</v>
      </c>
      <c r="F3139">
        <v>1.01722196789785</v>
      </c>
      <c r="G3139" t="s">
        <v>82</v>
      </c>
      <c r="H3139" t="s">
        <v>81</v>
      </c>
      <c r="I3139">
        <v>0</v>
      </c>
      <c r="J3139">
        <v>843</v>
      </c>
      <c r="K3139">
        <v>0.101399532687084</v>
      </c>
    </row>
    <row r="3140" spans="1:11" x14ac:dyDescent="0.25">
      <c r="A3140" t="s">
        <v>83</v>
      </c>
    </row>
    <row r="3141" spans="1:11" x14ac:dyDescent="0.25">
      <c r="A3141">
        <v>3.7577658965244898</v>
      </c>
      <c r="B3141">
        <v>8.6135095938450501</v>
      </c>
      <c r="C3141">
        <v>2000</v>
      </c>
    </row>
    <row r="3142" spans="1:11" x14ac:dyDescent="0.25">
      <c r="A3142">
        <v>0</v>
      </c>
      <c r="B3142">
        <v>4.8557436973205599</v>
      </c>
      <c r="C3142">
        <v>2000</v>
      </c>
    </row>
    <row r="3143" spans="1:11" x14ac:dyDescent="0.25">
      <c r="A3143">
        <v>0</v>
      </c>
      <c r="B3143">
        <v>5.7297757462182002</v>
      </c>
      <c r="C3143">
        <v>2001</v>
      </c>
    </row>
    <row r="3144" spans="1:11" x14ac:dyDescent="0.25">
      <c r="A3144">
        <v>3.67628570722212</v>
      </c>
      <c r="B3144">
        <v>9.4060614534403193</v>
      </c>
      <c r="C3144">
        <v>2001</v>
      </c>
    </row>
    <row r="3145" spans="1:11" x14ac:dyDescent="0.25">
      <c r="A3145">
        <v>19.717624348493</v>
      </c>
      <c r="B3145">
        <v>25.447400094711199</v>
      </c>
      <c r="C3145">
        <v>2001</v>
      </c>
    </row>
    <row r="3146" spans="1:11" x14ac:dyDescent="0.25">
      <c r="A3146">
        <v>20.154640372941799</v>
      </c>
      <c r="B3146">
        <v>25.010384070262301</v>
      </c>
      <c r="C3146">
        <v>2000</v>
      </c>
    </row>
    <row r="3147" spans="1:11" x14ac:dyDescent="0.25">
      <c r="A3147" t="s">
        <v>84</v>
      </c>
    </row>
    <row r="3148" spans="1:11" x14ac:dyDescent="0.25">
      <c r="A3148">
        <v>759</v>
      </c>
      <c r="B3148">
        <v>0</v>
      </c>
      <c r="C3148">
        <v>22.712121424674599</v>
      </c>
      <c r="D3148">
        <v>5.45613363394932</v>
      </c>
      <c r="E3148">
        <v>8</v>
      </c>
      <c r="F3148">
        <v>1.01722196789785</v>
      </c>
      <c r="G3148" t="s">
        <v>81</v>
      </c>
      <c r="H3148" t="s">
        <v>81</v>
      </c>
      <c r="I3148">
        <v>961</v>
      </c>
      <c r="J3148">
        <v>182</v>
      </c>
      <c r="K3148">
        <v>0.101899323518764</v>
      </c>
    </row>
    <row r="3149" spans="1:11" x14ac:dyDescent="0.25">
      <c r="A3149" t="s">
        <v>83</v>
      </c>
    </row>
    <row r="3150" spans="1:11" x14ac:dyDescent="0.25">
      <c r="A3150">
        <v>62.954325611211701</v>
      </c>
      <c r="B3150">
        <v>37.633167500441303</v>
      </c>
      <c r="C3150">
        <v>2000</v>
      </c>
    </row>
    <row r="3151" spans="1:11" x14ac:dyDescent="0.25">
      <c r="A3151">
        <v>50.218508012224397</v>
      </c>
      <c r="B3151">
        <v>24.897349901454</v>
      </c>
      <c r="C3151">
        <v>2000</v>
      </c>
    </row>
    <row r="3152" spans="1:11" x14ac:dyDescent="0.25">
      <c r="A3152">
        <v>46.894430536691999</v>
      </c>
      <c r="B3152">
        <v>21.573272425921701</v>
      </c>
      <c r="C3152">
        <v>2000</v>
      </c>
    </row>
    <row r="3153" spans="1:11" x14ac:dyDescent="0.25">
      <c r="A3153">
        <v>46.457414512243197</v>
      </c>
      <c r="B3153">
        <v>22.010288450370499</v>
      </c>
      <c r="C3153">
        <v>2001</v>
      </c>
    </row>
    <row r="3154" spans="1:11" x14ac:dyDescent="0.25">
      <c r="A3154">
        <v>49.781491987775603</v>
      </c>
      <c r="B3154">
        <v>25.334365925902901</v>
      </c>
      <c r="C3154">
        <v>2001</v>
      </c>
    </row>
    <row r="3155" spans="1:11" x14ac:dyDescent="0.25">
      <c r="A3155">
        <v>62.517309586762899</v>
      </c>
      <c r="B3155">
        <v>38.070183524890098</v>
      </c>
      <c r="C3155">
        <v>2001</v>
      </c>
    </row>
    <row r="3156" spans="1:11" x14ac:dyDescent="0.25">
      <c r="A3156">
        <v>66.375378678388401</v>
      </c>
      <c r="B3156">
        <v>41.928252616515699</v>
      </c>
      <c r="C3156">
        <v>2001</v>
      </c>
    </row>
    <row r="3157" spans="1:11" x14ac:dyDescent="0.25">
      <c r="A3157">
        <v>66.812394702837295</v>
      </c>
      <c r="B3157">
        <v>41.491236592066898</v>
      </c>
      <c r="C3157">
        <v>2000</v>
      </c>
    </row>
    <row r="3158" spans="1:11" x14ac:dyDescent="0.25">
      <c r="A3158" t="s">
        <v>84</v>
      </c>
    </row>
    <row r="3159" spans="1:11" x14ac:dyDescent="0.25">
      <c r="A3159">
        <v>1002</v>
      </c>
      <c r="B3159">
        <v>0</v>
      </c>
      <c r="C3159">
        <v>9.3025766448576199</v>
      </c>
      <c r="D3159">
        <v>18.788140857079402</v>
      </c>
      <c r="E3159">
        <v>6</v>
      </c>
      <c r="F3159">
        <v>1.01722196789785</v>
      </c>
      <c r="G3159" t="s">
        <v>81</v>
      </c>
      <c r="H3159" t="s">
        <v>82</v>
      </c>
      <c r="I3159">
        <v>428</v>
      </c>
      <c r="J3159">
        <v>0</v>
      </c>
      <c r="K3159">
        <v>0.110344960576942</v>
      </c>
    </row>
    <row r="3160" spans="1:11" x14ac:dyDescent="0.25">
      <c r="A3160" t="s">
        <v>83</v>
      </c>
    </row>
    <row r="3161" spans="1:11" x14ac:dyDescent="0.25">
      <c r="A3161">
        <v>58.280906144765503</v>
      </c>
      <c r="B3161">
        <v>136.568631720177</v>
      </c>
      <c r="C3161">
        <v>2000</v>
      </c>
    </row>
    <row r="3162" spans="1:11" x14ac:dyDescent="0.25">
      <c r="A3162">
        <v>51.630629578349101</v>
      </c>
      <c r="B3162">
        <v>129.91835515375999</v>
      </c>
      <c r="C3162">
        <v>2000</v>
      </c>
    </row>
    <row r="3163" spans="1:11" x14ac:dyDescent="0.25">
      <c r="A3163">
        <v>51.193613553900299</v>
      </c>
      <c r="B3163">
        <v>130.355371178209</v>
      </c>
      <c r="C3163">
        <v>2001</v>
      </c>
    </row>
    <row r="3164" spans="1:11" x14ac:dyDescent="0.25">
      <c r="A3164">
        <v>57.6991670436568</v>
      </c>
      <c r="B3164">
        <v>136.860924667966</v>
      </c>
      <c r="C3164">
        <v>2001</v>
      </c>
    </row>
    <row r="3165" spans="1:11" x14ac:dyDescent="0.25">
      <c r="A3165">
        <v>70.838242375691195</v>
      </c>
      <c r="B3165">
        <v>150</v>
      </c>
      <c r="C3165">
        <v>2001</v>
      </c>
    </row>
    <row r="3166" spans="1:11" x14ac:dyDescent="0.25">
      <c r="A3166">
        <v>71.712274424588799</v>
      </c>
      <c r="B3166">
        <v>150</v>
      </c>
      <c r="C3166">
        <v>2000</v>
      </c>
    </row>
    <row r="3167" spans="1:11" x14ac:dyDescent="0.25">
      <c r="A3167" t="s">
        <v>84</v>
      </c>
    </row>
    <row r="3168" spans="1:11" x14ac:dyDescent="0.25">
      <c r="A3168">
        <v>869</v>
      </c>
      <c r="B3168">
        <v>0</v>
      </c>
      <c r="C3168">
        <v>15.4494218549414</v>
      </c>
      <c r="D3168">
        <v>12.5612288730493</v>
      </c>
      <c r="E3168">
        <v>6</v>
      </c>
      <c r="F3168">
        <v>1.01722196789785</v>
      </c>
      <c r="G3168" t="s">
        <v>81</v>
      </c>
      <c r="H3168" t="s">
        <v>82</v>
      </c>
      <c r="I3168">
        <v>905</v>
      </c>
      <c r="J3168">
        <v>0</v>
      </c>
      <c r="K3168">
        <v>0.104016298956218</v>
      </c>
    </row>
    <row r="3169" spans="1:11" x14ac:dyDescent="0.25">
      <c r="A3169" t="s">
        <v>83</v>
      </c>
    </row>
    <row r="3170" spans="1:11" x14ac:dyDescent="0.25">
      <c r="A3170">
        <v>63.596098147896797</v>
      </c>
      <c r="B3170">
        <v>141.215858651703</v>
      </c>
      <c r="C3170">
        <v>2000</v>
      </c>
    </row>
    <row r="3171" spans="1:11" x14ac:dyDescent="0.25">
      <c r="A3171">
        <v>52.792226433207901</v>
      </c>
      <c r="B3171">
        <v>130.41198693701401</v>
      </c>
      <c r="C3171">
        <v>2000</v>
      </c>
    </row>
    <row r="3172" spans="1:11" x14ac:dyDescent="0.25">
      <c r="A3172">
        <v>53.229242457656703</v>
      </c>
      <c r="B3172">
        <v>129.974970912565</v>
      </c>
      <c r="C3172">
        <v>2001</v>
      </c>
    </row>
    <row r="3173" spans="1:11" x14ac:dyDescent="0.25">
      <c r="A3173">
        <v>64.2741526610492</v>
      </c>
      <c r="B3173">
        <v>141.01988111595799</v>
      </c>
      <c r="C3173">
        <v>2001</v>
      </c>
    </row>
    <row r="3174" spans="1:11" x14ac:dyDescent="0.25">
      <c r="A3174">
        <v>73.2542715450912</v>
      </c>
      <c r="B3174">
        <v>150</v>
      </c>
      <c r="C3174">
        <v>2001</v>
      </c>
    </row>
    <row r="3175" spans="1:11" x14ac:dyDescent="0.25">
      <c r="A3175">
        <v>72.380239496193596</v>
      </c>
      <c r="B3175">
        <v>150</v>
      </c>
      <c r="C3175">
        <v>2000</v>
      </c>
    </row>
    <row r="3176" spans="1:11" x14ac:dyDescent="0.25">
      <c r="A3176" t="s">
        <v>84</v>
      </c>
    </row>
    <row r="3177" spans="1:11" x14ac:dyDescent="0.25">
      <c r="A3177">
        <v>752</v>
      </c>
      <c r="B3177">
        <v>0</v>
      </c>
      <c r="C3177">
        <v>1.4017460866467799</v>
      </c>
      <c r="D3177">
        <v>26.277260091919999</v>
      </c>
      <c r="E3177">
        <v>6</v>
      </c>
      <c r="F3177">
        <v>1.01722196789785</v>
      </c>
      <c r="G3177" t="s">
        <v>81</v>
      </c>
      <c r="H3177" t="s">
        <v>81</v>
      </c>
      <c r="I3177">
        <v>812</v>
      </c>
      <c r="J3177">
        <v>979</v>
      </c>
      <c r="K3177">
        <v>0.102125662797643</v>
      </c>
    </row>
    <row r="3178" spans="1:11" x14ac:dyDescent="0.25">
      <c r="A3178" t="s">
        <v>83</v>
      </c>
    </row>
    <row r="3179" spans="1:11" x14ac:dyDescent="0.25">
      <c r="A3179">
        <v>54.054611104570398</v>
      </c>
      <c r="B3179">
        <v>53.601960307728703</v>
      </c>
      <c r="C3179">
        <v>2000</v>
      </c>
    </row>
    <row r="3180" spans="1:11" x14ac:dyDescent="0.25">
      <c r="A3180">
        <v>53.063426941200802</v>
      </c>
      <c r="B3180">
        <v>52.610776144359001</v>
      </c>
      <c r="C3180">
        <v>2000</v>
      </c>
    </row>
    <row r="3181" spans="1:11" x14ac:dyDescent="0.25">
      <c r="A3181">
        <v>53.500442965649597</v>
      </c>
      <c r="B3181">
        <v>52.173760119910199</v>
      </c>
      <c r="C3181">
        <v>2001</v>
      </c>
    </row>
    <row r="3182" spans="1:11" x14ac:dyDescent="0.25">
      <c r="A3182">
        <v>54.4916271290193</v>
      </c>
      <c r="B3182">
        <v>53.164944283279901</v>
      </c>
      <c r="C3182">
        <v>2001</v>
      </c>
    </row>
    <row r="3183" spans="1:11" x14ac:dyDescent="0.25">
      <c r="A3183">
        <v>73.072455931018496</v>
      </c>
      <c r="B3183">
        <v>71.745773085279097</v>
      </c>
      <c r="C3183">
        <v>2001</v>
      </c>
    </row>
    <row r="3184" spans="1:11" x14ac:dyDescent="0.25">
      <c r="A3184">
        <v>72.635439906569701</v>
      </c>
      <c r="B3184">
        <v>72.182789109727906</v>
      </c>
      <c r="C3184">
        <v>2000</v>
      </c>
    </row>
    <row r="3185" spans="1:11" x14ac:dyDescent="0.25">
      <c r="A3185" t="s">
        <v>84</v>
      </c>
    </row>
    <row r="3186" spans="1:11" x14ac:dyDescent="0.25">
      <c r="A3186">
        <v>21</v>
      </c>
      <c r="B3186">
        <v>0</v>
      </c>
      <c r="C3186">
        <v>27.510844502520101</v>
      </c>
      <c r="D3186">
        <v>5.34286379198292E-2</v>
      </c>
      <c r="E3186">
        <v>6</v>
      </c>
      <c r="F3186">
        <v>1.01722196789785</v>
      </c>
      <c r="G3186" t="s">
        <v>81</v>
      </c>
      <c r="H3186" t="s">
        <v>81</v>
      </c>
      <c r="I3186">
        <v>29</v>
      </c>
      <c r="J3186">
        <v>959</v>
      </c>
      <c r="K3186">
        <v>0</v>
      </c>
    </row>
    <row r="3187" spans="1:11" x14ac:dyDescent="0.25">
      <c r="A3187" t="s">
        <v>83</v>
      </c>
    </row>
    <row r="3188" spans="1:11" x14ac:dyDescent="0.25">
      <c r="A3188">
        <v>27.756758089999799</v>
      </c>
      <c r="B3188">
        <v>42.358322558155599</v>
      </c>
      <c r="C3188">
        <v>2000</v>
      </c>
    </row>
    <row r="3189" spans="1:11" x14ac:dyDescent="0.25">
      <c r="A3189">
        <v>8.3036533860992492</v>
      </c>
      <c r="B3189">
        <v>22.905217854255</v>
      </c>
      <c r="C3189">
        <v>2000</v>
      </c>
    </row>
    <row r="3190" spans="1:11" x14ac:dyDescent="0.25">
      <c r="A3190">
        <v>8.7406694105480707</v>
      </c>
      <c r="B3190">
        <v>22.468201829806201</v>
      </c>
      <c r="C3190">
        <v>2001</v>
      </c>
    </row>
    <row r="3191" spans="1:11" x14ac:dyDescent="0.25">
      <c r="A3191">
        <v>28.193774114448701</v>
      </c>
      <c r="B3191">
        <v>41.921306533706797</v>
      </c>
      <c r="C3191">
        <v>2001</v>
      </c>
    </row>
    <row r="3192" spans="1:11" x14ac:dyDescent="0.25">
      <c r="A3192">
        <v>28.231553866631302</v>
      </c>
      <c r="B3192">
        <v>41.959086285889498</v>
      </c>
      <c r="C3192">
        <v>2001</v>
      </c>
    </row>
    <row r="3193" spans="1:11" x14ac:dyDescent="0.25">
      <c r="A3193">
        <v>27.7945378421825</v>
      </c>
      <c r="B3193">
        <v>42.3961023103383</v>
      </c>
      <c r="C3193">
        <v>2000</v>
      </c>
    </row>
    <row r="3194" spans="1:11" x14ac:dyDescent="0.25">
      <c r="A3194" t="s">
        <v>84</v>
      </c>
    </row>
    <row r="3195" spans="1:11" x14ac:dyDescent="0.25">
      <c r="A3195">
        <v>1031</v>
      </c>
      <c r="B3195">
        <v>0</v>
      </c>
      <c r="C3195">
        <v>26.518011665831899</v>
      </c>
      <c r="D3195">
        <v>0.91635939846500503</v>
      </c>
      <c r="E3195">
        <v>6</v>
      </c>
      <c r="F3195">
        <v>1.01722196789785</v>
      </c>
      <c r="G3195" t="s">
        <v>82</v>
      </c>
      <c r="H3195" t="s">
        <v>82</v>
      </c>
      <c r="I3195">
        <v>0</v>
      </c>
      <c r="J3195">
        <v>0</v>
      </c>
      <c r="K3195">
        <v>0.112439294493513</v>
      </c>
    </row>
    <row r="3196" spans="1:11" x14ac:dyDescent="0.25">
      <c r="A3196" t="s">
        <v>83</v>
      </c>
    </row>
    <row r="3197" spans="1:11" x14ac:dyDescent="0.25">
      <c r="A3197">
        <v>19.173484742870901</v>
      </c>
      <c r="B3197">
        <v>149.33743890126999</v>
      </c>
      <c r="C3197">
        <v>2000</v>
      </c>
    </row>
    <row r="3198" spans="1:11" x14ac:dyDescent="0.25">
      <c r="A3198">
        <v>0</v>
      </c>
      <c r="B3198">
        <v>130.16395415839901</v>
      </c>
      <c r="C3198">
        <v>2000</v>
      </c>
    </row>
    <row r="3199" spans="1:11" x14ac:dyDescent="0.25">
      <c r="A3199">
        <v>0</v>
      </c>
      <c r="B3199">
        <v>131.037986207297</v>
      </c>
      <c r="C3199">
        <v>2001</v>
      </c>
    </row>
    <row r="3200" spans="1:11" x14ac:dyDescent="0.25">
      <c r="A3200">
        <v>18.328647002116501</v>
      </c>
      <c r="B3200">
        <v>149.36663320941301</v>
      </c>
      <c r="C3200">
        <v>2001</v>
      </c>
    </row>
    <row r="3201" spans="1:11" x14ac:dyDescent="0.25">
      <c r="A3201">
        <v>18.962013792703502</v>
      </c>
      <c r="B3201">
        <v>150</v>
      </c>
      <c r="C3201">
        <v>2001</v>
      </c>
    </row>
    <row r="3202" spans="1:11" x14ac:dyDescent="0.25">
      <c r="A3202">
        <v>19.836045841601202</v>
      </c>
      <c r="B3202">
        <v>150</v>
      </c>
      <c r="C3202">
        <v>2000</v>
      </c>
    </row>
    <row r="3203" spans="1:11" x14ac:dyDescent="0.25">
      <c r="A3203" t="s">
        <v>84</v>
      </c>
    </row>
    <row r="3204" spans="1:11" x14ac:dyDescent="0.25">
      <c r="A3204">
        <v>33</v>
      </c>
      <c r="B3204">
        <v>0</v>
      </c>
      <c r="C3204">
        <v>14.866151971782701</v>
      </c>
      <c r="D3204">
        <v>12.529235779235201</v>
      </c>
      <c r="E3204">
        <v>6</v>
      </c>
      <c r="F3204">
        <v>1.01722196789785</v>
      </c>
      <c r="G3204" t="s">
        <v>82</v>
      </c>
      <c r="H3204" t="s">
        <v>81</v>
      </c>
      <c r="I3204">
        <v>0</v>
      </c>
      <c r="J3204">
        <v>843</v>
      </c>
      <c r="K3204">
        <v>0</v>
      </c>
    </row>
    <row r="3205" spans="1:11" x14ac:dyDescent="0.25">
      <c r="A3205" t="s">
        <v>83</v>
      </c>
    </row>
    <row r="3206" spans="1:11" x14ac:dyDescent="0.25">
      <c r="A3206">
        <v>10.393383139165699</v>
      </c>
      <c r="B3206">
        <v>17.252494702859401</v>
      </c>
      <c r="C3206">
        <v>2000</v>
      </c>
    </row>
    <row r="3207" spans="1:11" x14ac:dyDescent="0.25">
      <c r="A3207">
        <v>0</v>
      </c>
      <c r="B3207">
        <v>6.8591115636937099</v>
      </c>
      <c r="C3207">
        <v>2000</v>
      </c>
    </row>
    <row r="3208" spans="1:11" x14ac:dyDescent="0.25">
      <c r="A3208">
        <v>0</v>
      </c>
      <c r="B3208">
        <v>5.9850795147960696</v>
      </c>
      <c r="C3208">
        <v>2001</v>
      </c>
    </row>
    <row r="3209" spans="1:11" x14ac:dyDescent="0.25">
      <c r="A3209">
        <v>10.6305305996289</v>
      </c>
      <c r="B3209">
        <v>16.615610114424999</v>
      </c>
      <c r="C3209">
        <v>2001</v>
      </c>
    </row>
    <row r="3210" spans="1:11" x14ac:dyDescent="0.25">
      <c r="A3210">
        <v>19.589972464203999</v>
      </c>
      <c r="B3210">
        <v>25.575051979000101</v>
      </c>
      <c r="C3210">
        <v>2001</v>
      </c>
    </row>
    <row r="3211" spans="1:11" x14ac:dyDescent="0.25">
      <c r="A3211">
        <v>19.152956439755201</v>
      </c>
      <c r="B3211">
        <v>26.012068003448899</v>
      </c>
      <c r="C3211">
        <v>2000</v>
      </c>
    </row>
    <row r="3212" spans="1:11" x14ac:dyDescent="0.25">
      <c r="A3212" t="s">
        <v>84</v>
      </c>
    </row>
    <row r="3213" spans="1:11" x14ac:dyDescent="0.25">
      <c r="A3213">
        <v>895</v>
      </c>
      <c r="B3213">
        <v>0</v>
      </c>
      <c r="C3213">
        <v>16.1061788673276</v>
      </c>
      <c r="D3213">
        <v>11.127246922802399</v>
      </c>
      <c r="E3213">
        <v>6</v>
      </c>
      <c r="F3213">
        <v>1.01722196789785</v>
      </c>
      <c r="G3213" t="s">
        <v>82</v>
      </c>
      <c r="H3213" t="s">
        <v>81</v>
      </c>
      <c r="I3213">
        <v>0</v>
      </c>
      <c r="J3213">
        <v>723</v>
      </c>
      <c r="K3213">
        <v>0.104772231836848</v>
      </c>
    </row>
    <row r="3214" spans="1:11" x14ac:dyDescent="0.25">
      <c r="A3214" t="s">
        <v>83</v>
      </c>
    </row>
    <row r="3215" spans="1:11" x14ac:dyDescent="0.25">
      <c r="A3215">
        <v>123.662703027289</v>
      </c>
      <c r="B3215">
        <v>11.259560003038301</v>
      </c>
      <c r="C3215">
        <v>2000</v>
      </c>
    </row>
    <row r="3216" spans="1:11" x14ac:dyDescent="0.25">
      <c r="A3216">
        <v>112.40314302425099</v>
      </c>
      <c r="B3216">
        <v>0</v>
      </c>
      <c r="C3216">
        <v>2000</v>
      </c>
    </row>
    <row r="3217" spans="1:11" x14ac:dyDescent="0.25">
      <c r="A3217">
        <v>111.52911097535301</v>
      </c>
      <c r="B3217">
        <v>0</v>
      </c>
      <c r="C3217">
        <v>2001</v>
      </c>
    </row>
    <row r="3218" spans="1:11" x14ac:dyDescent="0.25">
      <c r="A3218">
        <v>123.04712756449599</v>
      </c>
      <c r="B3218">
        <v>11.518016589143301</v>
      </c>
      <c r="C3218">
        <v>2001</v>
      </c>
    </row>
    <row r="3219" spans="1:11" x14ac:dyDescent="0.25">
      <c r="A3219">
        <v>131.00455903871901</v>
      </c>
      <c r="B3219">
        <v>19.475448063365899</v>
      </c>
      <c r="C3219">
        <v>2001</v>
      </c>
    </row>
    <row r="3220" spans="1:11" x14ac:dyDescent="0.25">
      <c r="A3220">
        <v>131.44157506316799</v>
      </c>
      <c r="B3220">
        <v>19.038432038917101</v>
      </c>
      <c r="C3220">
        <v>2000</v>
      </c>
    </row>
    <row r="3221" spans="1:11" x14ac:dyDescent="0.25">
      <c r="A3221" t="s">
        <v>84</v>
      </c>
    </row>
    <row r="3222" spans="1:11" x14ac:dyDescent="0.25">
      <c r="A3222">
        <v>908</v>
      </c>
      <c r="B3222">
        <v>0</v>
      </c>
      <c r="C3222">
        <v>7.6182425261228204</v>
      </c>
      <c r="D3222">
        <v>19.443553333295299</v>
      </c>
      <c r="E3222">
        <v>8</v>
      </c>
      <c r="F3222">
        <v>1.01722196789785</v>
      </c>
      <c r="G3222" t="s">
        <v>82</v>
      </c>
      <c r="H3222" t="s">
        <v>81</v>
      </c>
      <c r="I3222">
        <v>0</v>
      </c>
      <c r="J3222">
        <v>860</v>
      </c>
      <c r="K3222">
        <v>0.105129910972954</v>
      </c>
    </row>
    <row r="3223" spans="1:11" x14ac:dyDescent="0.25">
      <c r="A3223" t="s">
        <v>83</v>
      </c>
    </row>
    <row r="3224" spans="1:11" x14ac:dyDescent="0.25">
      <c r="A3224">
        <v>47.654193778774797</v>
      </c>
      <c r="B3224">
        <v>5.5448319168825204</v>
      </c>
      <c r="C3224">
        <v>2000</v>
      </c>
    </row>
    <row r="3225" spans="1:11" x14ac:dyDescent="0.25">
      <c r="A3225">
        <v>42.109361861892303</v>
      </c>
      <c r="B3225">
        <v>0</v>
      </c>
      <c r="C3225">
        <v>2000</v>
      </c>
    </row>
    <row r="3226" spans="1:11" x14ac:dyDescent="0.25">
      <c r="A3226">
        <v>42.9833939107899</v>
      </c>
      <c r="B3226">
        <v>0</v>
      </c>
      <c r="C3226">
        <v>2001</v>
      </c>
    </row>
    <row r="3227" spans="1:11" x14ac:dyDescent="0.25">
      <c r="A3227">
        <v>48.212383895797799</v>
      </c>
      <c r="B3227">
        <v>5.2289899850078401</v>
      </c>
      <c r="C3227">
        <v>2001</v>
      </c>
    </row>
    <row r="3228" spans="1:11" x14ac:dyDescent="0.25">
      <c r="A3228">
        <v>50.218508012224397</v>
      </c>
      <c r="B3228">
        <v>7.2351141014344602</v>
      </c>
      <c r="C3228">
        <v>2001</v>
      </c>
    </row>
    <row r="3229" spans="1:11" x14ac:dyDescent="0.25">
      <c r="A3229">
        <v>61.9004652618462</v>
      </c>
      <c r="B3229">
        <v>18.917071351056201</v>
      </c>
      <c r="C3229">
        <v>2001</v>
      </c>
    </row>
    <row r="3230" spans="1:11" x14ac:dyDescent="0.25">
      <c r="A3230">
        <v>61.463449237397299</v>
      </c>
      <c r="B3230">
        <v>19.354087375504999</v>
      </c>
      <c r="C3230">
        <v>2000</v>
      </c>
    </row>
    <row r="3231" spans="1:11" x14ac:dyDescent="0.25">
      <c r="A3231">
        <v>49.781491987775603</v>
      </c>
      <c r="B3231">
        <v>7.6721301258832799</v>
      </c>
      <c r="C3231">
        <v>2000</v>
      </c>
    </row>
    <row r="3232" spans="1:11" x14ac:dyDescent="0.25">
      <c r="A3232" t="s">
        <v>84</v>
      </c>
    </row>
    <row r="3233" spans="1:11" x14ac:dyDescent="0.25">
      <c r="A3233">
        <v>992</v>
      </c>
      <c r="B3233">
        <v>0</v>
      </c>
      <c r="C3233">
        <v>2.86618240731997</v>
      </c>
      <c r="D3233">
        <v>24.140700597421102</v>
      </c>
      <c r="E3233">
        <v>6</v>
      </c>
      <c r="F3233">
        <v>1.01722196789785</v>
      </c>
      <c r="G3233" t="s">
        <v>81</v>
      </c>
      <c r="H3233" t="s">
        <v>82</v>
      </c>
      <c r="I3233">
        <v>242</v>
      </c>
      <c r="J3233">
        <v>0</v>
      </c>
      <c r="K3233">
        <v>0.109122807429766</v>
      </c>
    </row>
    <row r="3234" spans="1:11" x14ac:dyDescent="0.25">
      <c r="A3234" t="s">
        <v>83</v>
      </c>
    </row>
    <row r="3235" spans="1:11" x14ac:dyDescent="0.25">
      <c r="A3235">
        <v>133.12526513181999</v>
      </c>
      <c r="B3235">
        <v>120.894419019127</v>
      </c>
      <c r="C3235">
        <v>2000</v>
      </c>
    </row>
    <row r="3236" spans="1:11" x14ac:dyDescent="0.25">
      <c r="A3236">
        <v>131.12175790085999</v>
      </c>
      <c r="B3236">
        <v>118.890911788168</v>
      </c>
      <c r="C3236">
        <v>2000</v>
      </c>
    </row>
    <row r="3237" spans="1:11" x14ac:dyDescent="0.25">
      <c r="A3237">
        <v>130.68474187641101</v>
      </c>
      <c r="B3237">
        <v>119.327927812616</v>
      </c>
      <c r="C3237">
        <v>2001</v>
      </c>
    </row>
    <row r="3238" spans="1:11" x14ac:dyDescent="0.25">
      <c r="A3238">
        <v>132.73462867811901</v>
      </c>
      <c r="B3238">
        <v>121.377814614324</v>
      </c>
      <c r="C3238">
        <v>2001</v>
      </c>
    </row>
    <row r="3239" spans="1:11" x14ac:dyDescent="0.25">
      <c r="A3239">
        <v>150</v>
      </c>
      <c r="B3239">
        <v>138.64318593620499</v>
      </c>
      <c r="C3239">
        <v>2001</v>
      </c>
    </row>
    <row r="3240" spans="1:11" x14ac:dyDescent="0.25">
      <c r="A3240">
        <v>150</v>
      </c>
      <c r="B3240">
        <v>137.769153887307</v>
      </c>
      <c r="C3240">
        <v>2000</v>
      </c>
    </row>
    <row r="3241" spans="1:11" x14ac:dyDescent="0.25">
      <c r="A3241" t="s">
        <v>84</v>
      </c>
    </row>
    <row r="3242" spans="1:11" x14ac:dyDescent="0.25">
      <c r="A3242">
        <v>586</v>
      </c>
      <c r="B3242">
        <v>0</v>
      </c>
      <c r="C3242">
        <v>20.4794913557499</v>
      </c>
      <c r="D3242">
        <v>6.4482672489759798</v>
      </c>
      <c r="E3242">
        <v>8</v>
      </c>
      <c r="F3242">
        <v>1.01722196789785</v>
      </c>
      <c r="G3242" t="s">
        <v>81</v>
      </c>
      <c r="H3242" t="s">
        <v>82</v>
      </c>
      <c r="I3242">
        <v>518</v>
      </c>
      <c r="J3242">
        <v>0</v>
      </c>
      <c r="K3242">
        <v>0</v>
      </c>
    </row>
    <row r="3243" spans="1:11" x14ac:dyDescent="0.25">
      <c r="A3243" t="s">
        <v>83</v>
      </c>
    </row>
    <row r="3244" spans="1:11" x14ac:dyDescent="0.25">
      <c r="A3244">
        <v>145.32910086773799</v>
      </c>
      <c r="B3244">
        <v>54.718863529795499</v>
      </c>
      <c r="C3244">
        <v>2000</v>
      </c>
    </row>
    <row r="3245" spans="1:11" x14ac:dyDescent="0.25">
      <c r="A3245">
        <v>140.828745350166</v>
      </c>
      <c r="B3245">
        <v>50.218508012224397</v>
      </c>
      <c r="C3245">
        <v>2000</v>
      </c>
    </row>
    <row r="3246" spans="1:11" x14ac:dyDescent="0.25">
      <c r="A3246">
        <v>130.74069127621999</v>
      </c>
      <c r="B3246">
        <v>40.130453938277597</v>
      </c>
      <c r="C3246">
        <v>2000</v>
      </c>
    </row>
    <row r="3247" spans="1:11" x14ac:dyDescent="0.25">
      <c r="A3247">
        <v>131.177707300668</v>
      </c>
      <c r="B3247">
        <v>39.693437913828802</v>
      </c>
      <c r="C3247">
        <v>2001</v>
      </c>
    </row>
    <row r="3248" spans="1:11" x14ac:dyDescent="0.25">
      <c r="A3248">
        <v>141.26576137461501</v>
      </c>
      <c r="B3248">
        <v>49.781491987775603</v>
      </c>
      <c r="C3248">
        <v>2001</v>
      </c>
    </row>
    <row r="3249" spans="1:11" x14ac:dyDescent="0.25">
      <c r="A3249">
        <v>145.551672134954</v>
      </c>
      <c r="B3249">
        <v>54.067402748114802</v>
      </c>
      <c r="C3249">
        <v>2001</v>
      </c>
    </row>
    <row r="3250" spans="1:11" x14ac:dyDescent="0.25">
      <c r="A3250">
        <v>150</v>
      </c>
      <c r="B3250">
        <v>58.5157306131604</v>
      </c>
      <c r="C3250">
        <v>2001</v>
      </c>
    </row>
    <row r="3251" spans="1:11" x14ac:dyDescent="0.25">
      <c r="A3251">
        <v>150</v>
      </c>
      <c r="B3251">
        <v>59.389762662057997</v>
      </c>
      <c r="C3251">
        <v>2000</v>
      </c>
    </row>
    <row r="3252" spans="1:11" x14ac:dyDescent="0.25">
      <c r="A3252" t="s">
        <v>84</v>
      </c>
    </row>
    <row r="3253" spans="1:11" x14ac:dyDescent="0.25">
      <c r="A3253">
        <v>800</v>
      </c>
      <c r="B3253">
        <v>0</v>
      </c>
      <c r="C3253">
        <v>5.6441838828326203</v>
      </c>
      <c r="D3253">
        <v>21.2809406142166</v>
      </c>
      <c r="E3253">
        <v>6</v>
      </c>
      <c r="F3253">
        <v>1.01722196789785</v>
      </c>
      <c r="G3253" t="s">
        <v>81</v>
      </c>
      <c r="H3253" t="s">
        <v>81</v>
      </c>
      <c r="I3253">
        <v>885</v>
      </c>
      <c r="J3253">
        <v>591</v>
      </c>
      <c r="K3253">
        <v>0.10256144766988801</v>
      </c>
    </row>
    <row r="3254" spans="1:11" x14ac:dyDescent="0.25">
      <c r="A3254" t="s">
        <v>83</v>
      </c>
    </row>
    <row r="3255" spans="1:11" x14ac:dyDescent="0.25">
      <c r="A3255">
        <v>83.045705543382098</v>
      </c>
      <c r="B3255">
        <v>29.123252197696299</v>
      </c>
      <c r="C3255">
        <v>2000</v>
      </c>
    </row>
    <row r="3256" spans="1:11" x14ac:dyDescent="0.25">
      <c r="A3256">
        <v>79.054664845567402</v>
      </c>
      <c r="B3256">
        <v>25.1322114998815</v>
      </c>
      <c r="C3256">
        <v>2000</v>
      </c>
    </row>
    <row r="3257" spans="1:11" x14ac:dyDescent="0.25">
      <c r="A3257">
        <v>78.617648821118607</v>
      </c>
      <c r="B3257">
        <v>25.569227524330401</v>
      </c>
      <c r="C3257">
        <v>2001</v>
      </c>
    </row>
    <row r="3258" spans="1:11" x14ac:dyDescent="0.25">
      <c r="A3258">
        <v>82.608689518933303</v>
      </c>
      <c r="B3258">
        <v>29.560268222145101</v>
      </c>
      <c r="C3258">
        <v>2001</v>
      </c>
    </row>
    <row r="3259" spans="1:11" x14ac:dyDescent="0.25">
      <c r="A3259">
        <v>97.656586937274099</v>
      </c>
      <c r="B3259">
        <v>44.6081656404859</v>
      </c>
      <c r="C3259">
        <v>2001</v>
      </c>
    </row>
    <row r="3260" spans="1:11" x14ac:dyDescent="0.25">
      <c r="A3260">
        <v>98.093602961722894</v>
      </c>
      <c r="B3260">
        <v>44.171149616037098</v>
      </c>
      <c r="C3260">
        <v>2000</v>
      </c>
    </row>
    <row r="3261" spans="1:11" x14ac:dyDescent="0.25">
      <c r="A3261" t="s">
        <v>84</v>
      </c>
    </row>
    <row r="3262" spans="1:11" x14ac:dyDescent="0.25">
      <c r="A3262">
        <v>887</v>
      </c>
      <c r="B3262">
        <v>0</v>
      </c>
      <c r="C3262">
        <v>17.642877791878298</v>
      </c>
      <c r="D3262">
        <v>9.1479194753988207</v>
      </c>
      <c r="E3262">
        <v>8</v>
      </c>
      <c r="F3262">
        <v>1.01722196789785</v>
      </c>
      <c r="G3262" t="s">
        <v>82</v>
      </c>
      <c r="H3262" t="s">
        <v>81</v>
      </c>
      <c r="I3262">
        <v>0</v>
      </c>
      <c r="J3262">
        <v>969</v>
      </c>
      <c r="K3262">
        <v>0.10458844867092799</v>
      </c>
    </row>
    <row r="3263" spans="1:11" x14ac:dyDescent="0.25">
      <c r="A3263" t="s">
        <v>83</v>
      </c>
    </row>
    <row r="3264" spans="1:11" x14ac:dyDescent="0.25">
      <c r="A3264">
        <v>12.272035467302199</v>
      </c>
      <c r="B3264">
        <v>51.231752288829597</v>
      </c>
      <c r="C3264">
        <v>2000</v>
      </c>
    </row>
    <row r="3265" spans="1:11" x14ac:dyDescent="0.25">
      <c r="A3265">
        <v>11.276273012916301</v>
      </c>
      <c r="B3265">
        <v>50.2359898344436</v>
      </c>
      <c r="C3265">
        <v>2000</v>
      </c>
    </row>
    <row r="3266" spans="1:11" x14ac:dyDescent="0.25">
      <c r="A3266">
        <v>0</v>
      </c>
      <c r="B3266">
        <v>38.959716821527401</v>
      </c>
      <c r="C3266">
        <v>2000</v>
      </c>
    </row>
    <row r="3267" spans="1:11" x14ac:dyDescent="0.25">
      <c r="A3267">
        <v>0</v>
      </c>
      <c r="B3267">
        <v>38.085684772629698</v>
      </c>
      <c r="C3267">
        <v>2001</v>
      </c>
    </row>
    <row r="3268" spans="1:11" x14ac:dyDescent="0.25">
      <c r="A3268">
        <v>11.6783253929267</v>
      </c>
      <c r="B3268">
        <v>49.7640101655564</v>
      </c>
      <c r="C3268">
        <v>2001</v>
      </c>
    </row>
    <row r="3269" spans="1:11" x14ac:dyDescent="0.25">
      <c r="A3269">
        <v>12.6787615852631</v>
      </c>
      <c r="B3269">
        <v>50.764446357892901</v>
      </c>
      <c r="C3269">
        <v>2001</v>
      </c>
    </row>
    <row r="3270" spans="1:11" x14ac:dyDescent="0.25">
      <c r="A3270">
        <v>19.1624624333101</v>
      </c>
      <c r="B3270">
        <v>57.248147205939802</v>
      </c>
      <c r="C3270">
        <v>2001</v>
      </c>
    </row>
    <row r="3271" spans="1:11" x14ac:dyDescent="0.25">
      <c r="A3271">
        <v>18.725446408861298</v>
      </c>
      <c r="B3271">
        <v>57.685163230388603</v>
      </c>
      <c r="C3271">
        <v>2000</v>
      </c>
    </row>
    <row r="3272" spans="1:11" x14ac:dyDescent="0.25">
      <c r="A3272" t="s">
        <v>84</v>
      </c>
    </row>
    <row r="3273" spans="1:11" x14ac:dyDescent="0.25">
      <c r="A3273">
        <v>910</v>
      </c>
      <c r="B3273">
        <v>0</v>
      </c>
      <c r="C3273">
        <v>1.59374260687473</v>
      </c>
      <c r="D3273">
        <v>25.127644339998302</v>
      </c>
      <c r="E3273">
        <v>10</v>
      </c>
      <c r="F3273">
        <v>1.01722196789785</v>
      </c>
      <c r="G3273" t="s">
        <v>81</v>
      </c>
      <c r="H3273" t="s">
        <v>81</v>
      </c>
      <c r="I3273">
        <v>680</v>
      </c>
      <c r="J3273">
        <v>742</v>
      </c>
      <c r="K3273">
        <v>0.105129910972954</v>
      </c>
    </row>
    <row r="3274" spans="1:11" x14ac:dyDescent="0.25">
      <c r="A3274" t="s">
        <v>83</v>
      </c>
    </row>
    <row r="3275" spans="1:11" x14ac:dyDescent="0.25">
      <c r="A3275">
        <v>85.584112696151493</v>
      </c>
      <c r="B3275">
        <v>93.0690002325357</v>
      </c>
      <c r="C3275">
        <v>2000</v>
      </c>
    </row>
    <row r="3276" spans="1:11" x14ac:dyDescent="0.25">
      <c r="A3276">
        <v>84.457166491364404</v>
      </c>
      <c r="B3276">
        <v>91.942054027748696</v>
      </c>
      <c r="C3276">
        <v>2000</v>
      </c>
    </row>
    <row r="3277" spans="1:11" x14ac:dyDescent="0.25">
      <c r="A3277">
        <v>84.020150466915595</v>
      </c>
      <c r="B3277">
        <v>92.379070052197505</v>
      </c>
      <c r="C3277">
        <v>2001</v>
      </c>
    </row>
    <row r="3278" spans="1:11" x14ac:dyDescent="0.25">
      <c r="A3278">
        <v>85.147096671702698</v>
      </c>
      <c r="B3278">
        <v>93.506016256984495</v>
      </c>
      <c r="C3278">
        <v>2001</v>
      </c>
    </row>
    <row r="3279" spans="1:11" x14ac:dyDescent="0.25">
      <c r="A3279">
        <v>91.859588426942594</v>
      </c>
      <c r="B3279">
        <v>100.21850801222401</v>
      </c>
      <c r="C3279">
        <v>2001</v>
      </c>
    </row>
    <row r="3280" spans="1:11" x14ac:dyDescent="0.25">
      <c r="A3280">
        <v>99.781491987775595</v>
      </c>
      <c r="B3280">
        <v>108.14041157305699</v>
      </c>
      <c r="C3280">
        <v>2001</v>
      </c>
    </row>
    <row r="3281" spans="1:11" x14ac:dyDescent="0.25">
      <c r="A3281">
        <v>102.915024379759</v>
      </c>
      <c r="B3281">
        <v>111.273943965041</v>
      </c>
      <c r="C3281">
        <v>2001</v>
      </c>
    </row>
    <row r="3282" spans="1:11" x14ac:dyDescent="0.25">
      <c r="A3282">
        <v>103.352040404208</v>
      </c>
      <c r="B3282">
        <v>110.83692794059201</v>
      </c>
      <c r="C3282">
        <v>2000</v>
      </c>
    </row>
    <row r="3283" spans="1:11" x14ac:dyDescent="0.25">
      <c r="A3283">
        <v>100.21850801222401</v>
      </c>
      <c r="B3283">
        <v>107.703395548609</v>
      </c>
      <c r="C3283">
        <v>2000</v>
      </c>
    </row>
    <row r="3284" spans="1:11" x14ac:dyDescent="0.25">
      <c r="A3284">
        <v>92.296604451391403</v>
      </c>
      <c r="B3284">
        <v>99.781491987775595</v>
      </c>
      <c r="C3284">
        <v>2000</v>
      </c>
    </row>
    <row r="3285" spans="1:11" x14ac:dyDescent="0.25">
      <c r="A3285" t="s">
        <v>84</v>
      </c>
    </row>
    <row r="3286" spans="1:11" x14ac:dyDescent="0.25">
      <c r="A3286">
        <v>923</v>
      </c>
      <c r="B3286">
        <v>0</v>
      </c>
      <c r="C3286">
        <v>0.953187177544919</v>
      </c>
      <c r="D3286">
        <v>25.632459901427001</v>
      </c>
      <c r="E3286">
        <v>6</v>
      </c>
      <c r="F3286">
        <v>1.01722196789785</v>
      </c>
      <c r="G3286" t="s">
        <v>81</v>
      </c>
      <c r="H3286" t="s">
        <v>81</v>
      </c>
      <c r="I3286">
        <v>947</v>
      </c>
      <c r="J3286">
        <v>949</v>
      </c>
      <c r="K3286">
        <v>0.10547505826048501</v>
      </c>
    </row>
    <row r="3287" spans="1:11" x14ac:dyDescent="0.25">
      <c r="A3287" t="s">
        <v>83</v>
      </c>
    </row>
    <row r="3288" spans="1:11" x14ac:dyDescent="0.25">
      <c r="A3288">
        <v>104.67636277744801</v>
      </c>
      <c r="B3288">
        <v>103.717033430798</v>
      </c>
      <c r="C3288">
        <v>2000</v>
      </c>
    </row>
    <row r="3289" spans="1:11" x14ac:dyDescent="0.25">
      <c r="A3289">
        <v>104.002357660466</v>
      </c>
      <c r="B3289">
        <v>103.043028313816</v>
      </c>
      <c r="C3289">
        <v>2000</v>
      </c>
    </row>
    <row r="3290" spans="1:11" x14ac:dyDescent="0.25">
      <c r="A3290">
        <v>104.439373684915</v>
      </c>
      <c r="B3290">
        <v>102.606012289367</v>
      </c>
      <c r="C3290">
        <v>2001</v>
      </c>
    </row>
    <row r="3291" spans="1:11" x14ac:dyDescent="0.25">
      <c r="A3291">
        <v>105.113378801897</v>
      </c>
      <c r="B3291">
        <v>103.280017406349</v>
      </c>
      <c r="C3291">
        <v>2001</v>
      </c>
    </row>
    <row r="3292" spans="1:11" x14ac:dyDescent="0.25">
      <c r="A3292">
        <v>123.238265016688</v>
      </c>
      <c r="B3292">
        <v>121.40490362113999</v>
      </c>
      <c r="C3292">
        <v>2001</v>
      </c>
    </row>
    <row r="3293" spans="1:11" x14ac:dyDescent="0.25">
      <c r="A3293">
        <v>122.80124899224001</v>
      </c>
      <c r="B3293">
        <v>121.841919645589</v>
      </c>
      <c r="C3293">
        <v>2000</v>
      </c>
    </row>
    <row r="3294" spans="1:11" x14ac:dyDescent="0.25">
      <c r="A3294" t="s">
        <v>84</v>
      </c>
    </row>
    <row r="3295" spans="1:11" x14ac:dyDescent="0.25">
      <c r="A3295">
        <v>836</v>
      </c>
      <c r="B3295">
        <v>0</v>
      </c>
      <c r="C3295">
        <v>19.494216012817901</v>
      </c>
      <c r="D3295">
        <v>7.0897371304997101</v>
      </c>
      <c r="E3295">
        <v>6</v>
      </c>
      <c r="F3295">
        <v>1.01722196789785</v>
      </c>
      <c r="G3295" t="s">
        <v>82</v>
      </c>
      <c r="H3295" t="s">
        <v>81</v>
      </c>
      <c r="I3295">
        <v>0</v>
      </c>
      <c r="J3295">
        <v>492</v>
      </c>
      <c r="K3295">
        <v>0.10341204281958701</v>
      </c>
    </row>
    <row r="3296" spans="1:11" x14ac:dyDescent="0.25">
      <c r="A3296" t="s">
        <v>83</v>
      </c>
    </row>
    <row r="3297" spans="1:11" x14ac:dyDescent="0.25">
      <c r="A3297">
        <v>135.17693490741701</v>
      </c>
      <c r="B3297">
        <v>13.6242587412265</v>
      </c>
      <c r="C3297">
        <v>2000</v>
      </c>
    </row>
    <row r="3298" spans="1:11" x14ac:dyDescent="0.25">
      <c r="A3298">
        <v>121.55267616619101</v>
      </c>
      <c r="B3298">
        <v>0</v>
      </c>
      <c r="C3298">
        <v>2000</v>
      </c>
    </row>
    <row r="3299" spans="1:11" x14ac:dyDescent="0.25">
      <c r="A3299">
        <v>120.678644117293</v>
      </c>
      <c r="B3299">
        <v>0</v>
      </c>
      <c r="C3299">
        <v>2001</v>
      </c>
    </row>
    <row r="3300" spans="1:11" x14ac:dyDescent="0.25">
      <c r="A3300">
        <v>134.62337004922401</v>
      </c>
      <c r="B3300">
        <v>13.9447259319313</v>
      </c>
      <c r="C3300">
        <v>2001</v>
      </c>
    </row>
    <row r="3301" spans="1:11" x14ac:dyDescent="0.25">
      <c r="A3301">
        <v>139.694845667903</v>
      </c>
      <c r="B3301">
        <v>19.016201550609701</v>
      </c>
      <c r="C3301">
        <v>2001</v>
      </c>
    </row>
    <row r="3302" spans="1:11" x14ac:dyDescent="0.25">
      <c r="A3302">
        <v>140.13186169235101</v>
      </c>
      <c r="B3302">
        <v>18.579185526160899</v>
      </c>
      <c r="C3302">
        <v>2000</v>
      </c>
    </row>
    <row r="3303" spans="1:11" x14ac:dyDescent="0.25">
      <c r="A3303" t="s">
        <v>84</v>
      </c>
    </row>
    <row r="3304" spans="1:11" x14ac:dyDescent="0.25">
      <c r="A3304">
        <v>743</v>
      </c>
      <c r="B3304">
        <v>0</v>
      </c>
      <c r="C3304">
        <v>20.700748871119</v>
      </c>
      <c r="D3304">
        <v>5.7758410834330203</v>
      </c>
      <c r="E3304">
        <v>8</v>
      </c>
      <c r="F3304">
        <v>1.01722196789785</v>
      </c>
      <c r="G3304" t="s">
        <v>81</v>
      </c>
      <c r="H3304" t="s">
        <v>82</v>
      </c>
      <c r="I3304">
        <v>357</v>
      </c>
      <c r="J3304">
        <v>0</v>
      </c>
      <c r="K3304">
        <v>0.101899323518764</v>
      </c>
    </row>
    <row r="3305" spans="1:11" x14ac:dyDescent="0.25">
      <c r="A3305" t="s">
        <v>83</v>
      </c>
    </row>
    <row r="3306" spans="1:11" x14ac:dyDescent="0.25">
      <c r="A3306">
        <v>111.787621131379</v>
      </c>
      <c r="B3306">
        <v>145.97076847153701</v>
      </c>
      <c r="C3306">
        <v>2000</v>
      </c>
    </row>
    <row r="3307" spans="1:11" x14ac:dyDescent="0.25">
      <c r="A3307">
        <v>99.781491987775595</v>
      </c>
      <c r="B3307">
        <v>133.96463932793401</v>
      </c>
      <c r="C3307">
        <v>2000</v>
      </c>
    </row>
    <row r="3308" spans="1:11" x14ac:dyDescent="0.25">
      <c r="A3308">
        <v>97.313584372507094</v>
      </c>
      <c r="B3308">
        <v>131.496731712665</v>
      </c>
      <c r="C3308">
        <v>2000</v>
      </c>
    </row>
    <row r="3309" spans="1:11" x14ac:dyDescent="0.25">
      <c r="A3309">
        <v>97.750600396955903</v>
      </c>
      <c r="B3309">
        <v>131.05971568821599</v>
      </c>
      <c r="C3309">
        <v>2001</v>
      </c>
    </row>
    <row r="3310" spans="1:11" x14ac:dyDescent="0.25">
      <c r="A3310">
        <v>100.21850801222401</v>
      </c>
      <c r="B3310">
        <v>133.527623303485</v>
      </c>
      <c r="C3310">
        <v>2001</v>
      </c>
    </row>
    <row r="3311" spans="1:11" x14ac:dyDescent="0.25">
      <c r="A3311">
        <v>112.55184344289999</v>
      </c>
      <c r="B3311">
        <v>145.86095873415999</v>
      </c>
      <c r="C3311">
        <v>2001</v>
      </c>
    </row>
    <row r="3312" spans="1:11" x14ac:dyDescent="0.25">
      <c r="A3312">
        <v>116.69088470874</v>
      </c>
      <c r="B3312">
        <v>150</v>
      </c>
      <c r="C3312">
        <v>2001</v>
      </c>
    </row>
    <row r="3313" spans="1:11" x14ac:dyDescent="0.25">
      <c r="A3313">
        <v>115.816852659842</v>
      </c>
      <c r="B3313">
        <v>150</v>
      </c>
      <c r="C3313">
        <v>2000</v>
      </c>
    </row>
    <row r="3314" spans="1:11" x14ac:dyDescent="0.25">
      <c r="A3314" t="s">
        <v>84</v>
      </c>
    </row>
    <row r="3315" spans="1:11" x14ac:dyDescent="0.25">
      <c r="A3315">
        <v>1042</v>
      </c>
      <c r="B3315">
        <v>0</v>
      </c>
      <c r="C3315">
        <v>17.311165395308599</v>
      </c>
      <c r="D3315">
        <v>9.1055672078734595</v>
      </c>
      <c r="E3315">
        <v>6</v>
      </c>
      <c r="F3315">
        <v>1.01722196789785</v>
      </c>
      <c r="G3315" t="s">
        <v>81</v>
      </c>
      <c r="H3315" t="s">
        <v>82</v>
      </c>
      <c r="I3315">
        <v>902</v>
      </c>
      <c r="J3315">
        <v>0</v>
      </c>
      <c r="K3315">
        <v>0.113194318528509</v>
      </c>
    </row>
    <row r="3316" spans="1:11" x14ac:dyDescent="0.25">
      <c r="A3316" t="s">
        <v>83</v>
      </c>
    </row>
    <row r="3317" spans="1:11" x14ac:dyDescent="0.25">
      <c r="A3317">
        <v>143.486074289295</v>
      </c>
      <c r="B3317">
        <v>115.315469792013</v>
      </c>
      <c r="C3317">
        <v>2000</v>
      </c>
    </row>
    <row r="3318" spans="1:11" x14ac:dyDescent="0.25">
      <c r="A3318">
        <v>131.10204122727399</v>
      </c>
      <c r="B3318">
        <v>102.93143672999101</v>
      </c>
      <c r="C3318">
        <v>2000</v>
      </c>
    </row>
    <row r="3319" spans="1:11" x14ac:dyDescent="0.25">
      <c r="A3319">
        <v>131.53905725172299</v>
      </c>
      <c r="B3319">
        <v>102.494420705542</v>
      </c>
      <c r="C3319">
        <v>2001</v>
      </c>
    </row>
    <row r="3320" spans="1:11" x14ac:dyDescent="0.25">
      <c r="A3320">
        <v>143.63670907222999</v>
      </c>
      <c r="B3320">
        <v>114.59207252605</v>
      </c>
      <c r="C3320">
        <v>2001</v>
      </c>
    </row>
    <row r="3321" spans="1:11" x14ac:dyDescent="0.25">
      <c r="A3321">
        <v>150</v>
      </c>
      <c r="B3321">
        <v>120.95536345382</v>
      </c>
      <c r="C3321">
        <v>2001</v>
      </c>
    </row>
    <row r="3322" spans="1:11" x14ac:dyDescent="0.25">
      <c r="A3322">
        <v>150</v>
      </c>
      <c r="B3322">
        <v>121.82939550271701</v>
      </c>
      <c r="C3322">
        <v>2000</v>
      </c>
    </row>
    <row r="3323" spans="1:11" x14ac:dyDescent="0.25">
      <c r="A3323" t="s">
        <v>84</v>
      </c>
    </row>
    <row r="3324" spans="1:11" x14ac:dyDescent="0.25">
      <c r="A3324">
        <v>731</v>
      </c>
      <c r="B3324">
        <v>0</v>
      </c>
      <c r="C3324">
        <v>9.3857608163629909</v>
      </c>
      <c r="D3324">
        <v>16.8378571140228</v>
      </c>
      <c r="E3324">
        <v>6</v>
      </c>
      <c r="F3324">
        <v>1.01722196789785</v>
      </c>
      <c r="G3324" t="s">
        <v>81</v>
      </c>
      <c r="H3324" t="s">
        <v>82</v>
      </c>
      <c r="I3324">
        <v>898</v>
      </c>
      <c r="J3324">
        <v>0</v>
      </c>
      <c r="K3324">
        <v>0.100785207567138</v>
      </c>
    </row>
    <row r="3325" spans="1:11" x14ac:dyDescent="0.25">
      <c r="A3325" t="s">
        <v>83</v>
      </c>
    </row>
    <row r="3326" spans="1:11" x14ac:dyDescent="0.25">
      <c r="A3326">
        <v>87.743451918041302</v>
      </c>
      <c r="B3326">
        <v>137.953535792091</v>
      </c>
      <c r="C3326">
        <v>2000</v>
      </c>
    </row>
    <row r="3327" spans="1:11" x14ac:dyDescent="0.25">
      <c r="A3327">
        <v>81.028510047905399</v>
      </c>
      <c r="B3327">
        <v>131.23859392195499</v>
      </c>
      <c r="C3327">
        <v>2000</v>
      </c>
    </row>
    <row r="3328" spans="1:11" x14ac:dyDescent="0.25">
      <c r="A3328">
        <v>80.591494023456605</v>
      </c>
      <c r="B3328">
        <v>131.67560994640399</v>
      </c>
      <c r="C3328">
        <v>2001</v>
      </c>
    </row>
    <row r="3329" spans="1:11" x14ac:dyDescent="0.25">
      <c r="A3329">
        <v>87.150022393011298</v>
      </c>
      <c r="B3329">
        <v>138.23413831595801</v>
      </c>
      <c r="C3329">
        <v>2001</v>
      </c>
    </row>
    <row r="3330" spans="1:11" x14ac:dyDescent="0.25">
      <c r="A3330">
        <v>98.915884077053093</v>
      </c>
      <c r="B3330">
        <v>150</v>
      </c>
      <c r="C3330">
        <v>2001</v>
      </c>
    </row>
    <row r="3331" spans="1:11" x14ac:dyDescent="0.25">
      <c r="A3331">
        <v>99.789916125950796</v>
      </c>
      <c r="B3331">
        <v>150</v>
      </c>
      <c r="C3331">
        <v>2000</v>
      </c>
    </row>
    <row r="3332" spans="1:11" x14ac:dyDescent="0.25">
      <c r="A3332" t="s">
        <v>84</v>
      </c>
    </row>
    <row r="3333" spans="1:11" x14ac:dyDescent="0.25">
      <c r="A3333">
        <v>1010</v>
      </c>
      <c r="B3333">
        <v>0</v>
      </c>
      <c r="C3333">
        <v>18.578571443987101</v>
      </c>
      <c r="D3333">
        <v>7.4856830648416501</v>
      </c>
      <c r="E3333">
        <v>6</v>
      </c>
      <c r="F3333">
        <v>1.01722196789785</v>
      </c>
      <c r="G3333" t="s">
        <v>81</v>
      </c>
      <c r="H3333" t="s">
        <v>81</v>
      </c>
      <c r="I3333">
        <v>666</v>
      </c>
      <c r="J3333">
        <v>660</v>
      </c>
      <c r="K3333">
        <v>0.11085732651601</v>
      </c>
    </row>
    <row r="3334" spans="1:11" x14ac:dyDescent="0.25">
      <c r="A3334" t="s">
        <v>83</v>
      </c>
    </row>
    <row r="3335" spans="1:11" x14ac:dyDescent="0.25">
      <c r="A3335">
        <v>92.661303088381402</v>
      </c>
      <c r="B3335">
        <v>67.114094353795295</v>
      </c>
      <c r="C3335">
        <v>2000</v>
      </c>
    </row>
    <row r="3336" spans="1:11" x14ac:dyDescent="0.25">
      <c r="A3336">
        <v>79.524269235579396</v>
      </c>
      <c r="B3336">
        <v>53.977060500993304</v>
      </c>
      <c r="C3336">
        <v>2000</v>
      </c>
    </row>
    <row r="3337" spans="1:11" x14ac:dyDescent="0.25">
      <c r="A3337">
        <v>79.961285260028205</v>
      </c>
      <c r="B3337">
        <v>53.540044476544402</v>
      </c>
      <c r="C3337">
        <v>2001</v>
      </c>
    </row>
    <row r="3338" spans="1:11" x14ac:dyDescent="0.25">
      <c r="A3338">
        <v>93.098319112830197</v>
      </c>
      <c r="B3338">
        <v>66.6770783293465</v>
      </c>
      <c r="C3338">
        <v>2001</v>
      </c>
    </row>
    <row r="3339" spans="1:11" x14ac:dyDescent="0.25">
      <c r="A3339">
        <v>98.391496369793003</v>
      </c>
      <c r="B3339">
        <v>71.970255586309307</v>
      </c>
      <c r="C3339">
        <v>2001</v>
      </c>
    </row>
    <row r="3340" spans="1:11" x14ac:dyDescent="0.25">
      <c r="A3340">
        <v>97.954480345344194</v>
      </c>
      <c r="B3340">
        <v>72.407271610758102</v>
      </c>
      <c r="C3340">
        <v>2000</v>
      </c>
    </row>
    <row r="3341" spans="1:11" x14ac:dyDescent="0.25">
      <c r="A3341" t="s">
        <v>84</v>
      </c>
    </row>
    <row r="3342" spans="1:11" x14ac:dyDescent="0.25">
      <c r="A3342">
        <v>671</v>
      </c>
      <c r="B3342">
        <v>0</v>
      </c>
      <c r="C3342">
        <v>1.57855273327276</v>
      </c>
      <c r="D3342">
        <v>24.485701775555999</v>
      </c>
      <c r="E3342">
        <v>6</v>
      </c>
      <c r="F3342">
        <v>1.01722196789785</v>
      </c>
      <c r="G3342" t="s">
        <v>81</v>
      </c>
      <c r="H3342" t="s">
        <v>81</v>
      </c>
      <c r="I3342">
        <v>859</v>
      </c>
      <c r="J3342">
        <v>597</v>
      </c>
      <c r="K3342">
        <v>0</v>
      </c>
    </row>
    <row r="3343" spans="1:11" x14ac:dyDescent="0.25">
      <c r="A3343" t="s">
        <v>83</v>
      </c>
    </row>
    <row r="3344" spans="1:11" x14ac:dyDescent="0.25">
      <c r="A3344">
        <v>81.5565352046615</v>
      </c>
      <c r="B3344">
        <v>54.177205216226596</v>
      </c>
      <c r="C3344">
        <v>2000</v>
      </c>
    </row>
    <row r="3345" spans="1:11" x14ac:dyDescent="0.25">
      <c r="A3345">
        <v>80.440329862503802</v>
      </c>
      <c r="B3345">
        <v>53.060999874068798</v>
      </c>
      <c r="C3345">
        <v>2000</v>
      </c>
    </row>
    <row r="3346" spans="1:11" x14ac:dyDescent="0.25">
      <c r="A3346">
        <v>80.003313838055007</v>
      </c>
      <c r="B3346">
        <v>53.4980158985177</v>
      </c>
      <c r="C3346">
        <v>2001</v>
      </c>
    </row>
    <row r="3347" spans="1:11" x14ac:dyDescent="0.25">
      <c r="A3347">
        <v>81.119519180212706</v>
      </c>
      <c r="B3347">
        <v>54.614221240675398</v>
      </c>
      <c r="C3347">
        <v>2001</v>
      </c>
    </row>
    <row r="3348" spans="1:11" x14ac:dyDescent="0.25">
      <c r="A3348">
        <v>98.433524947819805</v>
      </c>
      <c r="B3348">
        <v>71.928227008282505</v>
      </c>
      <c r="C3348">
        <v>2001</v>
      </c>
    </row>
    <row r="3349" spans="1:11" x14ac:dyDescent="0.25">
      <c r="A3349">
        <v>98.8705409722686</v>
      </c>
      <c r="B3349">
        <v>71.491210983833696</v>
      </c>
      <c r="C3349">
        <v>2000</v>
      </c>
    </row>
    <row r="3350" spans="1:11" x14ac:dyDescent="0.25">
      <c r="A3350" t="s">
        <v>84</v>
      </c>
    </row>
    <row r="3351" spans="1:11" x14ac:dyDescent="0.25">
      <c r="A3351">
        <v>270</v>
      </c>
      <c r="B3351">
        <v>0</v>
      </c>
      <c r="C3351">
        <v>9.3553125963639694</v>
      </c>
      <c r="D3351">
        <v>16.466873539758101</v>
      </c>
      <c r="E3351">
        <v>6</v>
      </c>
      <c r="F3351">
        <v>1.01722196789785</v>
      </c>
      <c r="G3351" t="s">
        <v>81</v>
      </c>
      <c r="H3351" t="s">
        <v>82</v>
      </c>
      <c r="I3351">
        <v>821</v>
      </c>
      <c r="J3351">
        <v>0</v>
      </c>
      <c r="K3351">
        <v>0</v>
      </c>
    </row>
    <row r="3352" spans="1:11" x14ac:dyDescent="0.25">
      <c r="A3352" t="s">
        <v>83</v>
      </c>
    </row>
    <row r="3353" spans="1:11" x14ac:dyDescent="0.25">
      <c r="A3353">
        <v>138.21681894193901</v>
      </c>
      <c r="B3353">
        <v>127.86256250088</v>
      </c>
      <c r="C3353">
        <v>2000</v>
      </c>
    </row>
    <row r="3354" spans="1:11" x14ac:dyDescent="0.25">
      <c r="A3354">
        <v>131.52244906586199</v>
      </c>
      <c r="B3354">
        <v>121.168192624803</v>
      </c>
      <c r="C3354">
        <v>2000</v>
      </c>
    </row>
    <row r="3355" spans="1:11" x14ac:dyDescent="0.25">
      <c r="A3355">
        <v>131.959465090311</v>
      </c>
      <c r="B3355">
        <v>120.731176600354</v>
      </c>
      <c r="C3355">
        <v>2001</v>
      </c>
    </row>
    <row r="3356" spans="1:11" x14ac:dyDescent="0.25">
      <c r="A3356">
        <v>138.495505168253</v>
      </c>
      <c r="B3356">
        <v>127.26721667829599</v>
      </c>
      <c r="C3356">
        <v>2001</v>
      </c>
    </row>
    <row r="3357" spans="1:11" x14ac:dyDescent="0.25">
      <c r="A3357">
        <v>150</v>
      </c>
      <c r="B3357">
        <v>138.77171151004299</v>
      </c>
      <c r="C3357">
        <v>2001</v>
      </c>
    </row>
    <row r="3358" spans="1:11" x14ac:dyDescent="0.25">
      <c r="A3358">
        <v>150</v>
      </c>
      <c r="B3358">
        <v>139.64574355894101</v>
      </c>
      <c r="C3358">
        <v>2000</v>
      </c>
    </row>
    <row r="3359" spans="1:11" x14ac:dyDescent="0.25">
      <c r="A3359" t="s">
        <v>84</v>
      </c>
    </row>
    <row r="3360" spans="1:11" x14ac:dyDescent="0.25">
      <c r="A3360">
        <v>926</v>
      </c>
      <c r="B3360">
        <v>0</v>
      </c>
      <c r="C3360">
        <v>5.6894635375207896</v>
      </c>
      <c r="D3360">
        <v>20.108448465122599</v>
      </c>
      <c r="E3360">
        <v>6</v>
      </c>
      <c r="F3360">
        <v>1.01722196789785</v>
      </c>
      <c r="G3360" t="s">
        <v>81</v>
      </c>
      <c r="H3360" t="s">
        <v>81</v>
      </c>
      <c r="I3360">
        <v>412</v>
      </c>
      <c r="J3360">
        <v>427</v>
      </c>
      <c r="K3360">
        <v>0.105643180430783</v>
      </c>
    </row>
    <row r="3361" spans="1:11" x14ac:dyDescent="0.25">
      <c r="A3361" t="s">
        <v>83</v>
      </c>
    </row>
    <row r="3362" spans="1:11" x14ac:dyDescent="0.25">
      <c r="A3362">
        <v>17.355615137780699</v>
      </c>
      <c r="B3362">
        <v>120.777742950603</v>
      </c>
      <c r="C3362">
        <v>2000</v>
      </c>
    </row>
    <row r="3363" spans="1:11" x14ac:dyDescent="0.25">
      <c r="A3363">
        <v>13.332556889086099</v>
      </c>
      <c r="B3363">
        <v>116.754684701909</v>
      </c>
      <c r="C3363">
        <v>2000</v>
      </c>
    </row>
    <row r="3364" spans="1:11" x14ac:dyDescent="0.25">
      <c r="A3364">
        <v>13.769572913534899</v>
      </c>
      <c r="B3364">
        <v>116.31766867746001</v>
      </c>
      <c r="C3364">
        <v>2001</v>
      </c>
    </row>
    <row r="3365" spans="1:11" x14ac:dyDescent="0.25">
      <c r="A3365">
        <v>17.792631162229501</v>
      </c>
      <c r="B3365">
        <v>120.340726926155</v>
      </c>
      <c r="C3365">
        <v>2001</v>
      </c>
    </row>
    <row r="3366" spans="1:11" x14ac:dyDescent="0.25">
      <c r="A3366">
        <v>32.0114514310579</v>
      </c>
      <c r="B3366">
        <v>134.559547194983</v>
      </c>
      <c r="C3366">
        <v>2001</v>
      </c>
    </row>
    <row r="3367" spans="1:11" x14ac:dyDescent="0.25">
      <c r="A3367">
        <v>31.574435406609101</v>
      </c>
      <c r="B3367">
        <v>134.99656321943201</v>
      </c>
      <c r="C3367">
        <v>2000</v>
      </c>
    </row>
    <row r="3368" spans="1:11" x14ac:dyDescent="0.25">
      <c r="A3368" t="s">
        <v>84</v>
      </c>
    </row>
    <row r="3369" spans="1:11" x14ac:dyDescent="0.25">
      <c r="A3369">
        <v>904</v>
      </c>
      <c r="B3369">
        <v>0</v>
      </c>
      <c r="C3369">
        <v>4.3265834023479304</v>
      </c>
      <c r="D3369">
        <v>21.099509593555801</v>
      </c>
      <c r="E3369">
        <v>6</v>
      </c>
      <c r="F3369">
        <v>1.01722196789785</v>
      </c>
      <c r="G3369" t="s">
        <v>82</v>
      </c>
      <c r="H3369" t="s">
        <v>81</v>
      </c>
      <c r="I3369">
        <v>0</v>
      </c>
      <c r="J3369">
        <v>1026</v>
      </c>
      <c r="K3369">
        <v>0.104952687375285</v>
      </c>
    </row>
    <row r="3370" spans="1:11" x14ac:dyDescent="0.25">
      <c r="A3370" t="s">
        <v>83</v>
      </c>
    </row>
    <row r="3371" spans="1:11" x14ac:dyDescent="0.25">
      <c r="A3371">
        <v>69.557552859640893</v>
      </c>
      <c r="B3371">
        <v>3.0221744573015301</v>
      </c>
      <c r="C3371">
        <v>2000</v>
      </c>
    </row>
    <row r="3372" spans="1:11" x14ac:dyDescent="0.25">
      <c r="A3372">
        <v>66.535378402339404</v>
      </c>
      <c r="B3372">
        <v>0</v>
      </c>
      <c r="C3372">
        <v>2000</v>
      </c>
    </row>
    <row r="3373" spans="1:11" x14ac:dyDescent="0.25">
      <c r="A3373">
        <v>65.661346353441701</v>
      </c>
      <c r="B3373">
        <v>0</v>
      </c>
      <c r="C3373">
        <v>2001</v>
      </c>
    </row>
    <row r="3374" spans="1:11" x14ac:dyDescent="0.25">
      <c r="A3374">
        <v>68.757884822478999</v>
      </c>
      <c r="B3374">
        <v>3.0965384690372302</v>
      </c>
      <c r="C3374">
        <v>2001</v>
      </c>
    </row>
    <row r="3375" spans="1:11" x14ac:dyDescent="0.25">
      <c r="A3375">
        <v>83.858817142149405</v>
      </c>
      <c r="B3375">
        <v>18.197470788707701</v>
      </c>
      <c r="C3375">
        <v>2001</v>
      </c>
    </row>
    <row r="3376" spans="1:11" x14ac:dyDescent="0.25">
      <c r="A3376">
        <v>84.2958331665982</v>
      </c>
      <c r="B3376">
        <v>17.760454764258899</v>
      </c>
      <c r="C3376">
        <v>2000</v>
      </c>
    </row>
    <row r="3377" spans="1:11" x14ac:dyDescent="0.25">
      <c r="A3377" t="s">
        <v>84</v>
      </c>
    </row>
    <row r="3378" spans="1:11" x14ac:dyDescent="0.25">
      <c r="A3378">
        <v>435</v>
      </c>
      <c r="B3378">
        <v>0</v>
      </c>
      <c r="C3378">
        <v>15.7338374569834</v>
      </c>
      <c r="D3378">
        <v>9.5917021779506495</v>
      </c>
      <c r="E3378">
        <v>6</v>
      </c>
      <c r="F3378">
        <v>1.01722196789785</v>
      </c>
      <c r="G3378" t="s">
        <v>81</v>
      </c>
      <c r="H3378" t="s">
        <v>81</v>
      </c>
      <c r="I3378">
        <v>801</v>
      </c>
      <c r="J3378">
        <v>905</v>
      </c>
      <c r="K3378">
        <v>0</v>
      </c>
    </row>
    <row r="3379" spans="1:11" x14ac:dyDescent="0.25">
      <c r="A3379" t="s">
        <v>83</v>
      </c>
    </row>
    <row r="3380" spans="1:11" x14ac:dyDescent="0.25">
      <c r="A3380">
        <v>38.174134071993002</v>
      </c>
      <c r="B3380">
        <v>114.90975020309899</v>
      </c>
      <c r="C3380">
        <v>2000</v>
      </c>
    </row>
    <row r="3381" spans="1:11" x14ac:dyDescent="0.25">
      <c r="A3381">
        <v>27.048630912073101</v>
      </c>
      <c r="B3381">
        <v>103.78424704317899</v>
      </c>
      <c r="C3381">
        <v>2000</v>
      </c>
    </row>
    <row r="3382" spans="1:11" x14ac:dyDescent="0.25">
      <c r="A3382">
        <v>26.611614887624299</v>
      </c>
      <c r="B3382">
        <v>104.221263067628</v>
      </c>
      <c r="C3382">
        <v>2001</v>
      </c>
    </row>
    <row r="3383" spans="1:11" x14ac:dyDescent="0.25">
      <c r="A3383">
        <v>37.737118047544101</v>
      </c>
      <c r="B3383">
        <v>115.346766227548</v>
      </c>
      <c r="C3383">
        <v>2001</v>
      </c>
    </row>
    <row r="3384" spans="1:11" x14ac:dyDescent="0.25">
      <c r="A3384">
        <v>44.519475700694798</v>
      </c>
      <c r="B3384">
        <v>122.129123880698</v>
      </c>
      <c r="C3384">
        <v>2001</v>
      </c>
    </row>
    <row r="3385" spans="1:11" x14ac:dyDescent="0.25">
      <c r="A3385">
        <v>44.9564917251436</v>
      </c>
      <c r="B3385">
        <v>121.692107856249</v>
      </c>
      <c r="C3385">
        <v>2000</v>
      </c>
    </row>
    <row r="3386" spans="1:11" x14ac:dyDescent="0.25">
      <c r="A3386" t="s">
        <v>84</v>
      </c>
    </row>
    <row r="3387" spans="1:11" x14ac:dyDescent="0.25">
      <c r="A3387">
        <v>744</v>
      </c>
      <c r="B3387">
        <v>0</v>
      </c>
      <c r="C3387">
        <v>16.263174828299199</v>
      </c>
      <c r="D3387">
        <v>8.9720955142758196</v>
      </c>
      <c r="E3387">
        <v>6</v>
      </c>
      <c r="F3387">
        <v>1.01722196789785</v>
      </c>
      <c r="G3387" t="s">
        <v>81</v>
      </c>
      <c r="H3387" t="s">
        <v>82</v>
      </c>
      <c r="I3387">
        <v>929</v>
      </c>
      <c r="J3387">
        <v>0</v>
      </c>
      <c r="K3387">
        <v>0.102125662797643</v>
      </c>
    </row>
    <row r="3388" spans="1:11" x14ac:dyDescent="0.25">
      <c r="A3388" t="s">
        <v>83</v>
      </c>
    </row>
    <row r="3389" spans="1:11" x14ac:dyDescent="0.25">
      <c r="A3389">
        <v>143.73345830445101</v>
      </c>
      <c r="B3389">
        <v>113.51284400238499</v>
      </c>
      <c r="C3389">
        <v>2000</v>
      </c>
    </row>
    <row r="3390" spans="1:11" x14ac:dyDescent="0.25">
      <c r="A3390">
        <v>132.37447722791401</v>
      </c>
      <c r="B3390">
        <v>102.153862925848</v>
      </c>
      <c r="C3390">
        <v>2000</v>
      </c>
    </row>
    <row r="3391" spans="1:11" x14ac:dyDescent="0.25">
      <c r="A3391">
        <v>131.93746120346501</v>
      </c>
      <c r="B3391">
        <v>102.590878950297</v>
      </c>
      <c r="C3391">
        <v>2001</v>
      </c>
    </row>
    <row r="3392" spans="1:11" x14ac:dyDescent="0.25">
      <c r="A3392">
        <v>143.57808253635301</v>
      </c>
      <c r="B3392">
        <v>114.231500283185</v>
      </c>
      <c r="C3392">
        <v>2001</v>
      </c>
    </row>
    <row r="3393" spans="1:11" x14ac:dyDescent="0.25">
      <c r="A3393">
        <v>150</v>
      </c>
      <c r="B3393">
        <v>120.65341774683201</v>
      </c>
      <c r="C3393">
        <v>2001</v>
      </c>
    </row>
    <row r="3394" spans="1:11" x14ac:dyDescent="0.25">
      <c r="A3394">
        <v>150</v>
      </c>
      <c r="B3394">
        <v>119.779385697934</v>
      </c>
      <c r="C3394">
        <v>2000</v>
      </c>
    </row>
    <row r="3395" spans="1:11" x14ac:dyDescent="0.25">
      <c r="A3395" t="s">
        <v>84</v>
      </c>
    </row>
    <row r="3396" spans="1:11" x14ac:dyDescent="0.25">
      <c r="A3396">
        <v>762</v>
      </c>
      <c r="B3396">
        <v>0</v>
      </c>
      <c r="C3396">
        <v>22.9982400013023</v>
      </c>
      <c r="D3396">
        <v>2.0766595537230201</v>
      </c>
      <c r="E3396">
        <v>6</v>
      </c>
      <c r="F3396">
        <v>1.01722196789785</v>
      </c>
      <c r="G3396" t="s">
        <v>82</v>
      </c>
      <c r="H3396" t="s">
        <v>81</v>
      </c>
      <c r="I3396">
        <v>0</v>
      </c>
      <c r="J3396">
        <v>846</v>
      </c>
      <c r="K3396">
        <v>0.10038021386068</v>
      </c>
    </row>
    <row r="3397" spans="1:11" x14ac:dyDescent="0.25">
      <c r="A3397" t="s">
        <v>83</v>
      </c>
    </row>
    <row r="3398" spans="1:11" x14ac:dyDescent="0.25">
      <c r="A3398">
        <v>16.061799901446001</v>
      </c>
      <c r="B3398">
        <v>90.488885522918295</v>
      </c>
      <c r="C3398">
        <v>2000</v>
      </c>
    </row>
    <row r="3399" spans="1:11" x14ac:dyDescent="0.25">
      <c r="A3399">
        <v>0</v>
      </c>
      <c r="B3399">
        <v>74.427085621472401</v>
      </c>
      <c r="C3399">
        <v>2000</v>
      </c>
    </row>
    <row r="3400" spans="1:11" x14ac:dyDescent="0.25">
      <c r="A3400">
        <v>0</v>
      </c>
      <c r="B3400">
        <v>73.553053572574797</v>
      </c>
      <c r="C3400">
        <v>2001</v>
      </c>
    </row>
    <row r="3401" spans="1:11" x14ac:dyDescent="0.25">
      <c r="A3401">
        <v>16.462623019107301</v>
      </c>
      <c r="B3401">
        <v>90.015676591681995</v>
      </c>
      <c r="C3401">
        <v>2001</v>
      </c>
    </row>
    <row r="3402" spans="1:11" x14ac:dyDescent="0.25">
      <c r="A3402">
        <v>17.949139525154401</v>
      </c>
      <c r="B3402">
        <v>91.502193097729105</v>
      </c>
      <c r="C3402">
        <v>2001</v>
      </c>
    </row>
    <row r="3403" spans="1:11" x14ac:dyDescent="0.25">
      <c r="A3403">
        <v>17.512123500705599</v>
      </c>
      <c r="B3403">
        <v>91.939209122177999</v>
      </c>
      <c r="C3403">
        <v>2000</v>
      </c>
    </row>
    <row r="3404" spans="1:11" x14ac:dyDescent="0.25">
      <c r="A3404" t="s">
        <v>84</v>
      </c>
    </row>
    <row r="3405" spans="1:11" x14ac:dyDescent="0.25">
      <c r="A3405">
        <v>421</v>
      </c>
      <c r="B3405">
        <v>0</v>
      </c>
      <c r="C3405">
        <v>13.3539521541749</v>
      </c>
      <c r="D3405">
        <v>11.614400991340901</v>
      </c>
      <c r="E3405">
        <v>6</v>
      </c>
      <c r="F3405">
        <v>1.01722196789785</v>
      </c>
      <c r="G3405" t="s">
        <v>82</v>
      </c>
      <c r="H3405" t="s">
        <v>81</v>
      </c>
      <c r="I3405">
        <v>0</v>
      </c>
      <c r="J3405">
        <v>839</v>
      </c>
      <c r="K3405">
        <v>0</v>
      </c>
    </row>
    <row r="3406" spans="1:11" x14ac:dyDescent="0.25">
      <c r="A3406" t="s">
        <v>83</v>
      </c>
    </row>
    <row r="3407" spans="1:11" x14ac:dyDescent="0.25">
      <c r="A3407">
        <v>9.3258043648890805</v>
      </c>
      <c r="B3407">
        <v>126.59024638649601</v>
      </c>
      <c r="C3407">
        <v>2000</v>
      </c>
    </row>
    <row r="3408" spans="1:11" x14ac:dyDescent="0.25">
      <c r="A3408">
        <v>0</v>
      </c>
      <c r="B3408">
        <v>117.264442021607</v>
      </c>
      <c r="C3408">
        <v>2000</v>
      </c>
    </row>
    <row r="3409" spans="1:11" x14ac:dyDescent="0.25">
      <c r="A3409">
        <v>0</v>
      </c>
      <c r="B3409">
        <v>116.39040997270899</v>
      </c>
      <c r="C3409">
        <v>2001</v>
      </c>
    </row>
    <row r="3410" spans="1:11" x14ac:dyDescent="0.25">
      <c r="A3410">
        <v>9.5595358828264292</v>
      </c>
      <c r="B3410">
        <v>125.949945855536</v>
      </c>
      <c r="C3410">
        <v>2001</v>
      </c>
    </row>
    <row r="3411" spans="1:11" x14ac:dyDescent="0.25">
      <c r="A3411">
        <v>17.873799836479101</v>
      </c>
      <c r="B3411">
        <v>134.264209809189</v>
      </c>
      <c r="C3411">
        <v>2001</v>
      </c>
    </row>
    <row r="3412" spans="1:11" x14ac:dyDescent="0.25">
      <c r="A3412">
        <v>17.436783812030299</v>
      </c>
      <c r="B3412">
        <v>134.70122583363701</v>
      </c>
      <c r="C3412">
        <v>2000</v>
      </c>
    </row>
    <row r="3413" spans="1:11" x14ac:dyDescent="0.25">
      <c r="A3413" t="s">
        <v>84</v>
      </c>
    </row>
    <row r="3414" spans="1:11" x14ac:dyDescent="0.25">
      <c r="A3414">
        <v>831</v>
      </c>
      <c r="B3414">
        <v>0</v>
      </c>
      <c r="C3414">
        <v>20.670337897549199</v>
      </c>
      <c r="D3414">
        <v>4.2786557675444499</v>
      </c>
      <c r="E3414">
        <v>8</v>
      </c>
      <c r="F3414">
        <v>1.01722196789785</v>
      </c>
      <c r="G3414" t="s">
        <v>81</v>
      </c>
      <c r="H3414" t="s">
        <v>81</v>
      </c>
      <c r="I3414">
        <v>814</v>
      </c>
      <c r="J3414">
        <v>273</v>
      </c>
      <c r="K3414">
        <v>0.103203672621368</v>
      </c>
    </row>
    <row r="3415" spans="1:11" x14ac:dyDescent="0.25">
      <c r="A3415" t="s">
        <v>83</v>
      </c>
    </row>
    <row r="3416" spans="1:11" x14ac:dyDescent="0.25">
      <c r="A3416">
        <v>142.50879487977301</v>
      </c>
      <c r="B3416">
        <v>99.786498743014405</v>
      </c>
      <c r="C3416">
        <v>2000</v>
      </c>
    </row>
    <row r="3417" spans="1:11" x14ac:dyDescent="0.25">
      <c r="A3417">
        <v>142.503788124534</v>
      </c>
      <c r="B3417">
        <v>99.781491987775595</v>
      </c>
      <c r="C3417">
        <v>2000</v>
      </c>
    </row>
    <row r="3418" spans="1:11" x14ac:dyDescent="0.25">
      <c r="A3418">
        <v>127.89265878299901</v>
      </c>
      <c r="B3418">
        <v>85.170362646240093</v>
      </c>
      <c r="C3418">
        <v>2000</v>
      </c>
    </row>
    <row r="3419" spans="1:11" x14ac:dyDescent="0.25">
      <c r="A3419">
        <v>127.45564275855</v>
      </c>
      <c r="B3419">
        <v>85.607378670688902</v>
      </c>
      <c r="C3419">
        <v>2001</v>
      </c>
    </row>
    <row r="3420" spans="1:11" x14ac:dyDescent="0.25">
      <c r="A3420">
        <v>142.06677210008601</v>
      </c>
      <c r="B3420">
        <v>100.21850801222401</v>
      </c>
      <c r="C3420">
        <v>2001</v>
      </c>
    </row>
    <row r="3421" spans="1:11" x14ac:dyDescent="0.25">
      <c r="A3421">
        <v>142.071778855324</v>
      </c>
      <c r="B3421">
        <v>100.223514767463</v>
      </c>
      <c r="C3421">
        <v>2001</v>
      </c>
    </row>
    <row r="3422" spans="1:11" x14ac:dyDescent="0.25">
      <c r="A3422">
        <v>145.09724536291799</v>
      </c>
      <c r="B3422">
        <v>103.24898127505701</v>
      </c>
      <c r="C3422">
        <v>2001</v>
      </c>
    </row>
    <row r="3423" spans="1:11" x14ac:dyDescent="0.25">
      <c r="A3423">
        <v>145.534261387367</v>
      </c>
      <c r="B3423">
        <v>102.811965250608</v>
      </c>
      <c r="C3423">
        <v>2000</v>
      </c>
    </row>
    <row r="3424" spans="1:11" x14ac:dyDescent="0.25">
      <c r="A3424" t="s">
        <v>84</v>
      </c>
    </row>
    <row r="3425" spans="1:11" x14ac:dyDescent="0.25">
      <c r="A3425">
        <v>197</v>
      </c>
      <c r="B3425">
        <v>0</v>
      </c>
      <c r="C3425">
        <v>10.7399056308493</v>
      </c>
      <c r="D3425">
        <v>14.1283644422638</v>
      </c>
      <c r="E3425">
        <v>6</v>
      </c>
      <c r="F3425">
        <v>1.01722196789785</v>
      </c>
      <c r="G3425" t="s">
        <v>81</v>
      </c>
      <c r="H3425" t="s">
        <v>81</v>
      </c>
      <c r="I3425">
        <v>186</v>
      </c>
      <c r="J3425">
        <v>826</v>
      </c>
      <c r="K3425">
        <v>0</v>
      </c>
    </row>
    <row r="3426" spans="1:11" x14ac:dyDescent="0.25">
      <c r="A3426" t="s">
        <v>83</v>
      </c>
    </row>
    <row r="3427" spans="1:11" x14ac:dyDescent="0.25">
      <c r="A3427">
        <v>86.686899200406202</v>
      </c>
      <c r="B3427">
        <v>29.801124677896301</v>
      </c>
      <c r="C3427">
        <v>2000</v>
      </c>
    </row>
    <row r="3428" spans="1:11" x14ac:dyDescent="0.25">
      <c r="A3428">
        <v>79.092639099529094</v>
      </c>
      <c r="B3428">
        <v>22.2068645770192</v>
      </c>
      <c r="C3428">
        <v>2000</v>
      </c>
    </row>
    <row r="3429" spans="1:11" x14ac:dyDescent="0.25">
      <c r="A3429">
        <v>79.529655123977903</v>
      </c>
      <c r="B3429">
        <v>21.769848552570298</v>
      </c>
      <c r="C3429">
        <v>2001</v>
      </c>
    </row>
    <row r="3430" spans="1:11" x14ac:dyDescent="0.25">
      <c r="A3430">
        <v>87.123915224854997</v>
      </c>
      <c r="B3430">
        <v>29.364108653447399</v>
      </c>
      <c r="C3430">
        <v>2001</v>
      </c>
    </row>
    <row r="3431" spans="1:11" x14ac:dyDescent="0.25">
      <c r="A3431">
        <v>97.114177529054601</v>
      </c>
      <c r="B3431">
        <v>39.354370957647099</v>
      </c>
      <c r="C3431">
        <v>2001</v>
      </c>
    </row>
    <row r="3432" spans="1:11" x14ac:dyDescent="0.25">
      <c r="A3432">
        <v>96.677161504605806</v>
      </c>
      <c r="B3432">
        <v>39.791386982095901</v>
      </c>
      <c r="C3432">
        <v>2000</v>
      </c>
    </row>
    <row r="3433" spans="1:11" x14ac:dyDescent="0.25">
      <c r="A3433" t="s">
        <v>84</v>
      </c>
    </row>
    <row r="3434" spans="1:11" x14ac:dyDescent="0.25">
      <c r="A3434">
        <v>733</v>
      </c>
      <c r="B3434">
        <v>0</v>
      </c>
      <c r="C3434">
        <v>20.8064142730193</v>
      </c>
      <c r="D3434">
        <v>3.9368502756788599</v>
      </c>
      <c r="E3434">
        <v>6</v>
      </c>
      <c r="F3434">
        <v>1.01722196789785</v>
      </c>
      <c r="G3434" t="s">
        <v>81</v>
      </c>
      <c r="H3434" t="s">
        <v>82</v>
      </c>
      <c r="I3434">
        <v>848</v>
      </c>
      <c r="J3434">
        <v>0</v>
      </c>
      <c r="K3434">
        <v>0.101399532687084</v>
      </c>
    </row>
    <row r="3435" spans="1:11" x14ac:dyDescent="0.25">
      <c r="A3435" t="s">
        <v>83</v>
      </c>
    </row>
    <row r="3436" spans="1:11" x14ac:dyDescent="0.25">
      <c r="A3436">
        <v>77.967481982873096</v>
      </c>
      <c r="B3436">
        <v>147.25099283699799</v>
      </c>
      <c r="C3436">
        <v>2000</v>
      </c>
    </row>
    <row r="3437" spans="1:11" x14ac:dyDescent="0.25">
      <c r="A3437">
        <v>63.438867007022097</v>
      </c>
      <c r="B3437">
        <v>132.72237786114701</v>
      </c>
      <c r="C3437">
        <v>2000</v>
      </c>
    </row>
    <row r="3438" spans="1:11" x14ac:dyDescent="0.25">
      <c r="A3438">
        <v>63.875883031470899</v>
      </c>
      <c r="B3438">
        <v>132.285361836698</v>
      </c>
      <c r="C3438">
        <v>2001</v>
      </c>
    </row>
    <row r="3439" spans="1:11" x14ac:dyDescent="0.25">
      <c r="A3439">
        <v>78.771981304876903</v>
      </c>
      <c r="B3439">
        <v>147.18146011010401</v>
      </c>
      <c r="C3439">
        <v>2001</v>
      </c>
    </row>
    <row r="3440" spans="1:11" x14ac:dyDescent="0.25">
      <c r="A3440">
        <v>81.590521194772506</v>
      </c>
      <c r="B3440">
        <v>150</v>
      </c>
      <c r="C3440">
        <v>2001</v>
      </c>
    </row>
    <row r="3441" spans="1:11" x14ac:dyDescent="0.25">
      <c r="A3441">
        <v>80.716489145874903</v>
      </c>
      <c r="B3441">
        <v>150</v>
      </c>
      <c r="C3441">
        <v>2000</v>
      </c>
    </row>
    <row r="3442" spans="1:11" x14ac:dyDescent="0.25">
      <c r="A3442" t="s">
        <v>84</v>
      </c>
    </row>
    <row r="3443" spans="1:11" x14ac:dyDescent="0.25">
      <c r="A3443">
        <v>877</v>
      </c>
      <c r="B3443">
        <v>0</v>
      </c>
      <c r="C3443">
        <v>21.143726172613398</v>
      </c>
      <c r="D3443">
        <v>3.58673602128823</v>
      </c>
      <c r="E3443">
        <v>8</v>
      </c>
      <c r="F3443">
        <v>1.01722196789785</v>
      </c>
      <c r="G3443" t="s">
        <v>81</v>
      </c>
      <c r="H3443" t="s">
        <v>81</v>
      </c>
      <c r="I3443">
        <v>182</v>
      </c>
      <c r="J3443">
        <v>581</v>
      </c>
      <c r="K3443">
        <v>0.104210552406962</v>
      </c>
    </row>
    <row r="3444" spans="1:11" x14ac:dyDescent="0.25">
      <c r="A3444" t="s">
        <v>83</v>
      </c>
    </row>
    <row r="3445" spans="1:11" x14ac:dyDescent="0.25">
      <c r="A3445">
        <v>102.99148142570699</v>
      </c>
      <c r="B3445">
        <v>78.541882562698902</v>
      </c>
      <c r="C3445">
        <v>2000</v>
      </c>
    </row>
    <row r="3446" spans="1:11" x14ac:dyDescent="0.25">
      <c r="A3446">
        <v>99.781491987775595</v>
      </c>
      <c r="B3446">
        <v>75.331893124767703</v>
      </c>
      <c r="C3446">
        <v>2000</v>
      </c>
    </row>
    <row r="3447" spans="1:11" x14ac:dyDescent="0.25">
      <c r="A3447">
        <v>88.040609269500393</v>
      </c>
      <c r="B3447">
        <v>63.591010406492501</v>
      </c>
      <c r="C3447">
        <v>2000</v>
      </c>
    </row>
    <row r="3448" spans="1:11" x14ac:dyDescent="0.25">
      <c r="A3448">
        <v>88.477625293949203</v>
      </c>
      <c r="B3448">
        <v>63.153994382043699</v>
      </c>
      <c r="C3448">
        <v>2001</v>
      </c>
    </row>
    <row r="3449" spans="1:11" x14ac:dyDescent="0.25">
      <c r="A3449">
        <v>100.21850801222401</v>
      </c>
      <c r="B3449">
        <v>74.894877100318894</v>
      </c>
      <c r="C3449">
        <v>2001</v>
      </c>
    </row>
    <row r="3450" spans="1:11" x14ac:dyDescent="0.25">
      <c r="A3450">
        <v>103.428497450156</v>
      </c>
      <c r="B3450">
        <v>78.104866538250107</v>
      </c>
      <c r="C3450">
        <v>2001</v>
      </c>
    </row>
    <row r="3451" spans="1:11" x14ac:dyDescent="0.25">
      <c r="A3451">
        <v>105.96470281313501</v>
      </c>
      <c r="B3451">
        <v>80.641071901229097</v>
      </c>
      <c r="C3451">
        <v>2001</v>
      </c>
    </row>
    <row r="3452" spans="1:11" x14ac:dyDescent="0.25">
      <c r="A3452">
        <v>105.527686788686</v>
      </c>
      <c r="B3452">
        <v>81.078087925677906</v>
      </c>
      <c r="C3452">
        <v>2000</v>
      </c>
    </row>
    <row r="3453" spans="1:11" x14ac:dyDescent="0.25">
      <c r="A3453" t="s">
        <v>84</v>
      </c>
    </row>
    <row r="3454" spans="1:11" x14ac:dyDescent="0.25">
      <c r="A3454">
        <v>785</v>
      </c>
      <c r="B3454">
        <v>0</v>
      </c>
      <c r="C3454">
        <v>8.2569379102422893</v>
      </c>
      <c r="D3454">
        <v>16.3750451386327</v>
      </c>
      <c r="E3454">
        <v>6</v>
      </c>
      <c r="F3454">
        <v>1.01722196789785</v>
      </c>
      <c r="G3454" t="s">
        <v>82</v>
      </c>
      <c r="H3454" t="s">
        <v>82</v>
      </c>
      <c r="I3454">
        <v>0</v>
      </c>
      <c r="J3454">
        <v>0</v>
      </c>
      <c r="K3454">
        <v>9.9787223602304201E-2</v>
      </c>
    </row>
    <row r="3455" spans="1:11" x14ac:dyDescent="0.25">
      <c r="A3455" t="s">
        <v>83</v>
      </c>
    </row>
    <row r="3456" spans="1:11" x14ac:dyDescent="0.25">
      <c r="A3456">
        <v>5.9850298322931899</v>
      </c>
      <c r="B3456">
        <v>138.13057155991299</v>
      </c>
      <c r="C3456">
        <v>2000</v>
      </c>
    </row>
    <row r="3457" spans="1:11" x14ac:dyDescent="0.25">
      <c r="A3457">
        <v>0</v>
      </c>
      <c r="B3457">
        <v>132.14554172762001</v>
      </c>
      <c r="C3457">
        <v>2000</v>
      </c>
    </row>
    <row r="3458" spans="1:11" x14ac:dyDescent="0.25">
      <c r="A3458">
        <v>0</v>
      </c>
      <c r="B3458">
        <v>133.01957377651701</v>
      </c>
      <c r="C3458">
        <v>2001</v>
      </c>
    </row>
    <row r="3459" spans="1:11" x14ac:dyDescent="0.25">
      <c r="A3459">
        <v>5.6920437440440201</v>
      </c>
      <c r="B3459">
        <v>138.71161752056099</v>
      </c>
      <c r="C3459">
        <v>2001</v>
      </c>
    </row>
    <row r="3460" spans="1:11" x14ac:dyDescent="0.25">
      <c r="A3460">
        <v>16.980426223482802</v>
      </c>
      <c r="B3460">
        <v>150</v>
      </c>
      <c r="C3460">
        <v>2001</v>
      </c>
    </row>
    <row r="3461" spans="1:11" x14ac:dyDescent="0.25">
      <c r="A3461">
        <v>17.854458272380398</v>
      </c>
      <c r="B3461">
        <v>150</v>
      </c>
      <c r="C3461">
        <v>2000</v>
      </c>
    </row>
    <row r="3462" spans="1:11" x14ac:dyDescent="0.25">
      <c r="A3462" t="s">
        <v>84</v>
      </c>
    </row>
    <row r="3463" spans="1:11" x14ac:dyDescent="0.25">
      <c r="A3463">
        <v>772</v>
      </c>
      <c r="B3463">
        <v>0</v>
      </c>
      <c r="C3463">
        <v>0</v>
      </c>
      <c r="D3463">
        <v>24.290596193492199</v>
      </c>
      <c r="E3463">
        <v>6</v>
      </c>
      <c r="F3463">
        <v>1.01722196789785</v>
      </c>
      <c r="G3463" t="s">
        <v>81</v>
      </c>
      <c r="H3463" t="s">
        <v>81</v>
      </c>
      <c r="I3463">
        <v>774</v>
      </c>
      <c r="J3463">
        <v>938</v>
      </c>
      <c r="K3463">
        <v>0.101113411737407</v>
      </c>
    </row>
    <row r="3464" spans="1:11" x14ac:dyDescent="0.25">
      <c r="A3464" t="s">
        <v>83</v>
      </c>
    </row>
    <row r="3465" spans="1:11" x14ac:dyDescent="0.25">
      <c r="A3465">
        <v>28.590074873799701</v>
      </c>
      <c r="B3465">
        <v>41.600565278721099</v>
      </c>
      <c r="C3465">
        <v>2000</v>
      </c>
    </row>
    <row r="3466" spans="1:11" x14ac:dyDescent="0.25">
      <c r="A3466">
        <v>28.153058849350899</v>
      </c>
      <c r="B3466">
        <v>42.037581303169901</v>
      </c>
      <c r="C3466">
        <v>2001</v>
      </c>
    </row>
    <row r="3467" spans="1:11" x14ac:dyDescent="0.25">
      <c r="A3467">
        <v>36.333985558405303</v>
      </c>
      <c r="B3467">
        <v>50.218508012224397</v>
      </c>
      <c r="C3467">
        <v>2001</v>
      </c>
    </row>
    <row r="3468" spans="1:11" x14ac:dyDescent="0.25">
      <c r="A3468">
        <v>45.329104136833301</v>
      </c>
      <c r="B3468">
        <v>59.213626590652403</v>
      </c>
      <c r="C3468">
        <v>2001</v>
      </c>
    </row>
    <row r="3469" spans="1:11" x14ac:dyDescent="0.25">
      <c r="A3469">
        <v>45.766120161282103</v>
      </c>
      <c r="B3469">
        <v>58.776610566203601</v>
      </c>
      <c r="C3469">
        <v>2000</v>
      </c>
    </row>
    <row r="3470" spans="1:11" x14ac:dyDescent="0.25">
      <c r="A3470">
        <v>36.771001582854197</v>
      </c>
      <c r="B3470">
        <v>49.781491987775603</v>
      </c>
      <c r="C3470">
        <v>2000</v>
      </c>
    </row>
    <row r="3471" spans="1:11" x14ac:dyDescent="0.25">
      <c r="A3471" t="s">
        <v>84</v>
      </c>
    </row>
    <row r="3472" spans="1:11" x14ac:dyDescent="0.25">
      <c r="A3472">
        <v>520</v>
      </c>
      <c r="B3472">
        <v>0</v>
      </c>
      <c r="C3472">
        <v>3.4855389962249901</v>
      </c>
      <c r="D3472">
        <v>20.7727890989398</v>
      </c>
      <c r="E3472">
        <v>6</v>
      </c>
      <c r="F3472">
        <v>1.01722196789785</v>
      </c>
      <c r="G3472" t="s">
        <v>81</v>
      </c>
      <c r="H3472" t="s">
        <v>82</v>
      </c>
      <c r="I3472">
        <v>505</v>
      </c>
      <c r="J3472">
        <v>0</v>
      </c>
      <c r="K3472">
        <v>0</v>
      </c>
    </row>
    <row r="3473" spans="1:11" x14ac:dyDescent="0.25">
      <c r="A3473" t="s">
        <v>83</v>
      </c>
    </row>
    <row r="3474" spans="1:11" x14ac:dyDescent="0.25">
      <c r="A3474">
        <v>135.498531822497</v>
      </c>
      <c r="B3474">
        <v>27.150784336259498</v>
      </c>
      <c r="C3474">
        <v>2000</v>
      </c>
    </row>
    <row r="3475" spans="1:11" x14ac:dyDescent="0.25">
      <c r="A3475">
        <v>133.065279715885</v>
      </c>
      <c r="B3475">
        <v>24.717532229647599</v>
      </c>
      <c r="C3475">
        <v>2000</v>
      </c>
    </row>
    <row r="3476" spans="1:11" x14ac:dyDescent="0.25">
      <c r="A3476">
        <v>132.62826369143599</v>
      </c>
      <c r="B3476">
        <v>25.154548254096401</v>
      </c>
      <c r="C3476">
        <v>2001</v>
      </c>
    </row>
    <row r="3477" spans="1:11" x14ac:dyDescent="0.25">
      <c r="A3477">
        <v>135.12430810546601</v>
      </c>
      <c r="B3477">
        <v>27.650592668126102</v>
      </c>
      <c r="C3477">
        <v>2001</v>
      </c>
    </row>
    <row r="3478" spans="1:11" x14ac:dyDescent="0.25">
      <c r="A3478">
        <v>150</v>
      </c>
      <c r="B3478">
        <v>42.526284562659903</v>
      </c>
      <c r="C3478">
        <v>2001</v>
      </c>
    </row>
    <row r="3479" spans="1:11" x14ac:dyDescent="0.25">
      <c r="A3479">
        <v>150</v>
      </c>
      <c r="B3479">
        <v>41.652252513762299</v>
      </c>
      <c r="C3479">
        <v>2000</v>
      </c>
    </row>
    <row r="3480" spans="1:11" x14ac:dyDescent="0.25">
      <c r="A3480" t="s">
        <v>84</v>
      </c>
    </row>
    <row r="3481" spans="1:11" x14ac:dyDescent="0.25">
      <c r="A3481">
        <v>802</v>
      </c>
      <c r="B3481">
        <v>0</v>
      </c>
      <c r="C3481">
        <v>20.6159611365389</v>
      </c>
      <c r="D3481">
        <v>3.4499984069934602</v>
      </c>
      <c r="E3481">
        <v>6</v>
      </c>
      <c r="F3481">
        <v>1.01722196789785</v>
      </c>
      <c r="G3481" t="s">
        <v>82</v>
      </c>
      <c r="H3481" t="s">
        <v>81</v>
      </c>
      <c r="I3481">
        <v>0</v>
      </c>
      <c r="J3481">
        <v>104</v>
      </c>
      <c r="K3481">
        <v>0.10256144766988801</v>
      </c>
    </row>
    <row r="3482" spans="1:11" x14ac:dyDescent="0.25">
      <c r="A3482" t="s">
        <v>83</v>
      </c>
    </row>
    <row r="3483" spans="1:11" x14ac:dyDescent="0.25">
      <c r="A3483">
        <v>14.390502330994501</v>
      </c>
      <c r="B3483">
        <v>68.594033160480095</v>
      </c>
      <c r="C3483">
        <v>2000</v>
      </c>
    </row>
    <row r="3484" spans="1:11" x14ac:dyDescent="0.25">
      <c r="A3484">
        <v>0</v>
      </c>
      <c r="B3484">
        <v>54.2035308294857</v>
      </c>
      <c r="C3484">
        <v>2000</v>
      </c>
    </row>
    <row r="3485" spans="1:11" x14ac:dyDescent="0.25">
      <c r="A3485">
        <v>0</v>
      </c>
      <c r="B3485">
        <v>53.329498780587997</v>
      </c>
      <c r="C3485">
        <v>2001</v>
      </c>
    </row>
    <row r="3486" spans="1:11" x14ac:dyDescent="0.25">
      <c r="A3486">
        <v>14.7648695096554</v>
      </c>
      <c r="B3486">
        <v>68.094368290243494</v>
      </c>
      <c r="C3486">
        <v>2001</v>
      </c>
    </row>
    <row r="3487" spans="1:11" x14ac:dyDescent="0.25">
      <c r="A3487">
        <v>17.2357112012172</v>
      </c>
      <c r="B3487">
        <v>70.565209981805296</v>
      </c>
      <c r="C3487">
        <v>2001</v>
      </c>
    </row>
    <row r="3488" spans="1:11" x14ac:dyDescent="0.25">
      <c r="A3488">
        <v>16.798695176768401</v>
      </c>
      <c r="B3488">
        <v>71.002226006254105</v>
      </c>
      <c r="C3488">
        <v>2000</v>
      </c>
    </row>
    <row r="3489" spans="1:11" x14ac:dyDescent="0.25">
      <c r="A3489" t="s">
        <v>84</v>
      </c>
    </row>
    <row r="3490" spans="1:11" x14ac:dyDescent="0.25">
      <c r="A3490">
        <v>900</v>
      </c>
      <c r="B3490">
        <v>0</v>
      </c>
      <c r="C3490">
        <v>1.9058289531969301E-2</v>
      </c>
      <c r="D3490">
        <v>23.893458381809101</v>
      </c>
      <c r="E3490">
        <v>6</v>
      </c>
      <c r="F3490">
        <v>1.01722196789785</v>
      </c>
      <c r="G3490" t="s">
        <v>81</v>
      </c>
      <c r="H3490" t="s">
        <v>81</v>
      </c>
      <c r="I3490">
        <v>990</v>
      </c>
      <c r="J3490">
        <v>850</v>
      </c>
      <c r="K3490">
        <v>0.104772231836848</v>
      </c>
    </row>
    <row r="3491" spans="1:11" x14ac:dyDescent="0.25">
      <c r="A3491" t="s">
        <v>83</v>
      </c>
    </row>
    <row r="3492" spans="1:11" x14ac:dyDescent="0.25">
      <c r="A3492">
        <v>64.150244706375801</v>
      </c>
      <c r="B3492">
        <v>64.722680583005896</v>
      </c>
      <c r="C3492">
        <v>2000</v>
      </c>
    </row>
    <row r="3493" spans="1:11" x14ac:dyDescent="0.25">
      <c r="A3493">
        <v>64.1367684606099</v>
      </c>
      <c r="B3493">
        <v>64.709204337239996</v>
      </c>
      <c r="C3493">
        <v>2000</v>
      </c>
    </row>
    <row r="3494" spans="1:11" x14ac:dyDescent="0.25">
      <c r="A3494">
        <v>63.699752436161099</v>
      </c>
      <c r="B3494">
        <v>65.146220361688805</v>
      </c>
      <c r="C3494">
        <v>2001</v>
      </c>
    </row>
    <row r="3495" spans="1:11" x14ac:dyDescent="0.25">
      <c r="A3495">
        <v>63.713228681926999</v>
      </c>
      <c r="B3495">
        <v>65.159696607454705</v>
      </c>
      <c r="C3495">
        <v>2001</v>
      </c>
    </row>
    <row r="3496" spans="1:11" x14ac:dyDescent="0.25">
      <c r="A3496">
        <v>80.608455129702804</v>
      </c>
      <c r="B3496">
        <v>82.054923055230503</v>
      </c>
      <c r="C3496">
        <v>2001</v>
      </c>
    </row>
    <row r="3497" spans="1:11" x14ac:dyDescent="0.25">
      <c r="A3497">
        <v>81.045471154151599</v>
      </c>
      <c r="B3497">
        <v>81.617907030781694</v>
      </c>
      <c r="C3497">
        <v>2000</v>
      </c>
    </row>
    <row r="3498" spans="1:11" x14ac:dyDescent="0.25">
      <c r="A3498" t="s">
        <v>84</v>
      </c>
    </row>
    <row r="3499" spans="1:11" x14ac:dyDescent="0.25">
      <c r="A3499">
        <v>1014</v>
      </c>
      <c r="B3499">
        <v>0</v>
      </c>
      <c r="C3499">
        <v>9.5828111861626795</v>
      </c>
      <c r="D3499">
        <v>14.3142347261998</v>
      </c>
      <c r="E3499">
        <v>6</v>
      </c>
      <c r="F3499">
        <v>1.01722196789785</v>
      </c>
      <c r="G3499" t="s">
        <v>82</v>
      </c>
      <c r="H3499" t="s">
        <v>81</v>
      </c>
      <c r="I3499">
        <v>0</v>
      </c>
      <c r="J3499">
        <v>8</v>
      </c>
      <c r="K3499">
        <v>0.11115350981941299</v>
      </c>
    </row>
    <row r="3500" spans="1:11" x14ac:dyDescent="0.25">
      <c r="A3500" t="s">
        <v>83</v>
      </c>
    </row>
    <row r="3501" spans="1:11" x14ac:dyDescent="0.25">
      <c r="A3501">
        <v>30.200600272490799</v>
      </c>
      <c r="B3501">
        <v>6.6884481839209</v>
      </c>
      <c r="C3501">
        <v>2000</v>
      </c>
    </row>
    <row r="3502" spans="1:11" x14ac:dyDescent="0.25">
      <c r="A3502">
        <v>23.512152088569898</v>
      </c>
      <c r="B3502">
        <v>0</v>
      </c>
      <c r="C3502">
        <v>2000</v>
      </c>
    </row>
    <row r="3503" spans="1:11" x14ac:dyDescent="0.25">
      <c r="A3503">
        <v>22.638120039672302</v>
      </c>
      <c r="B3503">
        <v>0</v>
      </c>
      <c r="C3503">
        <v>2001</v>
      </c>
    </row>
    <row r="3504" spans="1:11" x14ac:dyDescent="0.25">
      <c r="A3504">
        <v>29.501813400883201</v>
      </c>
      <c r="B3504">
        <v>6.8636933612109603</v>
      </c>
      <c r="C3504">
        <v>2001</v>
      </c>
    </row>
    <row r="3505" spans="1:11" x14ac:dyDescent="0.25">
      <c r="A3505">
        <v>39.754391266854498</v>
      </c>
      <c r="B3505">
        <v>17.1162712271822</v>
      </c>
      <c r="C3505">
        <v>2001</v>
      </c>
    </row>
    <row r="3506" spans="1:11" x14ac:dyDescent="0.25">
      <c r="A3506">
        <v>40.1914072913033</v>
      </c>
      <c r="B3506">
        <v>16.679255202733401</v>
      </c>
      <c r="C3506">
        <v>2000</v>
      </c>
    </row>
    <row r="3507" spans="1:11" x14ac:dyDescent="0.25">
      <c r="A3507" t="s">
        <v>84</v>
      </c>
    </row>
    <row r="3508" spans="1:11" x14ac:dyDescent="0.25">
      <c r="A3508">
        <v>342</v>
      </c>
      <c r="B3508">
        <v>0</v>
      </c>
      <c r="C3508">
        <v>21.0872212172263</v>
      </c>
      <c r="D3508">
        <v>2.7725744623614799</v>
      </c>
      <c r="E3508">
        <v>10</v>
      </c>
      <c r="F3508">
        <v>1.01722196789785</v>
      </c>
      <c r="G3508" t="s">
        <v>81</v>
      </c>
      <c r="H3508" t="s">
        <v>81</v>
      </c>
      <c r="I3508">
        <v>106</v>
      </c>
      <c r="J3508">
        <v>360</v>
      </c>
      <c r="K3508">
        <v>0</v>
      </c>
    </row>
    <row r="3509" spans="1:11" x14ac:dyDescent="0.25">
      <c r="A3509" t="s">
        <v>83</v>
      </c>
    </row>
    <row r="3510" spans="1:11" x14ac:dyDescent="0.25">
      <c r="A3510">
        <v>63.6324269797759</v>
      </c>
      <c r="B3510">
        <v>114.230344866514</v>
      </c>
      <c r="C3510">
        <v>2000</v>
      </c>
    </row>
    <row r="3511" spans="1:11" x14ac:dyDescent="0.25">
      <c r="A3511">
        <v>50.218508012224397</v>
      </c>
      <c r="B3511">
        <v>100.816425898963</v>
      </c>
      <c r="C3511">
        <v>2000</v>
      </c>
    </row>
    <row r="3512" spans="1:11" x14ac:dyDescent="0.25">
      <c r="A3512">
        <v>49.183574101037301</v>
      </c>
      <c r="B3512">
        <v>99.781491987775595</v>
      </c>
      <c r="C3512">
        <v>2000</v>
      </c>
    </row>
    <row r="3513" spans="1:11" x14ac:dyDescent="0.25">
      <c r="A3513">
        <v>48.721509860694297</v>
      </c>
      <c r="B3513">
        <v>99.319427747432599</v>
      </c>
      <c r="C3513">
        <v>2000</v>
      </c>
    </row>
    <row r="3514" spans="1:11" x14ac:dyDescent="0.25">
      <c r="A3514">
        <v>48.284493836245503</v>
      </c>
      <c r="B3514">
        <v>99.756443771881393</v>
      </c>
      <c r="C3514">
        <v>2001</v>
      </c>
    </row>
    <row r="3515" spans="1:11" x14ac:dyDescent="0.25">
      <c r="A3515">
        <v>48.746558076588499</v>
      </c>
      <c r="B3515">
        <v>100.21850801222401</v>
      </c>
      <c r="C3515">
        <v>2001</v>
      </c>
    </row>
    <row r="3516" spans="1:11" x14ac:dyDescent="0.25">
      <c r="A3516">
        <v>49.781491987775603</v>
      </c>
      <c r="B3516">
        <v>101.253441923411</v>
      </c>
      <c r="C3516">
        <v>2001</v>
      </c>
    </row>
    <row r="3517" spans="1:11" x14ac:dyDescent="0.25">
      <c r="A3517">
        <v>63.195410955327098</v>
      </c>
      <c r="B3517">
        <v>114.667360890963</v>
      </c>
      <c r="C3517">
        <v>2001</v>
      </c>
    </row>
    <row r="3518" spans="1:11" x14ac:dyDescent="0.25">
      <c r="A3518">
        <v>65.155917159007501</v>
      </c>
      <c r="B3518">
        <v>116.62786709464299</v>
      </c>
      <c r="C3518">
        <v>2001</v>
      </c>
    </row>
    <row r="3519" spans="1:11" x14ac:dyDescent="0.25">
      <c r="A3519">
        <v>65.592933183456395</v>
      </c>
      <c r="B3519">
        <v>116.190851070195</v>
      </c>
      <c r="C3519">
        <v>2000</v>
      </c>
    </row>
    <row r="3520" spans="1:11" x14ac:dyDescent="0.25">
      <c r="A3520" t="s">
        <v>84</v>
      </c>
    </row>
    <row r="3521" spans="1:11" x14ac:dyDescent="0.25">
      <c r="A3521">
        <v>737</v>
      </c>
      <c r="B3521">
        <v>0</v>
      </c>
      <c r="C3521">
        <v>13.376202139013801</v>
      </c>
      <c r="D3521">
        <v>10.429844501178</v>
      </c>
      <c r="E3521">
        <v>6</v>
      </c>
      <c r="F3521">
        <v>1.01722196789785</v>
      </c>
      <c r="G3521" t="s">
        <v>81</v>
      </c>
      <c r="H3521" t="s">
        <v>82</v>
      </c>
      <c r="I3521">
        <v>921</v>
      </c>
      <c r="J3521">
        <v>0</v>
      </c>
      <c r="K3521">
        <v>9.9787223602304201E-2</v>
      </c>
    </row>
    <row r="3522" spans="1:11" x14ac:dyDescent="0.25">
      <c r="A3522" t="s">
        <v>83</v>
      </c>
    </row>
    <row r="3523" spans="1:11" x14ac:dyDescent="0.25">
      <c r="A3523">
        <v>142.720718400099</v>
      </c>
      <c r="B3523">
        <v>118.043458999306</v>
      </c>
      <c r="C3523">
        <v>2000</v>
      </c>
    </row>
    <row r="3524" spans="1:11" x14ac:dyDescent="0.25">
      <c r="A3524">
        <v>133.38509099970199</v>
      </c>
      <c r="B3524">
        <v>108.707831598908</v>
      </c>
      <c r="C3524">
        <v>2000</v>
      </c>
    </row>
    <row r="3525" spans="1:11" x14ac:dyDescent="0.25">
      <c r="A3525">
        <v>132.94807497525301</v>
      </c>
      <c r="B3525">
        <v>109.14484762335699</v>
      </c>
      <c r="C3525">
        <v>2001</v>
      </c>
    </row>
    <row r="3526" spans="1:11" x14ac:dyDescent="0.25">
      <c r="A3526">
        <v>142.52925405289301</v>
      </c>
      <c r="B3526">
        <v>118.726026700997</v>
      </c>
      <c r="C3526">
        <v>2001</v>
      </c>
    </row>
    <row r="3527" spans="1:11" x14ac:dyDescent="0.25">
      <c r="A3527">
        <v>150</v>
      </c>
      <c r="B3527">
        <v>126.196772648104</v>
      </c>
      <c r="C3527">
        <v>2001</v>
      </c>
    </row>
    <row r="3528" spans="1:11" x14ac:dyDescent="0.25">
      <c r="A3528">
        <v>150</v>
      </c>
      <c r="B3528">
        <v>125.32274059920699</v>
      </c>
      <c r="C3528">
        <v>2000</v>
      </c>
    </row>
    <row r="3529" spans="1:11" x14ac:dyDescent="0.25">
      <c r="A3529" t="s">
        <v>84</v>
      </c>
    </row>
    <row r="3530" spans="1:11" x14ac:dyDescent="0.25">
      <c r="A3530">
        <v>1008</v>
      </c>
      <c r="B3530">
        <v>0</v>
      </c>
      <c r="C3530">
        <v>20.404334664859199</v>
      </c>
      <c r="D3530">
        <v>3.3482153212735102</v>
      </c>
      <c r="E3530">
        <v>6</v>
      </c>
      <c r="F3530">
        <v>1.01722196789785</v>
      </c>
      <c r="G3530" t="s">
        <v>82</v>
      </c>
      <c r="H3530" t="s">
        <v>81</v>
      </c>
      <c r="I3530">
        <v>0</v>
      </c>
      <c r="J3530">
        <v>404</v>
      </c>
      <c r="K3530">
        <v>0.110449398876567</v>
      </c>
    </row>
    <row r="3531" spans="1:11" x14ac:dyDescent="0.25">
      <c r="A3531" t="s">
        <v>83</v>
      </c>
    </row>
    <row r="3532" spans="1:11" x14ac:dyDescent="0.25">
      <c r="A3532">
        <v>14.2403367983162</v>
      </c>
      <c r="B3532">
        <v>129.965788148391</v>
      </c>
      <c r="C3532">
        <v>2000</v>
      </c>
    </row>
    <row r="3533" spans="1:11" x14ac:dyDescent="0.25">
      <c r="A3533">
        <v>0</v>
      </c>
      <c r="B3533">
        <v>115.72545135007501</v>
      </c>
      <c r="C3533">
        <v>2000</v>
      </c>
    </row>
    <row r="3534" spans="1:11" x14ac:dyDescent="0.25">
      <c r="A3534">
        <v>0</v>
      </c>
      <c r="B3534">
        <v>114.851419301178</v>
      </c>
      <c r="C3534">
        <v>2001</v>
      </c>
    </row>
    <row r="3535" spans="1:11" x14ac:dyDescent="0.25">
      <c r="A3535">
        <v>14.615750015927199</v>
      </c>
      <c r="B3535">
        <v>129.467169317105</v>
      </c>
      <c r="C3535">
        <v>2001</v>
      </c>
    </row>
    <row r="3536" spans="1:11" x14ac:dyDescent="0.25">
      <c r="A3536">
        <v>17.014097177891301</v>
      </c>
      <c r="B3536">
        <v>131.86551647906899</v>
      </c>
      <c r="C3536">
        <v>2001</v>
      </c>
    </row>
    <row r="3537" spans="1:11" x14ac:dyDescent="0.25">
      <c r="A3537">
        <v>16.577081153442499</v>
      </c>
      <c r="B3537">
        <v>132.30253250351799</v>
      </c>
      <c r="C3537">
        <v>2000</v>
      </c>
    </row>
    <row r="3538" spans="1:11" x14ac:dyDescent="0.25">
      <c r="A3538" t="s">
        <v>84</v>
      </c>
    </row>
    <row r="3539" spans="1:11" x14ac:dyDescent="0.25">
      <c r="A3539">
        <v>734</v>
      </c>
      <c r="B3539">
        <v>0</v>
      </c>
      <c r="C3539">
        <v>18.286693442414698</v>
      </c>
      <c r="D3539">
        <v>5.4637947048753999</v>
      </c>
      <c r="E3539">
        <v>6</v>
      </c>
      <c r="F3539">
        <v>1.01722196789785</v>
      </c>
      <c r="G3539" t="s">
        <v>81</v>
      </c>
      <c r="H3539" t="s">
        <v>81</v>
      </c>
      <c r="I3539">
        <v>761</v>
      </c>
      <c r="J3539">
        <v>736</v>
      </c>
      <c r="K3539">
        <v>0.101658837564709</v>
      </c>
    </row>
    <row r="3540" spans="1:11" x14ac:dyDescent="0.25">
      <c r="A3540" t="s">
        <v>83</v>
      </c>
    </row>
    <row r="3541" spans="1:11" x14ac:dyDescent="0.25">
      <c r="A3541">
        <v>74.909434669138804</v>
      </c>
      <c r="B3541">
        <v>117.465371084155</v>
      </c>
      <c r="C3541">
        <v>2000</v>
      </c>
    </row>
    <row r="3542" spans="1:11" x14ac:dyDescent="0.25">
      <c r="A3542">
        <v>61.978789730527801</v>
      </c>
      <c r="B3542">
        <v>104.534726145544</v>
      </c>
      <c r="C3542">
        <v>2000</v>
      </c>
    </row>
    <row r="3543" spans="1:11" x14ac:dyDescent="0.25">
      <c r="A3543">
        <v>61.541773706078999</v>
      </c>
      <c r="B3543">
        <v>104.97174216999299</v>
      </c>
      <c r="C3543">
        <v>2001</v>
      </c>
    </row>
    <row r="3544" spans="1:11" x14ac:dyDescent="0.25">
      <c r="A3544">
        <v>74.472418644689995</v>
      </c>
      <c r="B3544">
        <v>117.902387108604</v>
      </c>
      <c r="C3544">
        <v>2001</v>
      </c>
    </row>
    <row r="3545" spans="1:11" x14ac:dyDescent="0.25">
      <c r="A3545">
        <v>78.335904931518499</v>
      </c>
      <c r="B3545">
        <v>121.765873395432</v>
      </c>
      <c r="C3545">
        <v>2001</v>
      </c>
    </row>
    <row r="3546" spans="1:11" x14ac:dyDescent="0.25">
      <c r="A3546">
        <v>78.772920955967294</v>
      </c>
      <c r="B3546">
        <v>121.328857370984</v>
      </c>
      <c r="C3546">
        <v>2000</v>
      </c>
    </row>
    <row r="3547" spans="1:11" x14ac:dyDescent="0.25">
      <c r="A3547" t="s">
        <v>84</v>
      </c>
    </row>
    <row r="3548" spans="1:11" x14ac:dyDescent="0.25">
      <c r="A3548">
        <v>118</v>
      </c>
      <c r="B3548">
        <v>0</v>
      </c>
      <c r="C3548">
        <v>5.8640425012882198E-2</v>
      </c>
      <c r="D3548">
        <v>23.666765955969399</v>
      </c>
      <c r="E3548">
        <v>6</v>
      </c>
      <c r="F3548">
        <v>1.01722196789785</v>
      </c>
      <c r="G3548" t="s">
        <v>81</v>
      </c>
      <c r="H3548" t="s">
        <v>81</v>
      </c>
      <c r="I3548">
        <v>81</v>
      </c>
      <c r="J3548">
        <v>924</v>
      </c>
      <c r="K3548">
        <v>0</v>
      </c>
    </row>
    <row r="3549" spans="1:11" x14ac:dyDescent="0.25">
      <c r="A3549" t="s">
        <v>83</v>
      </c>
    </row>
    <row r="3550" spans="1:11" x14ac:dyDescent="0.25">
      <c r="A3550">
        <v>3.39788952628499</v>
      </c>
      <c r="B3550">
        <v>73.854325819688299</v>
      </c>
      <c r="C3550">
        <v>2000</v>
      </c>
    </row>
    <row r="3551" spans="1:11" x14ac:dyDescent="0.25">
      <c r="A3551">
        <v>3.3564244841067201</v>
      </c>
      <c r="B3551">
        <v>73.812860777509997</v>
      </c>
      <c r="C3551">
        <v>2000</v>
      </c>
    </row>
    <row r="3552" spans="1:11" x14ac:dyDescent="0.25">
      <c r="A3552">
        <v>3.7934405085555398</v>
      </c>
      <c r="B3552">
        <v>73.375844753061202</v>
      </c>
      <c r="C3552">
        <v>2001</v>
      </c>
    </row>
    <row r="3553" spans="1:11" x14ac:dyDescent="0.25">
      <c r="A3553">
        <v>3.8349055507338101</v>
      </c>
      <c r="B3553">
        <v>73.417309795239404</v>
      </c>
      <c r="C3553">
        <v>2001</v>
      </c>
    </row>
    <row r="3554" spans="1:11" x14ac:dyDescent="0.25">
      <c r="A3554">
        <v>20.569836246954701</v>
      </c>
      <c r="B3554">
        <v>90.152240491460304</v>
      </c>
      <c r="C3554">
        <v>2001</v>
      </c>
    </row>
    <row r="3555" spans="1:11" x14ac:dyDescent="0.25">
      <c r="A3555">
        <v>20.132820222505799</v>
      </c>
      <c r="B3555">
        <v>90.589256515909099</v>
      </c>
      <c r="C3555">
        <v>2000</v>
      </c>
    </row>
    <row r="3556" spans="1:11" x14ac:dyDescent="0.25">
      <c r="A3556" t="s">
        <v>84</v>
      </c>
    </row>
    <row r="3557" spans="1:11" x14ac:dyDescent="0.25">
      <c r="A3557">
        <v>355</v>
      </c>
      <c r="B3557">
        <v>0</v>
      </c>
      <c r="C3557">
        <v>6.7018130255949302</v>
      </c>
      <c r="D3557">
        <v>16.981893309442</v>
      </c>
      <c r="E3557">
        <v>8</v>
      </c>
      <c r="F3557">
        <v>1.01722196789785</v>
      </c>
      <c r="G3557" t="s">
        <v>81</v>
      </c>
      <c r="H3557" t="s">
        <v>81</v>
      </c>
      <c r="I3557">
        <v>328</v>
      </c>
      <c r="J3557">
        <v>275</v>
      </c>
      <c r="K3557">
        <v>0</v>
      </c>
    </row>
    <row r="3558" spans="1:11" x14ac:dyDescent="0.25">
      <c r="A3558" t="s">
        <v>83</v>
      </c>
    </row>
    <row r="3559" spans="1:11" x14ac:dyDescent="0.25">
      <c r="A3559">
        <v>95.815899178295496</v>
      </c>
      <c r="B3559">
        <v>112.15546245415</v>
      </c>
      <c r="C3559">
        <v>2000</v>
      </c>
    </row>
    <row r="3560" spans="1:11" x14ac:dyDescent="0.25">
      <c r="A3560">
        <v>91.077001741653007</v>
      </c>
      <c r="B3560">
        <v>107.416565017507</v>
      </c>
      <c r="C3560">
        <v>2000</v>
      </c>
    </row>
    <row r="3561" spans="1:11" x14ac:dyDescent="0.25">
      <c r="A3561">
        <v>90.639985717204198</v>
      </c>
      <c r="B3561">
        <v>107.85358104195601</v>
      </c>
      <c r="C3561">
        <v>2001</v>
      </c>
    </row>
    <row r="3562" spans="1:11" x14ac:dyDescent="0.25">
      <c r="A3562">
        <v>95.378883153846701</v>
      </c>
      <c r="B3562">
        <v>112.59247847859901</v>
      </c>
      <c r="C3562">
        <v>2001</v>
      </c>
    </row>
    <row r="3563" spans="1:11" x14ac:dyDescent="0.25">
      <c r="A3563">
        <v>99.781491987775595</v>
      </c>
      <c r="B3563">
        <v>116.995087312528</v>
      </c>
      <c r="C3563">
        <v>2001</v>
      </c>
    </row>
    <row r="3564" spans="1:11" x14ac:dyDescent="0.25">
      <c r="A3564">
        <v>107.38689507034</v>
      </c>
      <c r="B3564">
        <v>124.600490395092</v>
      </c>
      <c r="C3564">
        <v>2001</v>
      </c>
    </row>
    <row r="3565" spans="1:11" x14ac:dyDescent="0.25">
      <c r="A3565">
        <v>107.823911094788</v>
      </c>
      <c r="B3565">
        <v>124.163474370643</v>
      </c>
      <c r="C3565">
        <v>2000</v>
      </c>
    </row>
    <row r="3566" spans="1:11" x14ac:dyDescent="0.25">
      <c r="A3566">
        <v>100.21850801222401</v>
      </c>
      <c r="B3566">
        <v>116.55807128807901</v>
      </c>
      <c r="C3566">
        <v>2000</v>
      </c>
    </row>
    <row r="3567" spans="1:11" x14ac:dyDescent="0.25">
      <c r="A3567" t="s">
        <v>84</v>
      </c>
    </row>
    <row r="3568" spans="1:11" x14ac:dyDescent="0.25">
      <c r="A3568">
        <v>865</v>
      </c>
      <c r="B3568">
        <v>0</v>
      </c>
      <c r="C3568">
        <v>10.3195236881788</v>
      </c>
      <c r="D3568">
        <v>13.1526525278516</v>
      </c>
      <c r="E3568">
        <v>8</v>
      </c>
      <c r="F3568">
        <v>1.01722196789785</v>
      </c>
      <c r="G3568" t="s">
        <v>81</v>
      </c>
      <c r="H3568" t="s">
        <v>81</v>
      </c>
      <c r="I3568">
        <v>834</v>
      </c>
      <c r="J3568">
        <v>823</v>
      </c>
      <c r="K3568">
        <v>0.104016298956218</v>
      </c>
    </row>
    <row r="3569" spans="1:11" x14ac:dyDescent="0.25">
      <c r="A3569" t="s">
        <v>83</v>
      </c>
    </row>
    <row r="3570" spans="1:11" x14ac:dyDescent="0.25">
      <c r="A3570">
        <v>111.19268830083401</v>
      </c>
      <c r="B3570">
        <v>43.239012244729999</v>
      </c>
      <c r="C3570">
        <v>2000</v>
      </c>
    </row>
    <row r="3571" spans="1:11" x14ac:dyDescent="0.25">
      <c r="A3571">
        <v>103.895683122308</v>
      </c>
      <c r="B3571">
        <v>35.942007066203502</v>
      </c>
      <c r="C3571">
        <v>2000</v>
      </c>
    </row>
    <row r="3572" spans="1:11" x14ac:dyDescent="0.25">
      <c r="A3572">
        <v>104.33269914675699</v>
      </c>
      <c r="B3572">
        <v>35.5049910417547</v>
      </c>
      <c r="C3572">
        <v>2001</v>
      </c>
    </row>
    <row r="3573" spans="1:11" x14ac:dyDescent="0.25">
      <c r="A3573">
        <v>111.629704325283</v>
      </c>
      <c r="B3573">
        <v>42.801996220281097</v>
      </c>
      <c r="C3573">
        <v>2001</v>
      </c>
    </row>
    <row r="3574" spans="1:11" x14ac:dyDescent="0.25">
      <c r="A3574">
        <v>118.609200092777</v>
      </c>
      <c r="B3574">
        <v>49.781491987775603</v>
      </c>
      <c r="C3574">
        <v>2001</v>
      </c>
    </row>
    <row r="3575" spans="1:11" x14ac:dyDescent="0.25">
      <c r="A3575">
        <v>120.930034118317</v>
      </c>
      <c r="B3575">
        <v>52.102326013315398</v>
      </c>
      <c r="C3575">
        <v>2001</v>
      </c>
    </row>
    <row r="3576" spans="1:11" x14ac:dyDescent="0.25">
      <c r="A3576">
        <v>120.493018093868</v>
      </c>
      <c r="B3576">
        <v>52.5393420377642</v>
      </c>
      <c r="C3576">
        <v>2000</v>
      </c>
    </row>
    <row r="3577" spans="1:11" x14ac:dyDescent="0.25">
      <c r="A3577">
        <v>118.172184068329</v>
      </c>
      <c r="B3577">
        <v>50.218508012224397</v>
      </c>
      <c r="C3577">
        <v>2000</v>
      </c>
    </row>
    <row r="3578" spans="1:11" x14ac:dyDescent="0.25">
      <c r="A3578" t="s">
        <v>84</v>
      </c>
    </row>
    <row r="3579" spans="1:11" x14ac:dyDescent="0.25">
      <c r="A3579">
        <v>1013</v>
      </c>
      <c r="B3579">
        <v>0</v>
      </c>
      <c r="C3579">
        <v>17.555844170999698</v>
      </c>
      <c r="D3579">
        <v>5.9048470879382897</v>
      </c>
      <c r="E3579">
        <v>6</v>
      </c>
      <c r="F3579">
        <v>1.01722196789785</v>
      </c>
      <c r="G3579" t="s">
        <v>81</v>
      </c>
      <c r="H3579" t="s">
        <v>82</v>
      </c>
      <c r="I3579">
        <v>408</v>
      </c>
      <c r="J3579">
        <v>0</v>
      </c>
      <c r="K3579">
        <v>0.110956953630095</v>
      </c>
    </row>
    <row r="3580" spans="1:11" x14ac:dyDescent="0.25">
      <c r="A3580" t="s">
        <v>83</v>
      </c>
    </row>
    <row r="3581" spans="1:11" x14ac:dyDescent="0.25">
      <c r="A3581">
        <v>21.608176459620299</v>
      </c>
      <c r="B3581">
        <v>145.87963910325701</v>
      </c>
      <c r="C3581">
        <v>2000</v>
      </c>
    </row>
    <row r="3582" spans="1:11" x14ac:dyDescent="0.25">
      <c r="A3582">
        <v>9.3578314880688804</v>
      </c>
      <c r="B3582">
        <v>133.629294131705</v>
      </c>
      <c r="C3582">
        <v>2000</v>
      </c>
    </row>
    <row r="3583" spans="1:11" x14ac:dyDescent="0.25">
      <c r="A3583">
        <v>9.7948475125177001</v>
      </c>
      <c r="B3583">
        <v>133.19227810725701</v>
      </c>
      <c r="C3583">
        <v>2001</v>
      </c>
    </row>
    <row r="3584" spans="1:11" x14ac:dyDescent="0.25">
      <c r="A3584">
        <v>22.372215466502801</v>
      </c>
      <c r="B3584">
        <v>145.76964606124201</v>
      </c>
      <c r="C3584">
        <v>2001</v>
      </c>
    </row>
    <row r="3585" spans="1:11" x14ac:dyDescent="0.25">
      <c r="A3585">
        <v>26.6025694052611</v>
      </c>
      <c r="B3585">
        <v>150</v>
      </c>
      <c r="C3585">
        <v>2001</v>
      </c>
    </row>
    <row r="3586" spans="1:11" x14ac:dyDescent="0.25">
      <c r="A3586">
        <v>25.7285373563635</v>
      </c>
      <c r="B3586">
        <v>150</v>
      </c>
      <c r="C3586">
        <v>2000</v>
      </c>
    </row>
    <row r="3587" spans="1:11" x14ac:dyDescent="0.25">
      <c r="A3587" t="s">
        <v>84</v>
      </c>
    </row>
    <row r="3588" spans="1:11" x14ac:dyDescent="0.25">
      <c r="A3588">
        <v>596</v>
      </c>
      <c r="B3588">
        <v>0</v>
      </c>
      <c r="C3588">
        <v>10.4407250012727</v>
      </c>
      <c r="D3588">
        <v>12.9396962458878</v>
      </c>
      <c r="E3588">
        <v>6</v>
      </c>
      <c r="F3588">
        <v>1.01722196789785</v>
      </c>
      <c r="G3588" t="s">
        <v>81</v>
      </c>
      <c r="H3588" t="s">
        <v>82</v>
      </c>
      <c r="I3588">
        <v>872</v>
      </c>
      <c r="J3588">
        <v>0</v>
      </c>
      <c r="K3588">
        <v>0</v>
      </c>
    </row>
    <row r="3589" spans="1:11" x14ac:dyDescent="0.25">
      <c r="A3589" t="s">
        <v>83</v>
      </c>
    </row>
    <row r="3590" spans="1:11" x14ac:dyDescent="0.25">
      <c r="A3590">
        <v>140.72932162813899</v>
      </c>
      <c r="B3590">
        <v>62.3119540876353</v>
      </c>
      <c r="C3590">
        <v>2000</v>
      </c>
    </row>
    <row r="3591" spans="1:11" x14ac:dyDescent="0.25">
      <c r="A3591">
        <v>133.24903757691001</v>
      </c>
      <c r="B3591">
        <v>54.831670036407097</v>
      </c>
      <c r="C3591">
        <v>2000</v>
      </c>
    </row>
    <row r="3592" spans="1:11" x14ac:dyDescent="0.25">
      <c r="A3592">
        <v>133.68605360135899</v>
      </c>
      <c r="B3592">
        <v>54.394654011958302</v>
      </c>
      <c r="C3592">
        <v>2001</v>
      </c>
    </row>
    <row r="3593" spans="1:11" x14ac:dyDescent="0.25">
      <c r="A3593">
        <v>140.97118444793901</v>
      </c>
      <c r="B3593">
        <v>61.679784858537801</v>
      </c>
      <c r="C3593">
        <v>2001</v>
      </c>
    </row>
    <row r="3594" spans="1:11" x14ac:dyDescent="0.25">
      <c r="A3594">
        <v>150</v>
      </c>
      <c r="B3594">
        <v>70.708600410599104</v>
      </c>
      <c r="C3594">
        <v>2001</v>
      </c>
    </row>
    <row r="3595" spans="1:11" x14ac:dyDescent="0.25">
      <c r="A3595">
        <v>150</v>
      </c>
      <c r="B3595">
        <v>71.582632459496807</v>
      </c>
      <c r="C3595">
        <v>2000</v>
      </c>
    </row>
    <row r="3596" spans="1:11" x14ac:dyDescent="0.25">
      <c r="A3596" t="s">
        <v>84</v>
      </c>
    </row>
    <row r="3597" spans="1:11" x14ac:dyDescent="0.25">
      <c r="A3597">
        <v>906</v>
      </c>
      <c r="B3597">
        <v>0</v>
      </c>
      <c r="C3597">
        <v>12.9433166931038</v>
      </c>
      <c r="D3597">
        <v>10.187173747469201</v>
      </c>
      <c r="E3597">
        <v>6</v>
      </c>
      <c r="F3597">
        <v>1.01722196789785</v>
      </c>
      <c r="G3597" t="s">
        <v>82</v>
      </c>
      <c r="H3597" t="s">
        <v>82</v>
      </c>
      <c r="I3597">
        <v>0</v>
      </c>
      <c r="J3597">
        <v>0</v>
      </c>
      <c r="K3597">
        <v>0.104952687375285</v>
      </c>
    </row>
    <row r="3598" spans="1:11" x14ac:dyDescent="0.25">
      <c r="A3598" t="s">
        <v>83</v>
      </c>
    </row>
    <row r="3599" spans="1:11" x14ac:dyDescent="0.25">
      <c r="A3599">
        <v>142.98905177473699</v>
      </c>
      <c r="B3599">
        <v>8.9077623929876193</v>
      </c>
      <c r="C3599">
        <v>2000</v>
      </c>
    </row>
    <row r="3600" spans="1:11" x14ac:dyDescent="0.25">
      <c r="A3600">
        <v>134.081289381749</v>
      </c>
      <c r="B3600">
        <v>0</v>
      </c>
      <c r="C3600">
        <v>2000</v>
      </c>
    </row>
    <row r="3601" spans="1:11" x14ac:dyDescent="0.25">
      <c r="A3601">
        <v>133.20725733285099</v>
      </c>
      <c r="B3601">
        <v>0</v>
      </c>
      <c r="C3601">
        <v>2001</v>
      </c>
    </row>
    <row r="3602" spans="1:11" x14ac:dyDescent="0.25">
      <c r="A3602">
        <v>142.604108949341</v>
      </c>
      <c r="B3602">
        <v>9.3968516164898208</v>
      </c>
      <c r="C3602">
        <v>2001</v>
      </c>
    </row>
    <row r="3603" spans="1:11" x14ac:dyDescent="0.25">
      <c r="A3603">
        <v>150</v>
      </c>
      <c r="B3603">
        <v>16.792742667148602</v>
      </c>
      <c r="C3603">
        <v>2001</v>
      </c>
    </row>
    <row r="3604" spans="1:11" x14ac:dyDescent="0.25">
      <c r="A3604">
        <v>150</v>
      </c>
      <c r="B3604">
        <v>15.9187106182509</v>
      </c>
      <c r="C3604">
        <v>2000</v>
      </c>
    </row>
    <row r="3605" spans="1:11" x14ac:dyDescent="0.25">
      <c r="A3605" t="s">
        <v>84</v>
      </c>
    </row>
    <row r="3606" spans="1:11" x14ac:dyDescent="0.25">
      <c r="A3606">
        <v>915</v>
      </c>
      <c r="B3606">
        <v>0</v>
      </c>
      <c r="C3606">
        <v>4.8207598441070498</v>
      </c>
      <c r="D3606">
        <v>18.302463099991801</v>
      </c>
      <c r="E3606">
        <v>8</v>
      </c>
      <c r="F3606">
        <v>1.01722196789785</v>
      </c>
      <c r="G3606" t="s">
        <v>82</v>
      </c>
      <c r="H3606" t="s">
        <v>81</v>
      </c>
      <c r="I3606">
        <v>0</v>
      </c>
      <c r="J3606">
        <v>757</v>
      </c>
      <c r="K3606">
        <v>0.10530400139967799</v>
      </c>
    </row>
    <row r="3607" spans="1:11" x14ac:dyDescent="0.25">
      <c r="A3607" t="s">
        <v>83</v>
      </c>
    </row>
    <row r="3608" spans="1:11" x14ac:dyDescent="0.25">
      <c r="A3608">
        <v>39.351654819728303</v>
      </c>
      <c r="B3608">
        <v>3.4632614940402102</v>
      </c>
      <c r="C3608">
        <v>2000</v>
      </c>
    </row>
    <row r="3609" spans="1:11" x14ac:dyDescent="0.25">
      <c r="A3609">
        <v>35.888393325688099</v>
      </c>
      <c r="B3609">
        <v>0</v>
      </c>
      <c r="C3609">
        <v>2000</v>
      </c>
    </row>
    <row r="3610" spans="1:11" x14ac:dyDescent="0.25">
      <c r="A3610">
        <v>36.762425374585803</v>
      </c>
      <c r="B3610">
        <v>0</v>
      </c>
      <c r="C3610">
        <v>2001</v>
      </c>
    </row>
    <row r="3611" spans="1:11" x14ac:dyDescent="0.25">
      <c r="A3611">
        <v>40.1167478330254</v>
      </c>
      <c r="B3611">
        <v>3.3543224584395901</v>
      </c>
      <c r="C3611">
        <v>2001</v>
      </c>
    </row>
    <row r="3612" spans="1:11" x14ac:dyDescent="0.25">
      <c r="A3612">
        <v>50.218508012224397</v>
      </c>
      <c r="B3612">
        <v>13.4560826376386</v>
      </c>
      <c r="C3612">
        <v>2001</v>
      </c>
    </row>
    <row r="3613" spans="1:11" x14ac:dyDescent="0.25">
      <c r="A3613">
        <v>52.894505109021999</v>
      </c>
      <c r="B3613">
        <v>16.132079734436299</v>
      </c>
      <c r="C3613">
        <v>2001</v>
      </c>
    </row>
    <row r="3614" spans="1:11" x14ac:dyDescent="0.25">
      <c r="A3614">
        <v>52.457489084573197</v>
      </c>
      <c r="B3614">
        <v>16.569095758885101</v>
      </c>
      <c r="C3614">
        <v>2000</v>
      </c>
    </row>
    <row r="3615" spans="1:11" x14ac:dyDescent="0.25">
      <c r="A3615">
        <v>49.781491987775603</v>
      </c>
      <c r="B3615">
        <v>13.8930986620875</v>
      </c>
      <c r="C3615">
        <v>2000</v>
      </c>
    </row>
    <row r="3616" spans="1:11" x14ac:dyDescent="0.25">
      <c r="A3616" t="s">
        <v>84</v>
      </c>
    </row>
    <row r="3617" spans="1:11" x14ac:dyDescent="0.25">
      <c r="A3617">
        <v>740</v>
      </c>
      <c r="B3617">
        <v>0</v>
      </c>
      <c r="C3617">
        <v>7.6409615872598797</v>
      </c>
      <c r="D3617">
        <v>15.476673006707999</v>
      </c>
      <c r="E3617">
        <v>8</v>
      </c>
      <c r="F3617">
        <v>1.01722196789785</v>
      </c>
      <c r="G3617" t="s">
        <v>81</v>
      </c>
      <c r="H3617" t="s">
        <v>81</v>
      </c>
      <c r="I3617">
        <v>919</v>
      </c>
      <c r="J3617">
        <v>274</v>
      </c>
      <c r="K3617">
        <v>0.101113411737407</v>
      </c>
    </row>
    <row r="3618" spans="1:11" x14ac:dyDescent="0.25">
      <c r="A3618" t="s">
        <v>83</v>
      </c>
    </row>
    <row r="3619" spans="1:11" x14ac:dyDescent="0.25">
      <c r="A3619">
        <v>101.759750703233</v>
      </c>
      <c r="B3619">
        <v>121.136516362031</v>
      </c>
      <c r="C3619">
        <v>2000</v>
      </c>
    </row>
    <row r="3620" spans="1:11" x14ac:dyDescent="0.25">
      <c r="A3620">
        <v>100.21850801222401</v>
      </c>
      <c r="B3620">
        <v>119.595273671022</v>
      </c>
      <c r="C3620">
        <v>2000</v>
      </c>
    </row>
    <row r="3621" spans="1:11" x14ac:dyDescent="0.25">
      <c r="A3621">
        <v>96.356774950095996</v>
      </c>
      <c r="B3621">
        <v>115.733540608894</v>
      </c>
      <c r="C3621">
        <v>2000</v>
      </c>
    </row>
    <row r="3622" spans="1:11" x14ac:dyDescent="0.25">
      <c r="A3622">
        <v>95.919758925647201</v>
      </c>
      <c r="B3622">
        <v>116.170556633343</v>
      </c>
      <c r="C3622">
        <v>2001</v>
      </c>
    </row>
    <row r="3623" spans="1:11" x14ac:dyDescent="0.25">
      <c r="A3623">
        <v>99.781491987775595</v>
      </c>
      <c r="B3623">
        <v>120.03228969547099</v>
      </c>
      <c r="C3623">
        <v>2001</v>
      </c>
    </row>
    <row r="3624" spans="1:11" x14ac:dyDescent="0.25">
      <c r="A3624">
        <v>101.322734678785</v>
      </c>
      <c r="B3624">
        <v>121.57353238648</v>
      </c>
      <c r="C3624">
        <v>2001</v>
      </c>
    </row>
    <row r="3625" spans="1:11" x14ac:dyDescent="0.25">
      <c r="A3625">
        <v>112.266395112035</v>
      </c>
      <c r="B3625">
        <v>132.51719281973001</v>
      </c>
      <c r="C3625">
        <v>2001</v>
      </c>
    </row>
    <row r="3626" spans="1:11" x14ac:dyDescent="0.25">
      <c r="A3626">
        <v>112.703411136483</v>
      </c>
      <c r="B3626">
        <v>132.08017679528101</v>
      </c>
      <c r="C3626">
        <v>2000</v>
      </c>
    </row>
    <row r="3627" spans="1:11" x14ac:dyDescent="0.25">
      <c r="A3627" t="s">
        <v>84</v>
      </c>
    </row>
    <row r="3628" spans="1:11" x14ac:dyDescent="0.25">
      <c r="A3628">
        <v>439</v>
      </c>
      <c r="B3628">
        <v>0</v>
      </c>
      <c r="C3628">
        <v>15.1157735639948</v>
      </c>
      <c r="D3628">
        <v>7.9638239968334101</v>
      </c>
      <c r="E3628">
        <v>6</v>
      </c>
      <c r="F3628">
        <v>1.01722196789785</v>
      </c>
      <c r="G3628" t="s">
        <v>82</v>
      </c>
      <c r="H3628" t="s">
        <v>81</v>
      </c>
      <c r="I3628">
        <v>0</v>
      </c>
      <c r="J3628">
        <v>882</v>
      </c>
      <c r="K3628">
        <v>0</v>
      </c>
    </row>
    <row r="3629" spans="1:11" x14ac:dyDescent="0.25">
      <c r="A3629" t="s">
        <v>83</v>
      </c>
    </row>
    <row r="3630" spans="1:11" x14ac:dyDescent="0.25">
      <c r="A3630">
        <v>10.5453561447596</v>
      </c>
      <c r="B3630">
        <v>124.414476153002</v>
      </c>
      <c r="C3630">
        <v>2000</v>
      </c>
    </row>
    <row r="3631" spans="1:11" x14ac:dyDescent="0.25">
      <c r="A3631">
        <v>0</v>
      </c>
      <c r="B3631">
        <v>113.86912000824201</v>
      </c>
      <c r="C3631">
        <v>2000</v>
      </c>
    </row>
    <row r="3632" spans="1:11" x14ac:dyDescent="0.25">
      <c r="A3632">
        <v>0</v>
      </c>
      <c r="B3632">
        <v>112.995087959345</v>
      </c>
      <c r="C3632">
        <v>2001</v>
      </c>
    </row>
    <row r="3633" spans="1:11" x14ac:dyDescent="0.25">
      <c r="A3633">
        <v>10.8315758352025</v>
      </c>
      <c r="B3633">
        <v>123.826663794547</v>
      </c>
      <c r="C3633">
        <v>2001</v>
      </c>
    </row>
    <row r="3634" spans="1:11" x14ac:dyDescent="0.25">
      <c r="A3634">
        <v>16.538247954542499</v>
      </c>
      <c r="B3634">
        <v>129.53333591388699</v>
      </c>
      <c r="C3634">
        <v>2001</v>
      </c>
    </row>
    <row r="3635" spans="1:11" x14ac:dyDescent="0.25">
      <c r="A3635">
        <v>16.1012319300937</v>
      </c>
      <c r="B3635">
        <v>129.97035193833599</v>
      </c>
      <c r="C3635">
        <v>2000</v>
      </c>
    </row>
    <row r="3636" spans="1:11" x14ac:dyDescent="0.25">
      <c r="A3636" t="s">
        <v>84</v>
      </c>
    </row>
    <row r="3637" spans="1:11" x14ac:dyDescent="0.25">
      <c r="A3637">
        <v>1004</v>
      </c>
      <c r="B3637">
        <v>0</v>
      </c>
      <c r="C3637">
        <v>0.93383702721514095</v>
      </c>
      <c r="D3637">
        <v>22.130827477930001</v>
      </c>
      <c r="E3637">
        <v>6</v>
      </c>
      <c r="F3637">
        <v>1.01722196789785</v>
      </c>
      <c r="G3637" t="s">
        <v>81</v>
      </c>
      <c r="H3637" t="s">
        <v>81</v>
      </c>
      <c r="I3637">
        <v>39</v>
      </c>
      <c r="J3637">
        <v>672</v>
      </c>
      <c r="K3637">
        <v>0.110132973445234</v>
      </c>
    </row>
    <row r="3638" spans="1:11" x14ac:dyDescent="0.25">
      <c r="A3638" t="s">
        <v>83</v>
      </c>
    </row>
    <row r="3639" spans="1:11" x14ac:dyDescent="0.25">
      <c r="A3639">
        <v>33.177553664514399</v>
      </c>
      <c r="B3639">
        <v>50.945565178494903</v>
      </c>
      <c r="C3639">
        <v>2000</v>
      </c>
    </row>
    <row r="3640" spans="1:11" x14ac:dyDescent="0.25">
      <c r="A3640">
        <v>32.517231170047502</v>
      </c>
      <c r="B3640">
        <v>50.285242684027999</v>
      </c>
      <c r="C3640">
        <v>2000</v>
      </c>
    </row>
    <row r="3641" spans="1:11" x14ac:dyDescent="0.25">
      <c r="A3641">
        <v>32.954247194496297</v>
      </c>
      <c r="B3641">
        <v>49.848226659579097</v>
      </c>
      <c r="C3641">
        <v>2001</v>
      </c>
    </row>
    <row r="3642" spans="1:11" x14ac:dyDescent="0.25">
      <c r="A3642">
        <v>33.614569688963201</v>
      </c>
      <c r="B3642">
        <v>50.508549154046101</v>
      </c>
      <c r="C3642">
        <v>2001</v>
      </c>
    </row>
    <row r="3643" spans="1:11" x14ac:dyDescent="0.25">
      <c r="A3643">
        <v>49.263427871877099</v>
      </c>
      <c r="B3643">
        <v>66.157407336959906</v>
      </c>
      <c r="C3643">
        <v>2001</v>
      </c>
    </row>
    <row r="3644" spans="1:11" x14ac:dyDescent="0.25">
      <c r="A3644">
        <v>48.826411847428297</v>
      </c>
      <c r="B3644">
        <v>66.594423361408701</v>
      </c>
      <c r="C3644">
        <v>2000</v>
      </c>
    </row>
    <row r="3645" spans="1:11" x14ac:dyDescent="0.25">
      <c r="A3645" t="s">
        <v>84</v>
      </c>
    </row>
    <row r="3646" spans="1:11" x14ac:dyDescent="0.25">
      <c r="A3646">
        <v>840</v>
      </c>
      <c r="B3646">
        <v>0</v>
      </c>
      <c r="C3646">
        <v>18.0149655197479</v>
      </c>
      <c r="D3646">
        <v>5.0114122658877402</v>
      </c>
      <c r="E3646">
        <v>6</v>
      </c>
      <c r="F3646">
        <v>1.01722196789785</v>
      </c>
      <c r="G3646" t="s">
        <v>81</v>
      </c>
      <c r="H3646" t="s">
        <v>82</v>
      </c>
      <c r="I3646">
        <v>777</v>
      </c>
      <c r="J3646">
        <v>0</v>
      </c>
      <c r="K3646">
        <v>0.10341204281958701</v>
      </c>
    </row>
    <row r="3647" spans="1:11" x14ac:dyDescent="0.25">
      <c r="A3647" t="s">
        <v>83</v>
      </c>
    </row>
    <row r="3648" spans="1:11" x14ac:dyDescent="0.25">
      <c r="A3648">
        <v>146.50395202610599</v>
      </c>
      <c r="B3648">
        <v>120.724074357039</v>
      </c>
      <c r="C3648">
        <v>2000</v>
      </c>
    </row>
    <row r="3649" spans="1:11" x14ac:dyDescent="0.25">
      <c r="A3649">
        <v>133.93640013383799</v>
      </c>
      <c r="B3649">
        <v>108.156522464772</v>
      </c>
      <c r="C3649">
        <v>2000</v>
      </c>
    </row>
    <row r="3650" spans="1:11" x14ac:dyDescent="0.25">
      <c r="A3650">
        <v>133.49938410938901</v>
      </c>
      <c r="B3650">
        <v>108.59353848921999</v>
      </c>
      <c r="C3650">
        <v>2001</v>
      </c>
    </row>
    <row r="3651" spans="1:11" x14ac:dyDescent="0.25">
      <c r="A3651">
        <v>146.408840780833</v>
      </c>
      <c r="B3651">
        <v>121.502995160664</v>
      </c>
      <c r="C3651">
        <v>2001</v>
      </c>
    </row>
    <row r="3652" spans="1:11" x14ac:dyDescent="0.25">
      <c r="A3652">
        <v>150</v>
      </c>
      <c r="B3652">
        <v>125.094154379831</v>
      </c>
      <c r="C3652">
        <v>2001</v>
      </c>
    </row>
    <row r="3653" spans="1:11" x14ac:dyDescent="0.25">
      <c r="A3653">
        <v>150</v>
      </c>
      <c r="B3653">
        <v>124.220122330934</v>
      </c>
      <c r="C3653">
        <v>2000</v>
      </c>
    </row>
    <row r="3654" spans="1:11" x14ac:dyDescent="0.25">
      <c r="A3654" t="s">
        <v>84</v>
      </c>
    </row>
    <row r="3655" spans="1:11" x14ac:dyDescent="0.25">
      <c r="A3655">
        <v>1030</v>
      </c>
      <c r="B3655">
        <v>0</v>
      </c>
      <c r="C3655">
        <v>1.7393765995433801</v>
      </c>
      <c r="D3655">
        <v>21.145891989931599</v>
      </c>
      <c r="E3655">
        <v>6</v>
      </c>
      <c r="F3655">
        <v>1.01722196789785</v>
      </c>
      <c r="G3655" t="s">
        <v>81</v>
      </c>
      <c r="H3655" t="s">
        <v>81</v>
      </c>
      <c r="I3655">
        <v>403</v>
      </c>
      <c r="J3655">
        <v>792</v>
      </c>
      <c r="K3655">
        <v>0.112264446699892</v>
      </c>
    </row>
    <row r="3656" spans="1:11" x14ac:dyDescent="0.25">
      <c r="A3656" t="s">
        <v>83</v>
      </c>
    </row>
    <row r="3657" spans="1:11" x14ac:dyDescent="0.25">
      <c r="A3657">
        <v>13.838831811132501</v>
      </c>
      <c r="B3657">
        <v>101.656299733401</v>
      </c>
      <c r="C3657">
        <v>2000</v>
      </c>
    </row>
    <row r="3658" spans="1:11" x14ac:dyDescent="0.25">
      <c r="A3658">
        <v>12.6089068225582</v>
      </c>
      <c r="B3658">
        <v>100.426374744827</v>
      </c>
      <c r="C3658">
        <v>2000</v>
      </c>
    </row>
    <row r="3659" spans="1:11" x14ac:dyDescent="0.25">
      <c r="A3659">
        <v>12.171890798109301</v>
      </c>
      <c r="B3659">
        <v>100.86339076927599</v>
      </c>
      <c r="C3659">
        <v>2001</v>
      </c>
    </row>
    <row r="3660" spans="1:11" x14ac:dyDescent="0.25">
      <c r="A3660">
        <v>13.4018157866837</v>
      </c>
      <c r="B3660">
        <v>102.09331575784999</v>
      </c>
      <c r="C3660">
        <v>2001</v>
      </c>
    </row>
    <row r="3661" spans="1:11" x14ac:dyDescent="0.25">
      <c r="A3661">
        <v>28.354219407002599</v>
      </c>
      <c r="B3661">
        <v>117.045719378169</v>
      </c>
      <c r="C3661">
        <v>2001</v>
      </c>
    </row>
    <row r="3662" spans="1:11" x14ac:dyDescent="0.25">
      <c r="A3662">
        <v>28.791235431451401</v>
      </c>
      <c r="B3662">
        <v>116.60870335372</v>
      </c>
      <c r="C3662">
        <v>2000</v>
      </c>
    </row>
    <row r="3663" spans="1:11" x14ac:dyDescent="0.25">
      <c r="A3663" t="s">
        <v>84</v>
      </c>
    </row>
    <row r="3664" spans="1:11" x14ac:dyDescent="0.25">
      <c r="A3664">
        <v>279</v>
      </c>
      <c r="B3664">
        <v>0</v>
      </c>
      <c r="C3664">
        <v>7.18061133854434</v>
      </c>
      <c r="D3664">
        <v>15.699628950531499</v>
      </c>
      <c r="E3664">
        <v>6</v>
      </c>
      <c r="F3664">
        <v>1.01722196789785</v>
      </c>
      <c r="G3664" t="s">
        <v>81</v>
      </c>
      <c r="H3664" t="s">
        <v>82</v>
      </c>
      <c r="I3664">
        <v>271</v>
      </c>
      <c r="J3664">
        <v>0</v>
      </c>
      <c r="K3664">
        <v>0</v>
      </c>
    </row>
    <row r="3665" spans="1:11" x14ac:dyDescent="0.25">
      <c r="A3665" t="s">
        <v>83</v>
      </c>
    </row>
    <row r="3666" spans="1:11" x14ac:dyDescent="0.25">
      <c r="A3666">
        <v>111.59354724031201</v>
      </c>
      <c r="B3666">
        <v>138.748753272025</v>
      </c>
      <c r="C3666">
        <v>2000</v>
      </c>
    </row>
    <row r="3667" spans="1:11" x14ac:dyDescent="0.25">
      <c r="A3667">
        <v>106.44751289248001</v>
      </c>
      <c r="B3667">
        <v>133.602718924192</v>
      </c>
      <c r="C3667">
        <v>2000</v>
      </c>
    </row>
    <row r="3668" spans="1:11" x14ac:dyDescent="0.25">
      <c r="A3668">
        <v>106.010496868031</v>
      </c>
      <c r="B3668">
        <v>134.03973494864101</v>
      </c>
      <c r="C3668">
        <v>2001</v>
      </c>
    </row>
    <row r="3669" spans="1:11" x14ac:dyDescent="0.25">
      <c r="A3669">
        <v>111.019380461298</v>
      </c>
      <c r="B3669">
        <v>139.04861854190801</v>
      </c>
      <c r="C3669">
        <v>2001</v>
      </c>
    </row>
    <row r="3670" spans="1:11" x14ac:dyDescent="0.25">
      <c r="A3670">
        <v>121.97076191938901</v>
      </c>
      <c r="B3670">
        <v>150</v>
      </c>
      <c r="C3670">
        <v>2001</v>
      </c>
    </row>
    <row r="3671" spans="1:11" x14ac:dyDescent="0.25">
      <c r="A3671">
        <v>122.84479396828699</v>
      </c>
      <c r="B3671">
        <v>150</v>
      </c>
      <c r="C3671">
        <v>2000</v>
      </c>
    </row>
    <row r="3672" spans="1:11" x14ac:dyDescent="0.25">
      <c r="A3672" t="s">
        <v>84</v>
      </c>
    </row>
    <row r="3673" spans="1:11" x14ac:dyDescent="0.25">
      <c r="A3673">
        <v>432</v>
      </c>
      <c r="B3673">
        <v>0</v>
      </c>
      <c r="C3673">
        <v>16.411859472398199</v>
      </c>
      <c r="D3673">
        <v>6.4150846946462696</v>
      </c>
      <c r="E3673">
        <v>6</v>
      </c>
      <c r="F3673">
        <v>1.01722196789785</v>
      </c>
      <c r="G3673" t="s">
        <v>81</v>
      </c>
      <c r="H3673" t="s">
        <v>81</v>
      </c>
      <c r="I3673">
        <v>405</v>
      </c>
      <c r="J3673">
        <v>792</v>
      </c>
      <c r="K3673">
        <v>0</v>
      </c>
    </row>
    <row r="3674" spans="1:11" x14ac:dyDescent="0.25">
      <c r="A3674" t="s">
        <v>83</v>
      </c>
    </row>
    <row r="3675" spans="1:11" x14ac:dyDescent="0.25">
      <c r="A3675">
        <v>24.322495361013399</v>
      </c>
      <c r="B3675">
        <v>112.005143645217</v>
      </c>
      <c r="C3675">
        <v>2000</v>
      </c>
    </row>
    <row r="3676" spans="1:11" x14ac:dyDescent="0.25">
      <c r="A3676">
        <v>12.7175582362</v>
      </c>
      <c r="B3676">
        <v>100.400206520404</v>
      </c>
      <c r="C3676">
        <v>2000</v>
      </c>
    </row>
    <row r="3677" spans="1:11" x14ac:dyDescent="0.25">
      <c r="A3677">
        <v>13.154574260648801</v>
      </c>
      <c r="B3677">
        <v>99.963190495955203</v>
      </c>
      <c r="C3677">
        <v>2001</v>
      </c>
    </row>
    <row r="3678" spans="1:11" x14ac:dyDescent="0.25">
      <c r="A3678">
        <v>24.759511385462201</v>
      </c>
      <c r="B3678">
        <v>111.568127620769</v>
      </c>
      <c r="C3678">
        <v>2001</v>
      </c>
    </row>
    <row r="3679" spans="1:11" x14ac:dyDescent="0.25">
      <c r="A3679">
        <v>29.295661274932598</v>
      </c>
      <c r="B3679">
        <v>116.104277510239</v>
      </c>
      <c r="C3679">
        <v>2001</v>
      </c>
    </row>
    <row r="3680" spans="1:11" x14ac:dyDescent="0.25">
      <c r="A3680">
        <v>28.8586452504838</v>
      </c>
      <c r="B3680">
        <v>116.54129353468799</v>
      </c>
      <c r="C3680">
        <v>2000</v>
      </c>
    </row>
    <row r="3681" spans="1:11" x14ac:dyDescent="0.25">
      <c r="A3681" t="s">
        <v>84</v>
      </c>
    </row>
    <row r="3682" spans="1:11" x14ac:dyDescent="0.25">
      <c r="A3682">
        <v>977</v>
      </c>
      <c r="B3682">
        <v>0</v>
      </c>
      <c r="C3682">
        <v>0</v>
      </c>
      <c r="D3682">
        <v>22.638651848281899</v>
      </c>
      <c r="E3682">
        <v>6</v>
      </c>
      <c r="F3682">
        <v>1.01722196789785</v>
      </c>
      <c r="G3682" t="s">
        <v>81</v>
      </c>
      <c r="H3682" t="s">
        <v>82</v>
      </c>
      <c r="I3682">
        <v>976</v>
      </c>
      <c r="J3682">
        <v>0</v>
      </c>
      <c r="K3682">
        <v>0.108134401500911</v>
      </c>
    </row>
    <row r="3683" spans="1:11" x14ac:dyDescent="0.25">
      <c r="A3683" t="s">
        <v>83</v>
      </c>
    </row>
    <row r="3684" spans="1:11" x14ac:dyDescent="0.25">
      <c r="A3684">
        <v>134.210563773383</v>
      </c>
      <c r="B3684">
        <v>39.398211278676897</v>
      </c>
      <c r="C3684">
        <v>2000</v>
      </c>
    </row>
    <row r="3685" spans="1:11" x14ac:dyDescent="0.25">
      <c r="A3685">
        <v>133.77354774893399</v>
      </c>
      <c r="B3685">
        <v>39.835227303125698</v>
      </c>
      <c r="C3685">
        <v>2001</v>
      </c>
    </row>
    <row r="3686" spans="1:11" x14ac:dyDescent="0.25">
      <c r="A3686">
        <v>144.29855996298201</v>
      </c>
      <c r="B3686">
        <v>50.360239517173603</v>
      </c>
      <c r="C3686">
        <v>2001</v>
      </c>
    </row>
    <row r="3687" spans="1:11" x14ac:dyDescent="0.25">
      <c r="A3687">
        <v>150</v>
      </c>
      <c r="B3687">
        <v>56.061679554191599</v>
      </c>
      <c r="C3687">
        <v>2001</v>
      </c>
    </row>
    <row r="3688" spans="1:11" x14ac:dyDescent="0.25">
      <c r="A3688">
        <v>150</v>
      </c>
      <c r="B3688">
        <v>55.187647505294002</v>
      </c>
      <c r="C3688">
        <v>2000</v>
      </c>
    </row>
    <row r="3689" spans="1:11" x14ac:dyDescent="0.25">
      <c r="A3689">
        <v>144.45211297753201</v>
      </c>
      <c r="B3689">
        <v>49.639760482826397</v>
      </c>
      <c r="C3689">
        <v>2000</v>
      </c>
    </row>
    <row r="3690" spans="1:11" x14ac:dyDescent="0.25">
      <c r="A3690" t="s">
        <v>84</v>
      </c>
    </row>
    <row r="3691" spans="1:11" x14ac:dyDescent="0.25">
      <c r="A3691">
        <v>429</v>
      </c>
      <c r="B3691">
        <v>0</v>
      </c>
      <c r="C3691">
        <v>10.6024064754289</v>
      </c>
      <c r="D3691">
        <v>11.9015409010029</v>
      </c>
      <c r="E3691">
        <v>6</v>
      </c>
      <c r="F3691">
        <v>1.01722196789785</v>
      </c>
      <c r="G3691" t="s">
        <v>81</v>
      </c>
      <c r="H3691" t="s">
        <v>82</v>
      </c>
      <c r="I3691">
        <v>876</v>
      </c>
      <c r="J3691">
        <v>0</v>
      </c>
      <c r="K3691">
        <v>0</v>
      </c>
    </row>
    <row r="3692" spans="1:11" x14ac:dyDescent="0.25">
      <c r="A3692" t="s">
        <v>83</v>
      </c>
    </row>
    <row r="3693" spans="1:11" x14ac:dyDescent="0.25">
      <c r="A3693">
        <v>22.918674900868101</v>
      </c>
      <c r="B3693">
        <v>141.46877857205101</v>
      </c>
      <c r="C3693">
        <v>2000</v>
      </c>
    </row>
    <row r="3694" spans="1:11" x14ac:dyDescent="0.25">
      <c r="A3694">
        <v>15.3186945232528</v>
      </c>
      <c r="B3694">
        <v>133.86879819443499</v>
      </c>
      <c r="C3694">
        <v>2000</v>
      </c>
    </row>
    <row r="3695" spans="1:11" x14ac:dyDescent="0.25">
      <c r="A3695">
        <v>14.881678498804</v>
      </c>
      <c r="B3695">
        <v>134.305814218884</v>
      </c>
      <c r="C3695">
        <v>2001</v>
      </c>
    </row>
    <row r="3696" spans="1:11" x14ac:dyDescent="0.25">
      <c r="A3696">
        <v>22.275765152532699</v>
      </c>
      <c r="B3696">
        <v>141.699900872613</v>
      </c>
      <c r="C3696">
        <v>2001</v>
      </c>
    </row>
    <row r="3697" spans="1:11" x14ac:dyDescent="0.25">
      <c r="A3697">
        <v>30.575864279919799</v>
      </c>
      <c r="B3697">
        <v>150</v>
      </c>
      <c r="C3697">
        <v>2001</v>
      </c>
    </row>
    <row r="3698" spans="1:11" x14ac:dyDescent="0.25">
      <c r="A3698">
        <v>31.449896328817498</v>
      </c>
      <c r="B3698">
        <v>150</v>
      </c>
      <c r="C3698">
        <v>2000</v>
      </c>
    </row>
    <row r="3699" spans="1:11" x14ac:dyDescent="0.25">
      <c r="A3699" t="s">
        <v>84</v>
      </c>
    </row>
    <row r="3700" spans="1:11" x14ac:dyDescent="0.25">
      <c r="A3700">
        <v>777</v>
      </c>
      <c r="B3700">
        <v>0</v>
      </c>
      <c r="C3700">
        <v>9.3158185574565699</v>
      </c>
      <c r="D3700">
        <v>13.1472064636996</v>
      </c>
      <c r="E3700">
        <v>8</v>
      </c>
      <c r="F3700">
        <v>1.01722196789785</v>
      </c>
      <c r="G3700" t="s">
        <v>81</v>
      </c>
      <c r="H3700" t="s">
        <v>81</v>
      </c>
      <c r="I3700">
        <v>581</v>
      </c>
      <c r="J3700">
        <v>840</v>
      </c>
      <c r="K3700">
        <v>9.9787223602304201E-2</v>
      </c>
    </row>
    <row r="3701" spans="1:11" x14ac:dyDescent="0.25">
      <c r="A3701" t="s">
        <v>83</v>
      </c>
    </row>
    <row r="3702" spans="1:11" x14ac:dyDescent="0.25">
      <c r="A3702">
        <v>124.02924269719</v>
      </c>
      <c r="B3702">
        <v>99.470722213136597</v>
      </c>
      <c r="C3702">
        <v>2000</v>
      </c>
    </row>
    <row r="3703" spans="1:11" x14ac:dyDescent="0.25">
      <c r="A3703">
        <v>117.44196422290899</v>
      </c>
      <c r="B3703">
        <v>92.883443738855505</v>
      </c>
      <c r="C3703">
        <v>2000</v>
      </c>
    </row>
    <row r="3704" spans="1:11" x14ac:dyDescent="0.25">
      <c r="A3704">
        <v>117.878980247358</v>
      </c>
      <c r="B3704">
        <v>92.446427714406695</v>
      </c>
      <c r="C3704">
        <v>2001</v>
      </c>
    </row>
    <row r="3705" spans="1:11" x14ac:dyDescent="0.25">
      <c r="A3705">
        <v>124.46625872163899</v>
      </c>
      <c r="B3705">
        <v>99.033706188687702</v>
      </c>
      <c r="C3705">
        <v>2001</v>
      </c>
    </row>
    <row r="3706" spans="1:11" x14ac:dyDescent="0.25">
      <c r="A3706">
        <v>125.214044520727</v>
      </c>
      <c r="B3706">
        <v>99.781491987775595</v>
      </c>
      <c r="C3706">
        <v>2001</v>
      </c>
    </row>
    <row r="3707" spans="1:11" x14ac:dyDescent="0.25">
      <c r="A3707">
        <v>133.76273756577999</v>
      </c>
      <c r="B3707">
        <v>108.33018503282899</v>
      </c>
      <c r="C3707">
        <v>2001</v>
      </c>
    </row>
    <row r="3708" spans="1:11" x14ac:dyDescent="0.25">
      <c r="A3708">
        <v>133.325721541332</v>
      </c>
      <c r="B3708">
        <v>108.767201057278</v>
      </c>
      <c r="C3708">
        <v>2000</v>
      </c>
    </row>
    <row r="3709" spans="1:11" x14ac:dyDescent="0.25">
      <c r="A3709">
        <v>124.77702849627801</v>
      </c>
      <c r="B3709">
        <v>100.21850801222401</v>
      </c>
      <c r="C3709">
        <v>2000</v>
      </c>
    </row>
    <row r="3710" spans="1:11" x14ac:dyDescent="0.25">
      <c r="A3710" t="s">
        <v>84</v>
      </c>
    </row>
    <row r="3711" spans="1:11" x14ac:dyDescent="0.25">
      <c r="A3711">
        <v>591</v>
      </c>
      <c r="B3711">
        <v>0</v>
      </c>
      <c r="C3711">
        <v>21.473493295651998</v>
      </c>
      <c r="D3711">
        <v>0.96100201543663399</v>
      </c>
      <c r="E3711">
        <v>10</v>
      </c>
      <c r="F3711">
        <v>1.01722196789785</v>
      </c>
      <c r="G3711" t="s">
        <v>81</v>
      </c>
      <c r="H3711" t="s">
        <v>81</v>
      </c>
      <c r="I3711">
        <v>800</v>
      </c>
      <c r="J3711">
        <v>573</v>
      </c>
      <c r="K3711">
        <v>0</v>
      </c>
    </row>
    <row r="3712" spans="1:11" x14ac:dyDescent="0.25">
      <c r="A3712" t="s">
        <v>83</v>
      </c>
    </row>
    <row r="3713" spans="1:11" x14ac:dyDescent="0.25">
      <c r="A3713">
        <v>113.17160958665499</v>
      </c>
      <c r="B3713">
        <v>59.461248441343997</v>
      </c>
      <c r="C3713">
        <v>2000</v>
      </c>
    </row>
    <row r="3714" spans="1:11" x14ac:dyDescent="0.25">
      <c r="A3714">
        <v>103.928869157535</v>
      </c>
      <c r="B3714">
        <v>50.218508012224397</v>
      </c>
      <c r="C3714">
        <v>2000</v>
      </c>
    </row>
    <row r="3715" spans="1:11" x14ac:dyDescent="0.25">
      <c r="A3715">
        <v>99.781491987775595</v>
      </c>
      <c r="B3715">
        <v>46.071130842464797</v>
      </c>
      <c r="C3715">
        <v>2000</v>
      </c>
    </row>
    <row r="3716" spans="1:11" x14ac:dyDescent="0.25">
      <c r="A3716">
        <v>97.987556861535396</v>
      </c>
      <c r="B3716">
        <v>44.277195716224597</v>
      </c>
      <c r="C3716">
        <v>2000</v>
      </c>
    </row>
    <row r="3717" spans="1:11" x14ac:dyDescent="0.25">
      <c r="A3717">
        <v>98.424572885984205</v>
      </c>
      <c r="B3717">
        <v>43.840179691775802</v>
      </c>
      <c r="C3717">
        <v>2001</v>
      </c>
    </row>
    <row r="3718" spans="1:11" x14ac:dyDescent="0.25">
      <c r="A3718">
        <v>100.21850801222401</v>
      </c>
      <c r="B3718">
        <v>45.634114818015902</v>
      </c>
      <c r="C3718">
        <v>2001</v>
      </c>
    </row>
    <row r="3719" spans="1:11" x14ac:dyDescent="0.25">
      <c r="A3719">
        <v>104.365885181984</v>
      </c>
      <c r="B3719">
        <v>49.781491987775603</v>
      </c>
      <c r="C3719">
        <v>2001</v>
      </c>
    </row>
    <row r="3720" spans="1:11" x14ac:dyDescent="0.25">
      <c r="A3720">
        <v>113.608625611104</v>
      </c>
      <c r="B3720">
        <v>59.024232416895103</v>
      </c>
      <c r="C3720">
        <v>2001</v>
      </c>
    </row>
    <row r="3721" spans="1:11" x14ac:dyDescent="0.25">
      <c r="A3721">
        <v>114.28815665295301</v>
      </c>
      <c r="B3721">
        <v>59.703763458744298</v>
      </c>
      <c r="C3721">
        <v>2001</v>
      </c>
    </row>
    <row r="3722" spans="1:11" x14ac:dyDescent="0.25">
      <c r="A3722">
        <v>113.851140628504</v>
      </c>
      <c r="B3722">
        <v>60.1407794831931</v>
      </c>
      <c r="C3722">
        <v>2000</v>
      </c>
    </row>
    <row r="3723" spans="1:11" x14ac:dyDescent="0.25">
      <c r="A3723" t="s">
        <v>84</v>
      </c>
    </row>
    <row r="3724" spans="1:11" x14ac:dyDescent="0.25">
      <c r="A3724">
        <v>667</v>
      </c>
      <c r="B3724">
        <v>0</v>
      </c>
      <c r="C3724">
        <v>9.9037487079839206</v>
      </c>
      <c r="D3724">
        <v>12.459632042743801</v>
      </c>
      <c r="E3724">
        <v>8</v>
      </c>
      <c r="F3724">
        <v>1.01722196789785</v>
      </c>
      <c r="G3724" t="s">
        <v>81</v>
      </c>
      <c r="H3724" t="s">
        <v>81</v>
      </c>
      <c r="I3724">
        <v>757</v>
      </c>
      <c r="J3724">
        <v>1018</v>
      </c>
      <c r="K3724">
        <v>0</v>
      </c>
    </row>
    <row r="3725" spans="1:11" x14ac:dyDescent="0.25">
      <c r="A3725" t="s">
        <v>83</v>
      </c>
    </row>
    <row r="3726" spans="1:11" x14ac:dyDescent="0.25">
      <c r="A3726">
        <v>87.4255756751798</v>
      </c>
      <c r="B3726">
        <v>51.726288935037701</v>
      </c>
      <c r="C3726">
        <v>2000</v>
      </c>
    </row>
    <row r="3727" spans="1:11" x14ac:dyDescent="0.25">
      <c r="A3727">
        <v>85.917794752366504</v>
      </c>
      <c r="B3727">
        <v>50.218508012224397</v>
      </c>
      <c r="C3727">
        <v>2000</v>
      </c>
    </row>
    <row r="3728" spans="1:11" x14ac:dyDescent="0.25">
      <c r="A3728">
        <v>80.422567804596895</v>
      </c>
      <c r="B3728">
        <v>44.723281064454703</v>
      </c>
      <c r="C3728">
        <v>2000</v>
      </c>
    </row>
    <row r="3729" spans="1:11" x14ac:dyDescent="0.25">
      <c r="A3729">
        <v>80.859583829045704</v>
      </c>
      <c r="B3729">
        <v>44.286265040005901</v>
      </c>
      <c r="C3729">
        <v>2001</v>
      </c>
    </row>
    <row r="3730" spans="1:11" x14ac:dyDescent="0.25">
      <c r="A3730">
        <v>86.354810776815299</v>
      </c>
      <c r="B3730">
        <v>49.781491987775603</v>
      </c>
      <c r="C3730">
        <v>2001</v>
      </c>
    </row>
    <row r="3731" spans="1:11" x14ac:dyDescent="0.25">
      <c r="A3731">
        <v>87.862591699628595</v>
      </c>
      <c r="B3731">
        <v>51.289272910588799</v>
      </c>
      <c r="C3731">
        <v>2001</v>
      </c>
    </row>
    <row r="3732" spans="1:11" x14ac:dyDescent="0.25">
      <c r="A3732">
        <v>96.672882008141997</v>
      </c>
      <c r="B3732">
        <v>60.099563219102201</v>
      </c>
      <c r="C3732">
        <v>2001</v>
      </c>
    </row>
    <row r="3733" spans="1:11" x14ac:dyDescent="0.25">
      <c r="A3733">
        <v>96.235865983693202</v>
      </c>
      <c r="B3733">
        <v>60.536579243551003</v>
      </c>
      <c r="C3733">
        <v>2000</v>
      </c>
    </row>
    <row r="3734" spans="1:11" x14ac:dyDescent="0.25">
      <c r="A3734" t="s">
        <v>84</v>
      </c>
    </row>
    <row r="3735" spans="1:11" x14ac:dyDescent="0.25">
      <c r="A3735">
        <v>818</v>
      </c>
      <c r="B3735">
        <v>0</v>
      </c>
      <c r="C3735">
        <v>7.2967181950467799</v>
      </c>
      <c r="D3735">
        <v>14.810171472945999</v>
      </c>
      <c r="E3735">
        <v>6</v>
      </c>
      <c r="F3735">
        <v>1.01722196789785</v>
      </c>
      <c r="G3735" t="s">
        <v>81</v>
      </c>
      <c r="H3735" t="s">
        <v>81</v>
      </c>
      <c r="I3735">
        <v>1000</v>
      </c>
      <c r="J3735">
        <v>888</v>
      </c>
      <c r="K3735">
        <v>0.102777870221907</v>
      </c>
    </row>
    <row r="3736" spans="1:11" x14ac:dyDescent="0.25">
      <c r="A3736" t="s">
        <v>83</v>
      </c>
    </row>
    <row r="3737" spans="1:11" x14ac:dyDescent="0.25">
      <c r="A3737">
        <v>30.8566105192835</v>
      </c>
      <c r="B3737">
        <v>60.054807559608101</v>
      </c>
      <c r="C3737">
        <v>2000</v>
      </c>
    </row>
    <row r="3738" spans="1:11" x14ac:dyDescent="0.25">
      <c r="A3738">
        <v>25.697051603158702</v>
      </c>
      <c r="B3738">
        <v>54.895248643483299</v>
      </c>
      <c r="C3738">
        <v>2000</v>
      </c>
    </row>
    <row r="3739" spans="1:11" x14ac:dyDescent="0.25">
      <c r="A3739">
        <v>26.1340676276075</v>
      </c>
      <c r="B3739">
        <v>54.458232619034398</v>
      </c>
      <c r="C3739">
        <v>2001</v>
      </c>
    </row>
    <row r="3740" spans="1:11" x14ac:dyDescent="0.25">
      <c r="A3740">
        <v>31.293626543732401</v>
      </c>
      <c r="B3740">
        <v>59.617791535159299</v>
      </c>
      <c r="C3740">
        <v>2001</v>
      </c>
    </row>
    <row r="3741" spans="1:11" x14ac:dyDescent="0.25">
      <c r="A3741">
        <v>41.765999222788103</v>
      </c>
      <c r="B3741">
        <v>70.090164214214994</v>
      </c>
      <c r="C3741">
        <v>2001</v>
      </c>
    </row>
    <row r="3742" spans="1:11" x14ac:dyDescent="0.25">
      <c r="A3742">
        <v>41.328983198339202</v>
      </c>
      <c r="B3742">
        <v>70.527180238663803</v>
      </c>
      <c r="C3742">
        <v>2000</v>
      </c>
    </row>
    <row r="3743" spans="1:11" x14ac:dyDescent="0.25">
      <c r="A3743" t="s">
        <v>84</v>
      </c>
    </row>
    <row r="3744" spans="1:11" x14ac:dyDescent="0.25">
      <c r="A3744">
        <v>880</v>
      </c>
      <c r="B3744">
        <v>0</v>
      </c>
      <c r="C3744">
        <v>14.496393556037599</v>
      </c>
      <c r="D3744">
        <v>7.5852431900847304</v>
      </c>
      <c r="E3744">
        <v>8</v>
      </c>
      <c r="F3744">
        <v>1.01722196789785</v>
      </c>
      <c r="G3744" t="s">
        <v>81</v>
      </c>
      <c r="H3744" t="s">
        <v>82</v>
      </c>
      <c r="I3744">
        <v>936</v>
      </c>
      <c r="J3744">
        <v>0</v>
      </c>
      <c r="K3744">
        <v>0.104401248428883</v>
      </c>
    </row>
    <row r="3745" spans="1:11" x14ac:dyDescent="0.25">
      <c r="A3745" t="s">
        <v>83</v>
      </c>
    </row>
    <row r="3746" spans="1:11" x14ac:dyDescent="0.25">
      <c r="A3746">
        <v>144.737950351807</v>
      </c>
      <c r="B3746">
        <v>105.844480949765</v>
      </c>
      <c r="C3746">
        <v>2000</v>
      </c>
    </row>
    <row r="3747" spans="1:11" x14ac:dyDescent="0.25">
      <c r="A3747">
        <v>138.67496138981801</v>
      </c>
      <c r="B3747">
        <v>99.781491987775595</v>
      </c>
      <c r="C3747">
        <v>2000</v>
      </c>
    </row>
    <row r="3748" spans="1:11" x14ac:dyDescent="0.25">
      <c r="A3748">
        <v>134.60443292934301</v>
      </c>
      <c r="B3748">
        <v>95.710963527300905</v>
      </c>
      <c r="C3748">
        <v>2000</v>
      </c>
    </row>
    <row r="3749" spans="1:11" x14ac:dyDescent="0.25">
      <c r="A3749">
        <v>134.167416904894</v>
      </c>
      <c r="B3749">
        <v>96.1479795517497</v>
      </c>
      <c r="C3749">
        <v>2001</v>
      </c>
    </row>
    <row r="3750" spans="1:11" x14ac:dyDescent="0.25">
      <c r="A3750">
        <v>138.237945365369</v>
      </c>
      <c r="B3750">
        <v>100.21850801222401</v>
      </c>
      <c r="C3750">
        <v>2001</v>
      </c>
    </row>
    <row r="3751" spans="1:11" x14ac:dyDescent="0.25">
      <c r="A3751">
        <v>144.53489585487699</v>
      </c>
      <c r="B3751">
        <v>106.515458501732</v>
      </c>
      <c r="C3751">
        <v>2001</v>
      </c>
    </row>
    <row r="3752" spans="1:11" x14ac:dyDescent="0.25">
      <c r="A3752">
        <v>150</v>
      </c>
      <c r="B3752">
        <v>111.98056264685501</v>
      </c>
      <c r="C3752">
        <v>2001</v>
      </c>
    </row>
    <row r="3753" spans="1:11" x14ac:dyDescent="0.25">
      <c r="A3753">
        <v>150</v>
      </c>
      <c r="B3753">
        <v>111.106530597958</v>
      </c>
      <c r="C3753">
        <v>2000</v>
      </c>
    </row>
    <row r="3754" spans="1:11" x14ac:dyDescent="0.25">
      <c r="A3754" t="s">
        <v>84</v>
      </c>
    </row>
    <row r="3755" spans="1:11" x14ac:dyDescent="0.25">
      <c r="A3755">
        <v>928</v>
      </c>
      <c r="B3755">
        <v>0</v>
      </c>
      <c r="C3755">
        <v>6.0589832825887902</v>
      </c>
      <c r="D3755">
        <v>15.937698298730901</v>
      </c>
      <c r="E3755">
        <v>6</v>
      </c>
      <c r="F3755">
        <v>1.01722196789785</v>
      </c>
      <c r="G3755" t="s">
        <v>82</v>
      </c>
      <c r="H3755" t="s">
        <v>81</v>
      </c>
      <c r="I3755">
        <v>0</v>
      </c>
      <c r="J3755">
        <v>1044</v>
      </c>
      <c r="K3755">
        <v>0.105643180430783</v>
      </c>
    </row>
    <row r="3756" spans="1:11" x14ac:dyDescent="0.25">
      <c r="A3756" t="s">
        <v>83</v>
      </c>
    </row>
    <row r="3757" spans="1:11" x14ac:dyDescent="0.25">
      <c r="A3757">
        <v>4.2241601606607597</v>
      </c>
      <c r="B3757">
        <v>12.5887719895213</v>
      </c>
      <c r="C3757">
        <v>2000</v>
      </c>
    </row>
    <row r="3758" spans="1:11" x14ac:dyDescent="0.25">
      <c r="A3758">
        <v>0</v>
      </c>
      <c r="B3758">
        <v>8.3646118288605606</v>
      </c>
      <c r="C3758">
        <v>2000</v>
      </c>
    </row>
    <row r="3759" spans="1:11" x14ac:dyDescent="0.25">
      <c r="A3759">
        <v>0</v>
      </c>
      <c r="B3759">
        <v>7.4905797799629203</v>
      </c>
      <c r="C3759">
        <v>2001</v>
      </c>
    </row>
    <row r="3760" spans="1:11" x14ac:dyDescent="0.25">
      <c r="A3760">
        <v>4.3445361717681603</v>
      </c>
      <c r="B3760">
        <v>11.835115951731099</v>
      </c>
      <c r="C3760">
        <v>2001</v>
      </c>
    </row>
    <row r="3761" spans="1:11" x14ac:dyDescent="0.25">
      <c r="A3761">
        <v>15.772510721976801</v>
      </c>
      <c r="B3761">
        <v>23.263090501939701</v>
      </c>
      <c r="C3761">
        <v>2001</v>
      </c>
    </row>
    <row r="3762" spans="1:11" x14ac:dyDescent="0.25">
      <c r="A3762">
        <v>15.335494697528</v>
      </c>
      <c r="B3762">
        <v>23.700106526388499</v>
      </c>
      <c r="C3762">
        <v>2000</v>
      </c>
    </row>
    <row r="3763" spans="1:11" x14ac:dyDescent="0.25">
      <c r="A3763" t="s">
        <v>84</v>
      </c>
    </row>
    <row r="3764" spans="1:11" x14ac:dyDescent="0.25">
      <c r="A3764">
        <v>103</v>
      </c>
      <c r="B3764">
        <v>0</v>
      </c>
      <c r="C3764">
        <v>11.159398132370001</v>
      </c>
      <c r="D3764">
        <v>10.7294985909424</v>
      </c>
      <c r="E3764">
        <v>6</v>
      </c>
      <c r="F3764">
        <v>1.01722196789785</v>
      </c>
      <c r="G3764" t="s">
        <v>81</v>
      </c>
      <c r="H3764" t="s">
        <v>81</v>
      </c>
      <c r="I3764">
        <v>117</v>
      </c>
      <c r="J3764">
        <v>108</v>
      </c>
      <c r="K3764">
        <v>0</v>
      </c>
    </row>
    <row r="3765" spans="1:11" x14ac:dyDescent="0.25">
      <c r="A3765" t="s">
        <v>83</v>
      </c>
    </row>
    <row r="3766" spans="1:11" x14ac:dyDescent="0.25">
      <c r="A3766">
        <v>18.3672606136453</v>
      </c>
      <c r="B3766">
        <v>69.287333689302599</v>
      </c>
      <c r="C3766">
        <v>2000</v>
      </c>
    </row>
    <row r="3767" spans="1:11" x14ac:dyDescent="0.25">
      <c r="A3767">
        <v>10.4763745202859</v>
      </c>
      <c r="B3767">
        <v>61.3964475959433</v>
      </c>
      <c r="C3767">
        <v>2000</v>
      </c>
    </row>
    <row r="3768" spans="1:11" x14ac:dyDescent="0.25">
      <c r="A3768">
        <v>10.039358495837099</v>
      </c>
      <c r="B3768">
        <v>61.833463620392202</v>
      </c>
      <c r="C3768">
        <v>2001</v>
      </c>
    </row>
    <row r="3769" spans="1:11" x14ac:dyDescent="0.25">
      <c r="A3769">
        <v>17.930244589196398</v>
      </c>
      <c r="B3769">
        <v>69.724349713751494</v>
      </c>
      <c r="C3769">
        <v>2001</v>
      </c>
    </row>
    <row r="3770" spans="1:11" x14ac:dyDescent="0.25">
      <c r="A3770">
        <v>25.5171458015833</v>
      </c>
      <c r="B3770">
        <v>77.3112509261383</v>
      </c>
      <c r="C3770">
        <v>2001</v>
      </c>
    </row>
    <row r="3771" spans="1:11" x14ac:dyDescent="0.25">
      <c r="A3771">
        <v>25.954161826032099</v>
      </c>
      <c r="B3771">
        <v>76.874234901689505</v>
      </c>
      <c r="C3771">
        <v>2000</v>
      </c>
    </row>
    <row r="3772" spans="1:11" x14ac:dyDescent="0.25">
      <c r="A3772" t="s">
        <v>84</v>
      </c>
    </row>
    <row r="3773" spans="1:11" x14ac:dyDescent="0.25">
      <c r="A3773">
        <v>851</v>
      </c>
      <c r="B3773">
        <v>0</v>
      </c>
      <c r="C3773">
        <v>11.4721805829465</v>
      </c>
      <c r="D3773">
        <v>10.409046730058799</v>
      </c>
      <c r="E3773">
        <v>8</v>
      </c>
      <c r="F3773">
        <v>1.01722196789785</v>
      </c>
      <c r="G3773" t="s">
        <v>81</v>
      </c>
      <c r="H3773" t="s">
        <v>81</v>
      </c>
      <c r="I3773">
        <v>4</v>
      </c>
      <c r="J3773">
        <v>868</v>
      </c>
      <c r="K3773">
        <v>0.10361701455149699</v>
      </c>
    </row>
    <row r="3774" spans="1:11" x14ac:dyDescent="0.25">
      <c r="A3774" t="s">
        <v>83</v>
      </c>
    </row>
    <row r="3775" spans="1:11" x14ac:dyDescent="0.25">
      <c r="A3775">
        <v>55.772765685693898</v>
      </c>
      <c r="B3775">
        <v>33.975298714817001</v>
      </c>
      <c r="C3775">
        <v>2000</v>
      </c>
    </row>
    <row r="3776" spans="1:11" x14ac:dyDescent="0.25">
      <c r="A3776">
        <v>50.218508012224397</v>
      </c>
      <c r="B3776">
        <v>28.4210410413475</v>
      </c>
      <c r="C3776">
        <v>2000</v>
      </c>
    </row>
    <row r="3777" spans="1:11" x14ac:dyDescent="0.25">
      <c r="A3777">
        <v>47.6607090004958</v>
      </c>
      <c r="B3777">
        <v>25.863242029618899</v>
      </c>
      <c r="C3777">
        <v>2000</v>
      </c>
    </row>
    <row r="3778" spans="1:11" x14ac:dyDescent="0.25">
      <c r="A3778">
        <v>47.223692976046898</v>
      </c>
      <c r="B3778">
        <v>26.300258054067701</v>
      </c>
      <c r="C3778">
        <v>2001</v>
      </c>
    </row>
    <row r="3779" spans="1:11" x14ac:dyDescent="0.25">
      <c r="A3779">
        <v>49.781491987775603</v>
      </c>
      <c r="B3779">
        <v>28.858057065796299</v>
      </c>
      <c r="C3779">
        <v>2001</v>
      </c>
    </row>
    <row r="3780" spans="1:11" x14ac:dyDescent="0.25">
      <c r="A3780">
        <v>55.335749661245103</v>
      </c>
      <c r="B3780">
        <v>34.412314739265803</v>
      </c>
      <c r="C3780">
        <v>2001</v>
      </c>
    </row>
    <row r="3781" spans="1:11" x14ac:dyDescent="0.25">
      <c r="A3781">
        <v>62.696057189757298</v>
      </c>
      <c r="B3781">
        <v>41.772622267778097</v>
      </c>
      <c r="C3781">
        <v>2001</v>
      </c>
    </row>
    <row r="3782" spans="1:11" x14ac:dyDescent="0.25">
      <c r="A3782">
        <v>63.133073214206199</v>
      </c>
      <c r="B3782">
        <v>41.335606243329302</v>
      </c>
      <c r="C3782">
        <v>2000</v>
      </c>
    </row>
    <row r="3783" spans="1:11" x14ac:dyDescent="0.25">
      <c r="A3783" t="s">
        <v>84</v>
      </c>
    </row>
    <row r="3784" spans="1:11" x14ac:dyDescent="0.25">
      <c r="A3784">
        <v>344</v>
      </c>
      <c r="B3784">
        <v>0</v>
      </c>
      <c r="C3784">
        <v>16.963325151523001</v>
      </c>
      <c r="D3784">
        <v>4.8961506121060596</v>
      </c>
      <c r="E3784">
        <v>6</v>
      </c>
      <c r="F3784">
        <v>1.01722196789785</v>
      </c>
      <c r="G3784" t="s">
        <v>81</v>
      </c>
      <c r="H3784" t="s">
        <v>82</v>
      </c>
      <c r="I3784">
        <v>735</v>
      </c>
      <c r="J3784">
        <v>0</v>
      </c>
      <c r="K3784">
        <v>0</v>
      </c>
    </row>
    <row r="3785" spans="1:11" x14ac:dyDescent="0.25">
      <c r="A3785" t="s">
        <v>83</v>
      </c>
    </row>
    <row r="3786" spans="1:11" x14ac:dyDescent="0.25">
      <c r="A3786">
        <v>74.612236927651594</v>
      </c>
      <c r="B3786">
        <v>146.58684077709401</v>
      </c>
      <c r="C3786">
        <v>2000</v>
      </c>
    </row>
    <row r="3787" spans="1:11" x14ac:dyDescent="0.25">
      <c r="A3787">
        <v>62.7869206171369</v>
      </c>
      <c r="B3787">
        <v>134.761524466579</v>
      </c>
      <c r="C3787">
        <v>2000</v>
      </c>
    </row>
    <row r="3788" spans="1:11" x14ac:dyDescent="0.25">
      <c r="A3788">
        <v>63.223936641585702</v>
      </c>
      <c r="B3788">
        <v>134.32450844213</v>
      </c>
      <c r="C3788">
        <v>2001</v>
      </c>
    </row>
    <row r="3789" spans="1:11" x14ac:dyDescent="0.25">
      <c r="A3789">
        <v>75.388384823299504</v>
      </c>
      <c r="B3789">
        <v>146.48895662384399</v>
      </c>
      <c r="C3789">
        <v>2001</v>
      </c>
    </row>
    <row r="3790" spans="1:11" x14ac:dyDescent="0.25">
      <c r="A3790">
        <v>78.899428199455201</v>
      </c>
      <c r="B3790">
        <v>150</v>
      </c>
      <c r="C3790">
        <v>2001</v>
      </c>
    </row>
    <row r="3791" spans="1:11" x14ac:dyDescent="0.25">
      <c r="A3791">
        <v>78.025396150557597</v>
      </c>
      <c r="B3791">
        <v>150</v>
      </c>
      <c r="C3791">
        <v>2000</v>
      </c>
    </row>
    <row r="3792" spans="1:11" x14ac:dyDescent="0.25">
      <c r="A3792" t="s">
        <v>84</v>
      </c>
    </row>
    <row r="3793" spans="1:11" x14ac:dyDescent="0.25">
      <c r="A3793">
        <v>194</v>
      </c>
      <c r="B3793">
        <v>0</v>
      </c>
      <c r="C3793">
        <v>9.8454671193367993</v>
      </c>
      <c r="D3793">
        <v>12.008812077766301</v>
      </c>
      <c r="E3793">
        <v>8</v>
      </c>
      <c r="F3793">
        <v>1.01722196789785</v>
      </c>
      <c r="G3793" t="s">
        <v>82</v>
      </c>
      <c r="H3793" t="s">
        <v>81</v>
      </c>
      <c r="I3793">
        <v>0</v>
      </c>
      <c r="J3793">
        <v>760</v>
      </c>
      <c r="K3793">
        <v>0</v>
      </c>
    </row>
    <row r="3794" spans="1:11" x14ac:dyDescent="0.25">
      <c r="A3794" t="s">
        <v>83</v>
      </c>
    </row>
    <row r="3795" spans="1:11" x14ac:dyDescent="0.25">
      <c r="A3795">
        <v>53.540021401439198</v>
      </c>
      <c r="B3795">
        <v>7.0972877054936099</v>
      </c>
      <c r="C3795">
        <v>2000</v>
      </c>
    </row>
    <row r="3796" spans="1:11" x14ac:dyDescent="0.25">
      <c r="A3796">
        <v>49.660918421059399</v>
      </c>
      <c r="B3796">
        <v>3.2181847251137099</v>
      </c>
      <c r="C3796">
        <v>2000</v>
      </c>
    </row>
    <row r="3797" spans="1:11" x14ac:dyDescent="0.25">
      <c r="A3797">
        <v>46.442733695945599</v>
      </c>
      <c r="B3797">
        <v>0</v>
      </c>
      <c r="C3797">
        <v>2000</v>
      </c>
    </row>
    <row r="3798" spans="1:11" x14ac:dyDescent="0.25">
      <c r="A3798">
        <v>47.316765744843302</v>
      </c>
      <c r="B3798">
        <v>0</v>
      </c>
      <c r="C3798">
        <v>2001</v>
      </c>
    </row>
    <row r="3799" spans="1:11" x14ac:dyDescent="0.25">
      <c r="A3799">
        <v>50.339081578940601</v>
      </c>
      <c r="B3799">
        <v>3.0223158340973502</v>
      </c>
      <c r="C3799">
        <v>2001</v>
      </c>
    </row>
    <row r="3800" spans="1:11" x14ac:dyDescent="0.25">
      <c r="A3800">
        <v>54.143071167414099</v>
      </c>
      <c r="B3800">
        <v>6.8263054225708597</v>
      </c>
      <c r="C3800">
        <v>2001</v>
      </c>
    </row>
    <row r="3801" spans="1:11" x14ac:dyDescent="0.25">
      <c r="A3801">
        <v>62.551566750834603</v>
      </c>
      <c r="B3801">
        <v>15.234801005991301</v>
      </c>
      <c r="C3801">
        <v>2001</v>
      </c>
    </row>
    <row r="3802" spans="1:11" x14ac:dyDescent="0.25">
      <c r="A3802">
        <v>62.114550726385801</v>
      </c>
      <c r="B3802">
        <v>15.671817030440099</v>
      </c>
      <c r="C3802">
        <v>2000</v>
      </c>
    </row>
    <row r="3803" spans="1:11" x14ac:dyDescent="0.25">
      <c r="A3803" t="s">
        <v>84</v>
      </c>
    </row>
    <row r="3804" spans="1:11" x14ac:dyDescent="0.25">
      <c r="A3804">
        <v>106</v>
      </c>
      <c r="B3804">
        <v>0</v>
      </c>
      <c r="C3804">
        <v>0.310646477312361</v>
      </c>
      <c r="D3804">
        <v>21.488993657032498</v>
      </c>
      <c r="E3804">
        <v>8</v>
      </c>
      <c r="F3804">
        <v>1.01722196789785</v>
      </c>
      <c r="G3804" t="s">
        <v>81</v>
      </c>
      <c r="H3804" t="s">
        <v>81</v>
      </c>
      <c r="I3804">
        <v>108</v>
      </c>
      <c r="J3804">
        <v>342</v>
      </c>
      <c r="K3804">
        <v>0</v>
      </c>
    </row>
    <row r="3805" spans="1:11" x14ac:dyDescent="0.25">
      <c r="A3805" t="s">
        <v>83</v>
      </c>
    </row>
    <row r="3806" spans="1:11" x14ac:dyDescent="0.25">
      <c r="A3806">
        <v>33.089480700483101</v>
      </c>
      <c r="B3806">
        <v>85.485559116805007</v>
      </c>
      <c r="C3806">
        <v>2000</v>
      </c>
    </row>
    <row r="3807" spans="1:11" x14ac:dyDescent="0.25">
      <c r="A3807">
        <v>32.8698204698238</v>
      </c>
      <c r="B3807">
        <v>85.265898886145706</v>
      </c>
      <c r="C3807">
        <v>2000</v>
      </c>
    </row>
    <row r="3808" spans="1:11" x14ac:dyDescent="0.25">
      <c r="A3808">
        <v>33.306836494272702</v>
      </c>
      <c r="B3808">
        <v>84.828882861696897</v>
      </c>
      <c r="C3808">
        <v>2001</v>
      </c>
    </row>
    <row r="3809" spans="1:11" x14ac:dyDescent="0.25">
      <c r="A3809">
        <v>33.526496724931903</v>
      </c>
      <c r="B3809">
        <v>85.048543092356098</v>
      </c>
      <c r="C3809">
        <v>2001</v>
      </c>
    </row>
    <row r="3810" spans="1:11" x14ac:dyDescent="0.25">
      <c r="A3810">
        <v>48.2594456203514</v>
      </c>
      <c r="B3810">
        <v>99.781491987775595</v>
      </c>
      <c r="C3810">
        <v>2001</v>
      </c>
    </row>
    <row r="3811" spans="1:11" x14ac:dyDescent="0.25">
      <c r="A3811">
        <v>48.721509860694297</v>
      </c>
      <c r="B3811">
        <v>100.243556228119</v>
      </c>
      <c r="C3811">
        <v>2001</v>
      </c>
    </row>
    <row r="3812" spans="1:11" x14ac:dyDescent="0.25">
      <c r="A3812">
        <v>48.284493836245503</v>
      </c>
      <c r="B3812">
        <v>100.680572252567</v>
      </c>
      <c r="C3812">
        <v>2000</v>
      </c>
    </row>
    <row r="3813" spans="1:11" x14ac:dyDescent="0.25">
      <c r="A3813">
        <v>47.822429595902598</v>
      </c>
      <c r="B3813">
        <v>100.21850801222401</v>
      </c>
      <c r="C3813">
        <v>2000</v>
      </c>
    </row>
    <row r="3814" spans="1:11" x14ac:dyDescent="0.25">
      <c r="A3814" t="s">
        <v>84</v>
      </c>
    </row>
    <row r="3815" spans="1:11" x14ac:dyDescent="0.25">
      <c r="A3815">
        <v>790</v>
      </c>
      <c r="B3815">
        <v>0</v>
      </c>
      <c r="C3815">
        <v>4.2398257280819003</v>
      </c>
      <c r="D3815">
        <v>17.488821100013599</v>
      </c>
      <c r="E3815">
        <v>6</v>
      </c>
      <c r="F3815">
        <v>1.01722196789785</v>
      </c>
      <c r="G3815" t="s">
        <v>82</v>
      </c>
      <c r="H3815" t="s">
        <v>81</v>
      </c>
      <c r="I3815">
        <v>0</v>
      </c>
      <c r="J3815">
        <v>982</v>
      </c>
      <c r="K3815">
        <v>0.101658837564709</v>
      </c>
    </row>
    <row r="3816" spans="1:11" x14ac:dyDescent="0.25">
      <c r="A3816" t="s">
        <v>83</v>
      </c>
    </row>
    <row r="3817" spans="1:11" x14ac:dyDescent="0.25">
      <c r="A3817">
        <v>3.0406461357407002</v>
      </c>
      <c r="B3817">
        <v>111.13986635952099</v>
      </c>
      <c r="C3817">
        <v>2000</v>
      </c>
    </row>
    <row r="3818" spans="1:11" x14ac:dyDescent="0.25">
      <c r="A3818">
        <v>0</v>
      </c>
      <c r="B3818">
        <v>108.09922022377999</v>
      </c>
      <c r="C3818">
        <v>2000</v>
      </c>
    </row>
    <row r="3819" spans="1:11" x14ac:dyDescent="0.25">
      <c r="A3819">
        <v>0</v>
      </c>
      <c r="B3819">
        <v>108.973252272678</v>
      </c>
      <c r="C3819">
        <v>2001</v>
      </c>
    </row>
    <row r="3820" spans="1:11" x14ac:dyDescent="0.25">
      <c r="A3820">
        <v>2.9553729110111</v>
      </c>
      <c r="B3820">
        <v>111.92862518368899</v>
      </c>
      <c r="C3820">
        <v>2001</v>
      </c>
    </row>
    <row r="3821" spans="1:11" x14ac:dyDescent="0.25">
      <c r="A3821">
        <v>15.1459655059295</v>
      </c>
      <c r="B3821">
        <v>124.11921777860699</v>
      </c>
      <c r="C3821">
        <v>2001</v>
      </c>
    </row>
    <row r="3822" spans="1:11" x14ac:dyDescent="0.25">
      <c r="A3822">
        <v>15.5829815303783</v>
      </c>
      <c r="B3822">
        <v>123.682201754158</v>
      </c>
      <c r="C3822">
        <v>2000</v>
      </c>
    </row>
    <row r="3823" spans="1:11" x14ac:dyDescent="0.25">
      <c r="A3823" t="s">
        <v>84</v>
      </c>
    </row>
    <row r="3824" spans="1:11" x14ac:dyDescent="0.25">
      <c r="A3824">
        <v>954</v>
      </c>
      <c r="B3824">
        <v>0</v>
      </c>
      <c r="C3824">
        <v>20.785366031349898</v>
      </c>
      <c r="D3824">
        <v>0.93420207217695905</v>
      </c>
      <c r="E3824">
        <v>6</v>
      </c>
      <c r="F3824">
        <v>1.01722196789785</v>
      </c>
      <c r="G3824" t="s">
        <v>81</v>
      </c>
      <c r="H3824" t="s">
        <v>81</v>
      </c>
      <c r="I3824">
        <v>571</v>
      </c>
      <c r="J3824">
        <v>589</v>
      </c>
      <c r="K3824">
        <v>0.106893551284177</v>
      </c>
    </row>
    <row r="3825" spans="1:11" x14ac:dyDescent="0.25">
      <c r="A3825" t="s">
        <v>83</v>
      </c>
    </row>
    <row r="3826" spans="1:11" x14ac:dyDescent="0.25">
      <c r="A3826">
        <v>122.98290388704</v>
      </c>
      <c r="B3826">
        <v>69.478702387534199</v>
      </c>
      <c r="C3826">
        <v>2000</v>
      </c>
    </row>
    <row r="3827" spans="1:11" x14ac:dyDescent="0.25">
      <c r="A3827">
        <v>108.28543061682799</v>
      </c>
      <c r="B3827">
        <v>54.781229117322198</v>
      </c>
      <c r="C3827">
        <v>2000</v>
      </c>
    </row>
    <row r="3828" spans="1:11" x14ac:dyDescent="0.25">
      <c r="A3828">
        <v>107.848414592379</v>
      </c>
      <c r="B3828">
        <v>55.218245141771</v>
      </c>
      <c r="C3828">
        <v>2001</v>
      </c>
    </row>
    <row r="3829" spans="1:11" x14ac:dyDescent="0.25">
      <c r="A3829">
        <v>122.545887862591</v>
      </c>
      <c r="B3829">
        <v>69.915718411982994</v>
      </c>
      <c r="C3829">
        <v>2001</v>
      </c>
    </row>
    <row r="3830" spans="1:11" x14ac:dyDescent="0.25">
      <c r="A3830">
        <v>123.206468482826</v>
      </c>
      <c r="B3830">
        <v>70.576299032217904</v>
      </c>
      <c r="C3830">
        <v>2001</v>
      </c>
    </row>
    <row r="3831" spans="1:11" x14ac:dyDescent="0.25">
      <c r="A3831">
        <v>123.643484507274</v>
      </c>
      <c r="B3831">
        <v>70.139283007769095</v>
      </c>
      <c r="C3831">
        <v>2000</v>
      </c>
    </row>
    <row r="3832" spans="1:11" x14ac:dyDescent="0.25">
      <c r="A3832" t="s">
        <v>84</v>
      </c>
    </row>
    <row r="3833" spans="1:11" x14ac:dyDescent="0.25">
      <c r="A3833">
        <v>924</v>
      </c>
      <c r="B3833">
        <v>0</v>
      </c>
      <c r="C3833">
        <v>12.505691194440001</v>
      </c>
      <c r="D3833">
        <v>9.2075148474381301</v>
      </c>
      <c r="E3833">
        <v>8</v>
      </c>
      <c r="F3833">
        <v>1.01722196789785</v>
      </c>
      <c r="G3833" t="s">
        <v>81</v>
      </c>
      <c r="H3833" t="s">
        <v>81</v>
      </c>
      <c r="I3833">
        <v>118</v>
      </c>
      <c r="J3833">
        <v>735</v>
      </c>
      <c r="K3833">
        <v>0.10547505826048501</v>
      </c>
    </row>
    <row r="3834" spans="1:11" x14ac:dyDescent="0.25">
      <c r="A3834" t="s">
        <v>83</v>
      </c>
    </row>
    <row r="3835" spans="1:11" x14ac:dyDescent="0.25">
      <c r="A3835">
        <v>28.772115763640802</v>
      </c>
      <c r="B3835">
        <v>99.635679068800997</v>
      </c>
      <c r="C3835">
        <v>2000</v>
      </c>
    </row>
    <row r="3836" spans="1:11" x14ac:dyDescent="0.25">
      <c r="A3836">
        <v>19.9292567166274</v>
      </c>
      <c r="B3836">
        <v>90.792820021787605</v>
      </c>
      <c r="C3836">
        <v>2000</v>
      </c>
    </row>
    <row r="3837" spans="1:11" x14ac:dyDescent="0.25">
      <c r="A3837">
        <v>20.366272741076202</v>
      </c>
      <c r="B3837">
        <v>90.355803997338796</v>
      </c>
      <c r="C3837">
        <v>2001</v>
      </c>
    </row>
    <row r="3838" spans="1:11" x14ac:dyDescent="0.25">
      <c r="A3838">
        <v>29.209131788089699</v>
      </c>
      <c r="B3838">
        <v>99.198663044352202</v>
      </c>
      <c r="C3838">
        <v>2001</v>
      </c>
    </row>
    <row r="3839" spans="1:11" x14ac:dyDescent="0.25">
      <c r="A3839">
        <v>29.791960731513001</v>
      </c>
      <c r="B3839">
        <v>99.781491987775595</v>
      </c>
      <c r="C3839">
        <v>2001</v>
      </c>
    </row>
    <row r="3840" spans="1:11" x14ac:dyDescent="0.25">
      <c r="A3840">
        <v>35.719827974589002</v>
      </c>
      <c r="B3840">
        <v>105.709359230852</v>
      </c>
      <c r="C3840">
        <v>2001</v>
      </c>
    </row>
    <row r="3841" spans="1:11" x14ac:dyDescent="0.25">
      <c r="A3841">
        <v>35.2828119501402</v>
      </c>
      <c r="B3841">
        <v>106.1463752553</v>
      </c>
      <c r="C3841">
        <v>2000</v>
      </c>
    </row>
    <row r="3842" spans="1:11" x14ac:dyDescent="0.25">
      <c r="A3842">
        <v>29.354944707064199</v>
      </c>
      <c r="B3842">
        <v>100.21850801222401</v>
      </c>
      <c r="C3842">
        <v>2000</v>
      </c>
    </row>
    <row r="3843" spans="1:11" x14ac:dyDescent="0.25">
      <c r="A3843" t="s">
        <v>84</v>
      </c>
    </row>
    <row r="3844" spans="1:11" x14ac:dyDescent="0.25">
      <c r="A3844">
        <v>876</v>
      </c>
      <c r="B3844">
        <v>0</v>
      </c>
      <c r="C3844">
        <v>14.660200606184899</v>
      </c>
      <c r="D3844">
        <v>6.9233160343977396</v>
      </c>
      <c r="E3844">
        <v>6</v>
      </c>
      <c r="F3844">
        <v>1.01722196789785</v>
      </c>
      <c r="G3844" t="s">
        <v>82</v>
      </c>
      <c r="H3844" t="s">
        <v>81</v>
      </c>
      <c r="I3844">
        <v>0</v>
      </c>
      <c r="J3844">
        <v>429</v>
      </c>
      <c r="K3844">
        <v>0.104210552406962</v>
      </c>
    </row>
    <row r="3845" spans="1:11" x14ac:dyDescent="0.25">
      <c r="A3845" t="s">
        <v>83</v>
      </c>
    </row>
    <row r="3846" spans="1:11" x14ac:dyDescent="0.25">
      <c r="A3846">
        <v>10.514744748857201</v>
      </c>
      <c r="B3846">
        <v>128.74151948527901</v>
      </c>
      <c r="C3846">
        <v>2000</v>
      </c>
    </row>
    <row r="3847" spans="1:11" x14ac:dyDescent="0.25">
      <c r="A3847">
        <v>0</v>
      </c>
      <c r="B3847">
        <v>118.226774736422</v>
      </c>
      <c r="C3847">
        <v>2000</v>
      </c>
    </row>
    <row r="3848" spans="1:11" x14ac:dyDescent="0.25">
      <c r="A3848">
        <v>0</v>
      </c>
      <c r="B3848">
        <v>119.10080678532</v>
      </c>
      <c r="C3848">
        <v>2001</v>
      </c>
    </row>
    <row r="3849" spans="1:11" x14ac:dyDescent="0.25">
      <c r="A3849">
        <v>10.217909775519701</v>
      </c>
      <c r="B3849">
        <v>129.31871656083899</v>
      </c>
      <c r="C3849">
        <v>2001</v>
      </c>
    </row>
    <row r="3850" spans="1:11" x14ac:dyDescent="0.25">
      <c r="A3850">
        <v>15.0433429661842</v>
      </c>
      <c r="B3850">
        <v>134.14414975150399</v>
      </c>
      <c r="C3850">
        <v>2001</v>
      </c>
    </row>
    <row r="3851" spans="1:11" x14ac:dyDescent="0.25">
      <c r="A3851">
        <v>15.4803589906331</v>
      </c>
      <c r="B3851">
        <v>133.70713372705501</v>
      </c>
      <c r="C3851">
        <v>2000</v>
      </c>
    </row>
    <row r="3852" spans="1:11" x14ac:dyDescent="0.25">
      <c r="A3852" t="s">
        <v>84</v>
      </c>
    </row>
    <row r="3853" spans="1:11" x14ac:dyDescent="0.25">
      <c r="A3853">
        <v>196</v>
      </c>
      <c r="B3853">
        <v>0</v>
      </c>
      <c r="C3853">
        <v>5.6651420457990902</v>
      </c>
      <c r="D3853">
        <v>15.8338540231788</v>
      </c>
      <c r="E3853">
        <v>6</v>
      </c>
      <c r="F3853">
        <v>1.01722196789785</v>
      </c>
      <c r="G3853" t="s">
        <v>81</v>
      </c>
      <c r="H3853" t="s">
        <v>81</v>
      </c>
      <c r="I3853">
        <v>817</v>
      </c>
      <c r="J3853">
        <v>893</v>
      </c>
      <c r="K3853">
        <v>0</v>
      </c>
    </row>
    <row r="3854" spans="1:11" x14ac:dyDescent="0.25">
      <c r="A3854" t="s">
        <v>83</v>
      </c>
    </row>
    <row r="3855" spans="1:11" x14ac:dyDescent="0.25">
      <c r="A3855">
        <v>85.113315483146806</v>
      </c>
      <c r="B3855">
        <v>15.757532568531101</v>
      </c>
      <c r="C3855">
        <v>2000</v>
      </c>
    </row>
    <row r="3856" spans="1:11" x14ac:dyDescent="0.25">
      <c r="A3856">
        <v>81.1074551261772</v>
      </c>
      <c r="B3856">
        <v>11.7516722115615</v>
      </c>
      <c r="C3856">
        <v>2000</v>
      </c>
    </row>
    <row r="3857" spans="1:11" x14ac:dyDescent="0.25">
      <c r="A3857">
        <v>81.544471150625995</v>
      </c>
      <c r="B3857">
        <v>11.3146561871127</v>
      </c>
      <c r="C3857">
        <v>2001</v>
      </c>
    </row>
    <row r="3858" spans="1:11" x14ac:dyDescent="0.25">
      <c r="A3858">
        <v>85.550331507595601</v>
      </c>
      <c r="B3858">
        <v>15.320516544082199</v>
      </c>
      <c r="C3858">
        <v>2001</v>
      </c>
    </row>
    <row r="3859" spans="1:11" x14ac:dyDescent="0.25">
      <c r="A3859">
        <v>96.746557059703207</v>
      </c>
      <c r="B3859">
        <v>26.516742096189901</v>
      </c>
      <c r="C3859">
        <v>2001</v>
      </c>
    </row>
    <row r="3860" spans="1:11" x14ac:dyDescent="0.25">
      <c r="A3860">
        <v>96.309541035254398</v>
      </c>
      <c r="B3860">
        <v>26.9537581206387</v>
      </c>
      <c r="C3860">
        <v>2000</v>
      </c>
    </row>
    <row r="3861" spans="1:11" x14ac:dyDescent="0.25">
      <c r="A3861" t="s">
        <v>84</v>
      </c>
    </row>
    <row r="3862" spans="1:11" x14ac:dyDescent="0.25">
      <c r="A3862">
        <v>839</v>
      </c>
      <c r="B3862">
        <v>0</v>
      </c>
      <c r="C3862">
        <v>10.158876073089401</v>
      </c>
      <c r="D3862">
        <v>11.3162971380066</v>
      </c>
      <c r="E3862">
        <v>6</v>
      </c>
      <c r="F3862">
        <v>1.01722196789785</v>
      </c>
      <c r="G3862" t="s">
        <v>81</v>
      </c>
      <c r="H3862" t="s">
        <v>82</v>
      </c>
      <c r="I3862">
        <v>421</v>
      </c>
      <c r="J3862">
        <v>0</v>
      </c>
      <c r="K3862">
        <v>0.10341204281958701</v>
      </c>
    </row>
    <row r="3863" spans="1:11" x14ac:dyDescent="0.25">
      <c r="A3863" t="s">
        <v>83</v>
      </c>
    </row>
    <row r="3864" spans="1:11" x14ac:dyDescent="0.25">
      <c r="A3864">
        <v>24.184786721703102</v>
      </c>
      <c r="B3864">
        <v>142.11331189104101</v>
      </c>
      <c r="C3864">
        <v>2000</v>
      </c>
    </row>
    <row r="3865" spans="1:11" x14ac:dyDescent="0.25">
      <c r="A3865">
        <v>17.104742238164899</v>
      </c>
      <c r="B3865">
        <v>135.03326740750299</v>
      </c>
      <c r="C3865">
        <v>2000</v>
      </c>
    </row>
    <row r="3866" spans="1:11" x14ac:dyDescent="0.25">
      <c r="A3866">
        <v>17.541758262613701</v>
      </c>
      <c r="B3866">
        <v>134.59625138305401</v>
      </c>
      <c r="C3866">
        <v>2001</v>
      </c>
    </row>
    <row r="3867" spans="1:11" x14ac:dyDescent="0.25">
      <c r="A3867">
        <v>24.828534100106101</v>
      </c>
      <c r="B3867">
        <v>141.88302722054601</v>
      </c>
      <c r="C3867">
        <v>2001</v>
      </c>
    </row>
    <row r="3868" spans="1:11" x14ac:dyDescent="0.25">
      <c r="A3868">
        <v>32.9455068795599</v>
      </c>
      <c r="B3868">
        <v>150</v>
      </c>
      <c r="C3868">
        <v>2001</v>
      </c>
    </row>
    <row r="3869" spans="1:11" x14ac:dyDescent="0.25">
      <c r="A3869">
        <v>32.071474830662197</v>
      </c>
      <c r="B3869">
        <v>150</v>
      </c>
      <c r="C3869">
        <v>2000</v>
      </c>
    </row>
    <row r="3870" spans="1:11" x14ac:dyDescent="0.25">
      <c r="A3870" t="s">
        <v>84</v>
      </c>
    </row>
    <row r="3871" spans="1:11" x14ac:dyDescent="0.25">
      <c r="A3871">
        <v>511</v>
      </c>
      <c r="B3871">
        <v>0</v>
      </c>
      <c r="C3871">
        <v>10.537458345876001</v>
      </c>
      <c r="D3871">
        <v>10.767944149329599</v>
      </c>
      <c r="E3871">
        <v>6</v>
      </c>
      <c r="F3871">
        <v>1.01722196789785</v>
      </c>
      <c r="G3871" t="s">
        <v>82</v>
      </c>
      <c r="H3871" t="s">
        <v>82</v>
      </c>
      <c r="I3871">
        <v>0</v>
      </c>
      <c r="J3871">
        <v>0</v>
      </c>
      <c r="K3871">
        <v>0</v>
      </c>
    </row>
    <row r="3872" spans="1:11" x14ac:dyDescent="0.25">
      <c r="A3872" t="s">
        <v>83</v>
      </c>
    </row>
    <row r="3873" spans="1:11" x14ac:dyDescent="0.25">
      <c r="A3873">
        <v>142.606785545078</v>
      </c>
      <c r="B3873">
        <v>7.2349641008976597</v>
      </c>
      <c r="C3873">
        <v>2000</v>
      </c>
    </row>
    <row r="3874" spans="1:11" x14ac:dyDescent="0.25">
      <c r="A3874">
        <v>135.37182144418</v>
      </c>
      <c r="B3874">
        <v>0</v>
      </c>
      <c r="C3874">
        <v>2000</v>
      </c>
    </row>
    <row r="3875" spans="1:11" x14ac:dyDescent="0.25">
      <c r="A3875">
        <v>134.49778939528301</v>
      </c>
      <c r="B3875">
        <v>0</v>
      </c>
      <c r="C3875">
        <v>2001</v>
      </c>
    </row>
    <row r="3876" spans="1:11" x14ac:dyDescent="0.25">
      <c r="A3876">
        <v>142.16504180006399</v>
      </c>
      <c r="B3876">
        <v>7.6672524047817197</v>
      </c>
      <c r="C3876">
        <v>2001</v>
      </c>
    </row>
    <row r="3877" spans="1:11" x14ac:dyDescent="0.25">
      <c r="A3877">
        <v>150</v>
      </c>
      <c r="B3877">
        <v>15.502210604717501</v>
      </c>
      <c r="C3877">
        <v>2001</v>
      </c>
    </row>
    <row r="3878" spans="1:11" x14ac:dyDescent="0.25">
      <c r="A3878">
        <v>150</v>
      </c>
      <c r="B3878">
        <v>14.628178555819799</v>
      </c>
      <c r="C3878">
        <v>2000</v>
      </c>
    </row>
    <row r="3879" spans="1:11" x14ac:dyDescent="0.25">
      <c r="A3879" t="s">
        <v>84</v>
      </c>
    </row>
    <row r="3880" spans="1:11" x14ac:dyDescent="0.25">
      <c r="A3880">
        <v>427</v>
      </c>
      <c r="B3880">
        <v>0</v>
      </c>
      <c r="C3880">
        <v>0.838594293061107</v>
      </c>
      <c r="D3880">
        <v>20.249411772939101</v>
      </c>
      <c r="E3880">
        <v>6</v>
      </c>
      <c r="F3880">
        <v>1.01722196789785</v>
      </c>
      <c r="G3880" t="s">
        <v>81</v>
      </c>
      <c r="H3880" t="s">
        <v>82</v>
      </c>
      <c r="I3880">
        <v>926</v>
      </c>
      <c r="J3880">
        <v>0</v>
      </c>
      <c r="K3880">
        <v>0</v>
      </c>
    </row>
    <row r="3881" spans="1:11" x14ac:dyDescent="0.25">
      <c r="A3881" t="s">
        <v>83</v>
      </c>
    </row>
    <row r="3882" spans="1:11" x14ac:dyDescent="0.25">
      <c r="A3882">
        <v>31.848249136897</v>
      </c>
      <c r="B3882">
        <v>135.89132235336101</v>
      </c>
      <c r="C3882">
        <v>2000</v>
      </c>
    </row>
    <row r="3883" spans="1:11" x14ac:dyDescent="0.25">
      <c r="A3883">
        <v>31.263962704788302</v>
      </c>
      <c r="B3883">
        <v>135.307035921253</v>
      </c>
      <c r="C3883">
        <v>2000</v>
      </c>
    </row>
    <row r="3884" spans="1:11" x14ac:dyDescent="0.25">
      <c r="A3884">
        <v>31.7009787292371</v>
      </c>
      <c r="B3884">
        <v>134.870019896804</v>
      </c>
      <c r="C3884">
        <v>2001</v>
      </c>
    </row>
    <row r="3885" spans="1:11" x14ac:dyDescent="0.25">
      <c r="A3885">
        <v>32.302643719704101</v>
      </c>
      <c r="B3885">
        <v>135.47168488727101</v>
      </c>
      <c r="C3885">
        <v>2001</v>
      </c>
    </row>
    <row r="3886" spans="1:11" x14ac:dyDescent="0.25">
      <c r="A3886">
        <v>46.830958832433303</v>
      </c>
      <c r="B3886">
        <v>150</v>
      </c>
      <c r="C3886">
        <v>2001</v>
      </c>
    </row>
    <row r="3887" spans="1:11" x14ac:dyDescent="0.25">
      <c r="A3887">
        <v>45.9569267835357</v>
      </c>
      <c r="B3887">
        <v>150</v>
      </c>
      <c r="C3887">
        <v>2000</v>
      </c>
    </row>
    <row r="3888" spans="1:11" x14ac:dyDescent="0.25">
      <c r="A3888" t="s">
        <v>84</v>
      </c>
    </row>
    <row r="3889" spans="1:11" x14ac:dyDescent="0.25">
      <c r="A3889">
        <v>271</v>
      </c>
      <c r="B3889">
        <v>0</v>
      </c>
      <c r="C3889">
        <v>13.80055398879</v>
      </c>
      <c r="D3889">
        <v>7.2154577173230896</v>
      </c>
      <c r="E3889">
        <v>8</v>
      </c>
      <c r="F3889">
        <v>1.01722196789785</v>
      </c>
      <c r="G3889" t="s">
        <v>81</v>
      </c>
      <c r="H3889" t="s">
        <v>81</v>
      </c>
      <c r="I3889">
        <v>679</v>
      </c>
      <c r="J3889">
        <v>279</v>
      </c>
      <c r="K3889">
        <v>0</v>
      </c>
    </row>
    <row r="3890" spans="1:11" x14ac:dyDescent="0.25">
      <c r="A3890" t="s">
        <v>83</v>
      </c>
    </row>
    <row r="3891" spans="1:11" x14ac:dyDescent="0.25">
      <c r="A3891">
        <v>101.640598457135</v>
      </c>
      <c r="B3891">
        <v>128.20543519696901</v>
      </c>
      <c r="C3891">
        <v>2000</v>
      </c>
    </row>
    <row r="3892" spans="1:11" x14ac:dyDescent="0.25">
      <c r="A3892">
        <v>100.21850801222401</v>
      </c>
      <c r="B3892">
        <v>126.78334475205899</v>
      </c>
      <c r="C3892">
        <v>2000</v>
      </c>
    </row>
    <row r="3893" spans="1:11" x14ac:dyDescent="0.25">
      <c r="A3893">
        <v>91.882133147530396</v>
      </c>
      <c r="B3893">
        <v>118.446969887365</v>
      </c>
      <c r="C3893">
        <v>2000</v>
      </c>
    </row>
    <row r="3894" spans="1:11" x14ac:dyDescent="0.25">
      <c r="A3894">
        <v>91.445117123081502</v>
      </c>
      <c r="B3894">
        <v>118.88398591181399</v>
      </c>
      <c r="C3894">
        <v>2001</v>
      </c>
    </row>
    <row r="3895" spans="1:11" x14ac:dyDescent="0.25">
      <c r="A3895">
        <v>99.781491987775595</v>
      </c>
      <c r="B3895">
        <v>127.220360776508</v>
      </c>
      <c r="C3895">
        <v>2001</v>
      </c>
    </row>
    <row r="3896" spans="1:11" x14ac:dyDescent="0.25">
      <c r="A3896">
        <v>101.20358243268601</v>
      </c>
      <c r="B3896">
        <v>128.64245122141801</v>
      </c>
      <c r="C3896">
        <v>2001</v>
      </c>
    </row>
    <row r="3897" spans="1:11" x14ac:dyDescent="0.25">
      <c r="A3897">
        <v>106.30568151397</v>
      </c>
      <c r="B3897">
        <v>133.74455030270201</v>
      </c>
      <c r="C3897">
        <v>2001</v>
      </c>
    </row>
    <row r="3898" spans="1:11" x14ac:dyDescent="0.25">
      <c r="A3898">
        <v>106.74269753841899</v>
      </c>
      <c r="B3898">
        <v>133.307534278253</v>
      </c>
      <c r="C3898">
        <v>2000</v>
      </c>
    </row>
    <row r="3899" spans="1:11" x14ac:dyDescent="0.25">
      <c r="A3899" t="s">
        <v>84</v>
      </c>
    </row>
    <row r="3900" spans="1:11" x14ac:dyDescent="0.25">
      <c r="A3900">
        <v>805</v>
      </c>
      <c r="B3900">
        <v>0</v>
      </c>
      <c r="C3900">
        <v>12.793188433258001</v>
      </c>
      <c r="D3900">
        <v>8.0229039677597296</v>
      </c>
      <c r="E3900">
        <v>6</v>
      </c>
      <c r="F3900">
        <v>1.01722196789785</v>
      </c>
      <c r="G3900" t="s">
        <v>82</v>
      </c>
      <c r="H3900" t="s">
        <v>82</v>
      </c>
      <c r="I3900">
        <v>0</v>
      </c>
      <c r="J3900">
        <v>0</v>
      </c>
      <c r="K3900">
        <v>0.102343747528348</v>
      </c>
    </row>
    <row r="3901" spans="1:11" x14ac:dyDescent="0.25">
      <c r="A3901" t="s">
        <v>83</v>
      </c>
    </row>
    <row r="3902" spans="1:11" x14ac:dyDescent="0.25">
      <c r="A3902">
        <v>8.7775682643752795</v>
      </c>
      <c r="B3902">
        <v>144.495384194259</v>
      </c>
      <c r="C3902">
        <v>2000</v>
      </c>
    </row>
    <row r="3903" spans="1:11" x14ac:dyDescent="0.25">
      <c r="A3903">
        <v>0</v>
      </c>
      <c r="B3903">
        <v>135.71781592988299</v>
      </c>
      <c r="C3903">
        <v>2000</v>
      </c>
    </row>
    <row r="3904" spans="1:11" x14ac:dyDescent="0.25">
      <c r="A3904">
        <v>0</v>
      </c>
      <c r="B3904">
        <v>134.843783880986</v>
      </c>
      <c r="C3904">
        <v>2001</v>
      </c>
    </row>
    <row r="3905" spans="1:11" x14ac:dyDescent="0.25">
      <c r="A3905">
        <v>9.3147323239327697</v>
      </c>
      <c r="B3905">
        <v>144.15851620491901</v>
      </c>
      <c r="C3905">
        <v>2001</v>
      </c>
    </row>
    <row r="3906" spans="1:11" x14ac:dyDescent="0.25">
      <c r="A3906">
        <v>15.1562161190142</v>
      </c>
      <c r="B3906">
        <v>150</v>
      </c>
      <c r="C3906">
        <v>2001</v>
      </c>
    </row>
    <row r="3907" spans="1:11" x14ac:dyDescent="0.25">
      <c r="A3907">
        <v>14.2821840701166</v>
      </c>
      <c r="B3907">
        <v>150</v>
      </c>
      <c r="C3907">
        <v>2000</v>
      </c>
    </row>
    <row r="3908" spans="1:11" x14ac:dyDescent="0.25">
      <c r="A3908" t="s">
        <v>84</v>
      </c>
    </row>
    <row r="3909" spans="1:11" x14ac:dyDescent="0.25">
      <c r="A3909">
        <v>806</v>
      </c>
      <c r="B3909">
        <v>0</v>
      </c>
      <c r="C3909">
        <v>19.543651225085402</v>
      </c>
      <c r="D3909">
        <v>0.82237880619147996</v>
      </c>
      <c r="E3909">
        <v>6</v>
      </c>
      <c r="F3909">
        <v>1.01722196789785</v>
      </c>
      <c r="G3909" t="s">
        <v>81</v>
      </c>
      <c r="H3909" t="s">
        <v>81</v>
      </c>
      <c r="I3909">
        <v>912</v>
      </c>
      <c r="J3909">
        <v>428</v>
      </c>
      <c r="K3909">
        <v>0.10256144766988801</v>
      </c>
    </row>
    <row r="3910" spans="1:11" x14ac:dyDescent="0.25">
      <c r="A3910" t="s">
        <v>83</v>
      </c>
    </row>
    <row r="3911" spans="1:11" x14ac:dyDescent="0.25">
      <c r="A3911">
        <v>41.771511244476699</v>
      </c>
      <c r="B3911">
        <v>120.657499559534</v>
      </c>
      <c r="C3911">
        <v>2000</v>
      </c>
    </row>
    <row r="3912" spans="1:11" x14ac:dyDescent="0.25">
      <c r="A3912">
        <v>27.9520629340741</v>
      </c>
      <c r="B3912">
        <v>106.83805124913199</v>
      </c>
      <c r="C3912">
        <v>2000</v>
      </c>
    </row>
    <row r="3913" spans="1:11" x14ac:dyDescent="0.25">
      <c r="A3913">
        <v>27.515046909625202</v>
      </c>
      <c r="B3913">
        <v>107.27506727358001</v>
      </c>
      <c r="C3913">
        <v>2001</v>
      </c>
    </row>
    <row r="3914" spans="1:11" x14ac:dyDescent="0.25">
      <c r="A3914">
        <v>41.334495220027897</v>
      </c>
      <c r="B3914">
        <v>121.094515583983</v>
      </c>
      <c r="C3914">
        <v>2001</v>
      </c>
    </row>
    <row r="3915" spans="1:11" x14ac:dyDescent="0.25">
      <c r="A3915">
        <v>41.916004850589999</v>
      </c>
      <c r="B3915">
        <v>121.67602521454501</v>
      </c>
      <c r="C3915">
        <v>2001</v>
      </c>
    </row>
    <row r="3916" spans="1:11" x14ac:dyDescent="0.25">
      <c r="A3916">
        <v>42.353020875038801</v>
      </c>
      <c r="B3916">
        <v>121.239009190096</v>
      </c>
      <c r="C3916">
        <v>2000</v>
      </c>
    </row>
    <row r="3917" spans="1:11" x14ac:dyDescent="0.25">
      <c r="A3917" t="s">
        <v>84</v>
      </c>
    </row>
    <row r="3918" spans="1:11" x14ac:dyDescent="0.25">
      <c r="A3918">
        <v>918</v>
      </c>
      <c r="B3918">
        <v>0</v>
      </c>
      <c r="C3918">
        <v>14.8233735417411</v>
      </c>
      <c r="D3918">
        <v>5.3906744031660896</v>
      </c>
      <c r="E3918">
        <v>8</v>
      </c>
      <c r="F3918">
        <v>1.01722196789785</v>
      </c>
      <c r="G3918" t="s">
        <v>81</v>
      </c>
      <c r="H3918" t="s">
        <v>81</v>
      </c>
      <c r="I3918">
        <v>111</v>
      </c>
      <c r="J3918">
        <v>335</v>
      </c>
      <c r="K3918">
        <v>0.10530400139967799</v>
      </c>
    </row>
    <row r="3919" spans="1:11" x14ac:dyDescent="0.25">
      <c r="A3919" t="s">
        <v>83</v>
      </c>
    </row>
    <row r="3920" spans="1:11" x14ac:dyDescent="0.25">
      <c r="A3920">
        <v>64.912419241342107</v>
      </c>
      <c r="B3920">
        <v>99.027286884857801</v>
      </c>
      <c r="C3920">
        <v>2000</v>
      </c>
    </row>
    <row r="3921" spans="1:11" x14ac:dyDescent="0.25">
      <c r="A3921">
        <v>54.430711289915799</v>
      </c>
      <c r="B3921">
        <v>88.545578933431401</v>
      </c>
      <c r="C3921">
        <v>2000</v>
      </c>
    </row>
    <row r="3922" spans="1:11" x14ac:dyDescent="0.25">
      <c r="A3922">
        <v>53.993695265466997</v>
      </c>
      <c r="B3922">
        <v>88.982594957880195</v>
      </c>
      <c r="C3922">
        <v>2001</v>
      </c>
    </row>
    <row r="3923" spans="1:11" x14ac:dyDescent="0.25">
      <c r="A3923">
        <v>64.475403216893298</v>
      </c>
      <c r="B3923">
        <v>99.464302909306596</v>
      </c>
      <c r="C3923">
        <v>2001</v>
      </c>
    </row>
    <row r="3924" spans="1:11" x14ac:dyDescent="0.25">
      <c r="A3924">
        <v>65.229608319811106</v>
      </c>
      <c r="B3924">
        <v>100.21850801222401</v>
      </c>
      <c r="C3924">
        <v>2001</v>
      </c>
    </row>
    <row r="3925" spans="1:11" x14ac:dyDescent="0.25">
      <c r="A3925">
        <v>68.287185642540805</v>
      </c>
      <c r="B3925">
        <v>103.276085334954</v>
      </c>
      <c r="C3925">
        <v>2001</v>
      </c>
    </row>
    <row r="3926" spans="1:11" x14ac:dyDescent="0.25">
      <c r="A3926">
        <v>68.7242016669896</v>
      </c>
      <c r="B3926">
        <v>102.839069310505</v>
      </c>
      <c r="C3926">
        <v>2000</v>
      </c>
    </row>
    <row r="3927" spans="1:11" x14ac:dyDescent="0.25">
      <c r="A3927">
        <v>65.666624344260001</v>
      </c>
      <c r="B3927">
        <v>99.781491987775595</v>
      </c>
      <c r="C3927">
        <v>2000</v>
      </c>
    </row>
    <row r="3928" spans="1:11" x14ac:dyDescent="0.25">
      <c r="A3928" t="s">
        <v>84</v>
      </c>
    </row>
    <row r="3929" spans="1:11" x14ac:dyDescent="0.25">
      <c r="A3929">
        <v>37</v>
      </c>
      <c r="B3929">
        <v>0</v>
      </c>
      <c r="C3929">
        <v>4.3227755662921004</v>
      </c>
      <c r="D3929">
        <v>15.8338540231788</v>
      </c>
      <c r="E3929">
        <v>6</v>
      </c>
      <c r="F3929">
        <v>1.01722196789785</v>
      </c>
      <c r="G3929" t="s">
        <v>82</v>
      </c>
      <c r="H3929" t="s">
        <v>81</v>
      </c>
      <c r="I3929">
        <v>0</v>
      </c>
      <c r="J3929">
        <v>19</v>
      </c>
      <c r="K3929">
        <v>0</v>
      </c>
    </row>
    <row r="3930" spans="1:11" x14ac:dyDescent="0.25">
      <c r="A3930" t="s">
        <v>83</v>
      </c>
    </row>
    <row r="3931" spans="1:11" x14ac:dyDescent="0.25">
      <c r="A3931">
        <v>11.696845216413299</v>
      </c>
      <c r="B3931">
        <v>3.0098028531143299</v>
      </c>
      <c r="C3931">
        <v>2000</v>
      </c>
    </row>
    <row r="3932" spans="1:11" x14ac:dyDescent="0.25">
      <c r="A3932">
        <v>8.6870423632989606</v>
      </c>
      <c r="B3932">
        <v>0</v>
      </c>
      <c r="C3932">
        <v>2000</v>
      </c>
    </row>
    <row r="3933" spans="1:11" x14ac:dyDescent="0.25">
      <c r="A3933">
        <v>7.8130103144013097</v>
      </c>
      <c r="B3933">
        <v>0</v>
      </c>
      <c r="C3933">
        <v>2001</v>
      </c>
    </row>
    <row r="3934" spans="1:11" x14ac:dyDescent="0.25">
      <c r="A3934">
        <v>10.9165352942323</v>
      </c>
      <c r="B3934">
        <v>3.1035249798310001</v>
      </c>
      <c r="C3934">
        <v>2001</v>
      </c>
    </row>
    <row r="3935" spans="1:11" x14ac:dyDescent="0.25">
      <c r="A3935">
        <v>22.284407795206</v>
      </c>
      <c r="B3935">
        <v>14.471397480804701</v>
      </c>
      <c r="C3935">
        <v>2001</v>
      </c>
    </row>
    <row r="3936" spans="1:11" x14ac:dyDescent="0.25">
      <c r="A3936">
        <v>22.721423819654898</v>
      </c>
      <c r="B3936">
        <v>14.0343814563559</v>
      </c>
      <c r="C3936">
        <v>2000</v>
      </c>
    </row>
    <row r="3937" spans="1:11" x14ac:dyDescent="0.25">
      <c r="A3937" t="s">
        <v>84</v>
      </c>
    </row>
    <row r="3938" spans="1:11" x14ac:dyDescent="0.25">
      <c r="A3938">
        <v>765</v>
      </c>
      <c r="B3938">
        <v>0</v>
      </c>
      <c r="C3938">
        <v>4.8252432828473699</v>
      </c>
      <c r="D3938">
        <v>15.2969499037155</v>
      </c>
      <c r="E3938">
        <v>6</v>
      </c>
      <c r="F3938">
        <v>1.01722196789785</v>
      </c>
      <c r="G3938" t="s">
        <v>81</v>
      </c>
      <c r="H3938" t="s">
        <v>81</v>
      </c>
      <c r="I3938">
        <v>30</v>
      </c>
      <c r="J3938">
        <v>672</v>
      </c>
      <c r="K3938">
        <v>0.101399532687084</v>
      </c>
    </row>
    <row r="3939" spans="1:11" x14ac:dyDescent="0.25">
      <c r="A3939" t="s">
        <v>83</v>
      </c>
    </row>
    <row r="3940" spans="1:11" x14ac:dyDescent="0.25">
      <c r="A3940">
        <v>37.326677646178901</v>
      </c>
      <c r="B3940">
        <v>56.461003545881901</v>
      </c>
      <c r="C3940">
        <v>2000</v>
      </c>
    </row>
    <row r="3941" spans="1:11" x14ac:dyDescent="0.25">
      <c r="A3941">
        <v>33.914715400002699</v>
      </c>
      <c r="B3941">
        <v>53.049041299705699</v>
      </c>
      <c r="C3941">
        <v>2000</v>
      </c>
    </row>
    <row r="3942" spans="1:11" x14ac:dyDescent="0.25">
      <c r="A3942">
        <v>34.351731424451501</v>
      </c>
      <c r="B3942">
        <v>52.612025275256897</v>
      </c>
      <c r="C3942">
        <v>2001</v>
      </c>
    </row>
    <row r="3943" spans="1:11" x14ac:dyDescent="0.25">
      <c r="A3943">
        <v>37.763693670627703</v>
      </c>
      <c r="B3943">
        <v>56.023987521433099</v>
      </c>
      <c r="C3943">
        <v>2001</v>
      </c>
    </row>
    <row r="3944" spans="1:11" x14ac:dyDescent="0.25">
      <c r="A3944">
        <v>48.580270679015797</v>
      </c>
      <c r="B3944">
        <v>66.840564529821194</v>
      </c>
      <c r="C3944">
        <v>2001</v>
      </c>
    </row>
    <row r="3945" spans="1:11" x14ac:dyDescent="0.25">
      <c r="A3945">
        <v>48.143254654567002</v>
      </c>
      <c r="B3945">
        <v>67.277580554270003</v>
      </c>
      <c r="C3945">
        <v>2000</v>
      </c>
    </row>
    <row r="3946" spans="1:11" x14ac:dyDescent="0.25">
      <c r="A3946" t="s">
        <v>84</v>
      </c>
    </row>
    <row r="3947" spans="1:11" x14ac:dyDescent="0.25">
      <c r="A3947">
        <v>897</v>
      </c>
      <c r="B3947">
        <v>0</v>
      </c>
      <c r="C3947">
        <v>3.3945996909951099</v>
      </c>
      <c r="D3947">
        <v>16.707364365451699</v>
      </c>
      <c r="E3947">
        <v>8</v>
      </c>
      <c r="F3947">
        <v>1.01722196789785</v>
      </c>
      <c r="G3947" t="s">
        <v>81</v>
      </c>
      <c r="H3947" t="s">
        <v>81</v>
      </c>
      <c r="I3947">
        <v>25</v>
      </c>
      <c r="J3947">
        <v>1025</v>
      </c>
      <c r="K3947">
        <v>0.104772231836848</v>
      </c>
    </row>
    <row r="3948" spans="1:11" x14ac:dyDescent="0.25">
      <c r="A3948" t="s">
        <v>83</v>
      </c>
    </row>
    <row r="3949" spans="1:11" x14ac:dyDescent="0.25">
      <c r="A3949">
        <v>48.156973023967502</v>
      </c>
      <c r="B3949">
        <v>55.524033982089499</v>
      </c>
      <c r="C3949">
        <v>2000</v>
      </c>
    </row>
    <row r="3950" spans="1:11" x14ac:dyDescent="0.25">
      <c r="A3950">
        <v>45.756628563051102</v>
      </c>
      <c r="B3950">
        <v>53.123689521173098</v>
      </c>
      <c r="C3950">
        <v>2000</v>
      </c>
    </row>
    <row r="3951" spans="1:11" x14ac:dyDescent="0.25">
      <c r="A3951">
        <v>45.3196125386023</v>
      </c>
      <c r="B3951">
        <v>53.560705545622</v>
      </c>
      <c r="C3951">
        <v>2001</v>
      </c>
    </row>
    <row r="3952" spans="1:11" x14ac:dyDescent="0.25">
      <c r="A3952">
        <v>47.719956999518701</v>
      </c>
      <c r="B3952">
        <v>55.9610500065384</v>
      </c>
      <c r="C3952">
        <v>2001</v>
      </c>
    </row>
    <row r="3953" spans="1:11" x14ac:dyDescent="0.25">
      <c r="A3953">
        <v>49.781491987775603</v>
      </c>
      <c r="B3953">
        <v>58.022584994795302</v>
      </c>
      <c r="C3953">
        <v>2001</v>
      </c>
    </row>
    <row r="3954" spans="1:11" x14ac:dyDescent="0.25">
      <c r="A3954">
        <v>59.533847638084097</v>
      </c>
      <c r="B3954">
        <v>67.774940645103698</v>
      </c>
      <c r="C3954">
        <v>2001</v>
      </c>
    </row>
    <row r="3955" spans="1:11" x14ac:dyDescent="0.25">
      <c r="A3955">
        <v>59.970863662532899</v>
      </c>
      <c r="B3955">
        <v>67.337924620654903</v>
      </c>
      <c r="C3955">
        <v>2000</v>
      </c>
    </row>
    <row r="3956" spans="1:11" x14ac:dyDescent="0.25">
      <c r="A3956">
        <v>50.218508012224397</v>
      </c>
      <c r="B3956">
        <v>57.585568970346401</v>
      </c>
      <c r="C3956">
        <v>2000</v>
      </c>
    </row>
    <row r="3957" spans="1:11" x14ac:dyDescent="0.25">
      <c r="A3957" t="s">
        <v>84</v>
      </c>
    </row>
    <row r="3958" spans="1:11" x14ac:dyDescent="0.25">
      <c r="A3958">
        <v>1044</v>
      </c>
      <c r="B3958">
        <v>0</v>
      </c>
      <c r="C3958">
        <v>0.27694773880491402</v>
      </c>
      <c r="D3958">
        <v>19.7513089803602</v>
      </c>
      <c r="E3958">
        <v>6</v>
      </c>
      <c r="F3958">
        <v>1.01722196789785</v>
      </c>
      <c r="G3958" t="s">
        <v>81</v>
      </c>
      <c r="H3958" t="s">
        <v>81</v>
      </c>
      <c r="I3958">
        <v>928</v>
      </c>
      <c r="J3958">
        <v>749</v>
      </c>
      <c r="K3958">
        <v>0.11359319568453601</v>
      </c>
    </row>
    <row r="3959" spans="1:11" x14ac:dyDescent="0.25">
      <c r="A3959" t="s">
        <v>83</v>
      </c>
    </row>
    <row r="3960" spans="1:11" x14ac:dyDescent="0.25">
      <c r="A3960">
        <v>16.2082004939199</v>
      </c>
      <c r="B3960">
        <v>23.219063978283</v>
      </c>
      <c r="C3960">
        <v>2000</v>
      </c>
    </row>
    <row r="3961" spans="1:11" x14ac:dyDescent="0.25">
      <c r="A3961">
        <v>16.012368869776701</v>
      </c>
      <c r="B3961">
        <v>23.0232323541398</v>
      </c>
      <c r="C3961">
        <v>2000</v>
      </c>
    </row>
    <row r="3962" spans="1:11" x14ac:dyDescent="0.25">
      <c r="A3962">
        <v>15.575352845327901</v>
      </c>
      <c r="B3962">
        <v>23.460248378588599</v>
      </c>
      <c r="C3962">
        <v>2001</v>
      </c>
    </row>
    <row r="3963" spans="1:11" x14ac:dyDescent="0.25">
      <c r="A3963">
        <v>15.7711844694711</v>
      </c>
      <c r="B3963">
        <v>23.656080002731901</v>
      </c>
      <c r="C3963">
        <v>2001</v>
      </c>
    </row>
    <row r="3964" spans="1:11" x14ac:dyDescent="0.25">
      <c r="A3964">
        <v>29.7374689867946</v>
      </c>
      <c r="B3964">
        <v>37.622364520055299</v>
      </c>
      <c r="C3964">
        <v>2001</v>
      </c>
    </row>
    <row r="3965" spans="1:11" x14ac:dyDescent="0.25">
      <c r="A3965">
        <v>30.174485011243402</v>
      </c>
      <c r="B3965">
        <v>37.185348495606497</v>
      </c>
      <c r="C3965">
        <v>2000</v>
      </c>
    </row>
    <row r="3966" spans="1:11" x14ac:dyDescent="0.25">
      <c r="A3966" t="s">
        <v>84</v>
      </c>
    </row>
    <row r="3967" spans="1:11" x14ac:dyDescent="0.25">
      <c r="A3967">
        <v>274</v>
      </c>
      <c r="B3967">
        <v>0</v>
      </c>
      <c r="C3967">
        <v>15.8338540231788</v>
      </c>
      <c r="D3967">
        <v>4.0929180945295798</v>
      </c>
      <c r="E3967">
        <v>6</v>
      </c>
      <c r="F3967">
        <v>1.01722196789785</v>
      </c>
      <c r="G3967" t="s">
        <v>81</v>
      </c>
      <c r="H3967" t="s">
        <v>81</v>
      </c>
      <c r="I3967">
        <v>740</v>
      </c>
      <c r="J3967">
        <v>276</v>
      </c>
      <c r="K3967">
        <v>0</v>
      </c>
    </row>
    <row r="3968" spans="1:11" x14ac:dyDescent="0.25">
      <c r="A3968" t="s">
        <v>83</v>
      </c>
    </row>
    <row r="3969" spans="1:11" x14ac:dyDescent="0.25">
      <c r="A3969">
        <v>123.667194655015</v>
      </c>
      <c r="B3969">
        <v>143.508844380965</v>
      </c>
      <c r="C3969">
        <v>2000</v>
      </c>
    </row>
    <row r="3970" spans="1:11" x14ac:dyDescent="0.25">
      <c r="A3970">
        <v>112.47096910290701</v>
      </c>
      <c r="B3970">
        <v>132.31261882885701</v>
      </c>
      <c r="C3970">
        <v>2000</v>
      </c>
    </row>
    <row r="3971" spans="1:11" x14ac:dyDescent="0.25">
      <c r="A3971">
        <v>112.907985127356</v>
      </c>
      <c r="B3971">
        <v>131.875602804409</v>
      </c>
      <c r="C3971">
        <v>2001</v>
      </c>
    </row>
    <row r="3972" spans="1:11" x14ac:dyDescent="0.25">
      <c r="A3972">
        <v>124.10421067946299</v>
      </c>
      <c r="B3972">
        <v>143.07182835651599</v>
      </c>
      <c r="C3972">
        <v>2001</v>
      </c>
    </row>
    <row r="3973" spans="1:11" x14ac:dyDescent="0.25">
      <c r="A3973">
        <v>126.99834081894601</v>
      </c>
      <c r="B3973">
        <v>145.96595849599899</v>
      </c>
      <c r="C3973">
        <v>2001</v>
      </c>
    </row>
    <row r="3974" spans="1:11" x14ac:dyDescent="0.25">
      <c r="A3974">
        <v>126.56132479449801</v>
      </c>
      <c r="B3974">
        <v>146.402974520448</v>
      </c>
      <c r="C3974">
        <v>2000</v>
      </c>
    </row>
    <row r="3975" spans="1:11" x14ac:dyDescent="0.25">
      <c r="A3975" t="s">
        <v>84</v>
      </c>
    </row>
    <row r="3976" spans="1:11" x14ac:dyDescent="0.25">
      <c r="A3976">
        <v>886</v>
      </c>
      <c r="B3976">
        <v>0</v>
      </c>
      <c r="C3976">
        <v>5.18969913306307</v>
      </c>
      <c r="D3976">
        <v>14.6099877869551</v>
      </c>
      <c r="E3976">
        <v>6</v>
      </c>
      <c r="F3976">
        <v>1.01722196789785</v>
      </c>
      <c r="G3976" t="s">
        <v>81</v>
      </c>
      <c r="H3976" t="s">
        <v>81</v>
      </c>
      <c r="I3976">
        <v>783</v>
      </c>
      <c r="J3976">
        <v>880</v>
      </c>
      <c r="K3976">
        <v>0.104401248428883</v>
      </c>
    </row>
    <row r="3977" spans="1:11" x14ac:dyDescent="0.25">
      <c r="A3977" t="s">
        <v>83</v>
      </c>
    </row>
    <row r="3978" spans="1:11" x14ac:dyDescent="0.25">
      <c r="A3978">
        <v>124.357380733056</v>
      </c>
      <c r="B3978">
        <v>85.296372849171107</v>
      </c>
      <c r="C3978">
        <v>2000</v>
      </c>
    </row>
    <row r="3979" spans="1:11" x14ac:dyDescent="0.25">
      <c r="A3979">
        <v>120.687709283749</v>
      </c>
      <c r="B3979">
        <v>81.626701399864203</v>
      </c>
      <c r="C3979">
        <v>2000</v>
      </c>
    </row>
    <row r="3980" spans="1:11" x14ac:dyDescent="0.25">
      <c r="A3980">
        <v>120.25069325929999</v>
      </c>
      <c r="B3980">
        <v>82.063717424312998</v>
      </c>
      <c r="C3980">
        <v>2001</v>
      </c>
    </row>
    <row r="3981" spans="1:11" x14ac:dyDescent="0.25">
      <c r="A3981">
        <v>123.920364708607</v>
      </c>
      <c r="B3981">
        <v>85.733388873619802</v>
      </c>
      <c r="C3981">
        <v>2001</v>
      </c>
    </row>
    <row r="3982" spans="1:11" x14ac:dyDescent="0.25">
      <c r="A3982">
        <v>134.25118614581601</v>
      </c>
      <c r="B3982">
        <v>96.0642103108284</v>
      </c>
      <c r="C3982">
        <v>2001</v>
      </c>
    </row>
    <row r="3983" spans="1:11" x14ac:dyDescent="0.25">
      <c r="A3983">
        <v>134.68820217026499</v>
      </c>
      <c r="B3983">
        <v>95.627194286379606</v>
      </c>
      <c r="C3983">
        <v>2000</v>
      </c>
    </row>
    <row r="3984" spans="1:11" x14ac:dyDescent="0.25">
      <c r="A3984" t="s">
        <v>84</v>
      </c>
    </row>
    <row r="3985" spans="1:11" x14ac:dyDescent="0.25">
      <c r="A3985">
        <v>1000</v>
      </c>
      <c r="B3985">
        <v>0</v>
      </c>
      <c r="C3985">
        <v>10.3136263279616</v>
      </c>
      <c r="D3985">
        <v>8.9086615121037394</v>
      </c>
      <c r="E3985">
        <v>8</v>
      </c>
      <c r="F3985">
        <v>1.01722196789785</v>
      </c>
      <c r="G3985" t="s">
        <v>81</v>
      </c>
      <c r="H3985" t="s">
        <v>81</v>
      </c>
      <c r="I3985">
        <v>20</v>
      </c>
      <c r="J3985">
        <v>818</v>
      </c>
      <c r="K3985">
        <v>0.110132973445234</v>
      </c>
    </row>
    <row r="3986" spans="1:11" x14ac:dyDescent="0.25">
      <c r="A3986" t="s">
        <v>83</v>
      </c>
    </row>
    <row r="3987" spans="1:11" x14ac:dyDescent="0.25">
      <c r="A3987">
        <v>19.6933583876597</v>
      </c>
      <c r="B3987">
        <v>48.300191925973898</v>
      </c>
      <c r="C3987">
        <v>2000</v>
      </c>
    </row>
    <row r="3988" spans="1:11" x14ac:dyDescent="0.25">
      <c r="A3988">
        <v>12.400523272534</v>
      </c>
      <c r="B3988">
        <v>41.007356810848101</v>
      </c>
      <c r="C3988">
        <v>2000</v>
      </c>
    </row>
    <row r="3989" spans="1:11" x14ac:dyDescent="0.25">
      <c r="A3989">
        <v>12.837539296982801</v>
      </c>
      <c r="B3989">
        <v>40.570340786399299</v>
      </c>
      <c r="C3989">
        <v>2001</v>
      </c>
    </row>
    <row r="3990" spans="1:11" x14ac:dyDescent="0.25">
      <c r="A3990">
        <v>20.130374412108601</v>
      </c>
      <c r="B3990">
        <v>47.863175901525103</v>
      </c>
      <c r="C3990">
        <v>2001</v>
      </c>
    </row>
    <row r="3991" spans="1:11" x14ac:dyDescent="0.25">
      <c r="A3991">
        <v>22.0486904983591</v>
      </c>
      <c r="B3991">
        <v>49.781491987775603</v>
      </c>
      <c r="C3991">
        <v>2001</v>
      </c>
    </row>
    <row r="3992" spans="1:11" x14ac:dyDescent="0.25">
      <c r="A3992">
        <v>26.429749378612701</v>
      </c>
      <c r="B3992">
        <v>54.1625508680292</v>
      </c>
      <c r="C3992">
        <v>2001</v>
      </c>
    </row>
    <row r="3993" spans="1:11" x14ac:dyDescent="0.25">
      <c r="A3993">
        <v>25.992733354163899</v>
      </c>
      <c r="B3993">
        <v>54.599566892478101</v>
      </c>
      <c r="C3993">
        <v>2000</v>
      </c>
    </row>
    <row r="3994" spans="1:11" x14ac:dyDescent="0.25">
      <c r="A3994">
        <v>21.611674473910199</v>
      </c>
      <c r="B3994">
        <v>50.218508012224397</v>
      </c>
      <c r="C3994">
        <v>2000</v>
      </c>
    </row>
    <row r="3995" spans="1:11" x14ac:dyDescent="0.25">
      <c r="A3995" t="s">
        <v>84</v>
      </c>
    </row>
    <row r="3996" spans="1:11" x14ac:dyDescent="0.25">
      <c r="A3996">
        <v>902</v>
      </c>
      <c r="B3996">
        <v>0</v>
      </c>
      <c r="C3996">
        <v>10.177292599931</v>
      </c>
      <c r="D3996">
        <v>8.9673250388526107</v>
      </c>
      <c r="E3996">
        <v>8</v>
      </c>
      <c r="F3996">
        <v>1.01722196789785</v>
      </c>
      <c r="G3996" t="s">
        <v>81</v>
      </c>
      <c r="H3996" t="s">
        <v>81</v>
      </c>
      <c r="I3996">
        <v>568</v>
      </c>
      <c r="J3996">
        <v>1042</v>
      </c>
      <c r="K3996">
        <v>0.104952687375285</v>
      </c>
    </row>
    <row r="3997" spans="1:11" x14ac:dyDescent="0.25">
      <c r="A3997" t="s">
        <v>83</v>
      </c>
    </row>
    <row r="3998" spans="1:11" x14ac:dyDescent="0.25">
      <c r="A3998">
        <v>125.27353238932</v>
      </c>
      <c r="B3998">
        <v>96.078232879791301</v>
      </c>
      <c r="C3998">
        <v>2000</v>
      </c>
    </row>
    <row r="3999" spans="1:11" x14ac:dyDescent="0.25">
      <c r="A3999">
        <v>118.07709977779</v>
      </c>
      <c r="B3999">
        <v>88.881800268260506</v>
      </c>
      <c r="C3999">
        <v>2000</v>
      </c>
    </row>
    <row r="4000" spans="1:11" x14ac:dyDescent="0.25">
      <c r="A4000">
        <v>117.640083753341</v>
      </c>
      <c r="B4000">
        <v>89.3188162927093</v>
      </c>
      <c r="C4000">
        <v>2001</v>
      </c>
    </row>
    <row r="4001" spans="1:11" x14ac:dyDescent="0.25">
      <c r="A4001">
        <v>124.836516364872</v>
      </c>
      <c r="B4001">
        <v>96.515248904240096</v>
      </c>
      <c r="C4001">
        <v>2001</v>
      </c>
    </row>
    <row r="4002" spans="1:11" x14ac:dyDescent="0.25">
      <c r="A4002">
        <v>128.53977547285601</v>
      </c>
      <c r="B4002">
        <v>100.21850801222401</v>
      </c>
      <c r="C4002">
        <v>2001</v>
      </c>
    </row>
    <row r="4003" spans="1:11" x14ac:dyDescent="0.25">
      <c r="A4003">
        <v>131.17737270894801</v>
      </c>
      <c r="B4003">
        <v>102.85610524831699</v>
      </c>
      <c r="C4003">
        <v>2001</v>
      </c>
    </row>
    <row r="4004" spans="1:11" x14ac:dyDescent="0.25">
      <c r="A4004">
        <v>131.61438873339699</v>
      </c>
      <c r="B4004">
        <v>102.419089223868</v>
      </c>
      <c r="C4004">
        <v>2000</v>
      </c>
    </row>
    <row r="4005" spans="1:11" x14ac:dyDescent="0.25">
      <c r="A4005">
        <v>128.97679149730499</v>
      </c>
      <c r="B4005">
        <v>99.781491987775595</v>
      </c>
      <c r="C4005">
        <v>2000</v>
      </c>
    </row>
    <row r="4006" spans="1:11" x14ac:dyDescent="0.25">
      <c r="A4006" t="s">
        <v>84</v>
      </c>
    </row>
    <row r="4007" spans="1:11" x14ac:dyDescent="0.25">
      <c r="A4007">
        <v>422</v>
      </c>
      <c r="B4007">
        <v>0</v>
      </c>
      <c r="C4007">
        <v>13.9230927043037</v>
      </c>
      <c r="D4007">
        <v>4.9453809318980602</v>
      </c>
      <c r="E4007">
        <v>6</v>
      </c>
      <c r="F4007">
        <v>1.01722196789785</v>
      </c>
      <c r="G4007" t="s">
        <v>81</v>
      </c>
      <c r="H4007" t="s">
        <v>81</v>
      </c>
      <c r="I4007">
        <v>786</v>
      </c>
      <c r="J4007">
        <v>433</v>
      </c>
      <c r="K4007">
        <v>0</v>
      </c>
    </row>
    <row r="4008" spans="1:11" x14ac:dyDescent="0.25">
      <c r="A4008" t="s">
        <v>83</v>
      </c>
    </row>
    <row r="4009" spans="1:11" x14ac:dyDescent="0.25">
      <c r="A4009">
        <v>22.9633346036882</v>
      </c>
      <c r="B4009">
        <v>127.767086301817</v>
      </c>
      <c r="C4009">
        <v>2000</v>
      </c>
    </row>
    <row r="4010" spans="1:11" x14ac:dyDescent="0.25">
      <c r="A4010">
        <v>13.1182213373861</v>
      </c>
      <c r="B4010">
        <v>117.92197303551499</v>
      </c>
      <c r="C4010">
        <v>2000</v>
      </c>
    </row>
    <row r="4011" spans="1:11" x14ac:dyDescent="0.25">
      <c r="A4011">
        <v>13.5552373618349</v>
      </c>
      <c r="B4011">
        <v>117.484957011066</v>
      </c>
      <c r="C4011">
        <v>2001</v>
      </c>
    </row>
    <row r="4012" spans="1:11" x14ac:dyDescent="0.25">
      <c r="A4012">
        <v>23.400350628137002</v>
      </c>
      <c r="B4012">
        <v>127.33007027736799</v>
      </c>
      <c r="C4012">
        <v>2001</v>
      </c>
    </row>
    <row r="4013" spans="1:11" x14ac:dyDescent="0.25">
      <c r="A4013">
        <v>26.897263020632799</v>
      </c>
      <c r="B4013">
        <v>130.82698266986401</v>
      </c>
      <c r="C4013">
        <v>2001</v>
      </c>
    </row>
    <row r="4014" spans="1:11" x14ac:dyDescent="0.25">
      <c r="A4014">
        <v>26.460246996183901</v>
      </c>
      <c r="B4014">
        <v>131.26399869431299</v>
      </c>
      <c r="C4014">
        <v>2000</v>
      </c>
    </row>
    <row r="4015" spans="1:11" x14ac:dyDescent="0.25">
      <c r="A4015" t="s">
        <v>84</v>
      </c>
    </row>
    <row r="4016" spans="1:11" x14ac:dyDescent="0.25">
      <c r="A4016">
        <v>909</v>
      </c>
      <c r="B4016">
        <v>0</v>
      </c>
      <c r="C4016">
        <v>8.8815112683626403</v>
      </c>
      <c r="D4016">
        <v>9.9100444383372004</v>
      </c>
      <c r="E4016">
        <v>6</v>
      </c>
      <c r="F4016">
        <v>1.01722196789785</v>
      </c>
      <c r="G4016" t="s">
        <v>82</v>
      </c>
      <c r="H4016" t="s">
        <v>81</v>
      </c>
      <c r="I4016">
        <v>0</v>
      </c>
      <c r="J4016">
        <v>412</v>
      </c>
      <c r="K4016">
        <v>0.105129910972954</v>
      </c>
    </row>
    <row r="4017" spans="1:11" x14ac:dyDescent="0.25">
      <c r="A4017" t="s">
        <v>83</v>
      </c>
    </row>
    <row r="4018" spans="1:11" x14ac:dyDescent="0.25">
      <c r="A4018">
        <v>6.3834509647118001</v>
      </c>
      <c r="B4018">
        <v>109.458403592754</v>
      </c>
      <c r="C4018">
        <v>2000</v>
      </c>
    </row>
    <row r="4019" spans="1:11" x14ac:dyDescent="0.25">
      <c r="A4019">
        <v>0</v>
      </c>
      <c r="B4019">
        <v>103.074952628042</v>
      </c>
      <c r="C4019">
        <v>2000</v>
      </c>
    </row>
    <row r="4020" spans="1:11" x14ac:dyDescent="0.25">
      <c r="A4020">
        <v>0</v>
      </c>
      <c r="B4020">
        <v>103.94898467693901</v>
      </c>
      <c r="C4020">
        <v>2001</v>
      </c>
    </row>
    <row r="4021" spans="1:11" x14ac:dyDescent="0.25">
      <c r="A4021">
        <v>6.1769027253761202</v>
      </c>
      <c r="B4021">
        <v>110.125887402315</v>
      </c>
      <c r="C4021">
        <v>2001</v>
      </c>
    </row>
    <row r="4022" spans="1:11" x14ac:dyDescent="0.25">
      <c r="A4022">
        <v>13.0691284570278</v>
      </c>
      <c r="B4022">
        <v>117.01811313396701</v>
      </c>
      <c r="C4022">
        <v>2001</v>
      </c>
    </row>
    <row r="4023" spans="1:11" x14ac:dyDescent="0.25">
      <c r="A4023">
        <v>13.5061444814766</v>
      </c>
      <c r="B4023">
        <v>116.581097109518</v>
      </c>
      <c r="C4023">
        <v>2000</v>
      </c>
    </row>
    <row r="4024" spans="1:11" x14ac:dyDescent="0.25">
      <c r="A4024" t="s">
        <v>84</v>
      </c>
    </row>
    <row r="4025" spans="1:11" x14ac:dyDescent="0.25">
      <c r="A4025">
        <v>758</v>
      </c>
      <c r="B4025">
        <v>0</v>
      </c>
      <c r="C4025">
        <v>0.74720005843744997</v>
      </c>
      <c r="D4025">
        <v>17.912719884396999</v>
      </c>
      <c r="E4025">
        <v>6</v>
      </c>
      <c r="F4025">
        <v>1.01722196789785</v>
      </c>
      <c r="G4025" t="s">
        <v>82</v>
      </c>
      <c r="H4025" t="s">
        <v>81</v>
      </c>
      <c r="I4025">
        <v>0</v>
      </c>
      <c r="J4025">
        <v>807</v>
      </c>
      <c r="K4025">
        <v>0.101658837564709</v>
      </c>
    </row>
    <row r="4026" spans="1:11" x14ac:dyDescent="0.25">
      <c r="A4026" t="s">
        <v>83</v>
      </c>
    </row>
    <row r="4027" spans="1:11" x14ac:dyDescent="0.25">
      <c r="A4027">
        <v>84.271849659400203</v>
      </c>
      <c r="B4027">
        <v>0.519600501536996</v>
      </c>
      <c r="C4027">
        <v>2000</v>
      </c>
    </row>
    <row r="4028" spans="1:11" x14ac:dyDescent="0.25">
      <c r="A4028">
        <v>83.752249157863204</v>
      </c>
      <c r="B4028">
        <v>0</v>
      </c>
      <c r="C4028">
        <v>2000</v>
      </c>
    </row>
    <row r="4029" spans="1:11" x14ac:dyDescent="0.25">
      <c r="A4029">
        <v>82.8782171089656</v>
      </c>
      <c r="B4029">
        <v>0</v>
      </c>
      <c r="C4029">
        <v>2001</v>
      </c>
    </row>
    <row r="4030" spans="1:11" x14ac:dyDescent="0.25">
      <c r="A4030">
        <v>83.415317063876799</v>
      </c>
      <c r="B4030">
        <v>0.53709995491121398</v>
      </c>
      <c r="C4030">
        <v>2001</v>
      </c>
    </row>
    <row r="4031" spans="1:11" x14ac:dyDescent="0.25">
      <c r="A4031">
        <v>96.291281049166301</v>
      </c>
      <c r="B4031">
        <v>13.4130639402008</v>
      </c>
      <c r="C4031">
        <v>2001</v>
      </c>
    </row>
    <row r="4032" spans="1:11" x14ac:dyDescent="0.25">
      <c r="A4032">
        <v>96.728297073615195</v>
      </c>
      <c r="B4032">
        <v>12.9760479157519</v>
      </c>
      <c r="C4032">
        <v>2000</v>
      </c>
    </row>
    <row r="4033" spans="1:11" x14ac:dyDescent="0.25">
      <c r="A4033" t="s">
        <v>84</v>
      </c>
    </row>
    <row r="4034" spans="1:11" x14ac:dyDescent="0.25">
      <c r="A4034">
        <v>506</v>
      </c>
      <c r="B4034">
        <v>0</v>
      </c>
      <c r="C4034">
        <v>10.615537424266799</v>
      </c>
      <c r="D4034">
        <v>7.9638239968334101</v>
      </c>
      <c r="E4034">
        <v>6</v>
      </c>
      <c r="F4034">
        <v>1.01722196789785</v>
      </c>
      <c r="G4034" t="s">
        <v>81</v>
      </c>
      <c r="H4034" t="s">
        <v>81</v>
      </c>
      <c r="I4034">
        <v>998</v>
      </c>
      <c r="J4034">
        <v>721</v>
      </c>
      <c r="K4034">
        <v>0</v>
      </c>
    </row>
    <row r="4035" spans="1:11" x14ac:dyDescent="0.25">
      <c r="A4035" t="s">
        <v>83</v>
      </c>
    </row>
    <row r="4036" spans="1:11" x14ac:dyDescent="0.25">
      <c r="A4036">
        <v>137.74015034071601</v>
      </c>
      <c r="B4036">
        <v>7.7248265108630001</v>
      </c>
      <c r="C4036">
        <v>2000</v>
      </c>
    </row>
    <row r="4037" spans="1:11" x14ac:dyDescent="0.25">
      <c r="A4037">
        <v>130.23383184207799</v>
      </c>
      <c r="B4037">
        <v>0.218508012224396</v>
      </c>
      <c r="C4037">
        <v>2000</v>
      </c>
    </row>
    <row r="4038" spans="1:11" x14ac:dyDescent="0.25">
      <c r="A4038">
        <v>130.670847866526</v>
      </c>
      <c r="B4038">
        <v>-0.21850801222442501</v>
      </c>
      <c r="C4038">
        <v>2001</v>
      </c>
    </row>
    <row r="4039" spans="1:11" x14ac:dyDescent="0.25">
      <c r="A4039">
        <v>138.17716636516499</v>
      </c>
      <c r="B4039">
        <v>7.2878104864141804</v>
      </c>
      <c r="C4039">
        <v>2001</v>
      </c>
    </row>
    <row r="4040" spans="1:11" x14ac:dyDescent="0.25">
      <c r="A4040">
        <v>143.808440317502</v>
      </c>
      <c r="B4040">
        <v>12.9190844387512</v>
      </c>
      <c r="C4040">
        <v>2001</v>
      </c>
    </row>
    <row r="4041" spans="1:11" x14ac:dyDescent="0.25">
      <c r="A4041">
        <v>143.371424293053</v>
      </c>
      <c r="B4041">
        <v>13.3561004632001</v>
      </c>
      <c r="C4041">
        <v>2000</v>
      </c>
    </row>
    <row r="4042" spans="1:11" x14ac:dyDescent="0.25">
      <c r="A4042" t="s">
        <v>84</v>
      </c>
    </row>
    <row r="4043" spans="1:11" x14ac:dyDescent="0.25">
      <c r="A4043">
        <v>827</v>
      </c>
      <c r="B4043">
        <v>0</v>
      </c>
      <c r="C4043">
        <v>7.9886826694592399</v>
      </c>
      <c r="D4043">
        <v>10.512838906387801</v>
      </c>
      <c r="E4043">
        <v>6</v>
      </c>
      <c r="F4043">
        <v>1.01722196789785</v>
      </c>
      <c r="G4043" t="s">
        <v>82</v>
      </c>
      <c r="H4043" t="s">
        <v>81</v>
      </c>
      <c r="I4043">
        <v>0</v>
      </c>
      <c r="J4043">
        <v>7</v>
      </c>
      <c r="K4043">
        <v>0.10299214925957</v>
      </c>
    </row>
    <row r="4044" spans="1:11" x14ac:dyDescent="0.25">
      <c r="A4044" t="s">
        <v>83</v>
      </c>
    </row>
    <row r="4045" spans="1:11" x14ac:dyDescent="0.25">
      <c r="A4045">
        <v>19.487586783982</v>
      </c>
      <c r="B4045">
        <v>5.5545031687563204</v>
      </c>
      <c r="C4045">
        <v>2000</v>
      </c>
    </row>
    <row r="4046" spans="1:11" x14ac:dyDescent="0.25">
      <c r="A4046">
        <v>13.9330836152257</v>
      </c>
      <c r="B4046">
        <v>0</v>
      </c>
      <c r="C4046">
        <v>2000</v>
      </c>
    </row>
    <row r="4047" spans="1:11" x14ac:dyDescent="0.25">
      <c r="A4047">
        <v>13.059051566328</v>
      </c>
      <c r="B4047">
        <v>0</v>
      </c>
      <c r="C4047">
        <v>2001</v>
      </c>
    </row>
    <row r="4048" spans="1:11" x14ac:dyDescent="0.25">
      <c r="A4048">
        <v>18.8022517742159</v>
      </c>
      <c r="B4048">
        <v>5.7432002078878401</v>
      </c>
      <c r="C4048">
        <v>2001</v>
      </c>
    </row>
    <row r="4049" spans="1:11" x14ac:dyDescent="0.25">
      <c r="A4049">
        <v>26.360110947103099</v>
      </c>
      <c r="B4049">
        <v>13.301059380775101</v>
      </c>
      <c r="C4049">
        <v>2001</v>
      </c>
    </row>
    <row r="4050" spans="1:11" x14ac:dyDescent="0.25">
      <c r="A4050">
        <v>26.797126971551901</v>
      </c>
      <c r="B4050">
        <v>12.864043356326199</v>
      </c>
      <c r="C4050">
        <v>2000</v>
      </c>
    </row>
    <row r="4051" spans="1:11" x14ac:dyDescent="0.25">
      <c r="A4051" t="s">
        <v>84</v>
      </c>
    </row>
    <row r="4052" spans="1:11" x14ac:dyDescent="0.25">
      <c r="A4052">
        <v>786</v>
      </c>
      <c r="B4052">
        <v>0</v>
      </c>
      <c r="C4052">
        <v>4.5055599287783101</v>
      </c>
      <c r="D4052">
        <v>13.7767292219149</v>
      </c>
      <c r="E4052">
        <v>6</v>
      </c>
      <c r="F4052">
        <v>1.01722196789785</v>
      </c>
      <c r="G4052" t="s">
        <v>82</v>
      </c>
      <c r="H4052" t="s">
        <v>81</v>
      </c>
      <c r="I4052">
        <v>0</v>
      </c>
      <c r="J4052">
        <v>422</v>
      </c>
      <c r="K4052">
        <v>0.10038021386068</v>
      </c>
    </row>
    <row r="4053" spans="1:11" x14ac:dyDescent="0.25">
      <c r="A4053" t="s">
        <v>83</v>
      </c>
    </row>
    <row r="4054" spans="1:11" x14ac:dyDescent="0.25">
      <c r="A4054">
        <v>3.2397619608079702</v>
      </c>
      <c r="B4054">
        <v>107.987879041124</v>
      </c>
      <c r="C4054">
        <v>2000</v>
      </c>
    </row>
    <row r="4055" spans="1:11" x14ac:dyDescent="0.25">
      <c r="A4055">
        <v>0</v>
      </c>
      <c r="B4055">
        <v>104.74811708031601</v>
      </c>
      <c r="C4055">
        <v>2000</v>
      </c>
    </row>
    <row r="4056" spans="1:11" x14ac:dyDescent="0.25">
      <c r="A4056">
        <v>0</v>
      </c>
      <c r="B4056">
        <v>105.622149129213</v>
      </c>
      <c r="C4056">
        <v>2001</v>
      </c>
    </row>
    <row r="4057" spans="1:11" x14ac:dyDescent="0.25">
      <c r="A4057">
        <v>3.13206199655508</v>
      </c>
      <c r="B4057">
        <v>108.75421112576799</v>
      </c>
      <c r="C4057">
        <v>2001</v>
      </c>
    </row>
    <row r="4058" spans="1:11" x14ac:dyDescent="0.25">
      <c r="A4058">
        <v>12.709022621843999</v>
      </c>
      <c r="B4058">
        <v>118.331171751057</v>
      </c>
      <c r="C4058">
        <v>2001</v>
      </c>
    </row>
    <row r="4059" spans="1:11" x14ac:dyDescent="0.25">
      <c r="A4059">
        <v>13.1460386462928</v>
      </c>
      <c r="B4059">
        <v>117.89415572660801</v>
      </c>
      <c r="C4059">
        <v>2000</v>
      </c>
    </row>
    <row r="4060" spans="1:11" x14ac:dyDescent="0.25">
      <c r="A4060" t="s">
        <v>84</v>
      </c>
    </row>
    <row r="4061" spans="1:11" x14ac:dyDescent="0.25">
      <c r="A4061">
        <v>780</v>
      </c>
      <c r="B4061">
        <v>0</v>
      </c>
      <c r="C4061">
        <v>1.2667348330664701</v>
      </c>
      <c r="D4061">
        <v>16.956302705309302</v>
      </c>
      <c r="E4061">
        <v>6</v>
      </c>
      <c r="F4061">
        <v>1.01722196789785</v>
      </c>
      <c r="G4061" t="s">
        <v>81</v>
      </c>
      <c r="H4061" t="s">
        <v>81</v>
      </c>
      <c r="I4061">
        <v>584</v>
      </c>
      <c r="J4061">
        <v>794</v>
      </c>
      <c r="K4061">
        <v>0.101113411737407</v>
      </c>
    </row>
    <row r="4062" spans="1:11" x14ac:dyDescent="0.25">
      <c r="A4062" t="s">
        <v>83</v>
      </c>
    </row>
    <row r="4063" spans="1:11" x14ac:dyDescent="0.25">
      <c r="A4063">
        <v>116.21999019953</v>
      </c>
      <c r="B4063">
        <v>75.401264204369298</v>
      </c>
      <c r="C4063">
        <v>2000</v>
      </c>
    </row>
    <row r="4064" spans="1:11" x14ac:dyDescent="0.25">
      <c r="A4064">
        <v>115.324273409103</v>
      </c>
      <c r="B4064">
        <v>74.505547413942793</v>
      </c>
      <c r="C4064">
        <v>2000</v>
      </c>
    </row>
    <row r="4065" spans="1:11" x14ac:dyDescent="0.25">
      <c r="A4065">
        <v>114.88725738465401</v>
      </c>
      <c r="B4065">
        <v>74.942563438391602</v>
      </c>
      <c r="C4065">
        <v>2001</v>
      </c>
    </row>
    <row r="4066" spans="1:11" x14ac:dyDescent="0.25">
      <c r="A4066">
        <v>115.78297417508099</v>
      </c>
      <c r="B4066">
        <v>75.838280228818107</v>
      </c>
      <c r="C4066">
        <v>2001</v>
      </c>
    </row>
    <row r="4067" spans="1:11" x14ac:dyDescent="0.25">
      <c r="A4067">
        <v>127.772890801857</v>
      </c>
      <c r="B4067">
        <v>87.828196855594101</v>
      </c>
      <c r="C4067">
        <v>2001</v>
      </c>
    </row>
    <row r="4068" spans="1:11" x14ac:dyDescent="0.25">
      <c r="A4068">
        <v>128.209906826306</v>
      </c>
      <c r="B4068">
        <v>87.391180831145306</v>
      </c>
      <c r="C4068">
        <v>2000</v>
      </c>
    </row>
    <row r="4069" spans="1:11" x14ac:dyDescent="0.25">
      <c r="A4069" t="s">
        <v>84</v>
      </c>
    </row>
    <row r="4070" spans="1:11" x14ac:dyDescent="0.25">
      <c r="A4070">
        <v>519</v>
      </c>
      <c r="B4070">
        <v>0</v>
      </c>
      <c r="C4070">
        <v>0.580836718046157</v>
      </c>
      <c r="D4070">
        <v>17.618094588834499</v>
      </c>
      <c r="E4070">
        <v>6</v>
      </c>
      <c r="F4070">
        <v>1.01722196789785</v>
      </c>
      <c r="G4070" t="s">
        <v>81</v>
      </c>
      <c r="H4070" t="s">
        <v>82</v>
      </c>
      <c r="I4070">
        <v>728</v>
      </c>
      <c r="J4070">
        <v>0</v>
      </c>
      <c r="K4070">
        <v>0</v>
      </c>
    </row>
    <row r="4071" spans="1:11" x14ac:dyDescent="0.25">
      <c r="A4071" t="s">
        <v>83</v>
      </c>
    </row>
    <row r="4072" spans="1:11" x14ac:dyDescent="0.25">
      <c r="A4072">
        <v>137.33059172965801</v>
      </c>
      <c r="B4072">
        <v>33.4997775134417</v>
      </c>
      <c r="C4072">
        <v>2000</v>
      </c>
    </row>
    <row r="4073" spans="1:11" x14ac:dyDescent="0.25">
      <c r="A4073">
        <v>136.91290425033199</v>
      </c>
      <c r="B4073">
        <v>33.082090034116</v>
      </c>
      <c r="C4073">
        <v>2000</v>
      </c>
    </row>
    <row r="4074" spans="1:11" x14ac:dyDescent="0.25">
      <c r="A4074">
        <v>137.349920274781</v>
      </c>
      <c r="B4074">
        <v>32.645074009667198</v>
      </c>
      <c r="C4074">
        <v>2001</v>
      </c>
    </row>
    <row r="4075" spans="1:11" x14ac:dyDescent="0.25">
      <c r="A4075">
        <v>137.75365995964</v>
      </c>
      <c r="B4075">
        <v>33.048813694526601</v>
      </c>
      <c r="C4075">
        <v>2001</v>
      </c>
    </row>
    <row r="4076" spans="1:11" x14ac:dyDescent="0.25">
      <c r="A4076">
        <v>150</v>
      </c>
      <c r="B4076">
        <v>45.295153734886199</v>
      </c>
      <c r="C4076">
        <v>2001</v>
      </c>
    </row>
    <row r="4077" spans="1:11" x14ac:dyDescent="0.25">
      <c r="A4077">
        <v>150</v>
      </c>
      <c r="B4077">
        <v>46.169185783783902</v>
      </c>
      <c r="C4077">
        <v>2000</v>
      </c>
    </row>
    <row r="4078" spans="1:11" x14ac:dyDescent="0.25">
      <c r="A4078" t="s">
        <v>84</v>
      </c>
    </row>
    <row r="4079" spans="1:11" x14ac:dyDescent="0.25">
      <c r="A4079">
        <v>672</v>
      </c>
      <c r="B4079">
        <v>0</v>
      </c>
      <c r="C4079">
        <v>15.1378061635852</v>
      </c>
      <c r="D4079">
        <v>2.9817251744729298</v>
      </c>
      <c r="E4079">
        <v>8</v>
      </c>
      <c r="F4079">
        <v>1.01722196789785</v>
      </c>
      <c r="G4079" t="s">
        <v>81</v>
      </c>
      <c r="H4079" t="s">
        <v>81</v>
      </c>
      <c r="I4079">
        <v>1004</v>
      </c>
      <c r="J4079">
        <v>750</v>
      </c>
      <c r="K4079">
        <v>0</v>
      </c>
    </row>
    <row r="4080" spans="1:11" x14ac:dyDescent="0.25">
      <c r="A4080" t="s">
        <v>83</v>
      </c>
    </row>
    <row r="4081" spans="1:11" x14ac:dyDescent="0.25">
      <c r="A4081">
        <v>59.576202681086301</v>
      </c>
      <c r="B4081">
        <v>77.2527233088679</v>
      </c>
      <c r="C4081">
        <v>2000</v>
      </c>
    </row>
    <row r="4082" spans="1:11" x14ac:dyDescent="0.25">
      <c r="A4082">
        <v>50.218508012224397</v>
      </c>
      <c r="B4082">
        <v>67.895028640006004</v>
      </c>
      <c r="C4082">
        <v>2000</v>
      </c>
    </row>
    <row r="4083" spans="1:11" x14ac:dyDescent="0.25">
      <c r="A4083">
        <v>48.872157290527703</v>
      </c>
      <c r="B4083">
        <v>66.548677918309295</v>
      </c>
      <c r="C4083">
        <v>2000</v>
      </c>
    </row>
    <row r="4084" spans="1:11" x14ac:dyDescent="0.25">
      <c r="A4084">
        <v>48.435141266078901</v>
      </c>
      <c r="B4084">
        <v>66.985693942758104</v>
      </c>
      <c r="C4084">
        <v>2001</v>
      </c>
    </row>
    <row r="4085" spans="1:11" x14ac:dyDescent="0.25">
      <c r="A4085">
        <v>49.781491987775603</v>
      </c>
      <c r="B4085">
        <v>68.332044664454898</v>
      </c>
      <c r="C4085">
        <v>2001</v>
      </c>
    </row>
    <row r="4086" spans="1:11" x14ac:dyDescent="0.25">
      <c r="A4086">
        <v>59.139186656637499</v>
      </c>
      <c r="B4086">
        <v>77.689739333316695</v>
      </c>
      <c r="C4086">
        <v>2001</v>
      </c>
    </row>
    <row r="4087" spans="1:11" x14ac:dyDescent="0.25">
      <c r="A4087">
        <v>61.2475847471419</v>
      </c>
      <c r="B4087">
        <v>79.798137423821203</v>
      </c>
      <c r="C4087">
        <v>2001</v>
      </c>
    </row>
    <row r="4088" spans="1:11" x14ac:dyDescent="0.25">
      <c r="A4088">
        <v>61.684600771590702</v>
      </c>
      <c r="B4088">
        <v>79.361121399372394</v>
      </c>
      <c r="C4088">
        <v>2000</v>
      </c>
    </row>
    <row r="4089" spans="1:11" x14ac:dyDescent="0.25">
      <c r="A4089" t="s">
        <v>84</v>
      </c>
    </row>
    <row r="4090" spans="1:11" x14ac:dyDescent="0.25">
      <c r="A4090">
        <v>352</v>
      </c>
      <c r="B4090">
        <v>0</v>
      </c>
      <c r="C4090">
        <v>14.4377085403222</v>
      </c>
      <c r="D4090">
        <v>3.4855389962249901</v>
      </c>
      <c r="E4090">
        <v>8</v>
      </c>
      <c r="F4090">
        <v>1.01722196789785</v>
      </c>
      <c r="G4090" t="s">
        <v>81</v>
      </c>
      <c r="H4090" t="s">
        <v>81</v>
      </c>
      <c r="I4090">
        <v>916</v>
      </c>
      <c r="J4090">
        <v>346</v>
      </c>
      <c r="K4090">
        <v>0</v>
      </c>
    </row>
    <row r="4091" spans="1:11" x14ac:dyDescent="0.25">
      <c r="A4091" t="s">
        <v>83</v>
      </c>
    </row>
    <row r="4092" spans="1:11" x14ac:dyDescent="0.25">
      <c r="A4092">
        <v>58.047771290902702</v>
      </c>
      <c r="B4092">
        <v>141.31380040166201</v>
      </c>
      <c r="C4092">
        <v>2000</v>
      </c>
    </row>
    <row r="4093" spans="1:11" x14ac:dyDescent="0.25">
      <c r="A4093">
        <v>49.781491987775603</v>
      </c>
      <c r="B4093">
        <v>133.04752109853499</v>
      </c>
      <c r="C4093">
        <v>2000</v>
      </c>
    </row>
    <row r="4094" spans="1:11" x14ac:dyDescent="0.25">
      <c r="A4094">
        <v>47.838769677245899</v>
      </c>
      <c r="B4094">
        <v>131.10479878800501</v>
      </c>
      <c r="C4094">
        <v>2000</v>
      </c>
    </row>
    <row r="4095" spans="1:11" x14ac:dyDescent="0.25">
      <c r="A4095">
        <v>48.275785701694801</v>
      </c>
      <c r="B4095">
        <v>130.667782763556</v>
      </c>
      <c r="C4095">
        <v>2001</v>
      </c>
    </row>
    <row r="4096" spans="1:11" x14ac:dyDescent="0.25">
      <c r="A4096">
        <v>50.218508012224397</v>
      </c>
      <c r="B4096">
        <v>132.61050507408601</v>
      </c>
      <c r="C4096">
        <v>2001</v>
      </c>
    </row>
    <row r="4097" spans="1:11" x14ac:dyDescent="0.25">
      <c r="A4097">
        <v>58.484787315351497</v>
      </c>
      <c r="B4097">
        <v>140.876784377213</v>
      </c>
      <c r="C4097">
        <v>2001</v>
      </c>
    </row>
    <row r="4098" spans="1:11" x14ac:dyDescent="0.25">
      <c r="A4098">
        <v>60.949435575672297</v>
      </c>
      <c r="B4098">
        <v>143.34143263753401</v>
      </c>
      <c r="C4098">
        <v>2001</v>
      </c>
    </row>
    <row r="4099" spans="1:11" x14ac:dyDescent="0.25">
      <c r="A4099">
        <v>60.512419551223502</v>
      </c>
      <c r="B4099">
        <v>143.778448661982</v>
      </c>
      <c r="C4099">
        <v>2000</v>
      </c>
    </row>
    <row r="4100" spans="1:11" x14ac:dyDescent="0.25">
      <c r="A4100" t="s">
        <v>84</v>
      </c>
    </row>
    <row r="4101" spans="1:11" x14ac:dyDescent="0.25">
      <c r="A4101">
        <v>345</v>
      </c>
      <c r="B4101">
        <v>0</v>
      </c>
      <c r="C4101">
        <v>11.3162412797156</v>
      </c>
      <c r="D4101">
        <v>6.3639546136016598</v>
      </c>
      <c r="E4101">
        <v>6</v>
      </c>
      <c r="F4101">
        <v>1.01722196789785</v>
      </c>
      <c r="G4101" t="s">
        <v>81</v>
      </c>
      <c r="H4101" t="s">
        <v>81</v>
      </c>
      <c r="I4101">
        <v>428</v>
      </c>
      <c r="J4101">
        <v>359</v>
      </c>
      <c r="K4101">
        <v>0</v>
      </c>
    </row>
    <row r="4102" spans="1:11" x14ac:dyDescent="0.25">
      <c r="A4102" t="s">
        <v>83</v>
      </c>
    </row>
    <row r="4103" spans="1:11" x14ac:dyDescent="0.25">
      <c r="A4103">
        <v>59.113188910811999</v>
      </c>
      <c r="B4103">
        <v>138.43937771415801</v>
      </c>
      <c r="C4103">
        <v>2000</v>
      </c>
    </row>
    <row r="4104" spans="1:11" x14ac:dyDescent="0.25">
      <c r="A4104">
        <v>51.111397964381901</v>
      </c>
      <c r="B4104">
        <v>130.43758676772799</v>
      </c>
      <c r="C4104">
        <v>2000</v>
      </c>
    </row>
    <row r="4105" spans="1:11" x14ac:dyDescent="0.25">
      <c r="A4105">
        <v>50.674381939933099</v>
      </c>
      <c r="B4105">
        <v>130.87460279217601</v>
      </c>
      <c r="C4105">
        <v>2001</v>
      </c>
    </row>
    <row r="4106" spans="1:11" x14ac:dyDescent="0.25">
      <c r="A4106">
        <v>58.676172886363098</v>
      </c>
      <c r="B4106">
        <v>138.876393738606</v>
      </c>
      <c r="C4106">
        <v>2001</v>
      </c>
    </row>
    <row r="4107" spans="1:11" x14ac:dyDescent="0.25">
      <c r="A4107">
        <v>63.176168348804303</v>
      </c>
      <c r="B4107">
        <v>143.376389201048</v>
      </c>
      <c r="C4107">
        <v>2001</v>
      </c>
    </row>
    <row r="4108" spans="1:11" x14ac:dyDescent="0.25">
      <c r="A4108">
        <v>63.613184373253098</v>
      </c>
      <c r="B4108">
        <v>142.93937317659899</v>
      </c>
      <c r="C4108">
        <v>2000</v>
      </c>
    </row>
    <row r="4109" spans="1:11" x14ac:dyDescent="0.25">
      <c r="A4109" t="s">
        <v>84</v>
      </c>
    </row>
    <row r="4110" spans="1:11" x14ac:dyDescent="0.25">
      <c r="A4110">
        <v>723</v>
      </c>
      <c r="B4110">
        <v>0</v>
      </c>
      <c r="C4110">
        <v>17.621087705836899</v>
      </c>
      <c r="D4110">
        <v>0</v>
      </c>
      <c r="E4110">
        <v>5</v>
      </c>
      <c r="F4110">
        <v>1.01722196789785</v>
      </c>
      <c r="G4110" t="s">
        <v>81</v>
      </c>
      <c r="H4110" t="s">
        <v>81</v>
      </c>
      <c r="I4110">
        <v>895</v>
      </c>
      <c r="J4110">
        <v>515</v>
      </c>
      <c r="K4110">
        <v>0.100785207567138</v>
      </c>
    </row>
    <row r="4111" spans="1:11" x14ac:dyDescent="0.25">
      <c r="A4111" t="s">
        <v>83</v>
      </c>
    </row>
    <row r="4112" spans="1:11" x14ac:dyDescent="0.25">
      <c r="A4112">
        <v>143.60511884354699</v>
      </c>
      <c r="B4112">
        <v>31.794869475898</v>
      </c>
      <c r="C4112">
        <v>2000</v>
      </c>
    </row>
    <row r="4113" spans="1:11" x14ac:dyDescent="0.25">
      <c r="A4113">
        <v>131.145128234867</v>
      </c>
      <c r="B4113">
        <v>19.3348788672178</v>
      </c>
      <c r="C4113">
        <v>2000</v>
      </c>
    </row>
    <row r="4114" spans="1:11" x14ac:dyDescent="0.25">
      <c r="A4114">
        <v>131.58214425931601</v>
      </c>
      <c r="B4114">
        <v>18.897862842769001</v>
      </c>
      <c r="C4114">
        <v>2001</v>
      </c>
    </row>
    <row r="4115" spans="1:11" x14ac:dyDescent="0.25">
      <c r="A4115">
        <v>144.042134867996</v>
      </c>
      <c r="B4115">
        <v>31.357853451449099</v>
      </c>
      <c r="C4115">
        <v>2001</v>
      </c>
    </row>
    <row r="4116" spans="1:11" x14ac:dyDescent="0.25">
      <c r="A4116">
        <v>143.60511884354699</v>
      </c>
      <c r="B4116">
        <v>31.794869475898</v>
      </c>
      <c r="C4116">
        <v>2000</v>
      </c>
    </row>
    <row r="4117" spans="1:11" x14ac:dyDescent="0.25">
      <c r="A4117" t="s">
        <v>84</v>
      </c>
    </row>
    <row r="4118" spans="1:11" x14ac:dyDescent="0.25">
      <c r="A4118">
        <v>669</v>
      </c>
      <c r="B4118">
        <v>0</v>
      </c>
      <c r="C4118">
        <v>13.264429498472699</v>
      </c>
      <c r="D4118">
        <v>4.3026583157256404</v>
      </c>
      <c r="E4118">
        <v>8</v>
      </c>
      <c r="F4118">
        <v>1.01722196789785</v>
      </c>
      <c r="G4118" t="s">
        <v>81</v>
      </c>
      <c r="H4118" t="s">
        <v>81</v>
      </c>
      <c r="I4118">
        <v>959</v>
      </c>
      <c r="J4118">
        <v>338</v>
      </c>
      <c r="K4118">
        <v>0</v>
      </c>
    </row>
    <row r="4119" spans="1:11" x14ac:dyDescent="0.25">
      <c r="A4119" t="s">
        <v>83</v>
      </c>
    </row>
    <row r="4120" spans="1:11" x14ac:dyDescent="0.25">
      <c r="A4120">
        <v>85.556549715598607</v>
      </c>
      <c r="B4120">
        <v>98.766204757045898</v>
      </c>
      <c r="C4120">
        <v>2000</v>
      </c>
    </row>
    <row r="4121" spans="1:11" x14ac:dyDescent="0.25">
      <c r="A4121">
        <v>76.177181668657596</v>
      </c>
      <c r="B4121">
        <v>89.386836710104902</v>
      </c>
      <c r="C4121">
        <v>2000</v>
      </c>
    </row>
    <row r="4122" spans="1:11" x14ac:dyDescent="0.25">
      <c r="A4122">
        <v>75.740165644208801</v>
      </c>
      <c r="B4122">
        <v>89.823852734553697</v>
      </c>
      <c r="C4122">
        <v>2001</v>
      </c>
    </row>
    <row r="4123" spans="1:11" x14ac:dyDescent="0.25">
      <c r="A4123">
        <v>85.119533691149698</v>
      </c>
      <c r="B4123">
        <v>99.203220781494693</v>
      </c>
      <c r="C4123">
        <v>2001</v>
      </c>
    </row>
    <row r="4124" spans="1:11" x14ac:dyDescent="0.25">
      <c r="A4124">
        <v>86.134820921879495</v>
      </c>
      <c r="B4124">
        <v>100.21850801222401</v>
      </c>
      <c r="C4124">
        <v>2001</v>
      </c>
    </row>
    <row r="4125" spans="1:11" x14ac:dyDescent="0.25">
      <c r="A4125">
        <v>88.161972563328007</v>
      </c>
      <c r="B4125">
        <v>102.245659653673</v>
      </c>
      <c r="C4125">
        <v>2001</v>
      </c>
    </row>
    <row r="4126" spans="1:11" x14ac:dyDescent="0.25">
      <c r="A4126">
        <v>88.598988587776802</v>
      </c>
      <c r="B4126">
        <v>101.80864362922399</v>
      </c>
      <c r="C4126">
        <v>2000</v>
      </c>
    </row>
    <row r="4127" spans="1:11" x14ac:dyDescent="0.25">
      <c r="A4127">
        <v>86.571836946328304</v>
      </c>
      <c r="B4127">
        <v>99.781491987775595</v>
      </c>
      <c r="C4127">
        <v>2000</v>
      </c>
    </row>
    <row r="4128" spans="1:11" x14ac:dyDescent="0.25">
      <c r="A4128" t="s">
        <v>84</v>
      </c>
    </row>
    <row r="4129" spans="1:11" x14ac:dyDescent="0.25">
      <c r="A4129">
        <v>986</v>
      </c>
      <c r="B4129">
        <v>0</v>
      </c>
      <c r="C4129">
        <v>9.4339089057007008</v>
      </c>
      <c r="D4129">
        <v>7.9737909695660498</v>
      </c>
      <c r="E4129">
        <v>6</v>
      </c>
      <c r="F4129">
        <v>1.01722196789785</v>
      </c>
      <c r="G4129" t="s">
        <v>82</v>
      </c>
      <c r="H4129" t="s">
        <v>82</v>
      </c>
      <c r="I4129">
        <v>0</v>
      </c>
      <c r="J4129">
        <v>0</v>
      </c>
      <c r="K4129">
        <v>0.10876318915699</v>
      </c>
    </row>
    <row r="4130" spans="1:11" x14ac:dyDescent="0.25">
      <c r="A4130" t="s">
        <v>83</v>
      </c>
    </row>
    <row r="4131" spans="1:11" x14ac:dyDescent="0.25">
      <c r="A4131">
        <v>6.9076169233980096</v>
      </c>
      <c r="B4131">
        <v>144.16149827228799</v>
      </c>
      <c r="C4131">
        <v>2000</v>
      </c>
    </row>
    <row r="4132" spans="1:11" x14ac:dyDescent="0.25">
      <c r="A4132">
        <v>0</v>
      </c>
      <c r="B4132">
        <v>137.25388134888999</v>
      </c>
      <c r="C4132">
        <v>2000</v>
      </c>
    </row>
    <row r="4133" spans="1:11" x14ac:dyDescent="0.25">
      <c r="A4133">
        <v>0</v>
      </c>
      <c r="B4133">
        <v>138.12791339778701</v>
      </c>
      <c r="C4133">
        <v>2001</v>
      </c>
    </row>
    <row r="4134" spans="1:11" x14ac:dyDescent="0.25">
      <c r="A4134">
        <v>6.4339449972362504</v>
      </c>
      <c r="B4134">
        <v>144.56185839502399</v>
      </c>
      <c r="C4134">
        <v>2001</v>
      </c>
    </row>
    <row r="4135" spans="1:11" x14ac:dyDescent="0.25">
      <c r="A4135">
        <v>11.8720866022125</v>
      </c>
      <c r="B4135">
        <v>150</v>
      </c>
      <c r="C4135">
        <v>2001</v>
      </c>
    </row>
    <row r="4136" spans="1:11" x14ac:dyDescent="0.25">
      <c r="A4136">
        <v>12.7461186511102</v>
      </c>
      <c r="B4136">
        <v>150</v>
      </c>
      <c r="C4136">
        <v>2000</v>
      </c>
    </row>
    <row r="4137" spans="1:11" x14ac:dyDescent="0.25">
      <c r="A4137" t="s">
        <v>84</v>
      </c>
    </row>
    <row r="4138" spans="1:11" x14ac:dyDescent="0.25">
      <c r="A4138">
        <v>1037</v>
      </c>
      <c r="B4138">
        <v>0</v>
      </c>
      <c r="C4138">
        <v>6.9669470288265103</v>
      </c>
      <c r="D4138">
        <v>10.4158662519087</v>
      </c>
      <c r="E4138">
        <v>6</v>
      </c>
      <c r="F4138">
        <v>1.01722196789785</v>
      </c>
      <c r="G4138" t="s">
        <v>81</v>
      </c>
      <c r="H4138" t="s">
        <v>81</v>
      </c>
      <c r="I4138">
        <v>105</v>
      </c>
      <c r="J4138">
        <v>92</v>
      </c>
      <c r="K4138">
        <v>0.11278106713958801</v>
      </c>
    </row>
    <row r="4139" spans="1:11" x14ac:dyDescent="0.25">
      <c r="A4139" t="s">
        <v>83</v>
      </c>
    </row>
    <row r="4140" spans="1:11" x14ac:dyDescent="0.25">
      <c r="A4140">
        <v>26.079659482496801</v>
      </c>
      <c r="B4140">
        <v>75.696672111612898</v>
      </c>
      <c r="C4140">
        <v>2000</v>
      </c>
    </row>
    <row r="4141" spans="1:11" x14ac:dyDescent="0.25">
      <c r="A4141">
        <v>21.153283994246099</v>
      </c>
      <c r="B4141">
        <v>70.770296623362199</v>
      </c>
      <c r="C4141">
        <v>2000</v>
      </c>
    </row>
    <row r="4142" spans="1:11" x14ac:dyDescent="0.25">
      <c r="A4142">
        <v>20.7162679697973</v>
      </c>
      <c r="B4142">
        <v>71.207312647810994</v>
      </c>
      <c r="C4142">
        <v>2001</v>
      </c>
    </row>
    <row r="4143" spans="1:11" x14ac:dyDescent="0.25">
      <c r="A4143">
        <v>25.642643458047999</v>
      </c>
      <c r="B4143">
        <v>76.133688136061707</v>
      </c>
      <c r="C4143">
        <v>2001</v>
      </c>
    </row>
    <row r="4144" spans="1:11" x14ac:dyDescent="0.25">
      <c r="A4144">
        <v>33.007773116704698</v>
      </c>
      <c r="B4144">
        <v>83.498817794718406</v>
      </c>
      <c r="C4144">
        <v>2001</v>
      </c>
    </row>
    <row r="4145" spans="1:11" x14ac:dyDescent="0.25">
      <c r="A4145">
        <v>33.4447891411535</v>
      </c>
      <c r="B4145">
        <v>83.061801770269597</v>
      </c>
      <c r="C4145">
        <v>2000</v>
      </c>
    </row>
    <row r="4146" spans="1:11" x14ac:dyDescent="0.25">
      <c r="A4146" t="s">
        <v>84</v>
      </c>
    </row>
    <row r="4147" spans="1:11" x14ac:dyDescent="0.25">
      <c r="A4147">
        <v>863</v>
      </c>
      <c r="B4147">
        <v>0</v>
      </c>
      <c r="C4147">
        <v>10.1388574564217</v>
      </c>
      <c r="D4147">
        <v>7.0342853804482299</v>
      </c>
      <c r="E4147">
        <v>6</v>
      </c>
      <c r="F4147">
        <v>1.01722196789785</v>
      </c>
      <c r="G4147" t="s">
        <v>82</v>
      </c>
      <c r="H4147" t="s">
        <v>81</v>
      </c>
      <c r="I4147">
        <v>0</v>
      </c>
      <c r="J4147">
        <v>901</v>
      </c>
      <c r="K4147">
        <v>0.104016298956218</v>
      </c>
    </row>
    <row r="4148" spans="1:11" x14ac:dyDescent="0.25">
      <c r="A4148" t="s">
        <v>83</v>
      </c>
    </row>
    <row r="4149" spans="1:11" x14ac:dyDescent="0.25">
      <c r="A4149">
        <v>7.0402498436042</v>
      </c>
      <c r="B4149">
        <v>29.535889651370699</v>
      </c>
      <c r="C4149">
        <v>2000</v>
      </c>
    </row>
    <row r="4150" spans="1:11" x14ac:dyDescent="0.25">
      <c r="A4150">
        <v>0</v>
      </c>
      <c r="B4150">
        <v>22.495639807766501</v>
      </c>
      <c r="C4150">
        <v>2000</v>
      </c>
    </row>
    <row r="4151" spans="1:11" x14ac:dyDescent="0.25">
      <c r="A4151">
        <v>0</v>
      </c>
      <c r="B4151">
        <v>21.621607758868901</v>
      </c>
      <c r="C4151">
        <v>2001</v>
      </c>
    </row>
    <row r="4152" spans="1:11" x14ac:dyDescent="0.25">
      <c r="A4152">
        <v>7.2982598782348997</v>
      </c>
      <c r="B4152">
        <v>28.919867637103799</v>
      </c>
      <c r="C4152">
        <v>2001</v>
      </c>
    </row>
    <row r="4153" spans="1:11" x14ac:dyDescent="0.25">
      <c r="A4153">
        <v>12.3617537664603</v>
      </c>
      <c r="B4153">
        <v>33.983361525329201</v>
      </c>
      <c r="C4153">
        <v>2001</v>
      </c>
    </row>
    <row r="4154" spans="1:11" x14ac:dyDescent="0.25">
      <c r="A4154">
        <v>11.9247377420115</v>
      </c>
      <c r="B4154">
        <v>34.420377549778003</v>
      </c>
      <c r="C4154">
        <v>2000</v>
      </c>
    </row>
    <row r="4155" spans="1:11" x14ac:dyDescent="0.25">
      <c r="A4155" t="s">
        <v>84</v>
      </c>
    </row>
    <row r="4156" spans="1:11" x14ac:dyDescent="0.25">
      <c r="A4156">
        <v>28</v>
      </c>
      <c r="B4156">
        <v>0</v>
      </c>
      <c r="C4156">
        <v>2.05881811773193</v>
      </c>
      <c r="D4156">
        <v>14.985919562733001</v>
      </c>
      <c r="E4156">
        <v>6</v>
      </c>
      <c r="F4156">
        <v>1.01722196789785</v>
      </c>
      <c r="G4156" t="s">
        <v>82</v>
      </c>
      <c r="H4156" t="s">
        <v>81</v>
      </c>
      <c r="I4156">
        <v>0</v>
      </c>
      <c r="J4156">
        <v>120</v>
      </c>
      <c r="K4156">
        <v>0</v>
      </c>
    </row>
    <row r="4157" spans="1:11" x14ac:dyDescent="0.25">
      <c r="A4157" t="s">
        <v>83</v>
      </c>
    </row>
    <row r="4158" spans="1:11" x14ac:dyDescent="0.25">
      <c r="A4158">
        <v>1.4821976332070801</v>
      </c>
      <c r="B4158">
        <v>36.341346287771501</v>
      </c>
      <c r="C4158">
        <v>2000</v>
      </c>
    </row>
    <row r="4159" spans="1:11" x14ac:dyDescent="0.25">
      <c r="A4159">
        <v>0</v>
      </c>
      <c r="B4159">
        <v>34.8591486545645</v>
      </c>
      <c r="C4159">
        <v>2000</v>
      </c>
    </row>
    <row r="4160" spans="1:11" x14ac:dyDescent="0.25">
      <c r="A4160">
        <v>0</v>
      </c>
      <c r="B4160">
        <v>35.733180703462097</v>
      </c>
      <c r="C4160">
        <v>2001</v>
      </c>
    </row>
    <row r="4161" spans="1:11" x14ac:dyDescent="0.25">
      <c r="A4161">
        <v>1.42941087134887</v>
      </c>
      <c r="B4161">
        <v>37.162591574811003</v>
      </c>
      <c r="C4161">
        <v>2001</v>
      </c>
    </row>
    <row r="4162" spans="1:11" x14ac:dyDescent="0.25">
      <c r="A4162">
        <v>11.8339415851782</v>
      </c>
      <c r="B4162">
        <v>47.567122288640299</v>
      </c>
      <c r="C4162">
        <v>2001</v>
      </c>
    </row>
    <row r="4163" spans="1:11" x14ac:dyDescent="0.25">
      <c r="A4163">
        <v>12.270957609627001</v>
      </c>
      <c r="B4163">
        <v>47.130106264191397</v>
      </c>
      <c r="C4163">
        <v>2000</v>
      </c>
    </row>
    <row r="4164" spans="1:11" x14ac:dyDescent="0.25">
      <c r="A4164" t="s">
        <v>84</v>
      </c>
    </row>
    <row r="4165" spans="1:11" x14ac:dyDescent="0.25">
      <c r="A4165">
        <v>199</v>
      </c>
      <c r="B4165">
        <v>0</v>
      </c>
      <c r="C4165">
        <v>4.7787205852855799</v>
      </c>
      <c r="D4165">
        <v>12.220794281023201</v>
      </c>
      <c r="E4165">
        <v>6</v>
      </c>
      <c r="F4165">
        <v>1.01722196789785</v>
      </c>
      <c r="G4165" t="s">
        <v>81</v>
      </c>
      <c r="H4165" t="s">
        <v>81</v>
      </c>
      <c r="I4165">
        <v>168</v>
      </c>
      <c r="J4165">
        <v>885</v>
      </c>
      <c r="K4165">
        <v>0</v>
      </c>
    </row>
    <row r="4166" spans="1:11" x14ac:dyDescent="0.25">
      <c r="A4166" t="s">
        <v>83</v>
      </c>
    </row>
    <row r="4167" spans="1:11" x14ac:dyDescent="0.25">
      <c r="A4167">
        <v>63.933451996149401</v>
      </c>
      <c r="B4167">
        <v>9.6345550853964692</v>
      </c>
      <c r="C4167">
        <v>2000</v>
      </c>
    </row>
    <row r="4168" spans="1:11" x14ac:dyDescent="0.25">
      <c r="A4168">
        <v>60.554386264898199</v>
      </c>
      <c r="B4168">
        <v>6.2554893541452898</v>
      </c>
      <c r="C4168">
        <v>2000</v>
      </c>
    </row>
    <row r="4169" spans="1:11" x14ac:dyDescent="0.25">
      <c r="A4169">
        <v>60.117370240449397</v>
      </c>
      <c r="B4169">
        <v>6.6925053785941202</v>
      </c>
      <c r="C4169">
        <v>2001</v>
      </c>
    </row>
    <row r="4170" spans="1:11" x14ac:dyDescent="0.25">
      <c r="A4170">
        <v>63.496435971700599</v>
      </c>
      <c r="B4170">
        <v>10.0715711098453</v>
      </c>
      <c r="C4170">
        <v>2001</v>
      </c>
    </row>
    <row r="4171" spans="1:11" x14ac:dyDescent="0.25">
      <c r="A4171">
        <v>72.137842479297902</v>
      </c>
      <c r="B4171">
        <v>18.712977617442601</v>
      </c>
      <c r="C4171">
        <v>2001</v>
      </c>
    </row>
    <row r="4172" spans="1:11" x14ac:dyDescent="0.25">
      <c r="A4172">
        <v>72.574858503746697</v>
      </c>
      <c r="B4172">
        <v>18.275961592993799</v>
      </c>
      <c r="C4172">
        <v>2000</v>
      </c>
    </row>
    <row r="4173" spans="1:11" x14ac:dyDescent="0.25">
      <c r="A4173" t="s">
        <v>84</v>
      </c>
    </row>
    <row r="4174" spans="1:11" x14ac:dyDescent="0.25">
      <c r="A4174">
        <v>120</v>
      </c>
      <c r="B4174">
        <v>0</v>
      </c>
      <c r="C4174">
        <v>14.7968535032683</v>
      </c>
      <c r="D4174">
        <v>2.0588809117276701</v>
      </c>
      <c r="E4174">
        <v>8</v>
      </c>
      <c r="F4174">
        <v>1.01722196789785</v>
      </c>
      <c r="G4174" t="s">
        <v>81</v>
      </c>
      <c r="H4174" t="s">
        <v>81</v>
      </c>
      <c r="I4174">
        <v>28</v>
      </c>
      <c r="J4174">
        <v>917</v>
      </c>
      <c r="K4174">
        <v>0</v>
      </c>
    </row>
    <row r="4175" spans="1:11" x14ac:dyDescent="0.25">
      <c r="A4175" t="s">
        <v>83</v>
      </c>
    </row>
    <row r="4176" spans="1:11" x14ac:dyDescent="0.25">
      <c r="A4176">
        <v>22.470682687340801</v>
      </c>
      <c r="B4176">
        <v>57.856292091247603</v>
      </c>
      <c r="C4176">
        <v>2000</v>
      </c>
    </row>
    <row r="4177" spans="1:11" x14ac:dyDescent="0.25">
      <c r="A4177">
        <v>14.395882583868801</v>
      </c>
      <c r="B4177">
        <v>49.781491987775603</v>
      </c>
      <c r="C4177">
        <v>2000</v>
      </c>
    </row>
    <row r="4178" spans="1:11" x14ac:dyDescent="0.25">
      <c r="A4178">
        <v>12.0077272349558</v>
      </c>
      <c r="B4178">
        <v>47.3933366388626</v>
      </c>
      <c r="C4178">
        <v>2000</v>
      </c>
    </row>
    <row r="4179" spans="1:11" x14ac:dyDescent="0.25">
      <c r="A4179">
        <v>11.570711210507</v>
      </c>
      <c r="B4179">
        <v>47.830352663311402</v>
      </c>
      <c r="C4179">
        <v>2001</v>
      </c>
    </row>
    <row r="4180" spans="1:11" x14ac:dyDescent="0.25">
      <c r="A4180">
        <v>13.958866559420001</v>
      </c>
      <c r="B4180">
        <v>50.218508012224397</v>
      </c>
      <c r="C4180">
        <v>2001</v>
      </c>
    </row>
    <row r="4181" spans="1:11" x14ac:dyDescent="0.25">
      <c r="A4181">
        <v>22.033666662891999</v>
      </c>
      <c r="B4181">
        <v>58.293308115696398</v>
      </c>
      <c r="C4181">
        <v>2001</v>
      </c>
    </row>
    <row r="4182" spans="1:11" x14ac:dyDescent="0.25">
      <c r="A4182">
        <v>23.4895153172302</v>
      </c>
      <c r="B4182">
        <v>59.749156770034602</v>
      </c>
      <c r="C4182">
        <v>2001</v>
      </c>
    </row>
    <row r="4183" spans="1:11" x14ac:dyDescent="0.25">
      <c r="A4183">
        <v>23.926531341678999</v>
      </c>
      <c r="B4183">
        <v>59.312140745585801</v>
      </c>
      <c r="C4183">
        <v>2000</v>
      </c>
    </row>
    <row r="4184" spans="1:11" x14ac:dyDescent="0.25">
      <c r="A4184" t="s">
        <v>84</v>
      </c>
    </row>
    <row r="4185" spans="1:11" x14ac:dyDescent="0.25">
      <c r="A4185">
        <v>1025</v>
      </c>
      <c r="B4185">
        <v>0</v>
      </c>
      <c r="C4185">
        <v>12.1799510931874</v>
      </c>
      <c r="D4185">
        <v>4.6214526438813799</v>
      </c>
      <c r="E4185">
        <v>6</v>
      </c>
      <c r="F4185">
        <v>1.01722196789785</v>
      </c>
      <c r="G4185" t="s">
        <v>81</v>
      </c>
      <c r="H4185" t="s">
        <v>81</v>
      </c>
      <c r="I4185">
        <v>897</v>
      </c>
      <c r="J4185">
        <v>673</v>
      </c>
      <c r="K4185">
        <v>0.11153635023422701</v>
      </c>
    </row>
    <row r="4186" spans="1:11" x14ac:dyDescent="0.25">
      <c r="A4186" t="s">
        <v>83</v>
      </c>
    </row>
    <row r="4187" spans="1:11" x14ac:dyDescent="0.25">
      <c r="A4187">
        <v>68.670343177700701</v>
      </c>
      <c r="B4187">
        <v>75.863497130513693</v>
      </c>
      <c r="C4187">
        <v>2000</v>
      </c>
    </row>
    <row r="4188" spans="1:11" x14ac:dyDescent="0.25">
      <c r="A4188">
        <v>60.057817165187402</v>
      </c>
      <c r="B4188">
        <v>67.250971118000393</v>
      </c>
      <c r="C4188">
        <v>2000</v>
      </c>
    </row>
    <row r="4189" spans="1:11" x14ac:dyDescent="0.25">
      <c r="A4189">
        <v>59.6208011407386</v>
      </c>
      <c r="B4189">
        <v>67.687987142449202</v>
      </c>
      <c r="C4189">
        <v>2001</v>
      </c>
    </row>
    <row r="4190" spans="1:11" x14ac:dyDescent="0.25">
      <c r="A4190">
        <v>68.233327153251906</v>
      </c>
      <c r="B4190">
        <v>76.300513154962502</v>
      </c>
      <c r="C4190">
        <v>2001</v>
      </c>
    </row>
    <row r="4191" spans="1:11" x14ac:dyDescent="0.25">
      <c r="A4191">
        <v>71.501187656672997</v>
      </c>
      <c r="B4191">
        <v>79.568373658383607</v>
      </c>
      <c r="C4191">
        <v>2001</v>
      </c>
    </row>
    <row r="4192" spans="1:11" x14ac:dyDescent="0.25">
      <c r="A4192">
        <v>71.938203681121806</v>
      </c>
      <c r="B4192">
        <v>79.131357633934698</v>
      </c>
      <c r="C4192">
        <v>2000</v>
      </c>
    </row>
    <row r="4193" spans="1:11" x14ac:dyDescent="0.25">
      <c r="A4193" t="s">
        <v>84</v>
      </c>
    </row>
    <row r="4194" spans="1:11" x14ac:dyDescent="0.25">
      <c r="A4194">
        <v>581</v>
      </c>
      <c r="B4194">
        <v>0</v>
      </c>
      <c r="C4194">
        <v>7.18061133854434</v>
      </c>
      <c r="D4194">
        <v>9.5917021779506797</v>
      </c>
      <c r="E4194">
        <v>6</v>
      </c>
      <c r="F4194">
        <v>1.01722196789785</v>
      </c>
      <c r="G4194" t="s">
        <v>81</v>
      </c>
      <c r="H4194" t="s">
        <v>81</v>
      </c>
      <c r="I4194">
        <v>877</v>
      </c>
      <c r="J4194">
        <v>777</v>
      </c>
      <c r="K4194">
        <v>0</v>
      </c>
    </row>
    <row r="4195" spans="1:11" x14ac:dyDescent="0.25">
      <c r="A4195" t="s">
        <v>83</v>
      </c>
    </row>
    <row r="4196" spans="1:11" x14ac:dyDescent="0.25">
      <c r="A4196">
        <v>111.000754204109</v>
      </c>
      <c r="B4196">
        <v>85.759938451354202</v>
      </c>
      <c r="C4196">
        <v>2000</v>
      </c>
    </row>
    <row r="4197" spans="1:11" x14ac:dyDescent="0.25">
      <c r="A4197">
        <v>105.923295233559</v>
      </c>
      <c r="B4197">
        <v>80.682479480804503</v>
      </c>
      <c r="C4197">
        <v>2000</v>
      </c>
    </row>
    <row r="4198" spans="1:11" x14ac:dyDescent="0.25">
      <c r="A4198">
        <v>105.48627920910999</v>
      </c>
      <c r="B4198">
        <v>81.119495505253298</v>
      </c>
      <c r="C4198">
        <v>2001</v>
      </c>
    </row>
    <row r="4199" spans="1:11" x14ac:dyDescent="0.25">
      <c r="A4199">
        <v>110.56373817966001</v>
      </c>
      <c r="B4199">
        <v>86.196954475802997</v>
      </c>
      <c r="C4199">
        <v>2001</v>
      </c>
    </row>
    <row r="4200" spans="1:11" x14ac:dyDescent="0.25">
      <c r="A4200">
        <v>117.346095832811</v>
      </c>
      <c r="B4200">
        <v>92.979312128953694</v>
      </c>
      <c r="C4200">
        <v>2001</v>
      </c>
    </row>
    <row r="4201" spans="1:11" x14ac:dyDescent="0.25">
      <c r="A4201">
        <v>117.78311185726</v>
      </c>
      <c r="B4201">
        <v>92.542296104504899</v>
      </c>
      <c r="C4201">
        <v>2000</v>
      </c>
    </row>
    <row r="4202" spans="1:11" x14ac:dyDescent="0.25">
      <c r="A4202" t="s">
        <v>84</v>
      </c>
    </row>
    <row r="4203" spans="1:11" x14ac:dyDescent="0.25">
      <c r="A4203">
        <v>517</v>
      </c>
      <c r="B4203">
        <v>0</v>
      </c>
      <c r="C4203">
        <v>16.0190685105371</v>
      </c>
      <c r="D4203">
        <v>0.69651348917592804</v>
      </c>
      <c r="E4203">
        <v>6</v>
      </c>
      <c r="F4203">
        <v>1.01722196789785</v>
      </c>
      <c r="G4203" t="s">
        <v>81</v>
      </c>
      <c r="H4203" t="s">
        <v>81</v>
      </c>
      <c r="I4203">
        <v>852</v>
      </c>
      <c r="J4203">
        <v>503</v>
      </c>
      <c r="K4203">
        <v>0</v>
      </c>
    </row>
    <row r="4204" spans="1:11" x14ac:dyDescent="0.25">
      <c r="A4204" t="s">
        <v>83</v>
      </c>
    </row>
    <row r="4205" spans="1:11" x14ac:dyDescent="0.25">
      <c r="A4205">
        <v>138.43558606712401</v>
      </c>
      <c r="B4205">
        <v>32.183956583111701</v>
      </c>
      <c r="C4205">
        <v>2000</v>
      </c>
    </row>
    <row r="4206" spans="1:11" x14ac:dyDescent="0.25">
      <c r="A4206">
        <v>127.108394095031</v>
      </c>
      <c r="B4206">
        <v>20.856764611018999</v>
      </c>
      <c r="C4206">
        <v>2000</v>
      </c>
    </row>
    <row r="4207" spans="1:11" x14ac:dyDescent="0.25">
      <c r="A4207">
        <v>127.54541011948</v>
      </c>
      <c r="B4207">
        <v>20.419748586570201</v>
      </c>
      <c r="C4207">
        <v>2001</v>
      </c>
    </row>
    <row r="4208" spans="1:11" x14ac:dyDescent="0.25">
      <c r="A4208">
        <v>138.87260209157299</v>
      </c>
      <c r="B4208">
        <v>31.746940558662899</v>
      </c>
      <c r="C4208">
        <v>2001</v>
      </c>
    </row>
    <row r="4209" spans="1:11" x14ac:dyDescent="0.25">
      <c r="A4209">
        <v>139.36511150295701</v>
      </c>
      <c r="B4209">
        <v>32.239449970047097</v>
      </c>
      <c r="C4209">
        <v>2001</v>
      </c>
    </row>
    <row r="4210" spans="1:11" x14ac:dyDescent="0.25">
      <c r="A4210">
        <v>138.928095478508</v>
      </c>
      <c r="B4210">
        <v>32.676465994495899</v>
      </c>
      <c r="C4210">
        <v>2000</v>
      </c>
    </row>
    <row r="4211" spans="1:11" x14ac:dyDescent="0.25">
      <c r="A4211" t="s">
        <v>84</v>
      </c>
    </row>
    <row r="4212" spans="1:11" x14ac:dyDescent="0.25">
      <c r="A4212">
        <v>584</v>
      </c>
      <c r="B4212">
        <v>0</v>
      </c>
      <c r="C4212">
        <v>15.2894081202979</v>
      </c>
      <c r="D4212">
        <v>1.42001652040352</v>
      </c>
      <c r="E4212">
        <v>6</v>
      </c>
      <c r="F4212">
        <v>1.01722196789785</v>
      </c>
      <c r="G4212" t="s">
        <v>81</v>
      </c>
      <c r="H4212" t="s">
        <v>81</v>
      </c>
      <c r="I4212">
        <v>676</v>
      </c>
      <c r="J4212">
        <v>780</v>
      </c>
      <c r="K4212">
        <v>0</v>
      </c>
    </row>
    <row r="4213" spans="1:11" x14ac:dyDescent="0.25">
      <c r="A4213" t="s">
        <v>83</v>
      </c>
    </row>
    <row r="4214" spans="1:11" x14ac:dyDescent="0.25">
      <c r="A4214">
        <v>113.973055573172</v>
      </c>
      <c r="B4214">
        <v>73.8485586279253</v>
      </c>
      <c r="C4214">
        <v>2000</v>
      </c>
    </row>
    <row r="4215" spans="1:11" x14ac:dyDescent="0.25">
      <c r="A4215">
        <v>103.161811410981</v>
      </c>
      <c r="B4215">
        <v>63.037314465733999</v>
      </c>
      <c r="C4215">
        <v>2000</v>
      </c>
    </row>
    <row r="4216" spans="1:11" x14ac:dyDescent="0.25">
      <c r="A4216">
        <v>103.59882743543</v>
      </c>
      <c r="B4216">
        <v>62.600298441285197</v>
      </c>
      <c r="C4216">
        <v>2001</v>
      </c>
    </row>
    <row r="4217" spans="1:11" x14ac:dyDescent="0.25">
      <c r="A4217">
        <v>114.410071597621</v>
      </c>
      <c r="B4217">
        <v>73.411542603476505</v>
      </c>
      <c r="C4217">
        <v>2001</v>
      </c>
    </row>
    <row r="4218" spans="1:11" x14ac:dyDescent="0.25">
      <c r="A4218">
        <v>115.414174908595</v>
      </c>
      <c r="B4218">
        <v>74.415645914450806</v>
      </c>
      <c r="C4218">
        <v>2001</v>
      </c>
    </row>
    <row r="4219" spans="1:11" x14ac:dyDescent="0.25">
      <c r="A4219">
        <v>114.977158884147</v>
      </c>
      <c r="B4219">
        <v>74.852661938899601</v>
      </c>
      <c r="C4219">
        <v>2000</v>
      </c>
    </row>
    <row r="4220" spans="1:11" x14ac:dyDescent="0.25">
      <c r="A4220" t="s">
        <v>84</v>
      </c>
    </row>
    <row r="4221" spans="1:11" x14ac:dyDescent="0.25">
      <c r="A4221">
        <v>116</v>
      </c>
      <c r="B4221">
        <v>0</v>
      </c>
      <c r="C4221">
        <v>13.3364492779838</v>
      </c>
      <c r="D4221">
        <v>3.34384524012179</v>
      </c>
      <c r="E4221">
        <v>6</v>
      </c>
      <c r="F4221">
        <v>1.01722196789785</v>
      </c>
      <c r="G4221" t="s">
        <v>81</v>
      </c>
      <c r="H4221" t="s">
        <v>81</v>
      </c>
      <c r="I4221">
        <v>937</v>
      </c>
      <c r="J4221">
        <v>766</v>
      </c>
      <c r="K4221">
        <v>0</v>
      </c>
    </row>
    <row r="4222" spans="1:11" x14ac:dyDescent="0.25">
      <c r="A4222" t="s">
        <v>83</v>
      </c>
    </row>
    <row r="4223" spans="1:11" x14ac:dyDescent="0.25">
      <c r="A4223">
        <v>32.9793674130783</v>
      </c>
      <c r="B4223">
        <v>90.409035902665295</v>
      </c>
      <c r="C4223">
        <v>2000</v>
      </c>
    </row>
    <row r="4224" spans="1:11" x14ac:dyDescent="0.25">
      <c r="A4224">
        <v>23.549073691665502</v>
      </c>
      <c r="B4224">
        <v>80.9787421812525</v>
      </c>
      <c r="C4224">
        <v>2000</v>
      </c>
    </row>
    <row r="4225" spans="1:11" x14ac:dyDescent="0.25">
      <c r="A4225">
        <v>23.1120576672167</v>
      </c>
      <c r="B4225">
        <v>81.415758205701295</v>
      </c>
      <c r="C4225">
        <v>2001</v>
      </c>
    </row>
    <row r="4226" spans="1:11" x14ac:dyDescent="0.25">
      <c r="A4226">
        <v>32.542351388629498</v>
      </c>
      <c r="B4226">
        <v>90.846051927114104</v>
      </c>
      <c r="C4226">
        <v>2001</v>
      </c>
    </row>
    <row r="4227" spans="1:11" x14ac:dyDescent="0.25">
      <c r="A4227">
        <v>34.906807033158003</v>
      </c>
      <c r="B4227">
        <v>93.210507571642594</v>
      </c>
      <c r="C4227">
        <v>2001</v>
      </c>
    </row>
    <row r="4228" spans="1:11" x14ac:dyDescent="0.25">
      <c r="A4228">
        <v>35.343823057606798</v>
      </c>
      <c r="B4228">
        <v>92.7734915471938</v>
      </c>
      <c r="C4228">
        <v>2000</v>
      </c>
    </row>
    <row r="4229" spans="1:11" x14ac:dyDescent="0.25">
      <c r="A4229" t="s">
        <v>84</v>
      </c>
    </row>
    <row r="4230" spans="1:11" x14ac:dyDescent="0.25">
      <c r="A4230">
        <v>727</v>
      </c>
      <c r="B4230">
        <v>0</v>
      </c>
      <c r="C4230">
        <v>11.0977932017733</v>
      </c>
      <c r="D4230">
        <v>5.5638969861227796</v>
      </c>
      <c r="E4230">
        <v>8</v>
      </c>
      <c r="F4230">
        <v>1.01722196789785</v>
      </c>
      <c r="G4230" t="s">
        <v>81</v>
      </c>
      <c r="H4230" t="s">
        <v>81</v>
      </c>
      <c r="I4230">
        <v>842</v>
      </c>
      <c r="J4230">
        <v>813</v>
      </c>
      <c r="K4230">
        <v>0.101899323518764</v>
      </c>
    </row>
    <row r="4231" spans="1:11" x14ac:dyDescent="0.25">
      <c r="A4231" t="s">
        <v>83</v>
      </c>
    </row>
    <row r="4232" spans="1:11" x14ac:dyDescent="0.25">
      <c r="A4232">
        <v>107.173409568697</v>
      </c>
      <c r="B4232">
        <v>15.4479044365875</v>
      </c>
      <c r="C4232">
        <v>2000</v>
      </c>
    </row>
    <row r="4233" spans="1:11" x14ac:dyDescent="0.25">
      <c r="A4233">
        <v>99.781491987775595</v>
      </c>
      <c r="B4233">
        <v>8.0559868556663297</v>
      </c>
      <c r="C4233">
        <v>2000</v>
      </c>
    </row>
    <row r="4234" spans="1:11" x14ac:dyDescent="0.25">
      <c r="A4234">
        <v>99.326084739516901</v>
      </c>
      <c r="B4234">
        <v>7.6005796074076004</v>
      </c>
      <c r="C4234">
        <v>2000</v>
      </c>
    </row>
    <row r="4235" spans="1:11" x14ac:dyDescent="0.25">
      <c r="A4235">
        <v>99.763100763965696</v>
      </c>
      <c r="B4235">
        <v>7.1635635829587798</v>
      </c>
      <c r="C4235">
        <v>2001</v>
      </c>
    </row>
    <row r="4236" spans="1:11" x14ac:dyDescent="0.25">
      <c r="A4236">
        <v>100.21850801222401</v>
      </c>
      <c r="B4236">
        <v>7.61897083121751</v>
      </c>
      <c r="C4236">
        <v>2001</v>
      </c>
    </row>
    <row r="4237" spans="1:11" x14ac:dyDescent="0.25">
      <c r="A4237">
        <v>107.610425593146</v>
      </c>
      <c r="B4237">
        <v>15.0108884121387</v>
      </c>
      <c r="C4237">
        <v>2001</v>
      </c>
    </row>
    <row r="4238" spans="1:11" x14ac:dyDescent="0.25">
      <c r="A4238">
        <v>111.544694881856</v>
      </c>
      <c r="B4238">
        <v>18.945157700849499</v>
      </c>
      <c r="C4238">
        <v>2001</v>
      </c>
    </row>
    <row r="4239" spans="1:11" x14ac:dyDescent="0.25">
      <c r="A4239">
        <v>111.107678857408</v>
      </c>
      <c r="B4239">
        <v>19.382173725298301</v>
      </c>
      <c r="C4239">
        <v>2000</v>
      </c>
    </row>
    <row r="4240" spans="1:11" x14ac:dyDescent="0.25">
      <c r="A4240" t="s">
        <v>84</v>
      </c>
    </row>
    <row r="4241" spans="1:11" x14ac:dyDescent="0.25">
      <c r="A4241">
        <v>913</v>
      </c>
      <c r="B4241">
        <v>0</v>
      </c>
      <c r="C4241">
        <v>11.8166795385757</v>
      </c>
      <c r="D4241">
        <v>4.8399668544541496</v>
      </c>
      <c r="E4241">
        <v>6</v>
      </c>
      <c r="F4241">
        <v>1.01722196789785</v>
      </c>
      <c r="G4241" t="s">
        <v>82</v>
      </c>
      <c r="H4241" t="s">
        <v>82</v>
      </c>
      <c r="I4241">
        <v>0</v>
      </c>
      <c r="J4241">
        <v>0</v>
      </c>
      <c r="K4241">
        <v>0.10530400139967799</v>
      </c>
    </row>
    <row r="4242" spans="1:11" x14ac:dyDescent="0.25">
      <c r="A4242" t="s">
        <v>83</v>
      </c>
    </row>
    <row r="4243" spans="1:11" x14ac:dyDescent="0.25">
      <c r="A4243">
        <v>146.704611546314</v>
      </c>
      <c r="B4243">
        <v>8.0456231382029202</v>
      </c>
      <c r="C4243">
        <v>2000</v>
      </c>
    </row>
    <row r="4244" spans="1:11" x14ac:dyDescent="0.25">
      <c r="A4244">
        <v>138.65898840811099</v>
      </c>
      <c r="B4244">
        <v>0</v>
      </c>
      <c r="C4244">
        <v>2000</v>
      </c>
    </row>
    <row r="4245" spans="1:11" x14ac:dyDescent="0.25">
      <c r="A4245">
        <v>137.784956359213</v>
      </c>
      <c r="B4245">
        <v>0</v>
      </c>
      <c r="C4245">
        <v>2001</v>
      </c>
    </row>
    <row r="4246" spans="1:11" x14ac:dyDescent="0.25">
      <c r="A4246">
        <v>146.450641686681</v>
      </c>
      <c r="B4246">
        <v>8.6656853274675196</v>
      </c>
      <c r="C4246">
        <v>2001</v>
      </c>
    </row>
    <row r="4247" spans="1:11" x14ac:dyDescent="0.25">
      <c r="A4247">
        <v>150</v>
      </c>
      <c r="B4247">
        <v>12.2150436407867</v>
      </c>
      <c r="C4247">
        <v>2001</v>
      </c>
    </row>
    <row r="4248" spans="1:11" x14ac:dyDescent="0.25">
      <c r="A4248">
        <v>150</v>
      </c>
      <c r="B4248">
        <v>11.341011591889</v>
      </c>
      <c r="C4248">
        <v>2000</v>
      </c>
    </row>
    <row r="4249" spans="1:11" x14ac:dyDescent="0.25">
      <c r="A4249" t="s">
        <v>84</v>
      </c>
    </row>
    <row r="4250" spans="1:11" x14ac:dyDescent="0.25">
      <c r="A4250">
        <v>1024</v>
      </c>
      <c r="B4250">
        <v>0</v>
      </c>
      <c r="C4250">
        <v>9.8179062578750802</v>
      </c>
      <c r="D4250">
        <v>6.7615471777908196</v>
      </c>
      <c r="E4250">
        <v>8</v>
      </c>
      <c r="F4250">
        <v>1.01722196789785</v>
      </c>
      <c r="G4250" t="s">
        <v>81</v>
      </c>
      <c r="H4250" t="s">
        <v>82</v>
      </c>
      <c r="I4250">
        <v>419</v>
      </c>
      <c r="J4250">
        <v>0</v>
      </c>
      <c r="K4250">
        <v>0.111441881789779</v>
      </c>
    </row>
    <row r="4251" spans="1:11" x14ac:dyDescent="0.25">
      <c r="A4251" t="s">
        <v>83</v>
      </c>
    </row>
    <row r="4252" spans="1:11" x14ac:dyDescent="0.25">
      <c r="A4252">
        <v>47.509116498237503</v>
      </c>
      <c r="B4252">
        <v>145.36112459596501</v>
      </c>
      <c r="C4252">
        <v>2000</v>
      </c>
    </row>
    <row r="4253" spans="1:11" x14ac:dyDescent="0.25">
      <c r="A4253">
        <v>40.643055961771203</v>
      </c>
      <c r="B4253">
        <v>138.49506405949799</v>
      </c>
      <c r="C4253">
        <v>2000</v>
      </c>
    </row>
    <row r="4254" spans="1:11" x14ac:dyDescent="0.25">
      <c r="A4254">
        <v>41.080071986220098</v>
      </c>
      <c r="B4254">
        <v>138.05804803505001</v>
      </c>
      <c r="C4254">
        <v>2001</v>
      </c>
    </row>
    <row r="4255" spans="1:11" x14ac:dyDescent="0.25">
      <c r="A4255">
        <v>48.0986276337484</v>
      </c>
      <c r="B4255">
        <v>145.076603682578</v>
      </c>
      <c r="C4255">
        <v>2001</v>
      </c>
    </row>
    <row r="4256" spans="1:11" x14ac:dyDescent="0.25">
      <c r="A4256">
        <v>50.318875699616797</v>
      </c>
      <c r="B4256">
        <v>147.29685174844599</v>
      </c>
      <c r="C4256">
        <v>2001</v>
      </c>
    </row>
    <row r="4257" spans="1:11" x14ac:dyDescent="0.25">
      <c r="A4257">
        <v>53.022023951170397</v>
      </c>
      <c r="B4257">
        <v>150</v>
      </c>
      <c r="C4257">
        <v>2001</v>
      </c>
    </row>
    <row r="4258" spans="1:11" x14ac:dyDescent="0.25">
      <c r="A4258">
        <v>52.1479919022728</v>
      </c>
      <c r="B4258">
        <v>150</v>
      </c>
      <c r="C4258">
        <v>2000</v>
      </c>
    </row>
    <row r="4259" spans="1:11" x14ac:dyDescent="0.25">
      <c r="A4259">
        <v>49.681124300383097</v>
      </c>
      <c r="B4259">
        <v>147.53313239811001</v>
      </c>
      <c r="C4259">
        <v>2000</v>
      </c>
    </row>
    <row r="4260" spans="1:11" x14ac:dyDescent="0.25">
      <c r="A4260" t="s">
        <v>84</v>
      </c>
    </row>
    <row r="4261" spans="1:11" x14ac:dyDescent="0.25">
      <c r="A4261">
        <v>31</v>
      </c>
      <c r="B4261">
        <v>0</v>
      </c>
      <c r="C4261">
        <v>15.8864256559384</v>
      </c>
      <c r="D4261">
        <v>0.55551131628598005</v>
      </c>
      <c r="E4261">
        <v>6</v>
      </c>
      <c r="F4261">
        <v>1.01722196789785</v>
      </c>
      <c r="G4261" t="s">
        <v>81</v>
      </c>
      <c r="H4261" t="s">
        <v>81</v>
      </c>
      <c r="I4261">
        <v>37</v>
      </c>
      <c r="J4261">
        <v>798</v>
      </c>
      <c r="K4261">
        <v>0</v>
      </c>
    </row>
    <row r="4262" spans="1:11" x14ac:dyDescent="0.25">
      <c r="A4262" t="s">
        <v>83</v>
      </c>
    </row>
    <row r="4263" spans="1:11" x14ac:dyDescent="0.25">
      <c r="A4263">
        <v>33.238876226939503</v>
      </c>
      <c r="B4263">
        <v>25.983727669331302</v>
      </c>
      <c r="C4263">
        <v>2000</v>
      </c>
    </row>
    <row r="4264" spans="1:11" x14ac:dyDescent="0.25">
      <c r="A4264">
        <v>22.005476916809499</v>
      </c>
      <c r="B4264">
        <v>14.750328359201299</v>
      </c>
      <c r="C4264">
        <v>2000</v>
      </c>
    </row>
    <row r="4265" spans="1:11" x14ac:dyDescent="0.25">
      <c r="A4265">
        <v>22.442492941258301</v>
      </c>
      <c r="B4265">
        <v>14.313312334752499</v>
      </c>
      <c r="C4265">
        <v>2001</v>
      </c>
    </row>
    <row r="4266" spans="1:11" x14ac:dyDescent="0.25">
      <c r="A4266">
        <v>33.675892251388298</v>
      </c>
      <c r="B4266">
        <v>25.5467116448825</v>
      </c>
      <c r="C4266">
        <v>2001</v>
      </c>
    </row>
    <row r="4267" spans="1:11" x14ac:dyDescent="0.25">
      <c r="A4267">
        <v>34.068698070160004</v>
      </c>
      <c r="B4267">
        <v>25.939517463654202</v>
      </c>
      <c r="C4267">
        <v>2001</v>
      </c>
    </row>
    <row r="4268" spans="1:11" x14ac:dyDescent="0.25">
      <c r="A4268">
        <v>33.631682045711202</v>
      </c>
      <c r="B4268">
        <v>26.376533488103</v>
      </c>
      <c r="C4268">
        <v>2000</v>
      </c>
    </row>
    <row r="4269" spans="1:11" x14ac:dyDescent="0.25">
      <c r="A4269" t="s">
        <v>84</v>
      </c>
    </row>
    <row r="4270" spans="1:11" x14ac:dyDescent="0.25">
      <c r="A4270">
        <v>944</v>
      </c>
      <c r="B4270">
        <v>0</v>
      </c>
      <c r="C4270">
        <v>0.95832425822064204</v>
      </c>
      <c r="D4270">
        <v>15.3593292698138</v>
      </c>
      <c r="E4270">
        <v>8</v>
      </c>
      <c r="F4270">
        <v>1.01722196789785</v>
      </c>
      <c r="G4270" t="s">
        <v>82</v>
      </c>
      <c r="H4270" t="s">
        <v>81</v>
      </c>
      <c r="I4270">
        <v>0</v>
      </c>
      <c r="J4270">
        <v>402</v>
      </c>
      <c r="K4270">
        <v>0.106443073044999</v>
      </c>
    </row>
    <row r="4271" spans="1:11" x14ac:dyDescent="0.25">
      <c r="A4271" t="s">
        <v>83</v>
      </c>
    </row>
    <row r="4272" spans="1:11" x14ac:dyDescent="0.25">
      <c r="A4272">
        <v>0.62114330991893296</v>
      </c>
      <c r="B4272">
        <v>98.437199073337197</v>
      </c>
      <c r="C4272">
        <v>2000</v>
      </c>
    </row>
    <row r="4273" spans="1:11" x14ac:dyDescent="0.25">
      <c r="A4273">
        <v>0</v>
      </c>
      <c r="B4273">
        <v>97.816055763418305</v>
      </c>
      <c r="C4273">
        <v>2000</v>
      </c>
    </row>
    <row r="4274" spans="1:11" x14ac:dyDescent="0.25">
      <c r="A4274">
        <v>0</v>
      </c>
      <c r="B4274">
        <v>96.942023714520602</v>
      </c>
      <c r="C4274">
        <v>2001</v>
      </c>
    </row>
    <row r="4275" spans="1:11" x14ac:dyDescent="0.25">
      <c r="A4275">
        <v>0.73413185320783503</v>
      </c>
      <c r="B4275">
        <v>97.6761555677285</v>
      </c>
      <c r="C4275">
        <v>2001</v>
      </c>
    </row>
    <row r="4276" spans="1:11" x14ac:dyDescent="0.25">
      <c r="A4276">
        <v>2.8394682732549699</v>
      </c>
      <c r="B4276">
        <v>99.781491987775595</v>
      </c>
      <c r="C4276">
        <v>2001</v>
      </c>
    </row>
    <row r="4277" spans="1:11" x14ac:dyDescent="0.25">
      <c r="A4277">
        <v>11.7568314749502</v>
      </c>
      <c r="B4277">
        <v>108.698855189471</v>
      </c>
      <c r="C4277">
        <v>2001</v>
      </c>
    </row>
    <row r="4278" spans="1:11" x14ac:dyDescent="0.25">
      <c r="A4278">
        <v>11.3198154505014</v>
      </c>
      <c r="B4278">
        <v>109.13587121392</v>
      </c>
      <c r="C4278">
        <v>2000</v>
      </c>
    </row>
    <row r="4279" spans="1:11" x14ac:dyDescent="0.25">
      <c r="A4279">
        <v>2.4024522488061502</v>
      </c>
      <c r="B4279">
        <v>100.21850801222401</v>
      </c>
      <c r="C4279">
        <v>2000</v>
      </c>
    </row>
    <row r="4280" spans="1:11" x14ac:dyDescent="0.25">
      <c r="A4280" t="s">
        <v>84</v>
      </c>
    </row>
    <row r="4281" spans="1:11" x14ac:dyDescent="0.25">
      <c r="A4281">
        <v>817</v>
      </c>
      <c r="B4281">
        <v>0</v>
      </c>
      <c r="C4281">
        <v>11.341428612313599</v>
      </c>
      <c r="D4281">
        <v>4.8185138887578001</v>
      </c>
      <c r="E4281">
        <v>6</v>
      </c>
      <c r="F4281">
        <v>1.01722196789785</v>
      </c>
      <c r="G4281" t="s">
        <v>82</v>
      </c>
      <c r="H4281" t="s">
        <v>81</v>
      </c>
      <c r="I4281">
        <v>0</v>
      </c>
      <c r="J4281">
        <v>196</v>
      </c>
      <c r="K4281">
        <v>0.102777870221907</v>
      </c>
    </row>
    <row r="4282" spans="1:11" x14ac:dyDescent="0.25">
      <c r="A4282" t="s">
        <v>83</v>
      </c>
    </row>
    <row r="4283" spans="1:11" x14ac:dyDescent="0.25">
      <c r="A4283">
        <v>78.308780515883001</v>
      </c>
      <c r="B4283">
        <v>7.8662470058801199</v>
      </c>
      <c r="C4283">
        <v>2000</v>
      </c>
    </row>
    <row r="4284" spans="1:11" x14ac:dyDescent="0.25">
      <c r="A4284">
        <v>70.442533510002903</v>
      </c>
      <c r="B4284">
        <v>0</v>
      </c>
      <c r="C4284">
        <v>2000</v>
      </c>
    </row>
    <row r="4285" spans="1:11" x14ac:dyDescent="0.25">
      <c r="A4285">
        <v>69.568501461105299</v>
      </c>
      <c r="B4285">
        <v>0</v>
      </c>
      <c r="C4285">
        <v>2001</v>
      </c>
    </row>
    <row r="4286" spans="1:11" x14ac:dyDescent="0.25">
      <c r="A4286">
        <v>77.741456615445401</v>
      </c>
      <c r="B4286">
        <v>8.1729551543400998</v>
      </c>
      <c r="C4286">
        <v>2001</v>
      </c>
    </row>
    <row r="4287" spans="1:11" x14ac:dyDescent="0.25">
      <c r="A4287">
        <v>81.213814399422006</v>
      </c>
      <c r="B4287">
        <v>11.6453129383167</v>
      </c>
      <c r="C4287">
        <v>2001</v>
      </c>
    </row>
    <row r="4288" spans="1:11" x14ac:dyDescent="0.25">
      <c r="A4288">
        <v>81.650830423870801</v>
      </c>
      <c r="B4288">
        <v>11.208296913867899</v>
      </c>
      <c r="C4288">
        <v>2000</v>
      </c>
    </row>
    <row r="4289" spans="1:11" x14ac:dyDescent="0.25">
      <c r="A4289" t="s">
        <v>84</v>
      </c>
    </row>
    <row r="4290" spans="1:11" x14ac:dyDescent="0.25">
      <c r="A4290">
        <v>858</v>
      </c>
      <c r="B4290">
        <v>0</v>
      </c>
      <c r="C4290">
        <v>16.0019581732085</v>
      </c>
      <c r="D4290">
        <v>6.9139863526338302E-2</v>
      </c>
      <c r="E4290">
        <v>6</v>
      </c>
      <c r="F4290">
        <v>1.01722196789785</v>
      </c>
      <c r="G4290" t="s">
        <v>82</v>
      </c>
      <c r="H4290" t="s">
        <v>81</v>
      </c>
      <c r="I4290">
        <v>0</v>
      </c>
      <c r="J4290">
        <v>17</v>
      </c>
      <c r="K4290">
        <v>0.103818452298958</v>
      </c>
    </row>
    <row r="4291" spans="1:11" x14ac:dyDescent="0.25">
      <c r="A4291" t="s">
        <v>83</v>
      </c>
    </row>
    <row r="4292" spans="1:11" x14ac:dyDescent="0.25">
      <c r="A4292">
        <v>11.097525172973</v>
      </c>
      <c r="B4292">
        <v>26.702611322428002</v>
      </c>
      <c r="C4292">
        <v>2000</v>
      </c>
    </row>
    <row r="4293" spans="1:11" x14ac:dyDescent="0.25">
      <c r="A4293">
        <v>0</v>
      </c>
      <c r="B4293">
        <v>15.605086149455</v>
      </c>
      <c r="C4293">
        <v>2000</v>
      </c>
    </row>
    <row r="4294" spans="1:11" x14ac:dyDescent="0.25">
      <c r="A4294">
        <v>0</v>
      </c>
      <c r="B4294">
        <v>14.731054100557399</v>
      </c>
      <c r="C4294">
        <v>2001</v>
      </c>
    </row>
    <row r="4295" spans="1:11" x14ac:dyDescent="0.25">
      <c r="A4295">
        <v>11.5326611001055</v>
      </c>
      <c r="B4295">
        <v>26.263715200662901</v>
      </c>
      <c r="C4295">
        <v>2001</v>
      </c>
    </row>
    <row r="4296" spans="1:11" x14ac:dyDescent="0.25">
      <c r="A4296">
        <v>11.582490415113501</v>
      </c>
      <c r="B4296">
        <v>26.313544515670799</v>
      </c>
      <c r="C4296">
        <v>2001</v>
      </c>
    </row>
    <row r="4297" spans="1:11" x14ac:dyDescent="0.25">
      <c r="A4297">
        <v>11.145474390664599</v>
      </c>
      <c r="B4297">
        <v>26.750560540119601</v>
      </c>
      <c r="C4297">
        <v>2000</v>
      </c>
    </row>
    <row r="4298" spans="1:11" x14ac:dyDescent="0.25">
      <c r="A4298" t="s">
        <v>84</v>
      </c>
    </row>
    <row r="4299" spans="1:11" x14ac:dyDescent="0.25">
      <c r="A4299">
        <v>788</v>
      </c>
      <c r="B4299">
        <v>0</v>
      </c>
      <c r="C4299">
        <v>13.7456909558909</v>
      </c>
      <c r="D4299">
        <v>2.2285480373706998</v>
      </c>
      <c r="E4299">
        <v>6</v>
      </c>
      <c r="F4299">
        <v>1.01722196789785</v>
      </c>
      <c r="G4299" t="s">
        <v>81</v>
      </c>
      <c r="H4299" t="s">
        <v>81</v>
      </c>
      <c r="I4299">
        <v>433</v>
      </c>
      <c r="J4299">
        <v>819</v>
      </c>
      <c r="K4299">
        <v>0.101113411737407</v>
      </c>
    </row>
    <row r="4300" spans="1:11" x14ac:dyDescent="0.25">
      <c r="A4300" t="s">
        <v>83</v>
      </c>
    </row>
    <row r="4301" spans="1:11" x14ac:dyDescent="0.25">
      <c r="A4301">
        <v>40.102472730033099</v>
      </c>
      <c r="B4301">
        <v>145.907868470018</v>
      </c>
      <c r="C4301">
        <v>2000</v>
      </c>
    </row>
    <row r="4302" spans="1:11" x14ac:dyDescent="0.25">
      <c r="A4302">
        <v>30.3828014430281</v>
      </c>
      <c r="B4302">
        <v>136.18819718301299</v>
      </c>
      <c r="C4302">
        <v>2000</v>
      </c>
    </row>
    <row r="4303" spans="1:11" x14ac:dyDescent="0.25">
      <c r="A4303">
        <v>30.819817467476899</v>
      </c>
      <c r="B4303">
        <v>135.75118115856401</v>
      </c>
      <c r="C4303">
        <v>2001</v>
      </c>
    </row>
    <row r="4304" spans="1:11" x14ac:dyDescent="0.25">
      <c r="A4304">
        <v>40.539488754482001</v>
      </c>
      <c r="B4304">
        <v>145.47085244556899</v>
      </c>
      <c r="C4304">
        <v>2001</v>
      </c>
    </row>
    <row r="4305" spans="1:11" x14ac:dyDescent="0.25">
      <c r="A4305">
        <v>42.115310183906701</v>
      </c>
      <c r="B4305">
        <v>147.04667387499401</v>
      </c>
      <c r="C4305">
        <v>2001</v>
      </c>
    </row>
    <row r="4306" spans="1:11" x14ac:dyDescent="0.25">
      <c r="A4306">
        <v>41.678294159457899</v>
      </c>
      <c r="B4306">
        <v>147.48368989944299</v>
      </c>
      <c r="C4306">
        <v>2000</v>
      </c>
    </row>
    <row r="4307" spans="1:11" x14ac:dyDescent="0.25">
      <c r="A4307" t="s">
        <v>84</v>
      </c>
    </row>
    <row r="4308" spans="1:11" x14ac:dyDescent="0.25">
      <c r="A4308">
        <v>826</v>
      </c>
      <c r="B4308">
        <v>0</v>
      </c>
      <c r="C4308">
        <v>13.074255244207</v>
      </c>
      <c r="D4308">
        <v>2.8500396805702799</v>
      </c>
      <c r="E4308">
        <v>10</v>
      </c>
      <c r="F4308">
        <v>1.01722196789785</v>
      </c>
      <c r="G4308" t="s">
        <v>81</v>
      </c>
      <c r="H4308" t="s">
        <v>81</v>
      </c>
      <c r="I4308">
        <v>197</v>
      </c>
      <c r="J4308">
        <v>778</v>
      </c>
      <c r="K4308">
        <v>0.10299214925957</v>
      </c>
    </row>
    <row r="4309" spans="1:11" x14ac:dyDescent="0.25">
      <c r="A4309" t="s">
        <v>83</v>
      </c>
    </row>
    <row r="4310" spans="1:11" x14ac:dyDescent="0.25">
      <c r="A4310">
        <v>105.83670087989699</v>
      </c>
      <c r="B4310">
        <v>49.121636691089698</v>
      </c>
      <c r="C4310">
        <v>2000</v>
      </c>
    </row>
    <row r="4311" spans="1:11" x14ac:dyDescent="0.25">
      <c r="A4311">
        <v>99.781491987775595</v>
      </c>
      <c r="B4311">
        <v>43.066427798968199</v>
      </c>
      <c r="C4311">
        <v>2000</v>
      </c>
    </row>
    <row r="4312" spans="1:11" x14ac:dyDescent="0.25">
      <c r="A4312">
        <v>96.591806337754605</v>
      </c>
      <c r="B4312">
        <v>39.876742148947201</v>
      </c>
      <c r="C4312">
        <v>2000</v>
      </c>
    </row>
    <row r="4313" spans="1:11" x14ac:dyDescent="0.25">
      <c r="A4313">
        <v>97.0288223622034</v>
      </c>
      <c r="B4313">
        <v>39.4397261244983</v>
      </c>
      <c r="C4313">
        <v>2001</v>
      </c>
    </row>
    <row r="4314" spans="1:11" x14ac:dyDescent="0.25">
      <c r="A4314">
        <v>100.21850801222401</v>
      </c>
      <c r="B4314">
        <v>42.629411774519397</v>
      </c>
      <c r="C4314">
        <v>2001</v>
      </c>
    </row>
    <row r="4315" spans="1:11" x14ac:dyDescent="0.25">
      <c r="A4315">
        <v>106.273716904346</v>
      </c>
      <c r="B4315">
        <v>48.684620666640903</v>
      </c>
      <c r="C4315">
        <v>2001</v>
      </c>
    </row>
    <row r="4316" spans="1:11" x14ac:dyDescent="0.25">
      <c r="A4316">
        <v>107.370588225481</v>
      </c>
      <c r="B4316">
        <v>49.781491987775603</v>
      </c>
      <c r="C4316">
        <v>2001</v>
      </c>
    </row>
    <row r="4317" spans="1:11" x14ac:dyDescent="0.25">
      <c r="A4317">
        <v>108.288999289128</v>
      </c>
      <c r="B4317">
        <v>50.699903051422901</v>
      </c>
      <c r="C4317">
        <v>2001</v>
      </c>
    </row>
    <row r="4318" spans="1:11" x14ac:dyDescent="0.25">
      <c r="A4318">
        <v>107.85198326467901</v>
      </c>
      <c r="B4318">
        <v>51.136919075871702</v>
      </c>
      <c r="C4318">
        <v>2000</v>
      </c>
    </row>
    <row r="4319" spans="1:11" x14ac:dyDescent="0.25">
      <c r="A4319">
        <v>106.93357220103201</v>
      </c>
      <c r="B4319">
        <v>50.218508012224397</v>
      </c>
      <c r="C4319">
        <v>2000</v>
      </c>
    </row>
    <row r="4320" spans="1:11" x14ac:dyDescent="0.25">
      <c r="A4320" t="s">
        <v>84</v>
      </c>
    </row>
    <row r="4321" spans="1:11" x14ac:dyDescent="0.25">
      <c r="A4321">
        <v>503</v>
      </c>
      <c r="B4321">
        <v>0</v>
      </c>
      <c r="C4321">
        <v>0.838594293061107</v>
      </c>
      <c r="D4321">
        <v>15.057112888738301</v>
      </c>
      <c r="E4321">
        <v>6</v>
      </c>
      <c r="F4321">
        <v>1.01722196789785</v>
      </c>
      <c r="G4321" t="s">
        <v>81</v>
      </c>
      <c r="H4321" t="s">
        <v>82</v>
      </c>
      <c r="I4321">
        <v>517</v>
      </c>
      <c r="J4321">
        <v>0</v>
      </c>
      <c r="K4321">
        <v>0</v>
      </c>
    </row>
    <row r="4322" spans="1:11" x14ac:dyDescent="0.25">
      <c r="A4322" t="s">
        <v>83</v>
      </c>
    </row>
    <row r="4323" spans="1:11" x14ac:dyDescent="0.25">
      <c r="A4323">
        <v>139.14603297276699</v>
      </c>
      <c r="B4323">
        <v>33.667535150232297</v>
      </c>
      <c r="C4323">
        <v>2000</v>
      </c>
    </row>
    <row r="4324" spans="1:11" x14ac:dyDescent="0.25">
      <c r="A4324">
        <v>138.54152964777001</v>
      </c>
      <c r="B4324">
        <v>33.063031825234397</v>
      </c>
      <c r="C4324">
        <v>2000</v>
      </c>
    </row>
    <row r="4325" spans="1:11" x14ac:dyDescent="0.25">
      <c r="A4325">
        <v>138.97854567221799</v>
      </c>
      <c r="B4325">
        <v>32.626015800785602</v>
      </c>
      <c r="C4325">
        <v>2001</v>
      </c>
    </row>
    <row r="4326" spans="1:11" x14ac:dyDescent="0.25">
      <c r="A4326">
        <v>139.55999376979599</v>
      </c>
      <c r="B4326">
        <v>33.2074638983634</v>
      </c>
      <c r="C4326">
        <v>2001</v>
      </c>
    </row>
    <row r="4327" spans="1:11" x14ac:dyDescent="0.25">
      <c r="A4327">
        <v>150</v>
      </c>
      <c r="B4327">
        <v>43.6474701285672</v>
      </c>
      <c r="C4327">
        <v>2001</v>
      </c>
    </row>
    <row r="4328" spans="1:11" x14ac:dyDescent="0.25">
      <c r="A4328">
        <v>150</v>
      </c>
      <c r="B4328">
        <v>44.521502177464903</v>
      </c>
      <c r="C4328">
        <v>2000</v>
      </c>
    </row>
    <row r="4329" spans="1:11" x14ac:dyDescent="0.25">
      <c r="A4329" t="s">
        <v>84</v>
      </c>
    </row>
    <row r="4330" spans="1:11" x14ac:dyDescent="0.25">
      <c r="A4330">
        <v>512</v>
      </c>
      <c r="B4330">
        <v>0</v>
      </c>
      <c r="C4330">
        <v>3.51519053258485</v>
      </c>
      <c r="D4330">
        <v>12.281464381603699</v>
      </c>
      <c r="E4330">
        <v>6</v>
      </c>
      <c r="F4330">
        <v>1.01722196789785</v>
      </c>
      <c r="G4330" t="s">
        <v>81</v>
      </c>
      <c r="H4330" t="s">
        <v>82</v>
      </c>
      <c r="I4330">
        <v>496</v>
      </c>
      <c r="J4330">
        <v>0</v>
      </c>
      <c r="K4330">
        <v>0</v>
      </c>
    </row>
    <row r="4331" spans="1:11" x14ac:dyDescent="0.25">
      <c r="A4331" t="s">
        <v>83</v>
      </c>
    </row>
    <row r="4332" spans="1:11" x14ac:dyDescent="0.25">
      <c r="A4332">
        <v>141.14580928795101</v>
      </c>
      <c r="B4332">
        <v>5.3981778723349398</v>
      </c>
      <c r="C4332">
        <v>2000</v>
      </c>
    </row>
    <row r="4333" spans="1:11" x14ac:dyDescent="0.25">
      <c r="A4333">
        <v>138.61157017788901</v>
      </c>
      <c r="B4333">
        <v>2.8639387622728298</v>
      </c>
      <c r="C4333">
        <v>2000</v>
      </c>
    </row>
    <row r="4334" spans="1:11" x14ac:dyDescent="0.25">
      <c r="A4334">
        <v>139.04858620233799</v>
      </c>
      <c r="B4334">
        <v>2.4269227378240101</v>
      </c>
      <c r="C4334">
        <v>2001</v>
      </c>
    </row>
    <row r="4335" spans="1:11" x14ac:dyDescent="0.25">
      <c r="A4335">
        <v>141.485577217783</v>
      </c>
      <c r="B4335">
        <v>4.8639137532689096</v>
      </c>
      <c r="C4335">
        <v>2001</v>
      </c>
    </row>
    <row r="4336" spans="1:11" x14ac:dyDescent="0.25">
      <c r="A4336">
        <v>150</v>
      </c>
      <c r="B4336">
        <v>13.378336535486101</v>
      </c>
      <c r="C4336">
        <v>2001</v>
      </c>
    </row>
    <row r="4337" spans="1:11" x14ac:dyDescent="0.25">
      <c r="A4337">
        <v>150</v>
      </c>
      <c r="B4337">
        <v>14.252368584383801</v>
      </c>
      <c r="C4337">
        <v>2000</v>
      </c>
    </row>
    <row r="4338" spans="1:11" x14ac:dyDescent="0.25">
      <c r="A4338" t="s">
        <v>84</v>
      </c>
    </row>
    <row r="4339" spans="1:11" x14ac:dyDescent="0.25">
      <c r="A4339">
        <v>843</v>
      </c>
      <c r="B4339">
        <v>0</v>
      </c>
      <c r="C4339">
        <v>10.9630716253193</v>
      </c>
      <c r="D4339">
        <v>4.7310283707252596</v>
      </c>
      <c r="E4339">
        <v>6</v>
      </c>
      <c r="F4339">
        <v>1.01722196789785</v>
      </c>
      <c r="G4339" t="s">
        <v>81</v>
      </c>
      <c r="H4339" t="s">
        <v>81</v>
      </c>
      <c r="I4339">
        <v>773</v>
      </c>
      <c r="J4339">
        <v>749</v>
      </c>
      <c r="K4339">
        <v>0.10341204281958701</v>
      </c>
    </row>
    <row r="4340" spans="1:11" x14ac:dyDescent="0.25">
      <c r="A4340" t="s">
        <v>83</v>
      </c>
    </row>
    <row r="4341" spans="1:11" x14ac:dyDescent="0.25">
      <c r="A4341">
        <v>27.1283000098252</v>
      </c>
      <c r="B4341">
        <v>33.540849011173101</v>
      </c>
      <c r="C4341">
        <v>2000</v>
      </c>
    </row>
    <row r="4342" spans="1:11" x14ac:dyDescent="0.25">
      <c r="A4342">
        <v>19.376237720928099</v>
      </c>
      <c r="B4342">
        <v>25.788786722276001</v>
      </c>
      <c r="C4342">
        <v>2000</v>
      </c>
    </row>
    <row r="4343" spans="1:11" x14ac:dyDescent="0.25">
      <c r="A4343">
        <v>19.813253745376901</v>
      </c>
      <c r="B4343">
        <v>25.351770697827199</v>
      </c>
      <c r="C4343">
        <v>2001</v>
      </c>
    </row>
    <row r="4344" spans="1:11" x14ac:dyDescent="0.25">
      <c r="A4344">
        <v>27.565316034274002</v>
      </c>
      <c r="B4344">
        <v>33.103832986724299</v>
      </c>
      <c r="C4344">
        <v>2001</v>
      </c>
    </row>
    <row r="4345" spans="1:11" x14ac:dyDescent="0.25">
      <c r="A4345">
        <v>30.910658277199801</v>
      </c>
      <c r="B4345">
        <v>36.449175229650102</v>
      </c>
      <c r="C4345">
        <v>2001</v>
      </c>
    </row>
    <row r="4346" spans="1:11" x14ac:dyDescent="0.25">
      <c r="A4346">
        <v>30.473642252750999</v>
      </c>
      <c r="B4346">
        <v>36.886191254098897</v>
      </c>
      <c r="C4346">
        <v>2000</v>
      </c>
    </row>
    <row r="4347" spans="1:11" x14ac:dyDescent="0.25">
      <c r="A4347" t="s">
        <v>84</v>
      </c>
    </row>
    <row r="4348" spans="1:11" x14ac:dyDescent="0.25">
      <c r="A4348">
        <v>948</v>
      </c>
      <c r="B4348">
        <v>0</v>
      </c>
      <c r="C4348">
        <v>4.4868319766337699</v>
      </c>
      <c r="D4348">
        <v>11.197560389261101</v>
      </c>
      <c r="E4348">
        <v>6</v>
      </c>
      <c r="F4348">
        <v>1.01722196789785</v>
      </c>
      <c r="G4348" t="s">
        <v>82</v>
      </c>
      <c r="H4348" t="s">
        <v>81</v>
      </c>
      <c r="I4348">
        <v>0</v>
      </c>
      <c r="J4348">
        <v>24</v>
      </c>
      <c r="K4348">
        <v>0.106595525797685</v>
      </c>
    </row>
    <row r="4349" spans="1:11" x14ac:dyDescent="0.25">
      <c r="A4349" t="s">
        <v>83</v>
      </c>
    </row>
    <row r="4350" spans="1:11" x14ac:dyDescent="0.25">
      <c r="A4350">
        <v>3.2351778738617099</v>
      </c>
      <c r="B4350">
        <v>13.6183511823843</v>
      </c>
      <c r="C4350">
        <v>2000</v>
      </c>
    </row>
    <row r="4351" spans="1:11" x14ac:dyDescent="0.25">
      <c r="A4351">
        <v>0</v>
      </c>
      <c r="B4351">
        <v>10.383173308522601</v>
      </c>
      <c r="C4351">
        <v>2000</v>
      </c>
    </row>
    <row r="4352" spans="1:11" x14ac:dyDescent="0.25">
      <c r="A4352">
        <v>0</v>
      </c>
      <c r="B4352">
        <v>11.2572053574203</v>
      </c>
      <c r="C4352">
        <v>2001</v>
      </c>
    </row>
    <row r="4353" spans="1:11" x14ac:dyDescent="0.25">
      <c r="A4353">
        <v>3.1101607595830498</v>
      </c>
      <c r="B4353">
        <v>14.3673661170033</v>
      </c>
      <c r="C4353">
        <v>2001</v>
      </c>
    </row>
    <row r="4354" spans="1:11" x14ac:dyDescent="0.25">
      <c r="A4354">
        <v>10.8720321884903</v>
      </c>
      <c r="B4354">
        <v>22.129237545910598</v>
      </c>
      <c r="C4354">
        <v>2001</v>
      </c>
    </row>
    <row r="4355" spans="1:11" x14ac:dyDescent="0.25">
      <c r="A4355">
        <v>11.309048212939199</v>
      </c>
      <c r="B4355">
        <v>21.6922215214618</v>
      </c>
      <c r="C4355">
        <v>2000</v>
      </c>
    </row>
    <row r="4356" spans="1:11" x14ac:dyDescent="0.25">
      <c r="A4356" t="s">
        <v>84</v>
      </c>
    </row>
    <row r="4357" spans="1:11" x14ac:dyDescent="0.25">
      <c r="A4357">
        <v>1019</v>
      </c>
      <c r="B4357">
        <v>0</v>
      </c>
      <c r="C4357">
        <v>3.43434681849382</v>
      </c>
      <c r="D4357">
        <v>12.1269052367428</v>
      </c>
      <c r="E4357">
        <v>6</v>
      </c>
      <c r="F4357">
        <v>1.01722196789785</v>
      </c>
      <c r="G4357" t="s">
        <v>81</v>
      </c>
      <c r="H4357" t="s">
        <v>82</v>
      </c>
      <c r="I4357">
        <v>563</v>
      </c>
      <c r="J4357">
        <v>0</v>
      </c>
      <c r="K4357">
        <v>0.111346599392133</v>
      </c>
    </row>
    <row r="4358" spans="1:11" x14ac:dyDescent="0.25">
      <c r="A4358" t="s">
        <v>83</v>
      </c>
    </row>
    <row r="4359" spans="1:11" x14ac:dyDescent="0.25">
      <c r="A4359">
        <v>141.25469947632601</v>
      </c>
      <c r="B4359">
        <v>56.272385180723703</v>
      </c>
      <c r="C4359">
        <v>2000</v>
      </c>
    </row>
    <row r="4360" spans="1:11" x14ac:dyDescent="0.25">
      <c r="A4360">
        <v>138.77802513576501</v>
      </c>
      <c r="B4360">
        <v>53.795710840162897</v>
      </c>
      <c r="C4360">
        <v>2000</v>
      </c>
    </row>
    <row r="4361" spans="1:11" x14ac:dyDescent="0.25">
      <c r="A4361">
        <v>139.21504116021401</v>
      </c>
      <c r="B4361">
        <v>53.358694815714003</v>
      </c>
      <c r="C4361">
        <v>2001</v>
      </c>
    </row>
    <row r="4362" spans="1:11" x14ac:dyDescent="0.25">
      <c r="A4362">
        <v>141.59526666826</v>
      </c>
      <c r="B4362">
        <v>55.738920323759999</v>
      </c>
      <c r="C4362">
        <v>2001</v>
      </c>
    </row>
    <row r="4363" spans="1:11" x14ac:dyDescent="0.25">
      <c r="A4363">
        <v>150</v>
      </c>
      <c r="B4363">
        <v>64.143653655500501</v>
      </c>
      <c r="C4363">
        <v>2001</v>
      </c>
    </row>
    <row r="4364" spans="1:11" x14ac:dyDescent="0.25">
      <c r="A4364">
        <v>150</v>
      </c>
      <c r="B4364">
        <v>65.017685704398204</v>
      </c>
      <c r="C4364">
        <v>2000</v>
      </c>
    </row>
    <row r="4365" spans="1:11" x14ac:dyDescent="0.25">
      <c r="A4365" t="s">
        <v>84</v>
      </c>
    </row>
    <row r="4366" spans="1:11" x14ac:dyDescent="0.25">
      <c r="A4366">
        <v>1040</v>
      </c>
      <c r="B4366">
        <v>0</v>
      </c>
      <c r="C4366">
        <v>13.585145464920901</v>
      </c>
      <c r="D4366">
        <v>1.74764614049731</v>
      </c>
      <c r="E4366">
        <v>6</v>
      </c>
      <c r="F4366">
        <v>1.01722196789785</v>
      </c>
      <c r="G4366" t="s">
        <v>82</v>
      </c>
      <c r="H4366" t="s">
        <v>81</v>
      </c>
      <c r="I4366">
        <v>0</v>
      </c>
      <c r="J4366">
        <v>15</v>
      </c>
      <c r="K4366">
        <v>0.112948164971977</v>
      </c>
    </row>
    <row r="4367" spans="1:11" x14ac:dyDescent="0.25">
      <c r="A4367" t="s">
        <v>83</v>
      </c>
    </row>
    <row r="4368" spans="1:11" x14ac:dyDescent="0.25">
      <c r="A4368">
        <v>48.301742225005697</v>
      </c>
      <c r="B4368">
        <v>9.7997507432427202</v>
      </c>
      <c r="C4368">
        <v>2000</v>
      </c>
    </row>
    <row r="4369" spans="1:11" x14ac:dyDescent="0.25">
      <c r="A4369">
        <v>38.5019914817629</v>
      </c>
      <c r="B4369">
        <v>0</v>
      </c>
      <c r="C4369">
        <v>2000</v>
      </c>
    </row>
    <row r="4370" spans="1:11" x14ac:dyDescent="0.25">
      <c r="A4370">
        <v>39.376023530660603</v>
      </c>
      <c r="B4370">
        <v>0</v>
      </c>
      <c r="C4370">
        <v>2001</v>
      </c>
    </row>
    <row r="4371" spans="1:11" x14ac:dyDescent="0.25">
      <c r="A4371">
        <v>48.788569750720399</v>
      </c>
      <c r="B4371">
        <v>9.4125462200598307</v>
      </c>
      <c r="C4371">
        <v>2001</v>
      </c>
    </row>
    <row r="4372" spans="1:11" x14ac:dyDescent="0.25">
      <c r="A4372">
        <v>49.999436437147601</v>
      </c>
      <c r="B4372">
        <v>10.623412906486999</v>
      </c>
      <c r="C4372">
        <v>2001</v>
      </c>
    </row>
    <row r="4373" spans="1:11" x14ac:dyDescent="0.25">
      <c r="A4373">
        <v>49.562420412698799</v>
      </c>
      <c r="B4373">
        <v>11.060428930935799</v>
      </c>
      <c r="C4373">
        <v>2000</v>
      </c>
    </row>
    <row r="4374" spans="1:11" x14ac:dyDescent="0.25">
      <c r="A4374" t="s">
        <v>84</v>
      </c>
    </row>
    <row r="4375" spans="1:11" x14ac:dyDescent="0.25">
      <c r="A4375">
        <v>849</v>
      </c>
      <c r="B4375">
        <v>0</v>
      </c>
      <c r="C4375">
        <v>2.5340033786126002</v>
      </c>
      <c r="D4375">
        <v>12.749463975503399</v>
      </c>
      <c r="E4375">
        <v>8</v>
      </c>
      <c r="F4375">
        <v>1.01722196789785</v>
      </c>
      <c r="G4375" t="s">
        <v>81</v>
      </c>
      <c r="H4375" t="s">
        <v>81</v>
      </c>
      <c r="I4375">
        <v>833</v>
      </c>
      <c r="J4375">
        <v>328</v>
      </c>
      <c r="K4375">
        <v>0.10361701455149699</v>
      </c>
    </row>
    <row r="4376" spans="1:11" x14ac:dyDescent="0.25">
      <c r="A4376" t="s">
        <v>83</v>
      </c>
    </row>
    <row r="4377" spans="1:11" x14ac:dyDescent="0.25">
      <c r="A4377">
        <v>81.623857805334694</v>
      </c>
      <c r="B4377">
        <v>98.839244086681703</v>
      </c>
      <c r="C4377">
        <v>2000</v>
      </c>
    </row>
    <row r="4378" spans="1:11" x14ac:dyDescent="0.25">
      <c r="A4378">
        <v>79.8320468327681</v>
      </c>
      <c r="B4378">
        <v>97.047433114115094</v>
      </c>
      <c r="C4378">
        <v>2000</v>
      </c>
    </row>
    <row r="4379" spans="1:11" x14ac:dyDescent="0.25">
      <c r="A4379">
        <v>80.269062857216895</v>
      </c>
      <c r="B4379">
        <v>96.610417089666299</v>
      </c>
      <c r="C4379">
        <v>2001</v>
      </c>
    </row>
    <row r="4380" spans="1:11" x14ac:dyDescent="0.25">
      <c r="A4380">
        <v>82.060873829783503</v>
      </c>
      <c r="B4380">
        <v>98.402228062232894</v>
      </c>
      <c r="C4380">
        <v>2001</v>
      </c>
    </row>
    <row r="4381" spans="1:11" x14ac:dyDescent="0.25">
      <c r="A4381">
        <v>83.440137755326205</v>
      </c>
      <c r="B4381">
        <v>99.781491987775595</v>
      </c>
      <c r="C4381">
        <v>2001</v>
      </c>
    </row>
    <row r="4382" spans="1:11" x14ac:dyDescent="0.25">
      <c r="A4382">
        <v>91.076106263355598</v>
      </c>
      <c r="B4382">
        <v>107.417460495805</v>
      </c>
      <c r="C4382">
        <v>2001</v>
      </c>
    </row>
    <row r="4383" spans="1:11" x14ac:dyDescent="0.25">
      <c r="A4383">
        <v>90.639090238906803</v>
      </c>
      <c r="B4383">
        <v>107.854476520254</v>
      </c>
      <c r="C4383">
        <v>2000</v>
      </c>
    </row>
    <row r="4384" spans="1:11" x14ac:dyDescent="0.25">
      <c r="A4384">
        <v>83.003121730877396</v>
      </c>
      <c r="B4384">
        <v>100.21850801222401</v>
      </c>
      <c r="C4384">
        <v>2000</v>
      </c>
    </row>
    <row r="4385" spans="1:11" x14ac:dyDescent="0.25">
      <c r="A4385" t="s">
        <v>84</v>
      </c>
    </row>
    <row r="4386" spans="1:11" x14ac:dyDescent="0.25">
      <c r="A4386">
        <v>956</v>
      </c>
      <c r="B4386">
        <v>0</v>
      </c>
      <c r="C4386">
        <v>1.2128376836764501</v>
      </c>
      <c r="D4386">
        <v>13.925643202899501</v>
      </c>
      <c r="E4386">
        <v>6</v>
      </c>
      <c r="F4386">
        <v>1.01722196789785</v>
      </c>
      <c r="G4386" t="s">
        <v>82</v>
      </c>
      <c r="H4386" t="s">
        <v>82</v>
      </c>
      <c r="I4386">
        <v>0</v>
      </c>
      <c r="J4386">
        <v>0</v>
      </c>
      <c r="K4386">
        <v>0.106893551284177</v>
      </c>
    </row>
    <row r="4387" spans="1:11" x14ac:dyDescent="0.25">
      <c r="A4387" t="s">
        <v>83</v>
      </c>
    </row>
    <row r="4388" spans="1:11" x14ac:dyDescent="0.25">
      <c r="A4388">
        <v>140.555087216575</v>
      </c>
      <c r="B4388">
        <v>0.82259368388740906</v>
      </c>
      <c r="C4388">
        <v>2000</v>
      </c>
    </row>
    <row r="4389" spans="1:11" x14ac:dyDescent="0.25">
      <c r="A4389">
        <v>139.73249353268801</v>
      </c>
      <c r="B4389">
        <v>0</v>
      </c>
      <c r="C4389">
        <v>2000</v>
      </c>
    </row>
    <row r="4390" spans="1:11" x14ac:dyDescent="0.25">
      <c r="A4390">
        <v>138.85846148378999</v>
      </c>
      <c r="B4390">
        <v>0</v>
      </c>
      <c r="C4390">
        <v>2001</v>
      </c>
    </row>
    <row r="4391" spans="1:11" x14ac:dyDescent="0.25">
      <c r="A4391">
        <v>139.751079301115</v>
      </c>
      <c r="B4391">
        <v>0.89261781732500101</v>
      </c>
      <c r="C4391">
        <v>2001</v>
      </c>
    </row>
    <row r="4392" spans="1:11" x14ac:dyDescent="0.25">
      <c r="A4392">
        <v>150</v>
      </c>
      <c r="B4392">
        <v>11.1415385162096</v>
      </c>
      <c r="C4392">
        <v>2001</v>
      </c>
    </row>
    <row r="4393" spans="1:11" x14ac:dyDescent="0.25">
      <c r="A4393">
        <v>150</v>
      </c>
      <c r="B4393">
        <v>10.267506467312</v>
      </c>
      <c r="C4393">
        <v>2000</v>
      </c>
    </row>
    <row r="4394" spans="1:11" x14ac:dyDescent="0.25">
      <c r="A4394" t="s">
        <v>84</v>
      </c>
    </row>
    <row r="4395" spans="1:11" x14ac:dyDescent="0.25">
      <c r="A4395">
        <v>756</v>
      </c>
      <c r="B4395">
        <v>0</v>
      </c>
      <c r="C4395">
        <v>14.511390587808499</v>
      </c>
      <c r="D4395">
        <v>0.50329570193834905</v>
      </c>
      <c r="E4395">
        <v>8</v>
      </c>
      <c r="F4395">
        <v>1.01722196789785</v>
      </c>
      <c r="G4395" t="s">
        <v>81</v>
      </c>
      <c r="H4395" t="s">
        <v>81</v>
      </c>
      <c r="I4395">
        <v>15</v>
      </c>
      <c r="J4395">
        <v>936</v>
      </c>
      <c r="K4395">
        <v>0.101113411737407</v>
      </c>
    </row>
    <row r="4396" spans="1:11" x14ac:dyDescent="0.25">
      <c r="A4396" t="s">
        <v>83</v>
      </c>
    </row>
    <row r="4397" spans="1:11" x14ac:dyDescent="0.25">
      <c r="A4397">
        <v>59.465007717476503</v>
      </c>
      <c r="B4397">
        <v>21.680047004330198</v>
      </c>
      <c r="C4397">
        <v>2000</v>
      </c>
    </row>
    <row r="4398" spans="1:11" x14ac:dyDescent="0.25">
      <c r="A4398">
        <v>49.781491987775603</v>
      </c>
      <c r="B4398">
        <v>11.9965312746293</v>
      </c>
      <c r="C4398">
        <v>2000</v>
      </c>
    </row>
    <row r="4399" spans="1:11" x14ac:dyDescent="0.25">
      <c r="A4399">
        <v>49.203905028390501</v>
      </c>
      <c r="B4399">
        <v>11.418944315244101</v>
      </c>
      <c r="C4399">
        <v>2000</v>
      </c>
    </row>
    <row r="4400" spans="1:11" x14ac:dyDescent="0.25">
      <c r="A4400">
        <v>49.640921052839303</v>
      </c>
      <c r="B4400">
        <v>10.981928290795301</v>
      </c>
      <c r="C4400">
        <v>2001</v>
      </c>
    </row>
    <row r="4401" spans="1:11" x14ac:dyDescent="0.25">
      <c r="A4401">
        <v>50.218508012224397</v>
      </c>
      <c r="B4401">
        <v>11.5595152501805</v>
      </c>
      <c r="C4401">
        <v>2001</v>
      </c>
    </row>
    <row r="4402" spans="1:11" x14ac:dyDescent="0.25">
      <c r="A4402">
        <v>59.902023741925298</v>
      </c>
      <c r="B4402">
        <v>21.2430309798814</v>
      </c>
      <c r="C4402">
        <v>2001</v>
      </c>
    </row>
    <row r="4403" spans="1:11" x14ac:dyDescent="0.25">
      <c r="A4403">
        <v>60.257907545708001</v>
      </c>
      <c r="B4403">
        <v>21.598914783664</v>
      </c>
      <c r="C4403">
        <v>2001</v>
      </c>
    </row>
    <row r="4404" spans="1:11" x14ac:dyDescent="0.25">
      <c r="A4404">
        <v>59.820891521259099</v>
      </c>
      <c r="B4404">
        <v>22.035930808112798</v>
      </c>
      <c r="C4404">
        <v>2000</v>
      </c>
    </row>
    <row r="4405" spans="1:11" x14ac:dyDescent="0.25">
      <c r="A4405" t="s">
        <v>84</v>
      </c>
    </row>
    <row r="4406" spans="1:11" x14ac:dyDescent="0.25">
      <c r="A4406">
        <v>26</v>
      </c>
      <c r="B4406">
        <v>0</v>
      </c>
      <c r="C4406">
        <v>7.71001383143936</v>
      </c>
      <c r="D4406">
        <v>7.1522514385981202</v>
      </c>
      <c r="E4406">
        <v>6</v>
      </c>
      <c r="F4406">
        <v>1.01722196789785</v>
      </c>
      <c r="G4406" t="s">
        <v>82</v>
      </c>
      <c r="H4406" t="s">
        <v>81</v>
      </c>
      <c r="I4406">
        <v>0</v>
      </c>
      <c r="J4406">
        <v>24</v>
      </c>
      <c r="K4406">
        <v>0</v>
      </c>
    </row>
    <row r="4407" spans="1:11" x14ac:dyDescent="0.25">
      <c r="A4407" t="s">
        <v>83</v>
      </c>
    </row>
    <row r="4408" spans="1:11" x14ac:dyDescent="0.25">
      <c r="A4408">
        <v>5.3384488897186904</v>
      </c>
      <c r="B4408">
        <v>17.7583175360948</v>
      </c>
      <c r="C4408">
        <v>2000</v>
      </c>
    </row>
    <row r="4409" spans="1:11" x14ac:dyDescent="0.25">
      <c r="A4409">
        <v>0</v>
      </c>
      <c r="B4409">
        <v>12.4198686463762</v>
      </c>
      <c r="C4409">
        <v>2000</v>
      </c>
    </row>
    <row r="4410" spans="1:11" x14ac:dyDescent="0.25">
      <c r="A4410">
        <v>0</v>
      </c>
      <c r="B4410">
        <v>11.5458365974785</v>
      </c>
      <c r="C4410">
        <v>2001</v>
      </c>
    </row>
    <row r="4411" spans="1:11" x14ac:dyDescent="0.25">
      <c r="A4411">
        <v>5.5651572367870097</v>
      </c>
      <c r="B4411">
        <v>17.1109938342655</v>
      </c>
      <c r="C4411">
        <v>2001</v>
      </c>
    </row>
    <row r="4412" spans="1:11" x14ac:dyDescent="0.25">
      <c r="A4412">
        <v>10.727716568461201</v>
      </c>
      <c r="B4412">
        <v>22.273553165939699</v>
      </c>
      <c r="C4412">
        <v>2001</v>
      </c>
    </row>
    <row r="4413" spans="1:11" x14ac:dyDescent="0.25">
      <c r="A4413">
        <v>10.290700544012401</v>
      </c>
      <c r="B4413">
        <v>22.7105691903886</v>
      </c>
      <c r="C4413">
        <v>2000</v>
      </c>
    </row>
    <row r="4414" spans="1:11" x14ac:dyDescent="0.25">
      <c r="A4414" t="s">
        <v>84</v>
      </c>
    </row>
    <row r="4415" spans="1:11" x14ac:dyDescent="0.25">
      <c r="A4415">
        <v>343</v>
      </c>
      <c r="B4415">
        <v>0</v>
      </c>
      <c r="C4415">
        <v>14.0154799367903</v>
      </c>
      <c r="D4415">
        <v>0.76016085568772995</v>
      </c>
      <c r="E4415">
        <v>6</v>
      </c>
      <c r="F4415">
        <v>1.01722196789785</v>
      </c>
      <c r="G4415" t="s">
        <v>81</v>
      </c>
      <c r="H4415" t="s">
        <v>81</v>
      </c>
      <c r="I4415">
        <v>356</v>
      </c>
      <c r="J4415">
        <v>351</v>
      </c>
      <c r="K4415">
        <v>0</v>
      </c>
    </row>
    <row r="4416" spans="1:11" x14ac:dyDescent="0.25">
      <c r="A4416" t="s">
        <v>83</v>
      </c>
    </row>
    <row r="4417" spans="1:11" x14ac:dyDescent="0.25">
      <c r="A4417">
        <v>86.205771462160797</v>
      </c>
      <c r="B4417">
        <v>143.58210228456801</v>
      </c>
      <c r="C4417">
        <v>2000</v>
      </c>
    </row>
    <row r="4418" spans="1:11" x14ac:dyDescent="0.25">
      <c r="A4418">
        <v>76.295330557272393</v>
      </c>
      <c r="B4418">
        <v>133.67166137967899</v>
      </c>
      <c r="C4418">
        <v>2000</v>
      </c>
    </row>
    <row r="4419" spans="1:11" x14ac:dyDescent="0.25">
      <c r="A4419">
        <v>76.732346581721202</v>
      </c>
      <c r="B4419">
        <v>133.23464535522999</v>
      </c>
      <c r="C4419">
        <v>2001</v>
      </c>
    </row>
    <row r="4420" spans="1:11" x14ac:dyDescent="0.25">
      <c r="A4420">
        <v>86.642787486609606</v>
      </c>
      <c r="B4420">
        <v>143.145086260119</v>
      </c>
      <c r="C4420">
        <v>2001</v>
      </c>
    </row>
    <row r="4421" spans="1:11" x14ac:dyDescent="0.25">
      <c r="A4421">
        <v>87.180302382459004</v>
      </c>
      <c r="B4421">
        <v>143.682601155968</v>
      </c>
      <c r="C4421">
        <v>2001</v>
      </c>
    </row>
    <row r="4422" spans="1:11" x14ac:dyDescent="0.25">
      <c r="A4422">
        <v>86.743286358010195</v>
      </c>
      <c r="B4422">
        <v>144.11961718041701</v>
      </c>
      <c r="C4422">
        <v>2000</v>
      </c>
    </row>
    <row r="4423" spans="1:11" x14ac:dyDescent="0.25">
      <c r="A4423" t="s">
        <v>84</v>
      </c>
    </row>
    <row r="4424" spans="1:11" x14ac:dyDescent="0.25">
      <c r="A4424">
        <v>868</v>
      </c>
      <c r="B4424">
        <v>0</v>
      </c>
      <c r="C4424">
        <v>9.2777298207888599</v>
      </c>
      <c r="D4424">
        <v>5.39155537724199</v>
      </c>
      <c r="E4424">
        <v>8</v>
      </c>
      <c r="F4424">
        <v>1.01722196789785</v>
      </c>
      <c r="G4424" t="s">
        <v>81</v>
      </c>
      <c r="H4424" t="s">
        <v>81</v>
      </c>
      <c r="I4424">
        <v>1021</v>
      </c>
      <c r="J4424">
        <v>678</v>
      </c>
      <c r="K4424">
        <v>0.104016298956218</v>
      </c>
    </row>
    <row r="4425" spans="1:11" x14ac:dyDescent="0.25">
      <c r="A4425" t="s">
        <v>83</v>
      </c>
    </row>
    <row r="4426" spans="1:11" x14ac:dyDescent="0.25">
      <c r="A4426">
        <v>69.362895692397501</v>
      </c>
      <c r="B4426">
        <v>48.226475105730799</v>
      </c>
      <c r="C4426">
        <v>2000</v>
      </c>
    </row>
    <row r="4427" spans="1:11" x14ac:dyDescent="0.25">
      <c r="A4427">
        <v>62.802550022101002</v>
      </c>
      <c r="B4427">
        <v>41.666129435434399</v>
      </c>
      <c r="C4427">
        <v>2000</v>
      </c>
    </row>
    <row r="4428" spans="1:11" x14ac:dyDescent="0.25">
      <c r="A4428">
        <v>62.3655339976522</v>
      </c>
      <c r="B4428">
        <v>42.103145459883201</v>
      </c>
      <c r="C4428">
        <v>2001</v>
      </c>
    </row>
    <row r="4429" spans="1:11" x14ac:dyDescent="0.25">
      <c r="A4429">
        <v>68.925879667948706</v>
      </c>
      <c r="B4429">
        <v>48.6634911301797</v>
      </c>
      <c r="C4429">
        <v>2001</v>
      </c>
    </row>
    <row r="4430" spans="1:11" x14ac:dyDescent="0.25">
      <c r="A4430">
        <v>70.480896549993403</v>
      </c>
      <c r="B4430">
        <v>50.218508012224397</v>
      </c>
      <c r="C4430">
        <v>2001</v>
      </c>
    </row>
    <row r="4431" spans="1:11" x14ac:dyDescent="0.25">
      <c r="A4431">
        <v>72.738285036339306</v>
      </c>
      <c r="B4431">
        <v>52.4758964985703</v>
      </c>
      <c r="C4431">
        <v>2001</v>
      </c>
    </row>
    <row r="4432" spans="1:11" x14ac:dyDescent="0.25">
      <c r="A4432">
        <v>73.175301060788101</v>
      </c>
      <c r="B4432">
        <v>52.038880474121399</v>
      </c>
      <c r="C4432">
        <v>2000</v>
      </c>
    </row>
    <row r="4433" spans="1:11" x14ac:dyDescent="0.25">
      <c r="A4433">
        <v>70.917912574442298</v>
      </c>
      <c r="B4433">
        <v>49.781491987775603</v>
      </c>
      <c r="C4433">
        <v>2000</v>
      </c>
    </row>
    <row r="4434" spans="1:11" x14ac:dyDescent="0.25">
      <c r="A4434" t="s">
        <v>84</v>
      </c>
    </row>
    <row r="4435" spans="1:11" x14ac:dyDescent="0.25">
      <c r="A4435">
        <v>1012</v>
      </c>
      <c r="B4435">
        <v>0</v>
      </c>
      <c r="C4435">
        <v>12.9515424737752</v>
      </c>
      <c r="D4435">
        <v>1.64617728985145</v>
      </c>
      <c r="E4435">
        <v>6</v>
      </c>
      <c r="F4435">
        <v>1.01722196789785</v>
      </c>
      <c r="G4435" t="s">
        <v>82</v>
      </c>
      <c r="H4435" t="s">
        <v>82</v>
      </c>
      <c r="I4435">
        <v>0</v>
      </c>
      <c r="J4435">
        <v>0</v>
      </c>
      <c r="K4435">
        <v>0.11085732651601</v>
      </c>
    </row>
    <row r="4436" spans="1:11" x14ac:dyDescent="0.25">
      <c r="A4436" t="s">
        <v>83</v>
      </c>
    </row>
    <row r="4437" spans="1:11" x14ac:dyDescent="0.25">
      <c r="A4437">
        <v>8.7703895560981699</v>
      </c>
      <c r="B4437">
        <v>148.885258945826</v>
      </c>
      <c r="C4437">
        <v>2000</v>
      </c>
    </row>
    <row r="4438" spans="1:11" x14ac:dyDescent="0.25">
      <c r="A4438">
        <v>0</v>
      </c>
      <c r="B4438">
        <v>140.114869389728</v>
      </c>
      <c r="C4438">
        <v>2000</v>
      </c>
    </row>
    <row r="4439" spans="1:11" x14ac:dyDescent="0.25">
      <c r="A4439">
        <v>0</v>
      </c>
      <c r="B4439">
        <v>139.24083734083001</v>
      </c>
      <c r="C4439">
        <v>2001</v>
      </c>
    </row>
    <row r="4440" spans="1:11" x14ac:dyDescent="0.25">
      <c r="A4440">
        <v>9.5458574639658806</v>
      </c>
      <c r="B4440">
        <v>148.78669480479601</v>
      </c>
      <c r="C4440">
        <v>2001</v>
      </c>
    </row>
    <row r="4441" spans="1:11" x14ac:dyDescent="0.25">
      <c r="A4441">
        <v>10.7591626591701</v>
      </c>
      <c r="B4441">
        <v>150</v>
      </c>
      <c r="C4441">
        <v>2001</v>
      </c>
    </row>
    <row r="4442" spans="1:11" x14ac:dyDescent="0.25">
      <c r="A4442">
        <v>9.8851306102724497</v>
      </c>
      <c r="B4442">
        <v>150</v>
      </c>
      <c r="C4442">
        <v>2000</v>
      </c>
    </row>
    <row r="4443" spans="1:11" x14ac:dyDescent="0.25">
      <c r="A4443" t="s">
        <v>84</v>
      </c>
    </row>
    <row r="4444" spans="1:11" x14ac:dyDescent="0.25">
      <c r="A4444">
        <v>782</v>
      </c>
      <c r="B4444">
        <v>0</v>
      </c>
      <c r="C4444">
        <v>6.2432476086121103</v>
      </c>
      <c r="D4444">
        <v>8.3477104040053103</v>
      </c>
      <c r="E4444">
        <v>8</v>
      </c>
      <c r="F4444">
        <v>1.01722196789785</v>
      </c>
      <c r="G4444" t="s">
        <v>81</v>
      </c>
      <c r="H4444" t="s">
        <v>81</v>
      </c>
      <c r="I4444">
        <v>569</v>
      </c>
      <c r="J4444">
        <v>261</v>
      </c>
      <c r="K4444">
        <v>0.101658837564709</v>
      </c>
    </row>
    <row r="4445" spans="1:11" x14ac:dyDescent="0.25">
      <c r="A4445" t="s">
        <v>83</v>
      </c>
    </row>
    <row r="4446" spans="1:11" x14ac:dyDescent="0.25">
      <c r="A4446">
        <v>113.002728091093</v>
      </c>
      <c r="B4446">
        <v>95.796141542394906</v>
      </c>
      <c r="C4446">
        <v>2000</v>
      </c>
    </row>
    <row r="4447" spans="1:11" x14ac:dyDescent="0.25">
      <c r="A4447">
        <v>108.58808537041701</v>
      </c>
      <c r="B4447">
        <v>91.381498821718594</v>
      </c>
      <c r="C4447">
        <v>2000</v>
      </c>
    </row>
    <row r="4448" spans="1:11" x14ac:dyDescent="0.25">
      <c r="A4448">
        <v>109.025101394865</v>
      </c>
      <c r="B4448">
        <v>90.944482797269799</v>
      </c>
      <c r="C4448">
        <v>2001</v>
      </c>
    </row>
    <row r="4449" spans="1:11" x14ac:dyDescent="0.25">
      <c r="A4449">
        <v>113.439744115542</v>
      </c>
      <c r="B4449">
        <v>95.359125517946097</v>
      </c>
      <c r="C4449">
        <v>2001</v>
      </c>
    </row>
    <row r="4450" spans="1:11" x14ac:dyDescent="0.25">
      <c r="A4450">
        <v>117.862110585371</v>
      </c>
      <c r="B4450">
        <v>99.781491987775595</v>
      </c>
      <c r="C4450">
        <v>2001</v>
      </c>
    </row>
    <row r="4451" spans="1:11" x14ac:dyDescent="0.25">
      <c r="A4451">
        <v>119.342466749595</v>
      </c>
      <c r="B4451">
        <v>101.261848152</v>
      </c>
      <c r="C4451">
        <v>2001</v>
      </c>
    </row>
    <row r="4452" spans="1:11" x14ac:dyDescent="0.25">
      <c r="A4452">
        <v>118.90545072514701</v>
      </c>
      <c r="B4452">
        <v>101.69886417644901</v>
      </c>
      <c r="C4452">
        <v>2000</v>
      </c>
    </row>
    <row r="4453" spans="1:11" x14ac:dyDescent="0.25">
      <c r="A4453">
        <v>117.42509456092201</v>
      </c>
      <c r="B4453">
        <v>100.21850801222401</v>
      </c>
      <c r="C4453">
        <v>2000</v>
      </c>
    </row>
    <row r="4454" spans="1:11" x14ac:dyDescent="0.25">
      <c r="A4454" t="s">
        <v>84</v>
      </c>
    </row>
    <row r="4455" spans="1:11" x14ac:dyDescent="0.25">
      <c r="A4455">
        <v>750</v>
      </c>
      <c r="B4455">
        <v>0</v>
      </c>
      <c r="C4455">
        <v>2.62346389548647</v>
      </c>
      <c r="D4455">
        <v>11.766773968990099</v>
      </c>
      <c r="E4455">
        <v>6</v>
      </c>
      <c r="F4455">
        <v>1.01722196789785</v>
      </c>
      <c r="G4455" t="s">
        <v>81</v>
      </c>
      <c r="H4455" t="s">
        <v>81</v>
      </c>
      <c r="I4455">
        <v>672</v>
      </c>
      <c r="J4455">
        <v>1011</v>
      </c>
      <c r="K4455">
        <v>0.101658837564709</v>
      </c>
    </row>
    <row r="4456" spans="1:11" x14ac:dyDescent="0.25">
      <c r="A4456" t="s">
        <v>83</v>
      </c>
    </row>
    <row r="4457" spans="1:11" x14ac:dyDescent="0.25">
      <c r="A4457">
        <v>63.444946964948699</v>
      </c>
      <c r="B4457">
        <v>81.310913427407499</v>
      </c>
      <c r="C4457">
        <v>2000</v>
      </c>
    </row>
    <row r="4458" spans="1:11" x14ac:dyDescent="0.25">
      <c r="A4458">
        <v>61.589877854252101</v>
      </c>
      <c r="B4458">
        <v>79.455844316710994</v>
      </c>
      <c r="C4458">
        <v>2000</v>
      </c>
    </row>
    <row r="4459" spans="1:11" x14ac:dyDescent="0.25">
      <c r="A4459">
        <v>62.026893878701003</v>
      </c>
      <c r="B4459">
        <v>79.018828292262199</v>
      </c>
      <c r="C4459">
        <v>2001</v>
      </c>
    </row>
    <row r="4460" spans="1:11" x14ac:dyDescent="0.25">
      <c r="A4460">
        <v>63.881962989397501</v>
      </c>
      <c r="B4460">
        <v>80.873897402958704</v>
      </c>
      <c r="C4460">
        <v>2001</v>
      </c>
    </row>
    <row r="4461" spans="1:11" x14ac:dyDescent="0.25">
      <c r="A4461">
        <v>72.202328655559697</v>
      </c>
      <c r="B4461">
        <v>89.194263069120893</v>
      </c>
      <c r="C4461">
        <v>2001</v>
      </c>
    </row>
    <row r="4462" spans="1:11" x14ac:dyDescent="0.25">
      <c r="A4462">
        <v>71.765312631110902</v>
      </c>
      <c r="B4462">
        <v>89.631279093569702</v>
      </c>
      <c r="C4462">
        <v>2000</v>
      </c>
    </row>
    <row r="4463" spans="1:11" x14ac:dyDescent="0.25">
      <c r="A4463" t="s">
        <v>84</v>
      </c>
    </row>
    <row r="4464" spans="1:11" x14ac:dyDescent="0.25">
      <c r="A4464">
        <v>889</v>
      </c>
      <c r="B4464">
        <v>0</v>
      </c>
      <c r="C4464">
        <v>2.3598422960708798</v>
      </c>
      <c r="D4464">
        <v>11.974478069748001</v>
      </c>
      <c r="E4464">
        <v>6</v>
      </c>
      <c r="F4464">
        <v>1.01722196789785</v>
      </c>
      <c r="G4464" t="s">
        <v>81</v>
      </c>
      <c r="H4464" t="s">
        <v>81</v>
      </c>
      <c r="I4464">
        <v>190</v>
      </c>
      <c r="J4464">
        <v>184</v>
      </c>
      <c r="K4464">
        <v>0.10458844867092799</v>
      </c>
    </row>
    <row r="4465" spans="1:11" x14ac:dyDescent="0.25">
      <c r="A4465" t="s">
        <v>83</v>
      </c>
    </row>
    <row r="4466" spans="1:11" x14ac:dyDescent="0.25">
      <c r="A4466">
        <v>67.488604672019406</v>
      </c>
      <c r="B4466">
        <v>8.7343713113687809</v>
      </c>
      <c r="C4466">
        <v>2000</v>
      </c>
    </row>
    <row r="4467" spans="1:11" x14ac:dyDescent="0.25">
      <c r="A4467">
        <v>65.819944181936904</v>
      </c>
      <c r="B4467">
        <v>7.0657108212862303</v>
      </c>
      <c r="C4467">
        <v>2000</v>
      </c>
    </row>
    <row r="4468" spans="1:11" x14ac:dyDescent="0.25">
      <c r="A4468">
        <v>66.256960206385699</v>
      </c>
      <c r="B4468">
        <v>6.6286947968374097</v>
      </c>
      <c r="C4468">
        <v>2001</v>
      </c>
    </row>
    <row r="4469" spans="1:11" x14ac:dyDescent="0.25">
      <c r="A4469">
        <v>67.9256206964683</v>
      </c>
      <c r="B4469">
        <v>8.2973552869199594</v>
      </c>
      <c r="C4469">
        <v>2001</v>
      </c>
    </row>
    <row r="4470" spans="1:11" x14ac:dyDescent="0.25">
      <c r="A4470">
        <v>76.392855340756697</v>
      </c>
      <c r="B4470">
        <v>16.764589931208398</v>
      </c>
      <c r="C4470">
        <v>2001</v>
      </c>
    </row>
    <row r="4471" spans="1:11" x14ac:dyDescent="0.25">
      <c r="A4471">
        <v>75.955839316307902</v>
      </c>
      <c r="B4471">
        <v>17.2016059556572</v>
      </c>
      <c r="C4471">
        <v>2000</v>
      </c>
    </row>
    <row r="4472" spans="1:11" x14ac:dyDescent="0.25">
      <c r="A4472" t="s">
        <v>84</v>
      </c>
    </row>
    <row r="4473" spans="1:11" x14ac:dyDescent="0.25">
      <c r="A4473">
        <v>350</v>
      </c>
      <c r="B4473">
        <v>0</v>
      </c>
      <c r="C4473">
        <v>14.2377063589564</v>
      </c>
      <c r="D4473">
        <v>0</v>
      </c>
      <c r="E4473">
        <v>5</v>
      </c>
      <c r="F4473">
        <v>1.01722196789785</v>
      </c>
      <c r="G4473" t="s">
        <v>81</v>
      </c>
      <c r="H4473" t="s">
        <v>81</v>
      </c>
      <c r="I4473">
        <v>846</v>
      </c>
      <c r="J4473">
        <v>354</v>
      </c>
      <c r="K4473">
        <v>0</v>
      </c>
    </row>
    <row r="4474" spans="1:11" x14ac:dyDescent="0.25">
      <c r="A4474" t="s">
        <v>83</v>
      </c>
    </row>
    <row r="4475" spans="1:11" x14ac:dyDescent="0.25">
      <c r="A4475">
        <v>66.812544793264493</v>
      </c>
      <c r="B4475">
        <v>140.391638145038</v>
      </c>
      <c r="C4475">
        <v>2000</v>
      </c>
    </row>
    <row r="4476" spans="1:11" x14ac:dyDescent="0.25">
      <c r="A4476">
        <v>56.744966078303499</v>
      </c>
      <c r="B4476">
        <v>130.324059430077</v>
      </c>
      <c r="C4476">
        <v>2000</v>
      </c>
    </row>
    <row r="4477" spans="1:11" x14ac:dyDescent="0.25">
      <c r="A4477">
        <v>56.307950053854697</v>
      </c>
      <c r="B4477">
        <v>130.76107545452501</v>
      </c>
      <c r="C4477">
        <v>2001</v>
      </c>
    </row>
    <row r="4478" spans="1:11" x14ac:dyDescent="0.25">
      <c r="A4478">
        <v>66.375528768815599</v>
      </c>
      <c r="B4478">
        <v>140.82865416948599</v>
      </c>
      <c r="C4478">
        <v>2001</v>
      </c>
    </row>
    <row r="4479" spans="1:11" x14ac:dyDescent="0.25">
      <c r="A4479">
        <v>66.812544793264493</v>
      </c>
      <c r="B4479">
        <v>140.391638145038</v>
      </c>
      <c r="C4479">
        <v>2000</v>
      </c>
    </row>
    <row r="4480" spans="1:11" x14ac:dyDescent="0.25">
      <c r="A4480" t="s">
        <v>84</v>
      </c>
    </row>
    <row r="4481" spans="1:11" x14ac:dyDescent="0.25">
      <c r="A4481">
        <v>38</v>
      </c>
      <c r="B4481">
        <v>0</v>
      </c>
      <c r="C4481">
        <v>10.7294985909424</v>
      </c>
      <c r="D4481">
        <v>3.4855389962249999</v>
      </c>
      <c r="E4481">
        <v>6</v>
      </c>
      <c r="F4481">
        <v>1.01722196789785</v>
      </c>
      <c r="G4481" t="s">
        <v>81</v>
      </c>
      <c r="H4481" t="s">
        <v>81</v>
      </c>
      <c r="I4481">
        <v>29</v>
      </c>
      <c r="J4481">
        <v>774</v>
      </c>
      <c r="K4481">
        <v>0</v>
      </c>
    </row>
    <row r="4482" spans="1:11" x14ac:dyDescent="0.25">
      <c r="A4482" t="s">
        <v>83</v>
      </c>
    </row>
    <row r="4483" spans="1:11" x14ac:dyDescent="0.25">
      <c r="A4483">
        <v>16.904349264174101</v>
      </c>
      <c r="B4483">
        <v>29.478324400953898</v>
      </c>
      <c r="C4483">
        <v>2000</v>
      </c>
    </row>
    <row r="4484" spans="1:11" x14ac:dyDescent="0.25">
      <c r="A4484">
        <v>9.31744805178724</v>
      </c>
      <c r="B4484">
        <v>21.891423188567099</v>
      </c>
      <c r="C4484">
        <v>2000</v>
      </c>
    </row>
    <row r="4485" spans="1:11" x14ac:dyDescent="0.25">
      <c r="A4485">
        <v>8.8804320273384203</v>
      </c>
      <c r="B4485">
        <v>22.328439213015901</v>
      </c>
      <c r="C4485">
        <v>2001</v>
      </c>
    </row>
    <row r="4486" spans="1:11" x14ac:dyDescent="0.25">
      <c r="A4486">
        <v>16.467333239725299</v>
      </c>
      <c r="B4486">
        <v>29.9153404254027</v>
      </c>
      <c r="C4486">
        <v>2001</v>
      </c>
    </row>
    <row r="4487" spans="1:11" x14ac:dyDescent="0.25">
      <c r="A4487">
        <v>18.931981500046099</v>
      </c>
      <c r="B4487">
        <v>32.379988685723603</v>
      </c>
      <c r="C4487">
        <v>2001</v>
      </c>
    </row>
    <row r="4488" spans="1:11" x14ac:dyDescent="0.25">
      <c r="A4488">
        <v>19.368997524495001</v>
      </c>
      <c r="B4488">
        <v>31.942972661274801</v>
      </c>
      <c r="C4488">
        <v>2000</v>
      </c>
    </row>
    <row r="4489" spans="1:11" x14ac:dyDescent="0.25">
      <c r="A4489" t="s">
        <v>84</v>
      </c>
    </row>
    <row r="4490" spans="1:11" x14ac:dyDescent="0.25">
      <c r="A4490">
        <v>360</v>
      </c>
      <c r="B4490">
        <v>0</v>
      </c>
      <c r="C4490">
        <v>2.9003597067829201</v>
      </c>
      <c r="D4490">
        <v>11.2737579787602</v>
      </c>
      <c r="E4490">
        <v>6</v>
      </c>
      <c r="F4490">
        <v>1.01722196789785</v>
      </c>
      <c r="G4490" t="s">
        <v>81</v>
      </c>
      <c r="H4490" t="s">
        <v>81</v>
      </c>
      <c r="I4490">
        <v>342</v>
      </c>
      <c r="J4490">
        <v>898</v>
      </c>
      <c r="K4490">
        <v>0</v>
      </c>
    </row>
    <row r="4491" spans="1:11" x14ac:dyDescent="0.25">
      <c r="A4491" t="s">
        <v>83</v>
      </c>
    </row>
    <row r="4492" spans="1:11" x14ac:dyDescent="0.25">
      <c r="A4492">
        <v>67.9640644350808</v>
      </c>
      <c r="B4492">
        <v>117.921447851663</v>
      </c>
      <c r="C4492">
        <v>2000</v>
      </c>
    </row>
    <row r="4493" spans="1:11" x14ac:dyDescent="0.25">
      <c r="A4493">
        <v>65.913200418534402</v>
      </c>
      <c r="B4493">
        <v>115.870583835117</v>
      </c>
      <c r="C4493">
        <v>2000</v>
      </c>
    </row>
    <row r="4494" spans="1:11" x14ac:dyDescent="0.25">
      <c r="A4494">
        <v>65.476184394085607</v>
      </c>
      <c r="B4494">
        <v>116.307599859565</v>
      </c>
      <c r="C4494">
        <v>2001</v>
      </c>
    </row>
    <row r="4495" spans="1:11" x14ac:dyDescent="0.25">
      <c r="A4495">
        <v>67.527048410632005</v>
      </c>
      <c r="B4495">
        <v>118.358463876112</v>
      </c>
      <c r="C4495">
        <v>2001</v>
      </c>
    </row>
    <row r="4496" spans="1:11" x14ac:dyDescent="0.25">
      <c r="A4496">
        <v>75.498799126869301</v>
      </c>
      <c r="B4496">
        <v>126.33021459234899</v>
      </c>
      <c r="C4496">
        <v>2001</v>
      </c>
    </row>
    <row r="4497" spans="1:11" x14ac:dyDescent="0.25">
      <c r="A4497">
        <v>75.935815151318096</v>
      </c>
      <c r="B4497">
        <v>125.8931985679</v>
      </c>
      <c r="C4497">
        <v>2000</v>
      </c>
    </row>
    <row r="4498" spans="1:11" x14ac:dyDescent="0.25">
      <c r="A4498" t="s">
        <v>84</v>
      </c>
    </row>
    <row r="4499" spans="1:11" x14ac:dyDescent="0.25">
      <c r="A4499">
        <v>585</v>
      </c>
      <c r="B4499">
        <v>0</v>
      </c>
      <c r="C4499">
        <v>3.83934876056873</v>
      </c>
      <c r="D4499">
        <v>10.1548936437657</v>
      </c>
      <c r="E4499">
        <v>6</v>
      </c>
      <c r="F4499">
        <v>1.01722196789785</v>
      </c>
      <c r="G4499" t="s">
        <v>81</v>
      </c>
      <c r="H4499" t="s">
        <v>81</v>
      </c>
      <c r="I4499">
        <v>573</v>
      </c>
      <c r="J4499">
        <v>589</v>
      </c>
      <c r="K4499">
        <v>0</v>
      </c>
    </row>
    <row r="4500" spans="1:11" x14ac:dyDescent="0.25">
      <c r="A4500" t="s">
        <v>83</v>
      </c>
    </row>
    <row r="4501" spans="1:11" x14ac:dyDescent="0.25">
      <c r="A4501">
        <v>116.724094752564</v>
      </c>
      <c r="B4501">
        <v>62.697484447009799</v>
      </c>
      <c r="C4501">
        <v>2000</v>
      </c>
    </row>
    <row r="4502" spans="1:11" x14ac:dyDescent="0.25">
      <c r="A4502">
        <v>114.009265208626</v>
      </c>
      <c r="B4502">
        <v>59.982654903071499</v>
      </c>
      <c r="C4502">
        <v>2000</v>
      </c>
    </row>
    <row r="4503" spans="1:11" x14ac:dyDescent="0.25">
      <c r="A4503">
        <v>114.446281233074</v>
      </c>
      <c r="B4503">
        <v>59.545638878622697</v>
      </c>
      <c r="C4503">
        <v>2001</v>
      </c>
    </row>
    <row r="4504" spans="1:11" x14ac:dyDescent="0.25">
      <c r="A4504">
        <v>117.16111077701299</v>
      </c>
      <c r="B4504">
        <v>62.260468422560997</v>
      </c>
      <c r="C4504">
        <v>2001</v>
      </c>
    </row>
    <row r="4505" spans="1:11" x14ac:dyDescent="0.25">
      <c r="A4505">
        <v>124.34170493474799</v>
      </c>
      <c r="B4505">
        <v>69.441062580295906</v>
      </c>
      <c r="C4505">
        <v>2001</v>
      </c>
    </row>
    <row r="4506" spans="1:11" x14ac:dyDescent="0.25">
      <c r="A4506">
        <v>123.904688910299</v>
      </c>
      <c r="B4506">
        <v>69.878078604744701</v>
      </c>
      <c r="C4506">
        <v>2000</v>
      </c>
    </row>
    <row r="4507" spans="1:11" x14ac:dyDescent="0.25">
      <c r="A4507" t="s">
        <v>84</v>
      </c>
    </row>
    <row r="4508" spans="1:11" x14ac:dyDescent="0.25">
      <c r="A4508">
        <v>117</v>
      </c>
      <c r="B4508">
        <v>0</v>
      </c>
      <c r="C4508">
        <v>2.5633679525856201</v>
      </c>
      <c r="D4508">
        <v>11.3162412797156</v>
      </c>
      <c r="E4508">
        <v>6</v>
      </c>
      <c r="F4508">
        <v>1.01722196789785</v>
      </c>
      <c r="G4508" t="s">
        <v>82</v>
      </c>
      <c r="H4508" t="s">
        <v>81</v>
      </c>
      <c r="I4508">
        <v>0</v>
      </c>
      <c r="J4508">
        <v>103</v>
      </c>
      <c r="K4508">
        <v>0</v>
      </c>
    </row>
    <row r="4509" spans="1:11" x14ac:dyDescent="0.25">
      <c r="A4509" t="s">
        <v>83</v>
      </c>
    </row>
    <row r="4510" spans="1:11" x14ac:dyDescent="0.25">
      <c r="A4510">
        <v>1.8529302081660599</v>
      </c>
      <c r="B4510">
        <v>53.660004683187303</v>
      </c>
      <c r="C4510">
        <v>2000</v>
      </c>
    </row>
    <row r="4511" spans="1:11" x14ac:dyDescent="0.25">
      <c r="A4511">
        <v>0</v>
      </c>
      <c r="B4511">
        <v>51.807074475021203</v>
      </c>
      <c r="C4511">
        <v>2000</v>
      </c>
    </row>
    <row r="4512" spans="1:11" x14ac:dyDescent="0.25">
      <c r="A4512">
        <v>0</v>
      </c>
      <c r="B4512">
        <v>52.681106523918899</v>
      </c>
      <c r="C4512">
        <v>2001</v>
      </c>
    </row>
    <row r="4513" spans="1:11" x14ac:dyDescent="0.25">
      <c r="A4513">
        <v>1.77221951573307</v>
      </c>
      <c r="B4513">
        <v>54.453326039651998</v>
      </c>
      <c r="C4513">
        <v>2001</v>
      </c>
    </row>
    <row r="4514" spans="1:11" x14ac:dyDescent="0.25">
      <c r="A4514">
        <v>9.5958577961551992</v>
      </c>
      <c r="B4514">
        <v>62.2769643200741</v>
      </c>
      <c r="C4514">
        <v>2001</v>
      </c>
    </row>
    <row r="4515" spans="1:11" x14ac:dyDescent="0.25">
      <c r="A4515">
        <v>10.032873820603999</v>
      </c>
      <c r="B4515">
        <v>61.839948295625298</v>
      </c>
      <c r="C4515">
        <v>2000</v>
      </c>
    </row>
    <row r="4516" spans="1:11" x14ac:dyDescent="0.25">
      <c r="A4516" t="s">
        <v>84</v>
      </c>
    </row>
    <row r="4517" spans="1:11" x14ac:dyDescent="0.25">
      <c r="A4517">
        <v>738</v>
      </c>
      <c r="B4517">
        <v>0</v>
      </c>
      <c r="C4517">
        <v>10.7056738240674</v>
      </c>
      <c r="D4517">
        <v>3.1153242992486398</v>
      </c>
      <c r="E4517">
        <v>6</v>
      </c>
      <c r="F4517">
        <v>1.01722196789785</v>
      </c>
      <c r="G4517" t="s">
        <v>81</v>
      </c>
      <c r="H4517" t="s">
        <v>82</v>
      </c>
      <c r="I4517">
        <v>272</v>
      </c>
      <c r="J4517">
        <v>0</v>
      </c>
      <c r="K4517">
        <v>0.10038021386068</v>
      </c>
    </row>
    <row r="4518" spans="1:11" x14ac:dyDescent="0.25">
      <c r="A4518" t="s">
        <v>83</v>
      </c>
    </row>
    <row r="4519" spans="1:11" x14ac:dyDescent="0.25">
      <c r="A4519">
        <v>147.84638589595599</v>
      </c>
      <c r="B4519">
        <v>138.79465465547099</v>
      </c>
      <c r="C4519">
        <v>2000</v>
      </c>
    </row>
    <row r="4520" spans="1:11" x14ac:dyDescent="0.25">
      <c r="A4520">
        <v>140.44558651646099</v>
      </c>
      <c r="B4520">
        <v>131.39385527597599</v>
      </c>
      <c r="C4520">
        <v>2000</v>
      </c>
    </row>
    <row r="4521" spans="1:11" x14ac:dyDescent="0.25">
      <c r="A4521">
        <v>140.00857049201201</v>
      </c>
      <c r="B4521">
        <v>131.830871300425</v>
      </c>
      <c r="C4521">
        <v>2001</v>
      </c>
    </row>
    <row r="4522" spans="1:11" x14ac:dyDescent="0.25">
      <c r="A4522">
        <v>147.74788022885599</v>
      </c>
      <c r="B4522">
        <v>139.57018103726901</v>
      </c>
      <c r="C4522">
        <v>2001</v>
      </c>
    </row>
    <row r="4523" spans="1:11" x14ac:dyDescent="0.25">
      <c r="A4523">
        <v>150</v>
      </c>
      <c r="B4523">
        <v>141.82230080841299</v>
      </c>
      <c r="C4523">
        <v>2001</v>
      </c>
    </row>
    <row r="4524" spans="1:11" x14ac:dyDescent="0.25">
      <c r="A4524">
        <v>150</v>
      </c>
      <c r="B4524">
        <v>140.948268759515</v>
      </c>
      <c r="C4524">
        <v>2000</v>
      </c>
    </row>
    <row r="4525" spans="1:11" x14ac:dyDescent="0.25">
      <c r="A4525" t="s">
        <v>84</v>
      </c>
    </row>
    <row r="4526" spans="1:11" x14ac:dyDescent="0.25">
      <c r="A4526">
        <v>760</v>
      </c>
      <c r="B4526">
        <v>0</v>
      </c>
      <c r="C4526">
        <v>11.6292618158651</v>
      </c>
      <c r="D4526">
        <v>2.0593901088636999</v>
      </c>
      <c r="E4526">
        <v>6</v>
      </c>
      <c r="F4526">
        <v>1.01722196789785</v>
      </c>
      <c r="G4526" t="s">
        <v>81</v>
      </c>
      <c r="H4526" t="s">
        <v>81</v>
      </c>
      <c r="I4526">
        <v>194</v>
      </c>
      <c r="J4526">
        <v>753</v>
      </c>
      <c r="K4526">
        <v>0.102125662797643</v>
      </c>
    </row>
    <row r="4527" spans="1:11" x14ac:dyDescent="0.25">
      <c r="A4527" t="s">
        <v>83</v>
      </c>
    </row>
    <row r="4528" spans="1:11" x14ac:dyDescent="0.25">
      <c r="A4528">
        <v>71.122549394663807</v>
      </c>
      <c r="B4528">
        <v>23.110078142546001</v>
      </c>
      <c r="C4528">
        <v>2000</v>
      </c>
    </row>
    <row r="4529" spans="1:11" x14ac:dyDescent="0.25">
      <c r="A4529">
        <v>62.899419504471901</v>
      </c>
      <c r="B4529">
        <v>14.886948252353999</v>
      </c>
      <c r="C4529">
        <v>2000</v>
      </c>
    </row>
    <row r="4530" spans="1:11" x14ac:dyDescent="0.25">
      <c r="A4530">
        <v>62.462403480023099</v>
      </c>
      <c r="B4530">
        <v>15.323964276802799</v>
      </c>
      <c r="C4530">
        <v>2001</v>
      </c>
    </row>
    <row r="4531" spans="1:11" x14ac:dyDescent="0.25">
      <c r="A4531">
        <v>70.685533370214998</v>
      </c>
      <c r="B4531">
        <v>23.5470941669948</v>
      </c>
      <c r="C4531">
        <v>2001</v>
      </c>
    </row>
    <row r="4532" spans="1:11" x14ac:dyDescent="0.25">
      <c r="A4532">
        <v>72.141742081301004</v>
      </c>
      <c r="B4532">
        <v>25.003302878080799</v>
      </c>
      <c r="C4532">
        <v>2001</v>
      </c>
    </row>
    <row r="4533" spans="1:11" x14ac:dyDescent="0.25">
      <c r="A4533">
        <v>72.578758105749898</v>
      </c>
      <c r="B4533">
        <v>24.566286853632</v>
      </c>
      <c r="C4533">
        <v>2000</v>
      </c>
    </row>
    <row r="4534" spans="1:11" x14ac:dyDescent="0.25">
      <c r="A4534" t="s">
        <v>84</v>
      </c>
    </row>
    <row r="4535" spans="1:11" x14ac:dyDescent="0.25">
      <c r="A4535">
        <v>768</v>
      </c>
      <c r="B4535">
        <v>0</v>
      </c>
      <c r="C4535">
        <v>9.2109034162644896</v>
      </c>
      <c r="D4535">
        <v>4.4034746151284301</v>
      </c>
      <c r="E4535">
        <v>6</v>
      </c>
      <c r="F4535">
        <v>1.01722196789785</v>
      </c>
      <c r="G4535" t="s">
        <v>81</v>
      </c>
      <c r="H4535" t="s">
        <v>81</v>
      </c>
      <c r="I4535">
        <v>27</v>
      </c>
      <c r="J4535">
        <v>875</v>
      </c>
      <c r="K4535">
        <v>0.102125662797643</v>
      </c>
    </row>
    <row r="4536" spans="1:11" x14ac:dyDescent="0.25">
      <c r="A4536" t="s">
        <v>83</v>
      </c>
    </row>
    <row r="4537" spans="1:11" x14ac:dyDescent="0.25">
      <c r="A4537">
        <v>14.4047922950305</v>
      </c>
      <c r="B4537">
        <v>62.806798387690101</v>
      </c>
      <c r="C4537">
        <v>2000</v>
      </c>
    </row>
    <row r="4538" spans="1:11" x14ac:dyDescent="0.25">
      <c r="A4538">
        <v>7.8917000285355297</v>
      </c>
      <c r="B4538">
        <v>56.2937061211951</v>
      </c>
      <c r="C4538">
        <v>2000</v>
      </c>
    </row>
    <row r="4539" spans="1:11" x14ac:dyDescent="0.25">
      <c r="A4539">
        <v>8.3287160529843494</v>
      </c>
      <c r="B4539">
        <v>55.856690096746298</v>
      </c>
      <c r="C4539">
        <v>2001</v>
      </c>
    </row>
    <row r="4540" spans="1:11" x14ac:dyDescent="0.25">
      <c r="A4540">
        <v>14.8418083194793</v>
      </c>
      <c r="B4540">
        <v>62.369782363241299</v>
      </c>
      <c r="C4540">
        <v>2001</v>
      </c>
    </row>
    <row r="4541" spans="1:11" x14ac:dyDescent="0.25">
      <c r="A4541">
        <v>17.955535080619399</v>
      </c>
      <c r="B4541">
        <v>65.483509124381399</v>
      </c>
      <c r="C4541">
        <v>2001</v>
      </c>
    </row>
    <row r="4542" spans="1:11" x14ac:dyDescent="0.25">
      <c r="A4542">
        <v>17.5185190561706</v>
      </c>
      <c r="B4542">
        <v>65.920525148830194</v>
      </c>
      <c r="C4542">
        <v>2000</v>
      </c>
    </row>
    <row r="4543" spans="1:11" x14ac:dyDescent="0.25">
      <c r="A4543" t="s">
        <v>84</v>
      </c>
    </row>
    <row r="4544" spans="1:11" x14ac:dyDescent="0.25">
      <c r="A4544">
        <v>867</v>
      </c>
      <c r="B4544">
        <v>0</v>
      </c>
      <c r="C4544">
        <v>12.9807033562317</v>
      </c>
      <c r="D4544">
        <v>0.50415172292987598</v>
      </c>
      <c r="E4544">
        <v>6</v>
      </c>
      <c r="F4544">
        <v>1.01722196789785</v>
      </c>
      <c r="G4544" t="s">
        <v>81</v>
      </c>
      <c r="H4544" t="s">
        <v>81</v>
      </c>
      <c r="I4544">
        <v>185</v>
      </c>
      <c r="J4544">
        <v>748</v>
      </c>
      <c r="K4544">
        <v>0.104016298956218</v>
      </c>
    </row>
    <row r="4545" spans="1:11" x14ac:dyDescent="0.25">
      <c r="A4545" t="s">
        <v>83</v>
      </c>
    </row>
    <row r="4546" spans="1:11" x14ac:dyDescent="0.25">
      <c r="A4546">
        <v>94.191323423851699</v>
      </c>
      <c r="B4546">
        <v>63.405199498587997</v>
      </c>
      <c r="C4546">
        <v>2000</v>
      </c>
    </row>
    <row r="4547" spans="1:11" x14ac:dyDescent="0.25">
      <c r="A4547">
        <v>85.012580056089305</v>
      </c>
      <c r="B4547">
        <v>54.226456130825703</v>
      </c>
      <c r="C4547">
        <v>2000</v>
      </c>
    </row>
    <row r="4548" spans="1:11" x14ac:dyDescent="0.25">
      <c r="A4548">
        <v>85.4495960805381</v>
      </c>
      <c r="B4548">
        <v>53.789440106376802</v>
      </c>
      <c r="C4548">
        <v>2001</v>
      </c>
    </row>
    <row r="4549" spans="1:11" x14ac:dyDescent="0.25">
      <c r="A4549">
        <v>94.628339448300494</v>
      </c>
      <c r="B4549">
        <v>62.968183474139202</v>
      </c>
      <c r="C4549">
        <v>2001</v>
      </c>
    </row>
    <row r="4550" spans="1:11" x14ac:dyDescent="0.25">
      <c r="A4550">
        <v>94.984828550331102</v>
      </c>
      <c r="B4550">
        <v>63.324672576169803</v>
      </c>
      <c r="C4550">
        <v>2001</v>
      </c>
    </row>
    <row r="4551" spans="1:11" x14ac:dyDescent="0.25">
      <c r="A4551">
        <v>94.547812525882307</v>
      </c>
      <c r="B4551">
        <v>63.761688600618598</v>
      </c>
      <c r="C4551">
        <v>2000</v>
      </c>
    </row>
    <row r="4552" spans="1:11" x14ac:dyDescent="0.25">
      <c r="A4552" t="s">
        <v>84</v>
      </c>
    </row>
    <row r="4553" spans="1:11" x14ac:dyDescent="0.25">
      <c r="A4553">
        <v>431</v>
      </c>
      <c r="B4553">
        <v>0</v>
      </c>
      <c r="C4553">
        <v>1.2546170896929401</v>
      </c>
      <c r="D4553">
        <v>12.2145549424725</v>
      </c>
      <c r="E4553">
        <v>6</v>
      </c>
      <c r="F4553">
        <v>1.01722196789785</v>
      </c>
      <c r="G4553" t="s">
        <v>81</v>
      </c>
      <c r="H4553" t="s">
        <v>82</v>
      </c>
      <c r="I4553">
        <v>437</v>
      </c>
      <c r="J4553">
        <v>0</v>
      </c>
      <c r="K4553">
        <v>0</v>
      </c>
    </row>
    <row r="4554" spans="1:11" x14ac:dyDescent="0.25">
      <c r="A4554" t="s">
        <v>83</v>
      </c>
    </row>
    <row r="4555" spans="1:11" x14ac:dyDescent="0.25">
      <c r="A4555">
        <v>16.754641075903098</v>
      </c>
      <c r="B4555">
        <v>141.16485079146901</v>
      </c>
      <c r="C4555">
        <v>2000</v>
      </c>
    </row>
    <row r="4556" spans="1:11" x14ac:dyDescent="0.25">
      <c r="A4556">
        <v>15.847139391296899</v>
      </c>
      <c r="B4556">
        <v>140.25734910686299</v>
      </c>
      <c r="C4556">
        <v>2000</v>
      </c>
    </row>
    <row r="4557" spans="1:11" x14ac:dyDescent="0.25">
      <c r="A4557">
        <v>15.410123366848101</v>
      </c>
      <c r="B4557">
        <v>140.694365131312</v>
      </c>
      <c r="C4557">
        <v>2001</v>
      </c>
    </row>
    <row r="4558" spans="1:11" x14ac:dyDescent="0.25">
      <c r="A4558">
        <v>16.276918186070599</v>
      </c>
      <c r="B4558">
        <v>141.561159950535</v>
      </c>
      <c r="C4558">
        <v>2001</v>
      </c>
    </row>
    <row r="4559" spans="1:11" x14ac:dyDescent="0.25">
      <c r="A4559">
        <v>24.715758235536001</v>
      </c>
      <c r="B4559">
        <v>150</v>
      </c>
      <c r="C4559">
        <v>2001</v>
      </c>
    </row>
    <row r="4560" spans="1:11" x14ac:dyDescent="0.25">
      <c r="A4560">
        <v>25.5897902844337</v>
      </c>
      <c r="B4560">
        <v>150</v>
      </c>
      <c r="C4560">
        <v>2000</v>
      </c>
    </row>
    <row r="4561" spans="1:11" x14ac:dyDescent="0.25">
      <c r="A4561" t="s">
        <v>84</v>
      </c>
    </row>
    <row r="4562" spans="1:11" x14ac:dyDescent="0.25">
      <c r="A4562">
        <v>791</v>
      </c>
      <c r="B4562">
        <v>0</v>
      </c>
      <c r="C4562">
        <v>3.6285953213437101</v>
      </c>
      <c r="D4562">
        <v>9.8342961600383099</v>
      </c>
      <c r="E4562">
        <v>6</v>
      </c>
      <c r="F4562">
        <v>1.01722196789785</v>
      </c>
      <c r="G4562" t="s">
        <v>81</v>
      </c>
      <c r="H4562" t="s">
        <v>81</v>
      </c>
      <c r="I4562">
        <v>1008</v>
      </c>
      <c r="J4562">
        <v>436</v>
      </c>
      <c r="K4562">
        <v>0.101899323518764</v>
      </c>
    </row>
    <row r="4563" spans="1:11" x14ac:dyDescent="0.25">
      <c r="A4563" t="s">
        <v>83</v>
      </c>
    </row>
    <row r="4564" spans="1:11" x14ac:dyDescent="0.25">
      <c r="A4564">
        <v>19.484977949166399</v>
      </c>
      <c r="B4564">
        <v>134.52624442360201</v>
      </c>
      <c r="C4564">
        <v>2000</v>
      </c>
    </row>
    <row r="4565" spans="1:11" x14ac:dyDescent="0.25">
      <c r="A4565">
        <v>16.919173591262499</v>
      </c>
      <c r="B4565">
        <v>131.96044006569801</v>
      </c>
      <c r="C4565">
        <v>2000</v>
      </c>
    </row>
    <row r="4566" spans="1:11" x14ac:dyDescent="0.25">
      <c r="A4566">
        <v>16.482157566813601</v>
      </c>
      <c r="B4566">
        <v>132.39745609014699</v>
      </c>
      <c r="C4566">
        <v>2001</v>
      </c>
    </row>
    <row r="4567" spans="1:11" x14ac:dyDescent="0.25">
      <c r="A4567">
        <v>19.047961924717601</v>
      </c>
      <c r="B4567">
        <v>134.96326044805099</v>
      </c>
      <c r="C4567">
        <v>2001</v>
      </c>
    </row>
    <row r="4568" spans="1:11" x14ac:dyDescent="0.25">
      <c r="A4568">
        <v>26.001859427677498</v>
      </c>
      <c r="B4568">
        <v>141.91715795101001</v>
      </c>
      <c r="C4568">
        <v>2001</v>
      </c>
    </row>
    <row r="4569" spans="1:11" x14ac:dyDescent="0.25">
      <c r="A4569">
        <v>26.4388754521263</v>
      </c>
      <c r="B4569">
        <v>141.480141926562</v>
      </c>
      <c r="C4569">
        <v>2000</v>
      </c>
    </row>
    <row r="4570" spans="1:11" x14ac:dyDescent="0.25">
      <c r="A4570" t="s">
        <v>84</v>
      </c>
    </row>
    <row r="4571" spans="1:11" x14ac:dyDescent="0.25">
      <c r="A4571">
        <v>769</v>
      </c>
      <c r="B4571">
        <v>0</v>
      </c>
      <c r="C4571">
        <v>8.3601327401899503</v>
      </c>
      <c r="D4571">
        <v>5.0947888244757102</v>
      </c>
      <c r="E4571">
        <v>6</v>
      </c>
      <c r="F4571">
        <v>1.01722196789785</v>
      </c>
      <c r="G4571" t="s">
        <v>81</v>
      </c>
      <c r="H4571" t="s">
        <v>81</v>
      </c>
      <c r="I4571">
        <v>8</v>
      </c>
      <c r="J4571">
        <v>911</v>
      </c>
      <c r="K4571">
        <v>9.9787223602304201E-2</v>
      </c>
    </row>
    <row r="4572" spans="1:11" x14ac:dyDescent="0.25">
      <c r="A4572" t="s">
        <v>83</v>
      </c>
    </row>
    <row r="4573" spans="1:11" x14ac:dyDescent="0.25">
      <c r="A4573">
        <v>46.1095368508715</v>
      </c>
      <c r="B4573">
        <v>22.5841387475812</v>
      </c>
      <c r="C4573">
        <v>2000</v>
      </c>
    </row>
    <row r="4574" spans="1:11" x14ac:dyDescent="0.25">
      <c r="A4574">
        <v>40.198030298663497</v>
      </c>
      <c r="B4574">
        <v>16.6726321953732</v>
      </c>
      <c r="C4574">
        <v>2000</v>
      </c>
    </row>
    <row r="4575" spans="1:11" x14ac:dyDescent="0.25">
      <c r="A4575">
        <v>39.761014274214702</v>
      </c>
      <c r="B4575">
        <v>17.109648219821999</v>
      </c>
      <c r="C4575">
        <v>2001</v>
      </c>
    </row>
    <row r="4576" spans="1:11" x14ac:dyDescent="0.25">
      <c r="A4576">
        <v>45.672520826422698</v>
      </c>
      <c r="B4576">
        <v>23.021154772029998</v>
      </c>
      <c r="C4576">
        <v>2001</v>
      </c>
    </row>
    <row r="4577" spans="1:11" x14ac:dyDescent="0.25">
      <c r="A4577">
        <v>49.275080552922901</v>
      </c>
      <c r="B4577">
        <v>26.623714498530202</v>
      </c>
      <c r="C4577">
        <v>2001</v>
      </c>
    </row>
    <row r="4578" spans="1:11" x14ac:dyDescent="0.25">
      <c r="A4578">
        <v>49.712096577371703</v>
      </c>
      <c r="B4578">
        <v>26.1866984740814</v>
      </c>
      <c r="C4578">
        <v>2000</v>
      </c>
    </row>
    <row r="4579" spans="1:11" x14ac:dyDescent="0.25">
      <c r="A4579" t="s">
        <v>84</v>
      </c>
    </row>
    <row r="4580" spans="1:11" x14ac:dyDescent="0.25">
      <c r="A4580">
        <v>516</v>
      </c>
      <c r="B4580">
        <v>0</v>
      </c>
      <c r="C4580">
        <v>8.7668102543307107</v>
      </c>
      <c r="D4580">
        <v>4.6856341944081201</v>
      </c>
      <c r="E4580">
        <v>8</v>
      </c>
      <c r="F4580">
        <v>1.01722196789785</v>
      </c>
      <c r="G4580" t="s">
        <v>81</v>
      </c>
      <c r="H4580" t="s">
        <v>81</v>
      </c>
      <c r="I4580">
        <v>808</v>
      </c>
      <c r="J4580">
        <v>823</v>
      </c>
      <c r="K4580">
        <v>0</v>
      </c>
    </row>
    <row r="4581" spans="1:11" x14ac:dyDescent="0.25">
      <c r="A4581" t="s">
        <v>83</v>
      </c>
    </row>
    <row r="4582" spans="1:11" x14ac:dyDescent="0.25">
      <c r="A4582">
        <v>116.364377787511</v>
      </c>
      <c r="B4582">
        <v>50.041494918070697</v>
      </c>
      <c r="C4582">
        <v>2000</v>
      </c>
    </row>
    <row r="4583" spans="1:11" x14ac:dyDescent="0.25">
      <c r="A4583">
        <v>110.16530680729799</v>
      </c>
      <c r="B4583">
        <v>43.842423937857703</v>
      </c>
      <c r="C4583">
        <v>2000</v>
      </c>
    </row>
    <row r="4584" spans="1:11" x14ac:dyDescent="0.25">
      <c r="A4584">
        <v>110.602322831747</v>
      </c>
      <c r="B4584">
        <v>43.405407913408901</v>
      </c>
      <c r="C4584">
        <v>2001</v>
      </c>
    </row>
    <row r="4585" spans="1:11" x14ac:dyDescent="0.25">
      <c r="A4585">
        <v>116.80139381196</v>
      </c>
      <c r="B4585">
        <v>49.604478893621902</v>
      </c>
      <c r="C4585">
        <v>2001</v>
      </c>
    </row>
    <row r="4586" spans="1:11" x14ac:dyDescent="0.25">
      <c r="A4586">
        <v>116.97840690611299</v>
      </c>
      <c r="B4586">
        <v>49.781491987775603</v>
      </c>
      <c r="C4586">
        <v>2001</v>
      </c>
    </row>
    <row r="4587" spans="1:11" x14ac:dyDescent="0.25">
      <c r="A4587">
        <v>120.114637524985</v>
      </c>
      <c r="B4587">
        <v>52.917722606647402</v>
      </c>
      <c r="C4587">
        <v>2001</v>
      </c>
    </row>
    <row r="4588" spans="1:11" x14ac:dyDescent="0.25">
      <c r="A4588">
        <v>119.67762150053601</v>
      </c>
      <c r="B4588">
        <v>53.354738631096197</v>
      </c>
      <c r="C4588">
        <v>2000</v>
      </c>
    </row>
    <row r="4589" spans="1:11" x14ac:dyDescent="0.25">
      <c r="A4589">
        <v>116.541390881665</v>
      </c>
      <c r="B4589">
        <v>50.218508012224397</v>
      </c>
      <c r="C4589">
        <v>2000</v>
      </c>
    </row>
    <row r="4590" spans="1:11" x14ac:dyDescent="0.25">
      <c r="A4590" t="s">
        <v>84</v>
      </c>
    </row>
    <row r="4591" spans="1:11" x14ac:dyDescent="0.25">
      <c r="A4591">
        <v>35</v>
      </c>
      <c r="B4591">
        <v>0</v>
      </c>
      <c r="C4591">
        <v>5.4182493906686604</v>
      </c>
      <c r="D4591">
        <v>7.9638239968334004</v>
      </c>
      <c r="E4591">
        <v>6</v>
      </c>
      <c r="F4591">
        <v>1.01722196789785</v>
      </c>
      <c r="G4591" t="s">
        <v>81</v>
      </c>
      <c r="H4591" t="s">
        <v>81</v>
      </c>
      <c r="I4591">
        <v>775</v>
      </c>
      <c r="J4591">
        <v>198</v>
      </c>
      <c r="K4591">
        <v>0</v>
      </c>
    </row>
    <row r="4592" spans="1:11" x14ac:dyDescent="0.25">
      <c r="A4592" t="s">
        <v>83</v>
      </c>
    </row>
    <row r="4593" spans="1:11" x14ac:dyDescent="0.25">
      <c r="A4593">
        <v>41.9510136358167</v>
      </c>
      <c r="B4593">
        <v>32.908011635261403</v>
      </c>
      <c r="C4593">
        <v>2000</v>
      </c>
    </row>
    <row r="4594" spans="1:11" x14ac:dyDescent="0.25">
      <c r="A4594">
        <v>38.119732749515002</v>
      </c>
      <c r="B4594">
        <v>29.076730748959701</v>
      </c>
      <c r="C4594">
        <v>2000</v>
      </c>
    </row>
    <row r="4595" spans="1:11" x14ac:dyDescent="0.25">
      <c r="A4595">
        <v>37.6827167250662</v>
      </c>
      <c r="B4595">
        <v>29.513746773408599</v>
      </c>
      <c r="C4595">
        <v>2001</v>
      </c>
    </row>
    <row r="4596" spans="1:11" x14ac:dyDescent="0.25">
      <c r="A4596">
        <v>41.513997611367898</v>
      </c>
      <c r="B4596">
        <v>33.345027659710198</v>
      </c>
      <c r="C4596">
        <v>2001</v>
      </c>
    </row>
    <row r="4597" spans="1:11" x14ac:dyDescent="0.25">
      <c r="A4597">
        <v>47.145271563704902</v>
      </c>
      <c r="B4597">
        <v>38.976301612047301</v>
      </c>
      <c r="C4597">
        <v>2001</v>
      </c>
    </row>
    <row r="4598" spans="1:11" x14ac:dyDescent="0.25">
      <c r="A4598">
        <v>47.582287588153797</v>
      </c>
      <c r="B4598">
        <v>38.539285587598499</v>
      </c>
      <c r="C4598">
        <v>2000</v>
      </c>
    </row>
    <row r="4599" spans="1:11" x14ac:dyDescent="0.25">
      <c r="A4599" t="s">
        <v>84</v>
      </c>
    </row>
    <row r="4600" spans="1:11" x14ac:dyDescent="0.25">
      <c r="A4600">
        <v>774</v>
      </c>
      <c r="B4600">
        <v>0</v>
      </c>
      <c r="C4600">
        <v>3.1173348951345798</v>
      </c>
      <c r="D4600">
        <v>10.231900658137899</v>
      </c>
      <c r="E4600">
        <v>6</v>
      </c>
      <c r="F4600">
        <v>1.01722196789785</v>
      </c>
      <c r="G4600" t="s">
        <v>81</v>
      </c>
      <c r="H4600" t="s">
        <v>81</v>
      </c>
      <c r="I4600">
        <v>38</v>
      </c>
      <c r="J4600">
        <v>772</v>
      </c>
      <c r="K4600">
        <v>0.101658837564709</v>
      </c>
    </row>
    <row r="4601" spans="1:11" x14ac:dyDescent="0.25">
      <c r="A4601" t="s">
        <v>83</v>
      </c>
    </row>
    <row r="4602" spans="1:11" x14ac:dyDescent="0.25">
      <c r="A4602">
        <v>21.292636433291399</v>
      </c>
      <c r="B4602">
        <v>34.427911039636598</v>
      </c>
      <c r="C4602">
        <v>2000</v>
      </c>
    </row>
    <row r="4603" spans="1:11" x14ac:dyDescent="0.25">
      <c r="A4603">
        <v>19.088347789712198</v>
      </c>
      <c r="B4603">
        <v>32.2236223960575</v>
      </c>
      <c r="C4603">
        <v>2000</v>
      </c>
    </row>
    <row r="4604" spans="1:11" x14ac:dyDescent="0.25">
      <c r="A4604">
        <v>19.5253638141611</v>
      </c>
      <c r="B4604">
        <v>31.786606371608698</v>
      </c>
      <c r="C4604">
        <v>2001</v>
      </c>
    </row>
    <row r="4605" spans="1:11" x14ac:dyDescent="0.25">
      <c r="A4605">
        <v>21.729652457740201</v>
      </c>
      <c r="B4605">
        <v>33.990895015187803</v>
      </c>
      <c r="C4605">
        <v>2001</v>
      </c>
    </row>
    <row r="4606" spans="1:11" x14ac:dyDescent="0.25">
      <c r="A4606">
        <v>28.964698797536599</v>
      </c>
      <c r="B4606">
        <v>41.225941354984201</v>
      </c>
      <c r="C4606">
        <v>2001</v>
      </c>
    </row>
    <row r="4607" spans="1:11" x14ac:dyDescent="0.25">
      <c r="A4607">
        <v>28.5276827730878</v>
      </c>
      <c r="B4607">
        <v>41.662957379433003</v>
      </c>
      <c r="C4607">
        <v>2000</v>
      </c>
    </row>
    <row r="4608" spans="1:11" x14ac:dyDescent="0.25">
      <c r="A4608" t="s">
        <v>84</v>
      </c>
    </row>
    <row r="4609" spans="1:11" x14ac:dyDescent="0.25">
      <c r="A4609">
        <v>783</v>
      </c>
      <c r="B4609">
        <v>0</v>
      </c>
      <c r="C4609">
        <v>3.60906967423628</v>
      </c>
      <c r="D4609">
        <v>9.3826937661009104</v>
      </c>
      <c r="E4609">
        <v>6</v>
      </c>
      <c r="F4609">
        <v>1.01722196789785</v>
      </c>
      <c r="G4609" t="s">
        <v>81</v>
      </c>
      <c r="H4609" t="s">
        <v>81</v>
      </c>
      <c r="I4609">
        <v>565</v>
      </c>
      <c r="J4609">
        <v>886</v>
      </c>
      <c r="K4609">
        <v>0.101899323518764</v>
      </c>
    </row>
    <row r="4610" spans="1:11" x14ac:dyDescent="0.25">
      <c r="A4610" t="s">
        <v>83</v>
      </c>
    </row>
    <row r="4611" spans="1:11" x14ac:dyDescent="0.25">
      <c r="A4611">
        <v>114.23027067083</v>
      </c>
      <c r="B4611">
        <v>74.815007237170207</v>
      </c>
      <c r="C4611">
        <v>2000</v>
      </c>
    </row>
    <row r="4612" spans="1:11" x14ac:dyDescent="0.25">
      <c r="A4612">
        <v>111.678273030402</v>
      </c>
      <c r="B4612">
        <v>72.263009596743004</v>
      </c>
      <c r="C4612">
        <v>2000</v>
      </c>
    </row>
    <row r="4613" spans="1:11" x14ac:dyDescent="0.25">
      <c r="A4613">
        <v>111.241257005954</v>
      </c>
      <c r="B4613">
        <v>72.700025621191799</v>
      </c>
      <c r="C4613">
        <v>2001</v>
      </c>
    </row>
    <row r="4614" spans="1:11" x14ac:dyDescent="0.25">
      <c r="A4614">
        <v>113.793254646381</v>
      </c>
      <c r="B4614">
        <v>75.252023261619001</v>
      </c>
      <c r="C4614">
        <v>2001</v>
      </c>
    </row>
    <row r="4615" spans="1:11" x14ac:dyDescent="0.25">
      <c r="A4615">
        <v>120.427821034188</v>
      </c>
      <c r="B4615">
        <v>81.886589649425702</v>
      </c>
      <c r="C4615">
        <v>2001</v>
      </c>
    </row>
    <row r="4616" spans="1:11" x14ac:dyDescent="0.25">
      <c r="A4616">
        <v>120.864837058636</v>
      </c>
      <c r="B4616">
        <v>81.449573624976907</v>
      </c>
      <c r="C4616">
        <v>2000</v>
      </c>
    </row>
    <row r="4617" spans="1:11" x14ac:dyDescent="0.25">
      <c r="A4617" t="s">
        <v>84</v>
      </c>
    </row>
    <row r="4618" spans="1:11" x14ac:dyDescent="0.25">
      <c r="A4618">
        <v>899</v>
      </c>
      <c r="B4618">
        <v>0</v>
      </c>
      <c r="C4618">
        <v>11.1738704574036</v>
      </c>
      <c r="D4618">
        <v>1.75186968778861</v>
      </c>
      <c r="E4618">
        <v>6</v>
      </c>
      <c r="F4618">
        <v>1.01722196789785</v>
      </c>
      <c r="G4618" t="s">
        <v>82</v>
      </c>
      <c r="H4618" t="s">
        <v>81</v>
      </c>
      <c r="I4618">
        <v>0</v>
      </c>
      <c r="J4618">
        <v>408</v>
      </c>
      <c r="K4618">
        <v>0.104772231836848</v>
      </c>
    </row>
    <row r="4619" spans="1:11" x14ac:dyDescent="0.25">
      <c r="A4619" t="s">
        <v>83</v>
      </c>
    </row>
    <row r="4620" spans="1:11" x14ac:dyDescent="0.25">
      <c r="A4620">
        <v>7.7122266971454296</v>
      </c>
      <c r="B4620">
        <v>132.67010965511599</v>
      </c>
      <c r="C4620">
        <v>2000</v>
      </c>
    </row>
    <row r="4621" spans="1:11" x14ac:dyDescent="0.25">
      <c r="A4621">
        <v>0</v>
      </c>
      <c r="B4621">
        <v>124.95788295797</v>
      </c>
      <c r="C4621">
        <v>2000</v>
      </c>
    </row>
    <row r="4622" spans="1:11" x14ac:dyDescent="0.25">
      <c r="A4622">
        <v>0</v>
      </c>
      <c r="B4622">
        <v>124.083850909072</v>
      </c>
      <c r="C4622">
        <v>2001</v>
      </c>
    </row>
    <row r="4623" spans="1:11" x14ac:dyDescent="0.25">
      <c r="A4623">
        <v>8.0900124479147593</v>
      </c>
      <c r="B4623">
        <v>132.173863356987</v>
      </c>
      <c r="C4623">
        <v>2001</v>
      </c>
    </row>
    <row r="4624" spans="1:11" x14ac:dyDescent="0.25">
      <c r="A4624">
        <v>9.3583865207449897</v>
      </c>
      <c r="B4624">
        <v>133.442237429817</v>
      </c>
      <c r="C4624">
        <v>2001</v>
      </c>
    </row>
    <row r="4625" spans="1:11" x14ac:dyDescent="0.25">
      <c r="A4625">
        <v>8.92137049629617</v>
      </c>
      <c r="B4625">
        <v>133.87925345426601</v>
      </c>
      <c r="C4625">
        <v>2000</v>
      </c>
    </row>
    <row r="4626" spans="1:11" x14ac:dyDescent="0.25">
      <c r="A4626" t="s">
        <v>84</v>
      </c>
    </row>
    <row r="4627" spans="1:11" x14ac:dyDescent="0.25">
      <c r="A4627">
        <v>428</v>
      </c>
      <c r="B4627">
        <v>0</v>
      </c>
      <c r="C4627">
        <v>1.38787506211665</v>
      </c>
      <c r="D4627">
        <v>11.309609352360299</v>
      </c>
      <c r="E4627">
        <v>8</v>
      </c>
      <c r="F4627">
        <v>1.01722196789785</v>
      </c>
      <c r="G4627" t="s">
        <v>81</v>
      </c>
      <c r="H4627" t="s">
        <v>81</v>
      </c>
      <c r="I4627">
        <v>806</v>
      </c>
      <c r="J4627">
        <v>1002</v>
      </c>
      <c r="K4627">
        <v>0</v>
      </c>
    </row>
    <row r="4628" spans="1:11" x14ac:dyDescent="0.25">
      <c r="A4628" t="s">
        <v>83</v>
      </c>
    </row>
    <row r="4629" spans="1:11" x14ac:dyDescent="0.25">
      <c r="A4629">
        <v>42.876891319121498</v>
      </c>
      <c r="B4629">
        <v>122.677890481739</v>
      </c>
      <c r="C4629">
        <v>2000</v>
      </c>
    </row>
    <row r="4630" spans="1:11" x14ac:dyDescent="0.25">
      <c r="A4630">
        <v>41.895515451259101</v>
      </c>
      <c r="B4630">
        <v>121.696514613876</v>
      </c>
      <c r="C4630">
        <v>2000</v>
      </c>
    </row>
    <row r="4631" spans="1:11" x14ac:dyDescent="0.25">
      <c r="A4631">
        <v>42.332531475707903</v>
      </c>
      <c r="B4631">
        <v>121.259498589427</v>
      </c>
      <c r="C4631">
        <v>2001</v>
      </c>
    </row>
    <row r="4632" spans="1:11" x14ac:dyDescent="0.25">
      <c r="A4632">
        <v>43.3139073435703</v>
      </c>
      <c r="B4632">
        <v>122.24087445729</v>
      </c>
      <c r="C4632">
        <v>2001</v>
      </c>
    </row>
    <row r="4633" spans="1:11" x14ac:dyDescent="0.25">
      <c r="A4633">
        <v>50.218508012224397</v>
      </c>
      <c r="B4633">
        <v>129.14547512594399</v>
      </c>
      <c r="C4633">
        <v>2001</v>
      </c>
    </row>
    <row r="4634" spans="1:11" x14ac:dyDescent="0.25">
      <c r="A4634">
        <v>51.311008809195002</v>
      </c>
      <c r="B4634">
        <v>130.23797592291399</v>
      </c>
      <c r="C4634">
        <v>2001</v>
      </c>
    </row>
    <row r="4635" spans="1:11" x14ac:dyDescent="0.25">
      <c r="A4635">
        <v>50.8739927847462</v>
      </c>
      <c r="B4635">
        <v>130.674991947363</v>
      </c>
      <c r="C4635">
        <v>2000</v>
      </c>
    </row>
    <row r="4636" spans="1:11" x14ac:dyDescent="0.25">
      <c r="A4636">
        <v>49.781491987775603</v>
      </c>
      <c r="B4636">
        <v>129.582491150393</v>
      </c>
      <c r="C4636">
        <v>2000</v>
      </c>
    </row>
    <row r="4637" spans="1:11" x14ac:dyDescent="0.25">
      <c r="A4637" t="s">
        <v>84</v>
      </c>
    </row>
    <row r="4638" spans="1:11" x14ac:dyDescent="0.25">
      <c r="A4638">
        <v>1020</v>
      </c>
      <c r="B4638">
        <v>0</v>
      </c>
      <c r="C4638">
        <v>8.2444483502247703</v>
      </c>
      <c r="D4638">
        <v>4.43794699947615</v>
      </c>
      <c r="E4638">
        <v>6</v>
      </c>
      <c r="F4638">
        <v>1.01722196789785</v>
      </c>
      <c r="G4638" t="s">
        <v>82</v>
      </c>
      <c r="H4638" t="s">
        <v>82</v>
      </c>
      <c r="I4638">
        <v>0</v>
      </c>
      <c r="J4638">
        <v>0</v>
      </c>
      <c r="K4638">
        <v>0.111346599392133</v>
      </c>
    </row>
    <row r="4639" spans="1:11" x14ac:dyDescent="0.25">
      <c r="A4639" t="s">
        <v>83</v>
      </c>
    </row>
    <row r="4640" spans="1:11" x14ac:dyDescent="0.25">
      <c r="A4640">
        <v>147.014822475328</v>
      </c>
      <c r="B4640">
        <v>5.5456142043414998</v>
      </c>
      <c r="C4640">
        <v>2000</v>
      </c>
    </row>
    <row r="4641" spans="1:11" x14ac:dyDescent="0.25">
      <c r="A4641">
        <v>141.469208270987</v>
      </c>
      <c r="B4641">
        <v>0</v>
      </c>
      <c r="C4641">
        <v>2000</v>
      </c>
    </row>
    <row r="4642" spans="1:11" x14ac:dyDescent="0.25">
      <c r="A4642">
        <v>140.59517622208901</v>
      </c>
      <c r="B4642">
        <v>0</v>
      </c>
      <c r="C4642">
        <v>2001</v>
      </c>
    </row>
    <row r="4643" spans="1:11" x14ac:dyDescent="0.25">
      <c r="A4643">
        <v>146.70897268892</v>
      </c>
      <c r="B4643">
        <v>6.1137964668308804</v>
      </c>
      <c r="C4643">
        <v>2001</v>
      </c>
    </row>
    <row r="4644" spans="1:11" x14ac:dyDescent="0.25">
      <c r="A4644">
        <v>150</v>
      </c>
      <c r="B4644">
        <v>9.4048237779110995</v>
      </c>
      <c r="C4644">
        <v>2001</v>
      </c>
    </row>
    <row r="4645" spans="1:11" x14ac:dyDescent="0.25">
      <c r="A4645">
        <v>150</v>
      </c>
      <c r="B4645">
        <v>8.5307917290134405</v>
      </c>
      <c r="C4645">
        <v>2000</v>
      </c>
    </row>
    <row r="4646" spans="1:11" x14ac:dyDescent="0.25">
      <c r="A4646" t="s">
        <v>84</v>
      </c>
    </row>
    <row r="4647" spans="1:11" x14ac:dyDescent="0.25">
      <c r="A4647">
        <v>266</v>
      </c>
      <c r="B4647">
        <v>0</v>
      </c>
      <c r="C4647">
        <v>5.6651420457990902</v>
      </c>
      <c r="D4647">
        <v>6.8546692804279097</v>
      </c>
      <c r="E4647">
        <v>6</v>
      </c>
      <c r="F4647">
        <v>1.01722196789785</v>
      </c>
      <c r="G4647" t="s">
        <v>81</v>
      </c>
      <c r="H4647" t="s">
        <v>81</v>
      </c>
      <c r="I4647">
        <v>845</v>
      </c>
      <c r="J4647">
        <v>966</v>
      </c>
      <c r="K4647">
        <v>0</v>
      </c>
    </row>
    <row r="4648" spans="1:11" x14ac:dyDescent="0.25">
      <c r="A4648" t="s">
        <v>83</v>
      </c>
    </row>
    <row r="4649" spans="1:11" x14ac:dyDescent="0.25">
      <c r="A4649">
        <v>124.5541191737</v>
      </c>
      <c r="B4649">
        <v>104.925464611927</v>
      </c>
      <c r="C4649">
        <v>2000</v>
      </c>
    </row>
    <row r="4650" spans="1:11" x14ac:dyDescent="0.25">
      <c r="A4650">
        <v>120.54825881673</v>
      </c>
      <c r="B4650">
        <v>100.91960425495699</v>
      </c>
      <c r="C4650">
        <v>2000</v>
      </c>
    </row>
    <row r="4651" spans="1:11" x14ac:dyDescent="0.25">
      <c r="A4651">
        <v>120.98527484117901</v>
      </c>
      <c r="B4651">
        <v>100.48258823050899</v>
      </c>
      <c r="C4651">
        <v>2001</v>
      </c>
    </row>
    <row r="4652" spans="1:11" x14ac:dyDescent="0.25">
      <c r="A4652">
        <v>124.991135198149</v>
      </c>
      <c r="B4652">
        <v>104.488448587478</v>
      </c>
      <c r="C4652">
        <v>2001</v>
      </c>
    </row>
    <row r="4653" spans="1:11" x14ac:dyDescent="0.25">
      <c r="A4653">
        <v>129.83811832913</v>
      </c>
      <c r="B4653">
        <v>109.33543171846</v>
      </c>
      <c r="C4653">
        <v>2001</v>
      </c>
    </row>
    <row r="4654" spans="1:11" x14ac:dyDescent="0.25">
      <c r="A4654">
        <v>129.40110230468201</v>
      </c>
      <c r="B4654">
        <v>109.77244774290899</v>
      </c>
      <c r="C4654">
        <v>2000</v>
      </c>
    </row>
    <row r="4655" spans="1:11" x14ac:dyDescent="0.25">
      <c r="A4655" t="s">
        <v>84</v>
      </c>
    </row>
    <row r="4656" spans="1:11" x14ac:dyDescent="0.25">
      <c r="A4656">
        <v>974</v>
      </c>
      <c r="B4656">
        <v>0</v>
      </c>
      <c r="C4656">
        <v>6.5490659811938201</v>
      </c>
      <c r="D4656">
        <v>5.9636811908910703</v>
      </c>
      <c r="E4656">
        <v>6</v>
      </c>
      <c r="F4656">
        <v>1.01722196789785</v>
      </c>
      <c r="G4656" t="s">
        <v>82</v>
      </c>
      <c r="H4656" t="s">
        <v>82</v>
      </c>
      <c r="I4656">
        <v>0</v>
      </c>
      <c r="J4656">
        <v>0</v>
      </c>
      <c r="K4656">
        <v>0.107871585097263</v>
      </c>
    </row>
    <row r="4657" spans="1:11" x14ac:dyDescent="0.25">
      <c r="A4657" t="s">
        <v>83</v>
      </c>
    </row>
    <row r="4658" spans="1:11" x14ac:dyDescent="0.25">
      <c r="A4658">
        <v>4.8596194547043297</v>
      </c>
      <c r="B4658">
        <v>145.574755053601</v>
      </c>
      <c r="C4658">
        <v>2000</v>
      </c>
    </row>
    <row r="4659" spans="1:11" x14ac:dyDescent="0.25">
      <c r="A4659">
        <v>0</v>
      </c>
      <c r="B4659">
        <v>140.71513559889701</v>
      </c>
      <c r="C4659">
        <v>2000</v>
      </c>
    </row>
    <row r="4660" spans="1:11" x14ac:dyDescent="0.25">
      <c r="A4660">
        <v>0</v>
      </c>
      <c r="B4660">
        <v>141.58916764779499</v>
      </c>
      <c r="C4660">
        <v>2001</v>
      </c>
    </row>
    <row r="4661" spans="1:11" x14ac:dyDescent="0.25">
      <c r="A4661">
        <v>4.4021584767762398</v>
      </c>
      <c r="B4661">
        <v>145.991326124571</v>
      </c>
      <c r="C4661">
        <v>2001</v>
      </c>
    </row>
    <row r="4662" spans="1:11" x14ac:dyDescent="0.25">
      <c r="A4662">
        <v>8.4108323522051993</v>
      </c>
      <c r="B4662">
        <v>150</v>
      </c>
      <c r="C4662">
        <v>2001</v>
      </c>
    </row>
    <row r="4663" spans="1:11" x14ac:dyDescent="0.25">
      <c r="A4663">
        <v>9.28486440110286</v>
      </c>
      <c r="B4663">
        <v>150</v>
      </c>
      <c r="C4663">
        <v>2000</v>
      </c>
    </row>
    <row r="4664" spans="1:11" x14ac:dyDescent="0.25">
      <c r="A4664" t="s">
        <v>84</v>
      </c>
    </row>
    <row r="4665" spans="1:11" x14ac:dyDescent="0.25">
      <c r="A4665">
        <v>29</v>
      </c>
      <c r="B4665">
        <v>0</v>
      </c>
      <c r="C4665">
        <v>1.8597990855367601</v>
      </c>
      <c r="D4665">
        <v>10.5434717067556</v>
      </c>
      <c r="E4665">
        <v>6</v>
      </c>
      <c r="F4665">
        <v>1.01722196789785</v>
      </c>
      <c r="G4665" t="s">
        <v>82</v>
      </c>
      <c r="H4665" t="s">
        <v>81</v>
      </c>
      <c r="I4665">
        <v>0</v>
      </c>
      <c r="J4665">
        <v>21</v>
      </c>
      <c r="K4665">
        <v>0</v>
      </c>
    </row>
    <row r="4666" spans="1:11" x14ac:dyDescent="0.25">
      <c r="A4666" t="s">
        <v>83</v>
      </c>
    </row>
    <row r="4667" spans="1:11" x14ac:dyDescent="0.25">
      <c r="A4667">
        <v>1.2823125259133701</v>
      </c>
      <c r="B4667">
        <v>15.3873260184705</v>
      </c>
      <c r="C4667">
        <v>2000</v>
      </c>
    </row>
    <row r="4668" spans="1:11" x14ac:dyDescent="0.25">
      <c r="A4668">
        <v>0</v>
      </c>
      <c r="B4668">
        <v>14.1050134925571</v>
      </c>
      <c r="C4668">
        <v>2000</v>
      </c>
    </row>
    <row r="4669" spans="1:11" x14ac:dyDescent="0.25">
      <c r="A4669">
        <v>0</v>
      </c>
      <c r="B4669">
        <v>13.2309814436595</v>
      </c>
      <c r="C4669">
        <v>2001</v>
      </c>
    </row>
    <row r="4670" spans="1:11" x14ac:dyDescent="0.25">
      <c r="A4670">
        <v>1.3478405641417901</v>
      </c>
      <c r="B4670">
        <v>14.5788220078013</v>
      </c>
      <c r="C4670">
        <v>2001</v>
      </c>
    </row>
    <row r="4671" spans="1:11" x14ac:dyDescent="0.25">
      <c r="A4671">
        <v>8.9889448983474001</v>
      </c>
      <c r="B4671">
        <v>22.2199263420069</v>
      </c>
      <c r="C4671">
        <v>2001</v>
      </c>
    </row>
    <row r="4672" spans="1:11" x14ac:dyDescent="0.25">
      <c r="A4672">
        <v>8.5519288738985804</v>
      </c>
      <c r="B4672">
        <v>22.656942366455699</v>
      </c>
      <c r="C4672">
        <v>2000</v>
      </c>
    </row>
    <row r="4673" spans="1:11" x14ac:dyDescent="0.25">
      <c r="A4673" t="s">
        <v>84</v>
      </c>
    </row>
    <row r="4674" spans="1:11" x14ac:dyDescent="0.25">
      <c r="A4674">
        <v>971</v>
      </c>
      <c r="B4674">
        <v>0</v>
      </c>
      <c r="C4674">
        <v>1.33708748217953</v>
      </c>
      <c r="D4674">
        <v>10.9574934596681</v>
      </c>
      <c r="E4674">
        <v>6</v>
      </c>
      <c r="F4674">
        <v>1.01722196789785</v>
      </c>
      <c r="G4674" t="s">
        <v>82</v>
      </c>
      <c r="H4674" t="s">
        <v>81</v>
      </c>
      <c r="I4674">
        <v>0</v>
      </c>
      <c r="J4674">
        <v>486</v>
      </c>
      <c r="K4674">
        <v>0.10773756861497499</v>
      </c>
    </row>
    <row r="4675" spans="1:11" x14ac:dyDescent="0.25">
      <c r="A4675" t="s">
        <v>83</v>
      </c>
    </row>
    <row r="4676" spans="1:11" x14ac:dyDescent="0.25">
      <c r="A4676">
        <v>104.342320612148</v>
      </c>
      <c r="B4676">
        <v>0.92169995864856302</v>
      </c>
      <c r="C4676">
        <v>2000</v>
      </c>
    </row>
    <row r="4677" spans="1:11" x14ac:dyDescent="0.25">
      <c r="A4677">
        <v>103.4206206535</v>
      </c>
      <c r="B4677">
        <v>0</v>
      </c>
      <c r="C4677">
        <v>2000</v>
      </c>
    </row>
    <row r="4678" spans="1:11" x14ac:dyDescent="0.25">
      <c r="A4678">
        <v>102.54658860460199</v>
      </c>
      <c r="B4678">
        <v>0</v>
      </c>
      <c r="C4678">
        <v>2001</v>
      </c>
    </row>
    <row r="4679" spans="1:11" x14ac:dyDescent="0.25">
      <c r="A4679">
        <v>103.515815897331</v>
      </c>
      <c r="B4679">
        <v>0.96922729272901798</v>
      </c>
      <c r="C4679">
        <v>2001</v>
      </c>
    </row>
    <row r="4680" spans="1:11" x14ac:dyDescent="0.25">
      <c r="A4680">
        <v>111.458678172654</v>
      </c>
      <c r="B4680">
        <v>8.9120895680517194</v>
      </c>
      <c r="C4680">
        <v>2001</v>
      </c>
    </row>
    <row r="4681" spans="1:11" x14ac:dyDescent="0.25">
      <c r="A4681">
        <v>111.895694197102</v>
      </c>
      <c r="B4681">
        <v>8.4750735436029103</v>
      </c>
      <c r="C4681">
        <v>2000</v>
      </c>
    </row>
    <row r="4682" spans="1:11" x14ac:dyDescent="0.25">
      <c r="A4682" t="s">
        <v>84</v>
      </c>
    </row>
    <row r="4683" spans="1:11" x14ac:dyDescent="0.25">
      <c r="A4683">
        <v>436</v>
      </c>
      <c r="B4683">
        <v>0</v>
      </c>
      <c r="C4683">
        <v>10.1548936437657</v>
      </c>
      <c r="D4683">
        <v>2.0656395193121901</v>
      </c>
      <c r="E4683">
        <v>6</v>
      </c>
      <c r="F4683">
        <v>1.01722196789785</v>
      </c>
      <c r="G4683" t="s">
        <v>81</v>
      </c>
      <c r="H4683" t="s">
        <v>82</v>
      </c>
      <c r="I4683">
        <v>791</v>
      </c>
      <c r="J4683">
        <v>0</v>
      </c>
      <c r="K4683">
        <v>0</v>
      </c>
    </row>
    <row r="4684" spans="1:11" x14ac:dyDescent="0.25">
      <c r="A4684" t="s">
        <v>83</v>
      </c>
    </row>
    <row r="4685" spans="1:11" x14ac:dyDescent="0.25">
      <c r="A4685">
        <v>34.140914970849899</v>
      </c>
      <c r="B4685">
        <v>148.50243782905801</v>
      </c>
      <c r="C4685">
        <v>2000</v>
      </c>
    </row>
    <row r="4686" spans="1:11" x14ac:dyDescent="0.25">
      <c r="A4686">
        <v>26.7787472602398</v>
      </c>
      <c r="B4686">
        <v>141.140270118448</v>
      </c>
      <c r="C4686">
        <v>2000</v>
      </c>
    </row>
    <row r="4687" spans="1:11" x14ac:dyDescent="0.25">
      <c r="A4687">
        <v>26.341731235790899</v>
      </c>
      <c r="B4687">
        <v>141.57728614289701</v>
      </c>
      <c r="C4687">
        <v>2001</v>
      </c>
    </row>
    <row r="4688" spans="1:11" x14ac:dyDescent="0.25">
      <c r="A4688">
        <v>33.340751840650597</v>
      </c>
      <c r="B4688">
        <v>148.576306747757</v>
      </c>
      <c r="C4688">
        <v>2001</v>
      </c>
    </row>
    <row r="4689" spans="1:11" x14ac:dyDescent="0.25">
      <c r="A4689">
        <v>34.764445092894</v>
      </c>
      <c r="B4689">
        <v>150</v>
      </c>
      <c r="C4689">
        <v>2001</v>
      </c>
    </row>
    <row r="4690" spans="1:11" x14ac:dyDescent="0.25">
      <c r="A4690">
        <v>35.638477141791697</v>
      </c>
      <c r="B4690">
        <v>150</v>
      </c>
      <c r="C4690">
        <v>2000</v>
      </c>
    </row>
    <row r="4691" spans="1:11" x14ac:dyDescent="0.25">
      <c r="A4691" t="s">
        <v>84</v>
      </c>
    </row>
    <row r="4692" spans="1:11" x14ac:dyDescent="0.25">
      <c r="A4692">
        <v>753</v>
      </c>
      <c r="B4692">
        <v>0</v>
      </c>
      <c r="C4692">
        <v>2.52514213161284</v>
      </c>
      <c r="D4692">
        <v>9.4802573834393904</v>
      </c>
      <c r="E4692">
        <v>6</v>
      </c>
      <c r="F4692">
        <v>1.01722196789785</v>
      </c>
      <c r="G4692" t="s">
        <v>81</v>
      </c>
      <c r="H4692" t="s">
        <v>81</v>
      </c>
      <c r="I4692">
        <v>760</v>
      </c>
      <c r="J4692">
        <v>1032</v>
      </c>
      <c r="K4692">
        <v>9.9787223602304201E-2</v>
      </c>
    </row>
    <row r="4693" spans="1:11" x14ac:dyDescent="0.25">
      <c r="A4693" t="s">
        <v>83</v>
      </c>
    </row>
    <row r="4694" spans="1:11" x14ac:dyDescent="0.25">
      <c r="A4694">
        <v>74.326004591917794</v>
      </c>
      <c r="B4694">
        <v>26.3901306169106</v>
      </c>
      <c r="C4694">
        <v>2000</v>
      </c>
    </row>
    <row r="4695" spans="1:11" x14ac:dyDescent="0.25">
      <c r="A4695">
        <v>72.540459467194495</v>
      </c>
      <c r="B4695">
        <v>24.604585492187301</v>
      </c>
      <c r="C4695">
        <v>2000</v>
      </c>
    </row>
    <row r="4696" spans="1:11" x14ac:dyDescent="0.25">
      <c r="A4696">
        <v>72.1034434427457</v>
      </c>
      <c r="B4696">
        <v>25.041601516636199</v>
      </c>
      <c r="C4696">
        <v>2001</v>
      </c>
    </row>
    <row r="4697" spans="1:11" x14ac:dyDescent="0.25">
      <c r="A4697">
        <v>73.888988567468999</v>
      </c>
      <c r="B4697">
        <v>26.827146641359501</v>
      </c>
      <c r="C4697">
        <v>2001</v>
      </c>
    </row>
    <row r="4698" spans="1:11" x14ac:dyDescent="0.25">
      <c r="A4698">
        <v>80.592542850692794</v>
      </c>
      <c r="B4698">
        <v>33.5307009245833</v>
      </c>
      <c r="C4698">
        <v>2001</v>
      </c>
    </row>
    <row r="4699" spans="1:11" x14ac:dyDescent="0.25">
      <c r="A4699">
        <v>81.029558875141603</v>
      </c>
      <c r="B4699">
        <v>33.093684900134498</v>
      </c>
      <c r="C4699">
        <v>2000</v>
      </c>
    </row>
    <row r="4700" spans="1:11" x14ac:dyDescent="0.25">
      <c r="A4700" t="s">
        <v>84</v>
      </c>
    </row>
    <row r="4701" spans="1:11" x14ac:dyDescent="0.25">
      <c r="A4701">
        <v>763</v>
      </c>
      <c r="B4701">
        <v>0</v>
      </c>
      <c r="C4701">
        <v>6.6486874004669803</v>
      </c>
      <c r="D4701">
        <v>5.2706091591520297</v>
      </c>
      <c r="E4701">
        <v>6</v>
      </c>
      <c r="F4701">
        <v>1.01722196789785</v>
      </c>
      <c r="G4701" t="s">
        <v>82</v>
      </c>
      <c r="H4701" t="s">
        <v>81</v>
      </c>
      <c r="I4701">
        <v>0</v>
      </c>
      <c r="J4701">
        <v>810</v>
      </c>
      <c r="K4701">
        <v>0.100785207567138</v>
      </c>
    </row>
    <row r="4702" spans="1:11" x14ac:dyDescent="0.25">
      <c r="A4702" t="s">
        <v>83</v>
      </c>
    </row>
    <row r="4703" spans="1:11" x14ac:dyDescent="0.25">
      <c r="A4703">
        <v>4.8232176185947404</v>
      </c>
      <c r="B4703">
        <v>94.770262572282903</v>
      </c>
      <c r="C4703">
        <v>2000</v>
      </c>
    </row>
    <row r="4704" spans="1:11" x14ac:dyDescent="0.25">
      <c r="A4704">
        <v>0</v>
      </c>
      <c r="B4704">
        <v>89.947044953688206</v>
      </c>
      <c r="C4704">
        <v>2000</v>
      </c>
    </row>
    <row r="4705" spans="1:11" x14ac:dyDescent="0.25">
      <c r="A4705">
        <v>0</v>
      </c>
      <c r="B4705">
        <v>90.821077002585795</v>
      </c>
      <c r="C4705">
        <v>2001</v>
      </c>
    </row>
    <row r="4706" spans="1:11" x14ac:dyDescent="0.25">
      <c r="A4706">
        <v>4.5794462751247904</v>
      </c>
      <c r="B4706">
        <v>95.400523277710604</v>
      </c>
      <c r="C4706">
        <v>2001</v>
      </c>
    </row>
    <row r="4707" spans="1:11" x14ac:dyDescent="0.25">
      <c r="A4707">
        <v>8.2097074120556801</v>
      </c>
      <c r="B4707">
        <v>99.030784414641502</v>
      </c>
      <c r="C4707">
        <v>2001</v>
      </c>
    </row>
    <row r="4708" spans="1:11" x14ac:dyDescent="0.25">
      <c r="A4708">
        <v>8.6467234365044998</v>
      </c>
      <c r="B4708">
        <v>98.593768390192693</v>
      </c>
      <c r="C4708">
        <v>2000</v>
      </c>
    </row>
    <row r="4709" spans="1:11" x14ac:dyDescent="0.25">
      <c r="A4709" t="s">
        <v>84</v>
      </c>
    </row>
    <row r="4710" spans="1:11" x14ac:dyDescent="0.25">
      <c r="A4710">
        <v>905</v>
      </c>
      <c r="B4710">
        <v>0</v>
      </c>
      <c r="C4710">
        <v>1.5186579342648401</v>
      </c>
      <c r="D4710">
        <v>10.1879288425217</v>
      </c>
      <c r="E4710">
        <v>8</v>
      </c>
      <c r="F4710">
        <v>1.01722196789785</v>
      </c>
      <c r="G4710" t="s">
        <v>81</v>
      </c>
      <c r="H4710" t="s">
        <v>81</v>
      </c>
      <c r="I4710">
        <v>435</v>
      </c>
      <c r="J4710">
        <v>869</v>
      </c>
      <c r="K4710">
        <v>0.104952687375285</v>
      </c>
    </row>
    <row r="4711" spans="1:11" x14ac:dyDescent="0.25">
      <c r="A4711" t="s">
        <v>83</v>
      </c>
    </row>
    <row r="4712" spans="1:11" x14ac:dyDescent="0.25">
      <c r="A4712">
        <v>45.7899252203202</v>
      </c>
      <c r="B4712">
        <v>123.006381008316</v>
      </c>
      <c r="C4712">
        <v>2000</v>
      </c>
    </row>
    <row r="4713" spans="1:11" x14ac:dyDescent="0.25">
      <c r="A4713">
        <v>44.716071896698701</v>
      </c>
      <c r="B4713">
        <v>121.93252768469399</v>
      </c>
      <c r="C4713">
        <v>2000</v>
      </c>
    </row>
    <row r="4714" spans="1:11" x14ac:dyDescent="0.25">
      <c r="A4714">
        <v>44.279055872249899</v>
      </c>
      <c r="B4714">
        <v>122.369543709143</v>
      </c>
      <c r="C4714">
        <v>2001</v>
      </c>
    </row>
    <row r="4715" spans="1:11" x14ac:dyDescent="0.25">
      <c r="A4715">
        <v>45.352909195871298</v>
      </c>
      <c r="B4715">
        <v>123.44339703276501</v>
      </c>
      <c r="C4715">
        <v>2001</v>
      </c>
    </row>
    <row r="4716" spans="1:11" x14ac:dyDescent="0.25">
      <c r="A4716">
        <v>49.781491987775603</v>
      </c>
      <c r="B4716">
        <v>127.871979824669</v>
      </c>
      <c r="C4716">
        <v>2001</v>
      </c>
    </row>
    <row r="4717" spans="1:11" x14ac:dyDescent="0.25">
      <c r="A4717">
        <v>52.556862766664402</v>
      </c>
      <c r="B4717">
        <v>130.64735060355801</v>
      </c>
      <c r="C4717">
        <v>2001</v>
      </c>
    </row>
    <row r="4718" spans="1:11" x14ac:dyDescent="0.25">
      <c r="A4718">
        <v>52.993878791113303</v>
      </c>
      <c r="B4718">
        <v>130.210334579109</v>
      </c>
      <c r="C4718">
        <v>2000</v>
      </c>
    </row>
    <row r="4719" spans="1:11" x14ac:dyDescent="0.25">
      <c r="A4719">
        <v>50.218508012224397</v>
      </c>
      <c r="B4719">
        <v>127.43496380022</v>
      </c>
      <c r="C4719">
        <v>2000</v>
      </c>
    </row>
    <row r="4720" spans="1:11" x14ac:dyDescent="0.25">
      <c r="A4720" t="s">
        <v>84</v>
      </c>
    </row>
    <row r="4721" spans="1:11" x14ac:dyDescent="0.25">
      <c r="A4721">
        <v>27</v>
      </c>
      <c r="B4721">
        <v>0</v>
      </c>
      <c r="C4721">
        <v>2.1734800679571298</v>
      </c>
      <c r="D4721">
        <v>9.3141692917057703</v>
      </c>
      <c r="E4721">
        <v>8</v>
      </c>
      <c r="F4721">
        <v>1.01722196789785</v>
      </c>
      <c r="G4721" t="s">
        <v>82</v>
      </c>
      <c r="H4721" t="s">
        <v>81</v>
      </c>
      <c r="I4721">
        <v>0</v>
      </c>
      <c r="J4721">
        <v>768</v>
      </c>
      <c r="K4721">
        <v>0</v>
      </c>
    </row>
    <row r="4722" spans="1:11" x14ac:dyDescent="0.25">
      <c r="A4722" t="s">
        <v>83</v>
      </c>
    </row>
    <row r="4723" spans="1:11" x14ac:dyDescent="0.25">
      <c r="A4723">
        <v>1.37390867725392</v>
      </c>
      <c r="B4723">
        <v>49.750341327211501</v>
      </c>
      <c r="C4723">
        <v>2000</v>
      </c>
    </row>
    <row r="4724" spans="1:11" x14ac:dyDescent="0.25">
      <c r="A4724">
        <v>0</v>
      </c>
      <c r="B4724">
        <v>48.3764326499576</v>
      </c>
      <c r="C4724">
        <v>2000</v>
      </c>
    </row>
    <row r="4725" spans="1:11" x14ac:dyDescent="0.25">
      <c r="A4725">
        <v>0</v>
      </c>
      <c r="B4725">
        <v>47.502400601060003</v>
      </c>
      <c r="C4725">
        <v>2001</v>
      </c>
    </row>
    <row r="4726" spans="1:11" x14ac:dyDescent="0.25">
      <c r="A4726">
        <v>1.6998563123986501</v>
      </c>
      <c r="B4726">
        <v>49.202256913458598</v>
      </c>
      <c r="C4726">
        <v>2001</v>
      </c>
    </row>
    <row r="4727" spans="1:11" x14ac:dyDescent="0.25">
      <c r="A4727">
        <v>2.2790913867156299</v>
      </c>
      <c r="B4727">
        <v>49.781491987775603</v>
      </c>
      <c r="C4727">
        <v>2001</v>
      </c>
    </row>
    <row r="4728" spans="1:11" x14ac:dyDescent="0.25">
      <c r="A4728">
        <v>8.3415027743353498</v>
      </c>
      <c r="B4728">
        <v>55.8439033753953</v>
      </c>
      <c r="C4728">
        <v>2001</v>
      </c>
    </row>
    <row r="4729" spans="1:11" x14ac:dyDescent="0.25">
      <c r="A4729">
        <v>7.9044867498865301</v>
      </c>
      <c r="B4729">
        <v>56.280919399844102</v>
      </c>
      <c r="C4729">
        <v>2000</v>
      </c>
    </row>
    <row r="4730" spans="1:11" x14ac:dyDescent="0.25">
      <c r="A4730">
        <v>1.84207536226681</v>
      </c>
      <c r="B4730">
        <v>50.218508012224397</v>
      </c>
      <c r="C4730">
        <v>2000</v>
      </c>
    </row>
    <row r="4731" spans="1:11" x14ac:dyDescent="0.25">
      <c r="A4731" t="s">
        <v>84</v>
      </c>
    </row>
    <row r="4732" spans="1:11" x14ac:dyDescent="0.25">
      <c r="A4732">
        <v>268</v>
      </c>
      <c r="B4732">
        <v>0</v>
      </c>
      <c r="C4732">
        <v>2.2972942240373602</v>
      </c>
      <c r="D4732">
        <v>9.0077881985711805</v>
      </c>
      <c r="E4732">
        <v>6</v>
      </c>
      <c r="F4732">
        <v>1.01722196789785</v>
      </c>
      <c r="G4732" t="s">
        <v>81</v>
      </c>
      <c r="H4732" t="s">
        <v>82</v>
      </c>
      <c r="I4732">
        <v>978</v>
      </c>
      <c r="J4732">
        <v>0</v>
      </c>
      <c r="K4732">
        <v>0</v>
      </c>
    </row>
    <row r="4733" spans="1:11" x14ac:dyDescent="0.25">
      <c r="A4733" t="s">
        <v>83</v>
      </c>
    </row>
    <row r="4734" spans="1:11" x14ac:dyDescent="0.25">
      <c r="A4734">
        <v>133.26417527211601</v>
      </c>
      <c r="B4734">
        <v>143.804637104085</v>
      </c>
      <c r="C4734">
        <v>2000</v>
      </c>
    </row>
    <row r="4735" spans="1:11" x14ac:dyDescent="0.25">
      <c r="A4735">
        <v>131.684145737356</v>
      </c>
      <c r="B4735">
        <v>142.224607569325</v>
      </c>
      <c r="C4735">
        <v>2000</v>
      </c>
    </row>
    <row r="4736" spans="1:11" x14ac:dyDescent="0.25">
      <c r="A4736">
        <v>132.12116176180501</v>
      </c>
      <c r="B4736">
        <v>141.78759154487599</v>
      </c>
      <c r="C4736">
        <v>2001</v>
      </c>
    </row>
    <row r="4737" spans="1:11" x14ac:dyDescent="0.25">
      <c r="A4737">
        <v>133.78999687544001</v>
      </c>
      <c r="B4737">
        <v>143.45642665851199</v>
      </c>
      <c r="C4737">
        <v>2001</v>
      </c>
    </row>
    <row r="4738" spans="1:11" x14ac:dyDescent="0.25">
      <c r="A4738">
        <v>140.33357021692899</v>
      </c>
      <c r="B4738">
        <v>150</v>
      </c>
      <c r="C4738">
        <v>2001</v>
      </c>
    </row>
    <row r="4739" spans="1:11" x14ac:dyDescent="0.25">
      <c r="A4739">
        <v>139.459538168031</v>
      </c>
      <c r="B4739">
        <v>150</v>
      </c>
      <c r="C4739">
        <v>2000</v>
      </c>
    </row>
    <row r="4740" spans="1:11" x14ac:dyDescent="0.25">
      <c r="A4740" t="s">
        <v>84</v>
      </c>
    </row>
    <row r="4741" spans="1:11" x14ac:dyDescent="0.25">
      <c r="A4741">
        <v>989</v>
      </c>
      <c r="B4741">
        <v>0</v>
      </c>
      <c r="C4741">
        <v>9.4495472304301398</v>
      </c>
      <c r="D4741">
        <v>1.85337742047309</v>
      </c>
      <c r="E4741">
        <v>6</v>
      </c>
      <c r="F4741">
        <v>1.01722196789785</v>
      </c>
      <c r="G4741" t="s">
        <v>82</v>
      </c>
      <c r="H4741" t="s">
        <v>82</v>
      </c>
      <c r="I4741">
        <v>0</v>
      </c>
      <c r="J4741">
        <v>0</v>
      </c>
      <c r="K4741">
        <v>0.108640479089613</v>
      </c>
    </row>
    <row r="4742" spans="1:11" x14ac:dyDescent="0.25">
      <c r="A4742" t="s">
        <v>83</v>
      </c>
    </row>
    <row r="4743" spans="1:11" x14ac:dyDescent="0.25">
      <c r="A4743">
        <v>148.76112320077999</v>
      </c>
      <c r="B4743">
        <v>6.3164818442252297</v>
      </c>
      <c r="C4743">
        <v>2000</v>
      </c>
    </row>
    <row r="4744" spans="1:11" x14ac:dyDescent="0.25">
      <c r="A4744">
        <v>142.444641356555</v>
      </c>
      <c r="B4744">
        <v>0</v>
      </c>
      <c r="C4744">
        <v>2000</v>
      </c>
    </row>
    <row r="4745" spans="1:11" x14ac:dyDescent="0.25">
      <c r="A4745">
        <v>141.57060930765701</v>
      </c>
      <c r="B4745">
        <v>0</v>
      </c>
      <c r="C4745">
        <v>2001</v>
      </c>
    </row>
    <row r="4746" spans="1:11" x14ac:dyDescent="0.25">
      <c r="A4746">
        <v>148.61780531499099</v>
      </c>
      <c r="B4746">
        <v>7.0471960073341702</v>
      </c>
      <c r="C4746">
        <v>2001</v>
      </c>
    </row>
    <row r="4747" spans="1:11" x14ac:dyDescent="0.25">
      <c r="A4747">
        <v>150</v>
      </c>
      <c r="B4747">
        <v>8.4293906923430804</v>
      </c>
      <c r="C4747">
        <v>2001</v>
      </c>
    </row>
    <row r="4748" spans="1:11" x14ac:dyDescent="0.25">
      <c r="A4748">
        <v>150</v>
      </c>
      <c r="B4748">
        <v>7.5553586434454196</v>
      </c>
      <c r="C4748">
        <v>2000</v>
      </c>
    </row>
    <row r="4749" spans="1:11" x14ac:dyDescent="0.25">
      <c r="A4749" t="s">
        <v>84</v>
      </c>
    </row>
    <row r="4750" spans="1:11" x14ac:dyDescent="0.25">
      <c r="A4750">
        <v>833</v>
      </c>
      <c r="B4750">
        <v>0</v>
      </c>
      <c r="C4750">
        <v>10.7030271496845</v>
      </c>
      <c r="D4750">
        <v>0.24502810458824301</v>
      </c>
      <c r="E4750">
        <v>6</v>
      </c>
      <c r="F4750">
        <v>1.01722196789785</v>
      </c>
      <c r="G4750" t="s">
        <v>81</v>
      </c>
      <c r="H4750" t="s">
        <v>81</v>
      </c>
      <c r="I4750">
        <v>750</v>
      </c>
      <c r="J4750">
        <v>849</v>
      </c>
      <c r="K4750">
        <v>0.103203672621368</v>
      </c>
    </row>
    <row r="4751" spans="1:11" x14ac:dyDescent="0.25">
      <c r="A4751" t="s">
        <v>83</v>
      </c>
    </row>
    <row r="4752" spans="1:11" x14ac:dyDescent="0.25">
      <c r="A4752">
        <v>79.690916590253096</v>
      </c>
      <c r="B4752">
        <v>96.842041287958807</v>
      </c>
      <c r="C4752">
        <v>2000</v>
      </c>
    </row>
    <row r="4753" spans="1:11" x14ac:dyDescent="0.25">
      <c r="A4753">
        <v>72.122733513487503</v>
      </c>
      <c r="B4753">
        <v>89.2738582111932</v>
      </c>
      <c r="C4753">
        <v>2000</v>
      </c>
    </row>
    <row r="4754" spans="1:11" x14ac:dyDescent="0.25">
      <c r="A4754">
        <v>72.559749537936298</v>
      </c>
      <c r="B4754">
        <v>88.836842186744406</v>
      </c>
      <c r="C4754">
        <v>2001</v>
      </c>
    </row>
    <row r="4755" spans="1:11" x14ac:dyDescent="0.25">
      <c r="A4755">
        <v>80.127932614701905</v>
      </c>
      <c r="B4755">
        <v>96.405025263509998</v>
      </c>
      <c r="C4755">
        <v>2001</v>
      </c>
    </row>
    <row r="4756" spans="1:11" x14ac:dyDescent="0.25">
      <c r="A4756">
        <v>80.3011936490376</v>
      </c>
      <c r="B4756">
        <v>96.578286297845693</v>
      </c>
      <c r="C4756">
        <v>2001</v>
      </c>
    </row>
    <row r="4757" spans="1:11" x14ac:dyDescent="0.25">
      <c r="A4757">
        <v>79.864177624588805</v>
      </c>
      <c r="B4757">
        <v>97.015302322294502</v>
      </c>
      <c r="C4757">
        <v>2000</v>
      </c>
    </row>
    <row r="4758" spans="1:11" x14ac:dyDescent="0.25">
      <c r="A4758" t="s">
        <v>84</v>
      </c>
    </row>
    <row r="4759" spans="1:11" x14ac:dyDescent="0.25">
      <c r="A4759">
        <v>751</v>
      </c>
      <c r="B4759">
        <v>0</v>
      </c>
      <c r="C4759">
        <v>4.4879247688706396</v>
      </c>
      <c r="D4759">
        <v>6.4594154246861004</v>
      </c>
      <c r="E4759">
        <v>6</v>
      </c>
      <c r="F4759">
        <v>1.01722196789785</v>
      </c>
      <c r="G4759" t="s">
        <v>81</v>
      </c>
      <c r="H4759" t="s">
        <v>81</v>
      </c>
      <c r="I4759">
        <v>844</v>
      </c>
      <c r="J4759">
        <v>900</v>
      </c>
      <c r="K4759">
        <v>0.101899323518764</v>
      </c>
    </row>
    <row r="4760" spans="1:11" x14ac:dyDescent="0.25">
      <c r="A4760" t="s">
        <v>83</v>
      </c>
    </row>
    <row r="4761" spans="1:11" x14ac:dyDescent="0.25">
      <c r="A4761">
        <v>59.819711683229599</v>
      </c>
      <c r="B4761">
        <v>59.891268216027399</v>
      </c>
      <c r="C4761">
        <v>2000</v>
      </c>
    </row>
    <row r="4762" spans="1:11" x14ac:dyDescent="0.25">
      <c r="A4762">
        <v>56.646269645706099</v>
      </c>
      <c r="B4762">
        <v>56.717826178503799</v>
      </c>
      <c r="C4762">
        <v>2000</v>
      </c>
    </row>
    <row r="4763" spans="1:11" x14ac:dyDescent="0.25">
      <c r="A4763">
        <v>56.209253621257297</v>
      </c>
      <c r="B4763">
        <v>57.1548422029527</v>
      </c>
      <c r="C4763">
        <v>2001</v>
      </c>
    </row>
    <row r="4764" spans="1:11" x14ac:dyDescent="0.25">
      <c r="A4764">
        <v>59.382695658780797</v>
      </c>
      <c r="B4764">
        <v>60.328284240476201</v>
      </c>
      <c r="C4764">
        <v>2001</v>
      </c>
    </row>
    <row r="4765" spans="1:11" x14ac:dyDescent="0.25">
      <c r="A4765">
        <v>63.950192108077303</v>
      </c>
      <c r="B4765">
        <v>64.895780689772707</v>
      </c>
      <c r="C4765">
        <v>2001</v>
      </c>
    </row>
    <row r="4766" spans="1:11" x14ac:dyDescent="0.25">
      <c r="A4766">
        <v>64.387208132526098</v>
      </c>
      <c r="B4766">
        <v>64.458764665323898</v>
      </c>
      <c r="C4766">
        <v>2000</v>
      </c>
    </row>
    <row r="4767" spans="1:11" x14ac:dyDescent="0.25">
      <c r="A4767" t="s">
        <v>84</v>
      </c>
    </row>
    <row r="4768" spans="1:11" x14ac:dyDescent="0.25">
      <c r="A4768">
        <v>108</v>
      </c>
      <c r="B4768">
        <v>0</v>
      </c>
      <c r="C4768">
        <v>10.679938790049199</v>
      </c>
      <c r="D4768">
        <v>0.143972842195112</v>
      </c>
      <c r="E4768">
        <v>6</v>
      </c>
      <c r="F4768">
        <v>1.01722196789785</v>
      </c>
      <c r="G4768" t="s">
        <v>81</v>
      </c>
      <c r="H4768" t="s">
        <v>81</v>
      </c>
      <c r="I4768">
        <v>103</v>
      </c>
      <c r="J4768">
        <v>106</v>
      </c>
      <c r="K4768">
        <v>0</v>
      </c>
    </row>
    <row r="4769" spans="1:11" x14ac:dyDescent="0.25">
      <c r="A4769" t="s">
        <v>83</v>
      </c>
    </row>
    <row r="4770" spans="1:11" x14ac:dyDescent="0.25">
      <c r="A4770">
        <v>33.1902421736999</v>
      </c>
      <c r="B4770">
        <v>84.741868836223802</v>
      </c>
      <c r="C4770">
        <v>2000</v>
      </c>
    </row>
    <row r="4771" spans="1:11" x14ac:dyDescent="0.25">
      <c r="A4771">
        <v>25.638385032598901</v>
      </c>
      <c r="B4771">
        <v>77.190011695122806</v>
      </c>
      <c r="C4771">
        <v>2000</v>
      </c>
    </row>
    <row r="4772" spans="1:11" x14ac:dyDescent="0.25">
      <c r="A4772">
        <v>25.201369008150099</v>
      </c>
      <c r="B4772">
        <v>77.627027719571601</v>
      </c>
      <c r="C4772">
        <v>2001</v>
      </c>
    </row>
    <row r="4773" spans="1:11" x14ac:dyDescent="0.25">
      <c r="A4773">
        <v>32.753226149251098</v>
      </c>
      <c r="B4773">
        <v>85.178884860672596</v>
      </c>
      <c r="C4773">
        <v>2001</v>
      </c>
    </row>
    <row r="4774" spans="1:11" x14ac:dyDescent="0.25">
      <c r="A4774">
        <v>32.855030322273997</v>
      </c>
      <c r="B4774">
        <v>85.280689033695495</v>
      </c>
      <c r="C4774">
        <v>2001</v>
      </c>
    </row>
    <row r="4775" spans="1:11" x14ac:dyDescent="0.25">
      <c r="A4775">
        <v>33.292046346722799</v>
      </c>
      <c r="B4775">
        <v>84.8436730092467</v>
      </c>
      <c r="C4775">
        <v>2000</v>
      </c>
    </row>
    <row r="4776" spans="1:11" x14ac:dyDescent="0.25">
      <c r="A4776" t="s">
        <v>84</v>
      </c>
    </row>
    <row r="4777" spans="1:11" x14ac:dyDescent="0.25">
      <c r="A4777">
        <v>1001</v>
      </c>
      <c r="B4777">
        <v>0</v>
      </c>
      <c r="C4777">
        <v>6.0396388833936596</v>
      </c>
      <c r="D4777">
        <v>4.6326743465015996</v>
      </c>
      <c r="E4777">
        <v>6</v>
      </c>
      <c r="F4777">
        <v>1.01722196789785</v>
      </c>
      <c r="G4777" t="s">
        <v>81</v>
      </c>
      <c r="H4777" t="s">
        <v>81</v>
      </c>
      <c r="I4777">
        <v>7</v>
      </c>
      <c r="J4777">
        <v>12</v>
      </c>
      <c r="K4777">
        <v>0.110239492672438</v>
      </c>
    </row>
    <row r="4778" spans="1:11" x14ac:dyDescent="0.25">
      <c r="A4778" t="s">
        <v>83</v>
      </c>
    </row>
    <row r="4779" spans="1:11" x14ac:dyDescent="0.25">
      <c r="A4779">
        <v>31.189902098467702</v>
      </c>
      <c r="B4779">
        <v>17.012607450141701</v>
      </c>
      <c r="C4779">
        <v>2000</v>
      </c>
    </row>
    <row r="4780" spans="1:11" x14ac:dyDescent="0.25">
      <c r="A4780">
        <v>26.9192324881021</v>
      </c>
      <c r="B4780">
        <v>12.741937839776099</v>
      </c>
      <c r="C4780">
        <v>2000</v>
      </c>
    </row>
    <row r="4781" spans="1:11" x14ac:dyDescent="0.25">
      <c r="A4781">
        <v>26.482216463653302</v>
      </c>
      <c r="B4781">
        <v>13.1789538642249</v>
      </c>
      <c r="C4781">
        <v>2001</v>
      </c>
    </row>
    <row r="4782" spans="1:11" x14ac:dyDescent="0.25">
      <c r="A4782">
        <v>30.7528860740189</v>
      </c>
      <c r="B4782">
        <v>17.449623474590499</v>
      </c>
      <c r="C4782">
        <v>2001</v>
      </c>
    </row>
    <row r="4783" spans="1:11" x14ac:dyDescent="0.25">
      <c r="A4783">
        <v>34.028681519459099</v>
      </c>
      <c r="B4783">
        <v>20.725418920030702</v>
      </c>
      <c r="C4783">
        <v>2001</v>
      </c>
    </row>
    <row r="4784" spans="1:11" x14ac:dyDescent="0.25">
      <c r="A4784">
        <v>34.465697543908</v>
      </c>
      <c r="B4784">
        <v>20.2884028955819</v>
      </c>
      <c r="C4784">
        <v>2000</v>
      </c>
    </row>
    <row r="4785" spans="1:11" x14ac:dyDescent="0.25">
      <c r="A4785" t="s">
        <v>84</v>
      </c>
    </row>
    <row r="4786" spans="1:11" x14ac:dyDescent="0.25">
      <c r="A4786">
        <v>811</v>
      </c>
      <c r="B4786">
        <v>0</v>
      </c>
      <c r="C4786">
        <v>9.4159192971952503</v>
      </c>
      <c r="D4786">
        <v>1.25477820843568</v>
      </c>
      <c r="E4786">
        <v>6</v>
      </c>
      <c r="F4786">
        <v>1.01722196789785</v>
      </c>
      <c r="G4786" t="s">
        <v>81</v>
      </c>
      <c r="H4786" t="s">
        <v>81</v>
      </c>
      <c r="I4786">
        <v>655</v>
      </c>
      <c r="J4786">
        <v>951</v>
      </c>
      <c r="K4786">
        <v>0.102777870221907</v>
      </c>
    </row>
    <row r="4787" spans="1:11" x14ac:dyDescent="0.25">
      <c r="A4787" t="s">
        <v>83</v>
      </c>
    </row>
    <row r="4788" spans="1:11" x14ac:dyDescent="0.25">
      <c r="A4788">
        <v>84.438318003177599</v>
      </c>
      <c r="B4788">
        <v>95.415611054471697</v>
      </c>
      <c r="C4788">
        <v>2000</v>
      </c>
    </row>
    <row r="4789" spans="1:11" x14ac:dyDescent="0.25">
      <c r="A4789">
        <v>77.780257617025597</v>
      </c>
      <c r="B4789">
        <v>88.757550668319695</v>
      </c>
      <c r="C4789">
        <v>2000</v>
      </c>
    </row>
    <row r="4790" spans="1:11" x14ac:dyDescent="0.25">
      <c r="A4790">
        <v>78.217273641474407</v>
      </c>
      <c r="B4790">
        <v>88.3205346438709</v>
      </c>
      <c r="C4790">
        <v>2001</v>
      </c>
    </row>
    <row r="4791" spans="1:11" x14ac:dyDescent="0.25">
      <c r="A4791">
        <v>84.875334027626394</v>
      </c>
      <c r="B4791">
        <v>94.978595030022902</v>
      </c>
      <c r="C4791">
        <v>2001</v>
      </c>
    </row>
    <row r="4792" spans="1:11" x14ac:dyDescent="0.25">
      <c r="A4792">
        <v>85.762596207696404</v>
      </c>
      <c r="B4792">
        <v>95.865857210092898</v>
      </c>
      <c r="C4792">
        <v>2001</v>
      </c>
    </row>
    <row r="4793" spans="1:11" x14ac:dyDescent="0.25">
      <c r="A4793">
        <v>85.325580183247595</v>
      </c>
      <c r="B4793">
        <v>96.302873234541707</v>
      </c>
      <c r="C4793">
        <v>2000</v>
      </c>
    </row>
    <row r="4794" spans="1:11" x14ac:dyDescent="0.25">
      <c r="A4794" t="s">
        <v>84</v>
      </c>
    </row>
    <row r="4795" spans="1:11" x14ac:dyDescent="0.25">
      <c r="A4795">
        <v>932</v>
      </c>
      <c r="B4795">
        <v>0</v>
      </c>
      <c r="C4795">
        <v>7.7635862954797998</v>
      </c>
      <c r="D4795">
        <v>2.8918463933318499</v>
      </c>
      <c r="E4795">
        <v>8</v>
      </c>
      <c r="F4795">
        <v>1.01722196789785</v>
      </c>
      <c r="G4795" t="s">
        <v>82</v>
      </c>
      <c r="H4795" t="s">
        <v>81</v>
      </c>
      <c r="I4795">
        <v>0</v>
      </c>
      <c r="J4795">
        <v>504</v>
      </c>
      <c r="K4795">
        <v>0.10580846500036099</v>
      </c>
    </row>
    <row r="4796" spans="1:11" x14ac:dyDescent="0.25">
      <c r="A4796" t="s">
        <v>83</v>
      </c>
    </row>
    <row r="4797" spans="1:11" x14ac:dyDescent="0.25">
      <c r="A4797">
        <v>101.250398099238</v>
      </c>
      <c r="B4797">
        <v>5.6737067606340901</v>
      </c>
      <c r="C4797">
        <v>2000</v>
      </c>
    </row>
    <row r="4798" spans="1:11" x14ac:dyDescent="0.25">
      <c r="A4798">
        <v>99.721651905871695</v>
      </c>
      <c r="B4798">
        <v>4.1449605672674101</v>
      </c>
      <c r="C4798">
        <v>2000</v>
      </c>
    </row>
    <row r="4799" spans="1:11" x14ac:dyDescent="0.25">
      <c r="A4799">
        <v>95.576691338604306</v>
      </c>
      <c r="B4799">
        <v>0</v>
      </c>
      <c r="C4799">
        <v>2000</v>
      </c>
    </row>
    <row r="4800" spans="1:11" x14ac:dyDescent="0.25">
      <c r="A4800">
        <v>96.450723387501895</v>
      </c>
      <c r="B4800">
        <v>0</v>
      </c>
      <c r="C4800">
        <v>2001</v>
      </c>
    </row>
    <row r="4801" spans="1:11" x14ac:dyDescent="0.25">
      <c r="A4801">
        <v>100.27834809412801</v>
      </c>
      <c r="B4801">
        <v>3.8276247066264202</v>
      </c>
      <c r="C4801">
        <v>2001</v>
      </c>
    </row>
    <row r="4802" spans="1:11" x14ac:dyDescent="0.25">
      <c r="A4802">
        <v>101.756385658589</v>
      </c>
      <c r="B4802">
        <v>5.30566227108734</v>
      </c>
      <c r="C4802">
        <v>2001</v>
      </c>
    </row>
    <row r="4803" spans="1:11" x14ac:dyDescent="0.25">
      <c r="A4803">
        <v>103.76674408601301</v>
      </c>
      <c r="B4803">
        <v>7.3160206985111103</v>
      </c>
      <c r="C4803">
        <v>2001</v>
      </c>
    </row>
    <row r="4804" spans="1:11" x14ac:dyDescent="0.25">
      <c r="A4804">
        <v>103.329728061564</v>
      </c>
      <c r="B4804">
        <v>7.75303672295993</v>
      </c>
      <c r="C4804">
        <v>2000</v>
      </c>
    </row>
    <row r="4805" spans="1:11" x14ac:dyDescent="0.25">
      <c r="A4805" t="s">
        <v>84</v>
      </c>
    </row>
    <row r="4806" spans="1:11" x14ac:dyDescent="0.25">
      <c r="A4806">
        <v>842</v>
      </c>
      <c r="B4806">
        <v>0</v>
      </c>
      <c r="C4806">
        <v>0.46460902810788701</v>
      </c>
      <c r="D4806">
        <v>9.8837918128405793</v>
      </c>
      <c r="E4806">
        <v>6</v>
      </c>
      <c r="F4806">
        <v>1.01722196789785</v>
      </c>
      <c r="G4806" t="s">
        <v>82</v>
      </c>
      <c r="H4806" t="s">
        <v>81</v>
      </c>
      <c r="I4806">
        <v>0</v>
      </c>
      <c r="J4806">
        <v>727</v>
      </c>
      <c r="K4806">
        <v>0.10341204281958701</v>
      </c>
    </row>
    <row r="4807" spans="1:11" x14ac:dyDescent="0.25">
      <c r="A4807" t="s">
        <v>83</v>
      </c>
    </row>
    <row r="4808" spans="1:11" x14ac:dyDescent="0.25">
      <c r="A4808">
        <v>93.047549459354698</v>
      </c>
      <c r="B4808">
        <v>0.31871790612392398</v>
      </c>
      <c r="C4808">
        <v>2000</v>
      </c>
    </row>
    <row r="4809" spans="1:11" x14ac:dyDescent="0.25">
      <c r="A4809">
        <v>92.728831553230805</v>
      </c>
      <c r="B4809">
        <v>0</v>
      </c>
      <c r="C4809">
        <v>2000</v>
      </c>
    </row>
    <row r="4810" spans="1:11" x14ac:dyDescent="0.25">
      <c r="A4810">
        <v>91.854799504333201</v>
      </c>
      <c r="B4810">
        <v>0</v>
      </c>
      <c r="C4810">
        <v>2001</v>
      </c>
    </row>
    <row r="4811" spans="1:11" x14ac:dyDescent="0.25">
      <c r="A4811">
        <v>92.193137986960394</v>
      </c>
      <c r="B4811">
        <v>0.33833848262723298</v>
      </c>
      <c r="C4811">
        <v>2001</v>
      </c>
    </row>
    <row r="4812" spans="1:11" x14ac:dyDescent="0.25">
      <c r="A4812">
        <v>99.390731925628799</v>
      </c>
      <c r="B4812">
        <v>7.5359324212956498</v>
      </c>
      <c r="C4812">
        <v>2001</v>
      </c>
    </row>
    <row r="4813" spans="1:11" x14ac:dyDescent="0.25">
      <c r="A4813">
        <v>99.827747950077594</v>
      </c>
      <c r="B4813">
        <v>7.0989163968468301</v>
      </c>
      <c r="C4813">
        <v>2000</v>
      </c>
    </row>
    <row r="4814" spans="1:11" x14ac:dyDescent="0.25">
      <c r="A4814" t="s">
        <v>84</v>
      </c>
    </row>
    <row r="4815" spans="1:11" x14ac:dyDescent="0.25">
      <c r="A4815">
        <v>792</v>
      </c>
      <c r="B4815">
        <v>0</v>
      </c>
      <c r="C4815">
        <v>5.9892560744248904</v>
      </c>
      <c r="D4815">
        <v>3.67647790053512</v>
      </c>
      <c r="E4815">
        <v>6</v>
      </c>
      <c r="F4815">
        <v>1.01722196789785</v>
      </c>
      <c r="G4815" t="s">
        <v>81</v>
      </c>
      <c r="H4815" t="s">
        <v>81</v>
      </c>
      <c r="I4815">
        <v>1030</v>
      </c>
      <c r="J4815">
        <v>832</v>
      </c>
      <c r="K4815">
        <v>0.102125662797643</v>
      </c>
    </row>
    <row r="4816" spans="1:11" x14ac:dyDescent="0.25">
      <c r="A4816" t="s">
        <v>83</v>
      </c>
    </row>
    <row r="4817" spans="1:11" x14ac:dyDescent="0.25">
      <c r="A4817">
        <v>33.359259619074699</v>
      </c>
      <c r="B4817">
        <v>120.510766335074</v>
      </c>
      <c r="C4817">
        <v>2000</v>
      </c>
    </row>
    <row r="4818" spans="1:11" x14ac:dyDescent="0.25">
      <c r="A4818">
        <v>29.124216034586102</v>
      </c>
      <c r="B4818">
        <v>116.275722750585</v>
      </c>
      <c r="C4818">
        <v>2000</v>
      </c>
    </row>
    <row r="4819" spans="1:11" x14ac:dyDescent="0.25">
      <c r="A4819">
        <v>28.6872000101373</v>
      </c>
      <c r="B4819">
        <v>116.712738775034</v>
      </c>
      <c r="C4819">
        <v>2001</v>
      </c>
    </row>
    <row r="4820" spans="1:11" x14ac:dyDescent="0.25">
      <c r="A4820">
        <v>32.922243594625897</v>
      </c>
      <c r="B4820">
        <v>120.947782359523</v>
      </c>
      <c r="C4820">
        <v>2001</v>
      </c>
    </row>
    <row r="4821" spans="1:11" x14ac:dyDescent="0.25">
      <c r="A4821">
        <v>35.521906048976803</v>
      </c>
      <c r="B4821">
        <v>123.54744481387399</v>
      </c>
      <c r="C4821">
        <v>2001</v>
      </c>
    </row>
    <row r="4822" spans="1:11" x14ac:dyDescent="0.25">
      <c r="A4822">
        <v>35.958922073425597</v>
      </c>
      <c r="B4822">
        <v>123.110428789425</v>
      </c>
      <c r="C4822">
        <v>2000</v>
      </c>
    </row>
    <row r="4823" spans="1:11" x14ac:dyDescent="0.25">
      <c r="A4823" t="s">
        <v>84</v>
      </c>
    </row>
    <row r="4824" spans="1:11" x14ac:dyDescent="0.25">
      <c r="A4824">
        <v>190</v>
      </c>
      <c r="B4824">
        <v>0</v>
      </c>
      <c r="C4824">
        <v>1.9562283749421101</v>
      </c>
      <c r="D4824">
        <v>7.7006595426573803</v>
      </c>
      <c r="E4824">
        <v>6</v>
      </c>
      <c r="F4824">
        <v>1.01722196789785</v>
      </c>
      <c r="G4824" t="s">
        <v>82</v>
      </c>
      <c r="H4824" t="s">
        <v>81</v>
      </c>
      <c r="I4824">
        <v>0</v>
      </c>
      <c r="J4824">
        <v>889</v>
      </c>
      <c r="K4824">
        <v>0</v>
      </c>
    </row>
    <row r="4825" spans="1:11" x14ac:dyDescent="0.25">
      <c r="A4825" t="s">
        <v>83</v>
      </c>
    </row>
    <row r="4826" spans="1:11" x14ac:dyDescent="0.25">
      <c r="A4826">
        <v>61.004767608313202</v>
      </c>
      <c r="B4826">
        <v>1.3389984440273499</v>
      </c>
      <c r="C4826">
        <v>2000</v>
      </c>
    </row>
    <row r="4827" spans="1:11" x14ac:dyDescent="0.25">
      <c r="A4827">
        <v>59.665769164285898</v>
      </c>
      <c r="B4827">
        <v>0</v>
      </c>
      <c r="C4827">
        <v>2000</v>
      </c>
    </row>
    <row r="4828" spans="1:11" x14ac:dyDescent="0.25">
      <c r="A4828">
        <v>58.791737115388202</v>
      </c>
      <c r="B4828">
        <v>0</v>
      </c>
      <c r="C4828">
        <v>2001</v>
      </c>
    </row>
    <row r="4829" spans="1:11" x14ac:dyDescent="0.25">
      <c r="A4829">
        <v>60.219263370303103</v>
      </c>
      <c r="B4829">
        <v>1.42752625491486</v>
      </c>
      <c r="C4829">
        <v>2001</v>
      </c>
    </row>
    <row r="4830" spans="1:11" x14ac:dyDescent="0.25">
      <c r="A4830">
        <v>65.838696059305704</v>
      </c>
      <c r="B4830">
        <v>7.04695894391745</v>
      </c>
      <c r="C4830">
        <v>2001</v>
      </c>
    </row>
    <row r="4831" spans="1:11" x14ac:dyDescent="0.25">
      <c r="A4831">
        <v>66.275712083754499</v>
      </c>
      <c r="B4831">
        <v>6.6099429194686303</v>
      </c>
      <c r="C4831">
        <v>2000</v>
      </c>
    </row>
    <row r="4832" spans="1:11" x14ac:dyDescent="0.25">
      <c r="A4832" t="s">
        <v>84</v>
      </c>
    </row>
    <row r="4833" spans="1:11" x14ac:dyDescent="0.25">
      <c r="A4833">
        <v>970</v>
      </c>
      <c r="B4833">
        <v>0</v>
      </c>
      <c r="C4833">
        <v>9.5173693793226395</v>
      </c>
      <c r="D4833">
        <v>0</v>
      </c>
      <c r="E4833">
        <v>5</v>
      </c>
      <c r="F4833">
        <v>1.01722196789785</v>
      </c>
      <c r="G4833" t="s">
        <v>82</v>
      </c>
      <c r="H4833" t="s">
        <v>81</v>
      </c>
      <c r="I4833">
        <v>0</v>
      </c>
      <c r="J4833">
        <v>962</v>
      </c>
      <c r="K4833">
        <v>0.10773756861497499</v>
      </c>
    </row>
    <row r="4834" spans="1:11" x14ac:dyDescent="0.25">
      <c r="A4834" t="s">
        <v>83</v>
      </c>
    </row>
    <row r="4835" spans="1:11" x14ac:dyDescent="0.25">
      <c r="A4835">
        <v>6.9483044394006503</v>
      </c>
      <c r="B4835">
        <v>37.404737332563101</v>
      </c>
      <c r="C4835">
        <v>2000</v>
      </c>
    </row>
    <row r="4836" spans="1:11" x14ac:dyDescent="0.25">
      <c r="A4836">
        <v>0</v>
      </c>
      <c r="B4836">
        <v>30.4564328931624</v>
      </c>
      <c r="C4836">
        <v>2000</v>
      </c>
    </row>
    <row r="4837" spans="1:11" x14ac:dyDescent="0.25">
      <c r="A4837">
        <v>0</v>
      </c>
      <c r="B4837">
        <v>31.3304649420601</v>
      </c>
      <c r="C4837">
        <v>2001</v>
      </c>
    </row>
    <row r="4838" spans="1:11" x14ac:dyDescent="0.25">
      <c r="A4838">
        <v>6.5112884149518298</v>
      </c>
      <c r="B4838">
        <v>37.841753357011903</v>
      </c>
      <c r="C4838">
        <v>2001</v>
      </c>
    </row>
    <row r="4839" spans="1:11" x14ac:dyDescent="0.25">
      <c r="A4839">
        <v>6.9483044394006503</v>
      </c>
      <c r="B4839">
        <v>37.404737332563101</v>
      </c>
      <c r="C4839">
        <v>2000</v>
      </c>
    </row>
    <row r="4840" spans="1:11" x14ac:dyDescent="0.25">
      <c r="A4840" t="s">
        <v>84</v>
      </c>
    </row>
    <row r="4841" spans="1:11" x14ac:dyDescent="0.25">
      <c r="A4841">
        <v>346</v>
      </c>
      <c r="B4841">
        <v>0</v>
      </c>
      <c r="C4841">
        <v>3.37322632497404</v>
      </c>
      <c r="D4841">
        <v>6.0632850270258096</v>
      </c>
      <c r="E4841">
        <v>6</v>
      </c>
      <c r="F4841">
        <v>1.01722196789785</v>
      </c>
      <c r="G4841" t="s">
        <v>81</v>
      </c>
      <c r="H4841" t="s">
        <v>82</v>
      </c>
      <c r="I4841">
        <v>352</v>
      </c>
      <c r="J4841">
        <v>0</v>
      </c>
      <c r="K4841">
        <v>0</v>
      </c>
    </row>
    <row r="4842" spans="1:11" x14ac:dyDescent="0.25">
      <c r="A4842" t="s">
        <v>83</v>
      </c>
    </row>
    <row r="4843" spans="1:11" x14ac:dyDescent="0.25">
      <c r="A4843">
        <v>63.052103523136203</v>
      </c>
      <c r="B4843">
        <v>145.85300899889299</v>
      </c>
      <c r="C4843">
        <v>2000</v>
      </c>
    </row>
    <row r="4844" spans="1:11" x14ac:dyDescent="0.25">
      <c r="A4844">
        <v>60.744981368724503</v>
      </c>
      <c r="B4844">
        <v>143.545886844481</v>
      </c>
      <c r="C4844">
        <v>2000</v>
      </c>
    </row>
    <row r="4845" spans="1:11" x14ac:dyDescent="0.25">
      <c r="A4845">
        <v>61.181997393173297</v>
      </c>
      <c r="B4845">
        <v>143.10887082003299</v>
      </c>
      <c r="C4845">
        <v>2001</v>
      </c>
    </row>
    <row r="4846" spans="1:11" x14ac:dyDescent="0.25">
      <c r="A4846">
        <v>63.645337656493901</v>
      </c>
      <c r="B4846">
        <v>145.57221108335301</v>
      </c>
      <c r="C4846">
        <v>2001</v>
      </c>
    </row>
    <row r="4847" spans="1:11" x14ac:dyDescent="0.25">
      <c r="A4847">
        <v>68.073126573140698</v>
      </c>
      <c r="B4847">
        <v>150</v>
      </c>
      <c r="C4847">
        <v>2001</v>
      </c>
    </row>
    <row r="4848" spans="1:11" x14ac:dyDescent="0.25">
      <c r="A4848">
        <v>67.199094524243094</v>
      </c>
      <c r="B4848">
        <v>150</v>
      </c>
      <c r="C4848">
        <v>2000</v>
      </c>
    </row>
    <row r="4849" spans="1:11" x14ac:dyDescent="0.25">
      <c r="A4849" t="s">
        <v>84</v>
      </c>
    </row>
    <row r="4850" spans="1:11" x14ac:dyDescent="0.25">
      <c r="A4850">
        <v>885</v>
      </c>
      <c r="B4850">
        <v>0</v>
      </c>
      <c r="C4850">
        <v>7.8511348572389501</v>
      </c>
      <c r="D4850">
        <v>1.5788809505080199</v>
      </c>
      <c r="E4850">
        <v>6</v>
      </c>
      <c r="F4850">
        <v>1.01722196789785</v>
      </c>
      <c r="G4850" t="s">
        <v>81</v>
      </c>
      <c r="H4850" t="s">
        <v>81</v>
      </c>
      <c r="I4850">
        <v>199</v>
      </c>
      <c r="J4850">
        <v>800</v>
      </c>
      <c r="K4850">
        <v>0.104401248428883</v>
      </c>
    </row>
    <row r="4851" spans="1:11" x14ac:dyDescent="0.25">
      <c r="A4851" t="s">
        <v>83</v>
      </c>
    </row>
    <row r="4852" spans="1:11" x14ac:dyDescent="0.25">
      <c r="A4852">
        <v>77.881644000248599</v>
      </c>
      <c r="B4852">
        <v>24.0723574916193</v>
      </c>
      <c r="C4852">
        <v>2000</v>
      </c>
    </row>
    <row r="4853" spans="1:11" x14ac:dyDescent="0.25">
      <c r="A4853">
        <v>72.330053302684902</v>
      </c>
      <c r="B4853">
        <v>18.5207667940556</v>
      </c>
      <c r="C4853">
        <v>2000</v>
      </c>
    </row>
    <row r="4854" spans="1:11" x14ac:dyDescent="0.25">
      <c r="A4854">
        <v>72.767069327133697</v>
      </c>
      <c r="B4854">
        <v>18.083750769606699</v>
      </c>
      <c r="C4854">
        <v>2001</v>
      </c>
    </row>
    <row r="4855" spans="1:11" x14ac:dyDescent="0.25">
      <c r="A4855">
        <v>78.318660024697394</v>
      </c>
      <c r="B4855">
        <v>23.635341467170502</v>
      </c>
      <c r="C4855">
        <v>2001</v>
      </c>
    </row>
    <row r="4856" spans="1:11" x14ac:dyDescent="0.25">
      <c r="A4856">
        <v>79.435097451487906</v>
      </c>
      <c r="B4856">
        <v>24.751778893960999</v>
      </c>
      <c r="C4856">
        <v>2001</v>
      </c>
    </row>
    <row r="4857" spans="1:11" x14ac:dyDescent="0.25">
      <c r="A4857">
        <v>78.998081427039097</v>
      </c>
      <c r="B4857">
        <v>25.188794918409801</v>
      </c>
      <c r="C4857">
        <v>2000</v>
      </c>
    </row>
    <row r="4858" spans="1:11" x14ac:dyDescent="0.25">
      <c r="A4858" t="s">
        <v>84</v>
      </c>
    </row>
    <row r="4859" spans="1:11" x14ac:dyDescent="0.25">
      <c r="A4859">
        <v>437</v>
      </c>
      <c r="B4859">
        <v>0</v>
      </c>
      <c r="C4859">
        <v>8.3179434763784599</v>
      </c>
      <c r="D4859">
        <v>1.0893093612150999</v>
      </c>
      <c r="E4859">
        <v>6</v>
      </c>
      <c r="F4859">
        <v>1.01722196789785</v>
      </c>
      <c r="G4859" t="s">
        <v>81</v>
      </c>
      <c r="H4859" t="s">
        <v>81</v>
      </c>
      <c r="I4859">
        <v>899</v>
      </c>
      <c r="J4859">
        <v>431</v>
      </c>
      <c r="K4859">
        <v>0</v>
      </c>
    </row>
    <row r="4860" spans="1:11" x14ac:dyDescent="0.25">
      <c r="A4860" t="s">
        <v>83</v>
      </c>
    </row>
    <row r="4861" spans="1:11" x14ac:dyDescent="0.25">
      <c r="A4861">
        <v>14.520299810231601</v>
      </c>
      <c r="B4861">
        <v>140.04367261567799</v>
      </c>
      <c r="C4861">
        <v>2000</v>
      </c>
    </row>
    <row r="4862" spans="1:11" x14ac:dyDescent="0.25">
      <c r="A4862">
        <v>8.6386255725579897</v>
      </c>
      <c r="B4862">
        <v>134.161998378004</v>
      </c>
      <c r="C4862">
        <v>2000</v>
      </c>
    </row>
    <row r="4863" spans="1:11" x14ac:dyDescent="0.25">
      <c r="A4863">
        <v>9.0756415970068094</v>
      </c>
      <c r="B4863">
        <v>133.72498235355599</v>
      </c>
      <c r="C4863">
        <v>2001</v>
      </c>
    </row>
    <row r="4864" spans="1:11" x14ac:dyDescent="0.25">
      <c r="A4864">
        <v>14.957315834680401</v>
      </c>
      <c r="B4864">
        <v>139.60665659122901</v>
      </c>
      <c r="C4864">
        <v>2001</v>
      </c>
    </row>
    <row r="4865" spans="1:11" x14ac:dyDescent="0.25">
      <c r="A4865">
        <v>15.7275738708056</v>
      </c>
      <c r="B4865">
        <v>140.37691462735401</v>
      </c>
      <c r="C4865">
        <v>2001</v>
      </c>
    </row>
    <row r="4866" spans="1:11" x14ac:dyDescent="0.25">
      <c r="A4866">
        <v>15.290557846356799</v>
      </c>
      <c r="B4866">
        <v>140.81393065180299</v>
      </c>
      <c r="C4866">
        <v>2000</v>
      </c>
    </row>
    <row r="4867" spans="1:11" x14ac:dyDescent="0.25">
      <c r="A4867" t="s">
        <v>84</v>
      </c>
    </row>
    <row r="4868" spans="1:11" x14ac:dyDescent="0.25">
      <c r="A4868">
        <v>823</v>
      </c>
      <c r="B4868">
        <v>0</v>
      </c>
      <c r="C4868">
        <v>3.7143184437559098</v>
      </c>
      <c r="D4868">
        <v>5.6328694025305301</v>
      </c>
      <c r="E4868">
        <v>6</v>
      </c>
      <c r="F4868">
        <v>1.01722196789785</v>
      </c>
      <c r="G4868" t="s">
        <v>81</v>
      </c>
      <c r="H4868" t="s">
        <v>81</v>
      </c>
      <c r="I4868">
        <v>865</v>
      </c>
      <c r="J4868">
        <v>600</v>
      </c>
      <c r="K4868">
        <v>0.10299214925957</v>
      </c>
    </row>
    <row r="4869" spans="1:11" x14ac:dyDescent="0.25">
      <c r="A4869" t="s">
        <v>83</v>
      </c>
    </row>
    <row r="4870" spans="1:11" x14ac:dyDescent="0.25">
      <c r="A4870">
        <v>123.13307527505</v>
      </c>
      <c r="B4870">
        <v>55.152124374714496</v>
      </c>
      <c r="C4870">
        <v>2000</v>
      </c>
    </row>
    <row r="4871" spans="1:11" x14ac:dyDescent="0.25">
      <c r="A4871">
        <v>120.50665551598399</v>
      </c>
      <c r="B4871">
        <v>52.5257046156485</v>
      </c>
      <c r="C4871">
        <v>2000</v>
      </c>
    </row>
    <row r="4872" spans="1:11" x14ac:dyDescent="0.25">
      <c r="A4872">
        <v>120.069639491535</v>
      </c>
      <c r="B4872">
        <v>52.962720640097302</v>
      </c>
      <c r="C4872">
        <v>2001</v>
      </c>
    </row>
    <row r="4873" spans="1:11" x14ac:dyDescent="0.25">
      <c r="A4873">
        <v>122.696059250601</v>
      </c>
      <c r="B4873">
        <v>55.589140399163398</v>
      </c>
      <c r="C4873">
        <v>2001</v>
      </c>
    </row>
    <row r="4874" spans="1:11" x14ac:dyDescent="0.25">
      <c r="A4874">
        <v>126.679099402669</v>
      </c>
      <c r="B4874">
        <v>59.5721805512309</v>
      </c>
      <c r="C4874">
        <v>2001</v>
      </c>
    </row>
    <row r="4875" spans="1:11" x14ac:dyDescent="0.25">
      <c r="A4875">
        <v>127.116115427118</v>
      </c>
      <c r="B4875">
        <v>59.135164526782098</v>
      </c>
      <c r="C4875">
        <v>2000</v>
      </c>
    </row>
    <row r="4876" spans="1:11" x14ac:dyDescent="0.25">
      <c r="A4876" t="s">
        <v>84</v>
      </c>
    </row>
    <row r="4877" spans="1:11" x14ac:dyDescent="0.25">
      <c r="A4877">
        <v>1021</v>
      </c>
      <c r="B4877">
        <v>0</v>
      </c>
      <c r="C4877">
        <v>4.5802723307306401</v>
      </c>
      <c r="D4877">
        <v>4.6469931814055796</v>
      </c>
      <c r="E4877">
        <v>6</v>
      </c>
      <c r="F4877">
        <v>1.01722196789785</v>
      </c>
      <c r="G4877" t="s">
        <v>81</v>
      </c>
      <c r="H4877" t="s">
        <v>81</v>
      </c>
      <c r="I4877">
        <v>803</v>
      </c>
      <c r="J4877">
        <v>868</v>
      </c>
      <c r="K4877">
        <v>0.111441881789779</v>
      </c>
    </row>
    <row r="4878" spans="1:11" x14ac:dyDescent="0.25">
      <c r="A4878" t="s">
        <v>83</v>
      </c>
    </row>
    <row r="4879" spans="1:11" x14ac:dyDescent="0.25">
      <c r="A4879">
        <v>59.313419376175801</v>
      </c>
      <c r="B4879">
        <v>38.583419299960603</v>
      </c>
      <c r="C4879">
        <v>2000</v>
      </c>
    </row>
    <row r="4880" spans="1:11" x14ac:dyDescent="0.25">
      <c r="A4880">
        <v>56.074677751434997</v>
      </c>
      <c r="B4880">
        <v>35.344677675219899</v>
      </c>
      <c r="C4880">
        <v>2000</v>
      </c>
    </row>
    <row r="4881" spans="1:11" x14ac:dyDescent="0.25">
      <c r="A4881">
        <v>55.637661726986202</v>
      </c>
      <c r="B4881">
        <v>35.781693699668701</v>
      </c>
      <c r="C4881">
        <v>2001</v>
      </c>
    </row>
    <row r="4882" spans="1:11" x14ac:dyDescent="0.25">
      <c r="A4882">
        <v>58.8764033517269</v>
      </c>
      <c r="B4882">
        <v>39.020435324409398</v>
      </c>
      <c r="C4882">
        <v>2001</v>
      </c>
    </row>
    <row r="4883" spans="1:11" x14ac:dyDescent="0.25">
      <c r="A4883">
        <v>62.162323742426501</v>
      </c>
      <c r="B4883">
        <v>42.306355715109</v>
      </c>
      <c r="C4883">
        <v>2001</v>
      </c>
    </row>
    <row r="4884" spans="1:11" x14ac:dyDescent="0.25">
      <c r="A4884">
        <v>62.599339766875303</v>
      </c>
      <c r="B4884">
        <v>41.869339690660098</v>
      </c>
      <c r="C4884">
        <v>2000</v>
      </c>
    </row>
    <row r="4885" spans="1:11" x14ac:dyDescent="0.25">
      <c r="A4885" t="s">
        <v>84</v>
      </c>
    </row>
    <row r="4886" spans="1:11" x14ac:dyDescent="0.25">
      <c r="A4886">
        <v>359</v>
      </c>
      <c r="B4886">
        <v>0</v>
      </c>
      <c r="C4886">
        <v>6.1634778376002801</v>
      </c>
      <c r="D4886">
        <v>3.0473403788977298</v>
      </c>
      <c r="E4886">
        <v>6</v>
      </c>
      <c r="F4886">
        <v>1.01722196789785</v>
      </c>
      <c r="G4886" t="s">
        <v>81</v>
      </c>
      <c r="H4886" t="s">
        <v>82</v>
      </c>
      <c r="I4886">
        <v>430</v>
      </c>
      <c r="J4886">
        <v>0</v>
      </c>
      <c r="K4886">
        <v>0</v>
      </c>
    </row>
    <row r="4887" spans="1:11" x14ac:dyDescent="0.25">
      <c r="A4887" t="s">
        <v>83</v>
      </c>
    </row>
    <row r="4888" spans="1:11" x14ac:dyDescent="0.25">
      <c r="A4888">
        <v>67.788550589854594</v>
      </c>
      <c r="B4888">
        <v>147.77291297322901</v>
      </c>
      <c r="C4888">
        <v>2000</v>
      </c>
    </row>
    <row r="4889" spans="1:11" x14ac:dyDescent="0.25">
      <c r="A4889">
        <v>63.284097583238498</v>
      </c>
      <c r="B4889">
        <v>143.26845996661299</v>
      </c>
      <c r="C4889">
        <v>2000</v>
      </c>
    </row>
    <row r="4890" spans="1:11" x14ac:dyDescent="0.25">
      <c r="A4890">
        <v>62.847081558789696</v>
      </c>
      <c r="B4890">
        <v>143.705475991062</v>
      </c>
      <c r="C4890">
        <v>2001</v>
      </c>
    </row>
    <row r="4891" spans="1:11" x14ac:dyDescent="0.25">
      <c r="A4891">
        <v>67.059102501493996</v>
      </c>
      <c r="B4891">
        <v>147.91749693376599</v>
      </c>
      <c r="C4891">
        <v>2001</v>
      </c>
    </row>
    <row r="4892" spans="1:11" x14ac:dyDescent="0.25">
      <c r="A4892">
        <v>69.141605567727595</v>
      </c>
      <c r="B4892">
        <v>150</v>
      </c>
      <c r="C4892">
        <v>2001</v>
      </c>
    </row>
    <row r="4893" spans="1:11" x14ac:dyDescent="0.25">
      <c r="A4893">
        <v>70.015637616625298</v>
      </c>
      <c r="B4893">
        <v>150</v>
      </c>
      <c r="C4893">
        <v>2000</v>
      </c>
    </row>
    <row r="4894" spans="1:11" x14ac:dyDescent="0.25">
      <c r="A4894" t="s">
        <v>84</v>
      </c>
    </row>
    <row r="4895" spans="1:11" x14ac:dyDescent="0.25">
      <c r="A4895">
        <v>721</v>
      </c>
      <c r="B4895">
        <v>0</v>
      </c>
      <c r="C4895">
        <v>7.7624521505089898</v>
      </c>
      <c r="D4895">
        <v>1.4367699814558399</v>
      </c>
      <c r="E4895">
        <v>6</v>
      </c>
      <c r="F4895">
        <v>1.01722196789785</v>
      </c>
      <c r="G4895" t="s">
        <v>81</v>
      </c>
      <c r="H4895" t="s">
        <v>82</v>
      </c>
      <c r="I4895">
        <v>506</v>
      </c>
      <c r="J4895">
        <v>0</v>
      </c>
      <c r="K4895">
        <v>9.9787223602304201E-2</v>
      </c>
    </row>
    <row r="4896" spans="1:11" x14ac:dyDescent="0.25">
      <c r="A4896" t="s">
        <v>83</v>
      </c>
    </row>
    <row r="4897" spans="1:11" x14ac:dyDescent="0.25">
      <c r="A4897">
        <v>148.94992277927</v>
      </c>
      <c r="B4897">
        <v>19.124128262279498</v>
      </c>
      <c r="C4897">
        <v>2000</v>
      </c>
    </row>
    <row r="4898" spans="1:11" x14ac:dyDescent="0.25">
      <c r="A4898">
        <v>143.27665963662201</v>
      </c>
      <c r="B4898">
        <v>13.4508651196314</v>
      </c>
      <c r="C4898">
        <v>2000</v>
      </c>
    </row>
    <row r="4899" spans="1:11" x14ac:dyDescent="0.25">
      <c r="A4899">
        <v>143.71367566107099</v>
      </c>
      <c r="B4899">
        <v>13.0138490951826</v>
      </c>
      <c r="C4899">
        <v>2001</v>
      </c>
    </row>
    <row r="4900" spans="1:11" x14ac:dyDescent="0.25">
      <c r="A4900">
        <v>149.018177626945</v>
      </c>
      <c r="B4900">
        <v>18.3183510610566</v>
      </c>
      <c r="C4900">
        <v>2001</v>
      </c>
    </row>
    <row r="4901" spans="1:11" x14ac:dyDescent="0.25">
      <c r="A4901">
        <v>150</v>
      </c>
      <c r="B4901">
        <v>19.300173434111901</v>
      </c>
      <c r="C4901">
        <v>2001</v>
      </c>
    </row>
    <row r="4902" spans="1:11" x14ac:dyDescent="0.25">
      <c r="A4902">
        <v>150</v>
      </c>
      <c r="B4902">
        <v>20.174205483009601</v>
      </c>
      <c r="C4902">
        <v>2000</v>
      </c>
    </row>
    <row r="4903" spans="1:11" x14ac:dyDescent="0.25">
      <c r="A4903" t="s">
        <v>84</v>
      </c>
    </row>
    <row r="4904" spans="1:11" x14ac:dyDescent="0.25">
      <c r="A4904">
        <v>776</v>
      </c>
      <c r="B4904">
        <v>0</v>
      </c>
      <c r="C4904">
        <v>1.82890391444791</v>
      </c>
      <c r="D4904">
        <v>7.0936273738213496</v>
      </c>
      <c r="E4904">
        <v>6</v>
      </c>
      <c r="F4904">
        <v>1.01722196789785</v>
      </c>
      <c r="G4904" t="s">
        <v>81</v>
      </c>
      <c r="H4904" t="s">
        <v>81</v>
      </c>
      <c r="I4904">
        <v>17</v>
      </c>
      <c r="J4904">
        <v>878</v>
      </c>
      <c r="K4904">
        <v>0.102125662797643</v>
      </c>
    </row>
    <row r="4905" spans="1:11" x14ac:dyDescent="0.25">
      <c r="A4905" t="s">
        <v>83</v>
      </c>
    </row>
    <row r="4906" spans="1:11" x14ac:dyDescent="0.25">
      <c r="A4906">
        <v>12.734771948645401</v>
      </c>
      <c r="B4906">
        <v>27.747723702228299</v>
      </c>
      <c r="C4906">
        <v>2000</v>
      </c>
    </row>
    <row r="4907" spans="1:11" x14ac:dyDescent="0.25">
      <c r="A4907">
        <v>11.4415415886007</v>
      </c>
      <c r="B4907">
        <v>26.4544933421836</v>
      </c>
      <c r="C4907">
        <v>2000</v>
      </c>
    </row>
    <row r="4908" spans="1:11" x14ac:dyDescent="0.25">
      <c r="A4908">
        <v>11.0045255641519</v>
      </c>
      <c r="B4908">
        <v>26.891509366632398</v>
      </c>
      <c r="C4908">
        <v>2001</v>
      </c>
    </row>
    <row r="4909" spans="1:11" x14ac:dyDescent="0.25">
      <c r="A4909">
        <v>12.297755924196601</v>
      </c>
      <c r="B4909">
        <v>28.184739726677101</v>
      </c>
      <c r="C4909">
        <v>2001</v>
      </c>
    </row>
    <row r="4910" spans="1:11" x14ac:dyDescent="0.25">
      <c r="A4910">
        <v>17.313707943436199</v>
      </c>
      <c r="B4910">
        <v>33.2006917459167</v>
      </c>
      <c r="C4910">
        <v>2001</v>
      </c>
    </row>
    <row r="4911" spans="1:11" x14ac:dyDescent="0.25">
      <c r="A4911">
        <v>17.750723967885001</v>
      </c>
      <c r="B4911">
        <v>32.763675721467898</v>
      </c>
      <c r="C4911">
        <v>2000</v>
      </c>
    </row>
    <row r="4912" spans="1:11" x14ac:dyDescent="0.25">
      <c r="A4912" t="s">
        <v>84</v>
      </c>
    </row>
    <row r="4913" spans="1:11" x14ac:dyDescent="0.25">
      <c r="A4913">
        <v>351</v>
      </c>
      <c r="B4913">
        <v>0</v>
      </c>
      <c r="C4913">
        <v>0.580836718046157</v>
      </c>
      <c r="D4913">
        <v>8.3308012171815697</v>
      </c>
      <c r="E4913">
        <v>6</v>
      </c>
      <c r="F4913">
        <v>1.01722196789785</v>
      </c>
      <c r="G4913" t="s">
        <v>81</v>
      </c>
      <c r="H4913" t="s">
        <v>82</v>
      </c>
      <c r="I4913">
        <v>343</v>
      </c>
      <c r="J4913">
        <v>0</v>
      </c>
      <c r="K4913">
        <v>0</v>
      </c>
    </row>
    <row r="4914" spans="1:11" x14ac:dyDescent="0.25">
      <c r="A4914" t="s">
        <v>83</v>
      </c>
    </row>
    <row r="4915" spans="1:11" x14ac:dyDescent="0.25">
      <c r="A4915">
        <v>87.807846515854195</v>
      </c>
      <c r="B4915">
        <v>143.90496772202101</v>
      </c>
      <c r="C4915">
        <v>2000</v>
      </c>
    </row>
    <row r="4916" spans="1:11" x14ac:dyDescent="0.25">
      <c r="A4916">
        <v>87.382891166130406</v>
      </c>
      <c r="B4916">
        <v>143.48001237229701</v>
      </c>
      <c r="C4916">
        <v>2000</v>
      </c>
    </row>
    <row r="4917" spans="1:11" x14ac:dyDescent="0.25">
      <c r="A4917">
        <v>86.945875141681597</v>
      </c>
      <c r="B4917">
        <v>143.91702839674599</v>
      </c>
      <c r="C4917">
        <v>2001</v>
      </c>
    </row>
    <row r="4918" spans="1:11" x14ac:dyDescent="0.25">
      <c r="A4918">
        <v>87.342346956142904</v>
      </c>
      <c r="B4918">
        <v>144.31350021120701</v>
      </c>
      <c r="C4918">
        <v>2001</v>
      </c>
    </row>
    <row r="4919" spans="1:11" x14ac:dyDescent="0.25">
      <c r="A4919">
        <v>93.028846744936004</v>
      </c>
      <c r="B4919">
        <v>150</v>
      </c>
      <c r="C4919">
        <v>2001</v>
      </c>
    </row>
    <row r="4920" spans="1:11" x14ac:dyDescent="0.25">
      <c r="A4920">
        <v>93.902878793833594</v>
      </c>
      <c r="B4920">
        <v>150</v>
      </c>
      <c r="C4920">
        <v>2000</v>
      </c>
    </row>
    <row r="4921" spans="1:11" x14ac:dyDescent="0.25">
      <c r="A4921" t="s">
        <v>84</v>
      </c>
    </row>
    <row r="4922" spans="1:11" x14ac:dyDescent="0.25">
      <c r="A4922">
        <v>515</v>
      </c>
      <c r="B4922">
        <v>0</v>
      </c>
      <c r="C4922">
        <v>0.23502393244189099</v>
      </c>
      <c r="D4922">
        <v>8.2110121357598906</v>
      </c>
      <c r="E4922">
        <v>6</v>
      </c>
      <c r="F4922">
        <v>1.01722196789785</v>
      </c>
      <c r="G4922" t="s">
        <v>81</v>
      </c>
      <c r="H4922" t="s">
        <v>82</v>
      </c>
      <c r="I4922">
        <v>723</v>
      </c>
      <c r="J4922">
        <v>0</v>
      </c>
      <c r="K4922">
        <v>0</v>
      </c>
    </row>
    <row r="4923" spans="1:11" x14ac:dyDescent="0.25">
      <c r="A4923" t="s">
        <v>83</v>
      </c>
    </row>
    <row r="4924" spans="1:11" x14ac:dyDescent="0.25">
      <c r="A4924">
        <v>144.40636532940701</v>
      </c>
      <c r="B4924">
        <v>31.313836380346601</v>
      </c>
      <c r="C4924">
        <v>2000</v>
      </c>
    </row>
    <row r="4925" spans="1:11" x14ac:dyDescent="0.25">
      <c r="A4925">
        <v>144.246258634253</v>
      </c>
      <c r="B4925">
        <v>31.153729685192602</v>
      </c>
      <c r="C4925">
        <v>2000</v>
      </c>
    </row>
    <row r="4926" spans="1:11" x14ac:dyDescent="0.25">
      <c r="A4926">
        <v>143.80924260980399</v>
      </c>
      <c r="B4926">
        <v>31.5907457096414</v>
      </c>
      <c r="C4926">
        <v>2001</v>
      </c>
    </row>
    <row r="4927" spans="1:11" x14ac:dyDescent="0.25">
      <c r="A4927">
        <v>143.981509947392</v>
      </c>
      <c r="B4927">
        <v>31.763013047228998</v>
      </c>
      <c r="C4927">
        <v>2001</v>
      </c>
    </row>
    <row r="4928" spans="1:11" x14ac:dyDescent="0.25">
      <c r="A4928">
        <v>150</v>
      </c>
      <c r="B4928">
        <v>37.781503099837501</v>
      </c>
      <c r="C4928">
        <v>2001</v>
      </c>
    </row>
    <row r="4929" spans="1:11" x14ac:dyDescent="0.25">
      <c r="A4929">
        <v>150</v>
      </c>
      <c r="B4929">
        <v>36.907471050939797</v>
      </c>
      <c r="C4929">
        <v>2000</v>
      </c>
    </row>
    <row r="4930" spans="1:11" x14ac:dyDescent="0.25">
      <c r="A4930" t="s">
        <v>84</v>
      </c>
    </row>
    <row r="4931" spans="1:11" x14ac:dyDescent="0.25">
      <c r="A4931">
        <v>30</v>
      </c>
      <c r="B4931">
        <v>0</v>
      </c>
      <c r="C4931">
        <v>0.310646477312361</v>
      </c>
      <c r="D4931">
        <v>7.9445294150382502</v>
      </c>
      <c r="E4931">
        <v>8</v>
      </c>
      <c r="F4931">
        <v>1.01722196789785</v>
      </c>
      <c r="G4931" t="s">
        <v>81</v>
      </c>
      <c r="H4931" t="s">
        <v>81</v>
      </c>
      <c r="I4931">
        <v>40</v>
      </c>
      <c r="J4931">
        <v>765</v>
      </c>
      <c r="K4931">
        <v>0</v>
      </c>
    </row>
    <row r="4932" spans="1:11" x14ac:dyDescent="0.25">
      <c r="A4932" t="s">
        <v>83</v>
      </c>
    </row>
    <row r="4933" spans="1:11" x14ac:dyDescent="0.25">
      <c r="A4933">
        <v>28.337215881947301</v>
      </c>
      <c r="B4933">
        <v>47.391279572342</v>
      </c>
      <c r="C4933">
        <v>2000</v>
      </c>
    </row>
    <row r="4934" spans="1:11" x14ac:dyDescent="0.25">
      <c r="A4934">
        <v>28.117555651288001</v>
      </c>
      <c r="B4934">
        <v>47.1716193416827</v>
      </c>
      <c r="C4934">
        <v>2000</v>
      </c>
    </row>
    <row r="4935" spans="1:11" x14ac:dyDescent="0.25">
      <c r="A4935">
        <v>27.680539626839099</v>
      </c>
      <c r="B4935">
        <v>47.608635366131502</v>
      </c>
      <c r="C4935">
        <v>2001</v>
      </c>
    </row>
    <row r="4936" spans="1:11" x14ac:dyDescent="0.25">
      <c r="A4936">
        <v>27.9001998574984</v>
      </c>
      <c r="B4936">
        <v>47.828295596790802</v>
      </c>
      <c r="C4936">
        <v>2001</v>
      </c>
    </row>
    <row r="4937" spans="1:11" x14ac:dyDescent="0.25">
      <c r="A4937">
        <v>30.290412272931999</v>
      </c>
      <c r="B4937">
        <v>50.218508012224397</v>
      </c>
      <c r="C4937">
        <v>2001</v>
      </c>
    </row>
    <row r="4938" spans="1:11" x14ac:dyDescent="0.25">
      <c r="A4938">
        <v>33.517830480207998</v>
      </c>
      <c r="B4938">
        <v>53.4459262195004</v>
      </c>
      <c r="C4938">
        <v>2001</v>
      </c>
    </row>
    <row r="4939" spans="1:11" x14ac:dyDescent="0.25">
      <c r="A4939">
        <v>33.9548465046568</v>
      </c>
      <c r="B4939">
        <v>53.008910195051499</v>
      </c>
      <c r="C4939">
        <v>2000</v>
      </c>
    </row>
    <row r="4940" spans="1:11" x14ac:dyDescent="0.25">
      <c r="A4940">
        <v>30.727428297380801</v>
      </c>
      <c r="B4940">
        <v>49.781491987775603</v>
      </c>
      <c r="C4940">
        <v>2000</v>
      </c>
    </row>
    <row r="4941" spans="1:11" x14ac:dyDescent="0.25">
      <c r="A4941" t="s">
        <v>84</v>
      </c>
    </row>
    <row r="4942" spans="1:11" x14ac:dyDescent="0.25">
      <c r="A4942">
        <v>349</v>
      </c>
      <c r="B4942">
        <v>0</v>
      </c>
      <c r="C4942">
        <v>3.2475982829924699</v>
      </c>
      <c r="D4942">
        <v>4.9339658841333298</v>
      </c>
      <c r="E4942">
        <v>8</v>
      </c>
      <c r="F4942">
        <v>1.01722196789785</v>
      </c>
      <c r="G4942" t="s">
        <v>81</v>
      </c>
      <c r="H4942" t="s">
        <v>81</v>
      </c>
      <c r="I4942">
        <v>353</v>
      </c>
      <c r="J4942">
        <v>244</v>
      </c>
      <c r="K4942">
        <v>0</v>
      </c>
    </row>
    <row r="4943" spans="1:11" x14ac:dyDescent="0.25">
      <c r="A4943" t="s">
        <v>83</v>
      </c>
    </row>
    <row r="4944" spans="1:11" x14ac:dyDescent="0.25">
      <c r="A4944">
        <v>97.058836691579103</v>
      </c>
      <c r="B4944">
        <v>107.766178839727</v>
      </c>
      <c r="C4944">
        <v>2000</v>
      </c>
    </row>
    <row r="4945" spans="1:11" x14ac:dyDescent="0.25">
      <c r="A4945">
        <v>94.762437923105296</v>
      </c>
      <c r="B4945">
        <v>105.469780071253</v>
      </c>
      <c r="C4945">
        <v>2000</v>
      </c>
    </row>
    <row r="4946" spans="1:11" x14ac:dyDescent="0.25">
      <c r="A4946">
        <v>95.199453947554105</v>
      </c>
      <c r="B4946">
        <v>105.032764046804</v>
      </c>
      <c r="C4946">
        <v>2001</v>
      </c>
    </row>
    <row r="4947" spans="1:11" x14ac:dyDescent="0.25">
      <c r="A4947">
        <v>97.495852716027898</v>
      </c>
      <c r="B4947">
        <v>107.329162815278</v>
      </c>
      <c r="C4947">
        <v>2001</v>
      </c>
    </row>
    <row r="4948" spans="1:11" x14ac:dyDescent="0.25">
      <c r="A4948">
        <v>100.21850801222401</v>
      </c>
      <c r="B4948">
        <v>110.05181811147401</v>
      </c>
      <c r="C4948">
        <v>2001</v>
      </c>
    </row>
    <row r="4949" spans="1:11" x14ac:dyDescent="0.25">
      <c r="A4949">
        <v>100.984693450842</v>
      </c>
      <c r="B4949">
        <v>110.818003550092</v>
      </c>
      <c r="C4949">
        <v>2001</v>
      </c>
    </row>
    <row r="4950" spans="1:11" x14ac:dyDescent="0.25">
      <c r="A4950">
        <v>100.54767742639299</v>
      </c>
      <c r="B4950">
        <v>111.25501957454</v>
      </c>
      <c r="C4950">
        <v>2000</v>
      </c>
    </row>
    <row r="4951" spans="1:11" x14ac:dyDescent="0.25">
      <c r="A4951">
        <v>99.781491987775595</v>
      </c>
      <c r="B4951">
        <v>110.488834135923</v>
      </c>
      <c r="C4951">
        <v>2000</v>
      </c>
    </row>
    <row r="4952" spans="1:11" x14ac:dyDescent="0.25">
      <c r="A4952" t="s">
        <v>84</v>
      </c>
    </row>
    <row r="4953" spans="1:11" x14ac:dyDescent="0.25">
      <c r="A4953">
        <v>898</v>
      </c>
      <c r="B4953">
        <v>0</v>
      </c>
      <c r="C4953">
        <v>4.5439905605464599</v>
      </c>
      <c r="D4953">
        <v>2.8368538383195099</v>
      </c>
      <c r="E4953">
        <v>6</v>
      </c>
      <c r="F4953">
        <v>1.01722196789785</v>
      </c>
      <c r="G4953" t="s">
        <v>81</v>
      </c>
      <c r="H4953" t="s">
        <v>81</v>
      </c>
      <c r="I4953">
        <v>360</v>
      </c>
      <c r="J4953">
        <v>731</v>
      </c>
      <c r="K4953">
        <v>0.104772231836848</v>
      </c>
    </row>
    <row r="4954" spans="1:11" x14ac:dyDescent="0.25">
      <c r="A4954" t="s">
        <v>83</v>
      </c>
    </row>
    <row r="4955" spans="1:11" x14ac:dyDescent="0.25">
      <c r="A4955">
        <v>78.960179042513701</v>
      </c>
      <c r="B4955">
        <v>129.29500775472499</v>
      </c>
      <c r="C4955">
        <v>2000</v>
      </c>
    </row>
    <row r="4956" spans="1:11" x14ac:dyDescent="0.25">
      <c r="A4956">
        <v>75.747092503503694</v>
      </c>
      <c r="B4956">
        <v>126.081921215715</v>
      </c>
      <c r="C4956">
        <v>2000</v>
      </c>
    </row>
    <row r="4957" spans="1:11" x14ac:dyDescent="0.25">
      <c r="A4957">
        <v>75.310076479054899</v>
      </c>
      <c r="B4957">
        <v>126.51893724016401</v>
      </c>
      <c r="C4957">
        <v>2001</v>
      </c>
    </row>
    <row r="4958" spans="1:11" x14ac:dyDescent="0.25">
      <c r="A4958">
        <v>78.523163018064906</v>
      </c>
      <c r="B4958">
        <v>129.732023779174</v>
      </c>
      <c r="C4958">
        <v>2001</v>
      </c>
    </row>
    <row r="4959" spans="1:11" x14ac:dyDescent="0.25">
      <c r="A4959">
        <v>80.529121604375703</v>
      </c>
      <c r="B4959">
        <v>131.73798236548399</v>
      </c>
      <c r="C4959">
        <v>2001</v>
      </c>
    </row>
    <row r="4960" spans="1:11" x14ac:dyDescent="0.25">
      <c r="A4960">
        <v>80.966137628824598</v>
      </c>
      <c r="B4960">
        <v>131.300966341036</v>
      </c>
      <c r="C4960">
        <v>2000</v>
      </c>
    </row>
    <row r="4961" spans="1:11" x14ac:dyDescent="0.25">
      <c r="A4961" t="s">
        <v>84</v>
      </c>
    </row>
    <row r="4962" spans="1:11" x14ac:dyDescent="0.25">
      <c r="A4962">
        <v>354</v>
      </c>
      <c r="B4962">
        <v>0</v>
      </c>
      <c r="C4962">
        <v>0.28474032204127298</v>
      </c>
      <c r="D4962">
        <v>7.0249575560172</v>
      </c>
      <c r="E4962">
        <v>6</v>
      </c>
      <c r="F4962">
        <v>1.01722196789785</v>
      </c>
      <c r="G4962" t="s">
        <v>81</v>
      </c>
      <c r="H4962" t="s">
        <v>81</v>
      </c>
      <c r="I4962">
        <v>350</v>
      </c>
      <c r="J4962">
        <v>334</v>
      </c>
      <c r="K4962">
        <v>0</v>
      </c>
    </row>
    <row r="4963" spans="1:11" x14ac:dyDescent="0.25">
      <c r="A4963" t="s">
        <v>83</v>
      </c>
    </row>
    <row r="4964" spans="1:11" x14ac:dyDescent="0.25">
      <c r="A4964">
        <v>66.119810220845693</v>
      </c>
      <c r="B4964">
        <v>141.48705634264201</v>
      </c>
      <c r="C4964">
        <v>2000</v>
      </c>
    </row>
    <row r="4965" spans="1:11" x14ac:dyDescent="0.25">
      <c r="A4965">
        <v>65.918468408253105</v>
      </c>
      <c r="B4965">
        <v>141.28571453004901</v>
      </c>
      <c r="C4965">
        <v>2000</v>
      </c>
    </row>
    <row r="4966" spans="1:11" x14ac:dyDescent="0.25">
      <c r="A4966">
        <v>66.3554844327019</v>
      </c>
      <c r="B4966">
        <v>140.8486985056</v>
      </c>
      <c r="C4966">
        <v>2001</v>
      </c>
    </row>
    <row r="4967" spans="1:11" x14ac:dyDescent="0.25">
      <c r="A4967">
        <v>66.556826245294502</v>
      </c>
      <c r="B4967">
        <v>141.050040318193</v>
      </c>
      <c r="C4967">
        <v>2001</v>
      </c>
    </row>
    <row r="4968" spans="1:11" x14ac:dyDescent="0.25">
      <c r="A4968">
        <v>71.524221370701994</v>
      </c>
      <c r="B4968">
        <v>146.01743544359999</v>
      </c>
      <c r="C4968">
        <v>2001</v>
      </c>
    </row>
    <row r="4969" spans="1:11" x14ac:dyDescent="0.25">
      <c r="A4969">
        <v>71.087205346253199</v>
      </c>
      <c r="B4969">
        <v>146.454451468049</v>
      </c>
      <c r="C4969">
        <v>2000</v>
      </c>
    </row>
    <row r="4970" spans="1:11" x14ac:dyDescent="0.25">
      <c r="A4970" t="s">
        <v>84</v>
      </c>
    </row>
    <row r="4971" spans="1:11" x14ac:dyDescent="0.25">
      <c r="A4971">
        <v>666</v>
      </c>
      <c r="B4971">
        <v>0</v>
      </c>
      <c r="C4971">
        <v>5.4182493906688096</v>
      </c>
      <c r="D4971">
        <v>1.7667155354716999</v>
      </c>
      <c r="E4971">
        <v>8</v>
      </c>
      <c r="F4971">
        <v>1.01722196789785</v>
      </c>
      <c r="G4971" t="s">
        <v>81</v>
      </c>
      <c r="H4971" t="s">
        <v>81</v>
      </c>
      <c r="I4971">
        <v>820</v>
      </c>
      <c r="J4971">
        <v>1010</v>
      </c>
      <c r="K4971">
        <v>0</v>
      </c>
    </row>
    <row r="4972" spans="1:11" x14ac:dyDescent="0.25">
      <c r="A4972" t="s">
        <v>83</v>
      </c>
    </row>
    <row r="4973" spans="1:11" x14ac:dyDescent="0.25">
      <c r="A4973">
        <v>78.740553342146299</v>
      </c>
      <c r="B4973">
        <v>52.262263323307003</v>
      </c>
      <c r="C4973">
        <v>2000</v>
      </c>
    </row>
    <row r="4974" spans="1:11" x14ac:dyDescent="0.25">
      <c r="A4974">
        <v>76.259782006614898</v>
      </c>
      <c r="B4974">
        <v>49.781491987775603</v>
      </c>
      <c r="C4974">
        <v>2000</v>
      </c>
    </row>
    <row r="4975" spans="1:11" x14ac:dyDescent="0.25">
      <c r="A4975">
        <v>74.909272455844501</v>
      </c>
      <c r="B4975">
        <v>48.430982437005198</v>
      </c>
      <c r="C4975">
        <v>2000</v>
      </c>
    </row>
    <row r="4976" spans="1:11" x14ac:dyDescent="0.25">
      <c r="A4976">
        <v>74.472256431395706</v>
      </c>
      <c r="B4976">
        <v>48.867998461454</v>
      </c>
      <c r="C4976">
        <v>2001</v>
      </c>
    </row>
    <row r="4977" spans="1:11" x14ac:dyDescent="0.25">
      <c r="A4977">
        <v>75.822765982166104</v>
      </c>
      <c r="B4977">
        <v>50.218508012224397</v>
      </c>
      <c r="C4977">
        <v>2001</v>
      </c>
    </row>
    <row r="4978" spans="1:11" x14ac:dyDescent="0.25">
      <c r="A4978">
        <v>78.303537317697504</v>
      </c>
      <c r="B4978">
        <v>52.699279347755798</v>
      </c>
      <c r="C4978">
        <v>2001</v>
      </c>
    </row>
    <row r="4979" spans="1:11" x14ac:dyDescent="0.25">
      <c r="A4979">
        <v>79.552793853257199</v>
      </c>
      <c r="B4979">
        <v>53.9485358833155</v>
      </c>
      <c r="C4979">
        <v>2001</v>
      </c>
    </row>
    <row r="4980" spans="1:11" x14ac:dyDescent="0.25">
      <c r="A4980">
        <v>79.989809877705994</v>
      </c>
      <c r="B4980">
        <v>53.511519858866599</v>
      </c>
      <c r="C4980">
        <v>2000</v>
      </c>
    </row>
    <row r="4981" spans="1:11" x14ac:dyDescent="0.25">
      <c r="A4981" t="s">
        <v>84</v>
      </c>
    </row>
    <row r="4982" spans="1:11" x14ac:dyDescent="0.25">
      <c r="A4982">
        <v>891</v>
      </c>
      <c r="B4982">
        <v>0</v>
      </c>
      <c r="C4982">
        <v>2.29100953888448</v>
      </c>
      <c r="D4982">
        <v>4.8423936437657202</v>
      </c>
      <c r="E4982">
        <v>6</v>
      </c>
      <c r="F4982">
        <v>1.01722196789785</v>
      </c>
      <c r="G4982" t="s">
        <v>81</v>
      </c>
      <c r="H4982" t="s">
        <v>81</v>
      </c>
      <c r="I4982">
        <v>979</v>
      </c>
      <c r="J4982">
        <v>873</v>
      </c>
      <c r="K4982">
        <v>0.10458844867092799</v>
      </c>
    </row>
    <row r="4983" spans="1:11" x14ac:dyDescent="0.25">
      <c r="A4983" t="s">
        <v>83</v>
      </c>
    </row>
    <row r="4984" spans="1:11" x14ac:dyDescent="0.25">
      <c r="A4984">
        <v>103.961468609959</v>
      </c>
      <c r="B4984">
        <v>103.834823586906</v>
      </c>
      <c r="C4984">
        <v>2000</v>
      </c>
    </row>
    <row r="4985" spans="1:11" x14ac:dyDescent="0.25">
      <c r="A4985">
        <v>102.341480229251</v>
      </c>
      <c r="B4985">
        <v>102.21483520619699</v>
      </c>
      <c r="C4985">
        <v>2000</v>
      </c>
    </row>
    <row r="4986" spans="1:11" x14ac:dyDescent="0.25">
      <c r="A4986">
        <v>101.904464204802</v>
      </c>
      <c r="B4986">
        <v>102.651851230646</v>
      </c>
      <c r="C4986">
        <v>2001</v>
      </c>
    </row>
    <row r="4987" spans="1:11" x14ac:dyDescent="0.25">
      <c r="A4987">
        <v>103.52445258551001</v>
      </c>
      <c r="B4987">
        <v>104.271839611354</v>
      </c>
      <c r="C4987">
        <v>2001</v>
      </c>
    </row>
    <row r="4988" spans="1:11" x14ac:dyDescent="0.25">
      <c r="A4988">
        <v>106.94854196819099</v>
      </c>
      <c r="B4988">
        <v>107.695928994036</v>
      </c>
      <c r="C4988">
        <v>2001</v>
      </c>
    </row>
    <row r="4989" spans="1:11" x14ac:dyDescent="0.25">
      <c r="A4989">
        <v>107.38555799264</v>
      </c>
      <c r="B4989">
        <v>107.258912969587</v>
      </c>
      <c r="C4989">
        <v>2000</v>
      </c>
    </row>
    <row r="4990" spans="1:11" x14ac:dyDescent="0.25">
      <c r="A4990" t="s">
        <v>84</v>
      </c>
    </row>
    <row r="4991" spans="1:11" x14ac:dyDescent="0.25">
      <c r="A4991">
        <v>353</v>
      </c>
      <c r="B4991">
        <v>0</v>
      </c>
      <c r="C4991">
        <v>4.08914193312265</v>
      </c>
      <c r="D4991">
        <v>3.0437246223043801</v>
      </c>
      <c r="E4991">
        <v>6</v>
      </c>
      <c r="F4991">
        <v>1.01722196789785</v>
      </c>
      <c r="G4991" t="s">
        <v>81</v>
      </c>
      <c r="H4991" t="s">
        <v>81</v>
      </c>
      <c r="I4991">
        <v>670</v>
      </c>
      <c r="J4991">
        <v>264</v>
      </c>
      <c r="K4991">
        <v>0</v>
      </c>
    </row>
    <row r="4992" spans="1:11" x14ac:dyDescent="0.25">
      <c r="A4992" t="s">
        <v>83</v>
      </c>
    </row>
    <row r="4993" spans="1:11" x14ac:dyDescent="0.25">
      <c r="A4993">
        <v>93.134246417844906</v>
      </c>
      <c r="B4993">
        <v>102.793494935521</v>
      </c>
      <c r="C4993">
        <v>2000</v>
      </c>
    </row>
    <row r="4994" spans="1:11" x14ac:dyDescent="0.25">
      <c r="A4994">
        <v>90.242786427699698</v>
      </c>
      <c r="B4994">
        <v>99.902034945376101</v>
      </c>
      <c r="C4994">
        <v>2000</v>
      </c>
    </row>
    <row r="4995" spans="1:11" x14ac:dyDescent="0.25">
      <c r="A4995">
        <v>89.805770403250804</v>
      </c>
      <c r="B4995">
        <v>100.339050969825</v>
      </c>
      <c r="C4995">
        <v>2001</v>
      </c>
    </row>
    <row r="4996" spans="1:11" x14ac:dyDescent="0.25">
      <c r="A4996">
        <v>92.697230393396197</v>
      </c>
      <c r="B4996">
        <v>103.23051095997</v>
      </c>
      <c r="C4996">
        <v>2001</v>
      </c>
    </row>
    <row r="4997" spans="1:11" x14ac:dyDescent="0.25">
      <c r="A4997">
        <v>94.849468713891994</v>
      </c>
      <c r="B4997">
        <v>105.382749280466</v>
      </c>
      <c r="C4997">
        <v>2001</v>
      </c>
    </row>
    <row r="4998" spans="1:11" x14ac:dyDescent="0.25">
      <c r="A4998">
        <v>95.286484738340803</v>
      </c>
      <c r="B4998">
        <v>104.94573325601699</v>
      </c>
      <c r="C4998">
        <v>2000</v>
      </c>
    </row>
    <row r="4999" spans="1:11" x14ac:dyDescent="0.25">
      <c r="A4999" t="s">
        <v>84</v>
      </c>
    </row>
    <row r="5000" spans="1:11" x14ac:dyDescent="0.25">
      <c r="A5000">
        <v>922</v>
      </c>
      <c r="B5000">
        <v>0</v>
      </c>
      <c r="C5000">
        <v>3.2726110366812802</v>
      </c>
      <c r="D5000">
        <v>3.8229410050863901</v>
      </c>
      <c r="E5000">
        <v>6</v>
      </c>
      <c r="F5000">
        <v>1.01722196789785</v>
      </c>
      <c r="G5000" t="s">
        <v>82</v>
      </c>
      <c r="H5000" t="s">
        <v>81</v>
      </c>
      <c r="I5000">
        <v>0</v>
      </c>
      <c r="J5000">
        <v>1043</v>
      </c>
      <c r="K5000">
        <v>0.10547505826048501</v>
      </c>
    </row>
    <row r="5001" spans="1:11" x14ac:dyDescent="0.25">
      <c r="A5001" t="s">
        <v>83</v>
      </c>
    </row>
    <row r="5002" spans="1:11" x14ac:dyDescent="0.25">
      <c r="A5002">
        <v>2.2133051746892201</v>
      </c>
      <c r="B5002">
        <v>123.919881045989</v>
      </c>
      <c r="C5002">
        <v>2000</v>
      </c>
    </row>
    <row r="5003" spans="1:11" x14ac:dyDescent="0.25">
      <c r="A5003">
        <v>0</v>
      </c>
      <c r="B5003">
        <v>121.7065758713</v>
      </c>
      <c r="C5003">
        <v>2000</v>
      </c>
    </row>
    <row r="5004" spans="1:11" x14ac:dyDescent="0.25">
      <c r="A5004">
        <v>0</v>
      </c>
      <c r="B5004">
        <v>120.832543822402</v>
      </c>
      <c r="C5004">
        <v>2001</v>
      </c>
    </row>
    <row r="5005" spans="1:11" x14ac:dyDescent="0.25">
      <c r="A5005">
        <v>2.4148657377573302</v>
      </c>
      <c r="B5005">
        <v>123.247409560159</v>
      </c>
      <c r="C5005">
        <v>2001</v>
      </c>
    </row>
    <row r="5006" spans="1:11" x14ac:dyDescent="0.25">
      <c r="A5006">
        <v>5.2358209772203796</v>
      </c>
      <c r="B5006">
        <v>126.068364799622</v>
      </c>
      <c r="C5006">
        <v>2001</v>
      </c>
    </row>
    <row r="5007" spans="1:11" x14ac:dyDescent="0.25">
      <c r="A5007">
        <v>4.7988049527715599</v>
      </c>
      <c r="B5007">
        <v>126.505380824071</v>
      </c>
      <c r="C5007">
        <v>2000</v>
      </c>
    </row>
    <row r="5008" spans="1:11" x14ac:dyDescent="0.25">
      <c r="A5008" t="s">
        <v>84</v>
      </c>
    </row>
    <row r="5009" spans="1:11" x14ac:dyDescent="0.25">
      <c r="A5009">
        <v>273</v>
      </c>
      <c r="B5009">
        <v>0</v>
      </c>
      <c r="C5009">
        <v>5.4182493906686497</v>
      </c>
      <c r="D5009">
        <v>1.2898059621179001</v>
      </c>
      <c r="E5009">
        <v>6</v>
      </c>
      <c r="F5009">
        <v>1.01722196789785</v>
      </c>
      <c r="G5009" t="s">
        <v>81</v>
      </c>
      <c r="H5009" t="s">
        <v>82</v>
      </c>
      <c r="I5009">
        <v>831</v>
      </c>
      <c r="J5009">
        <v>0</v>
      </c>
      <c r="K5009">
        <v>0</v>
      </c>
    </row>
    <row r="5010" spans="1:11" x14ac:dyDescent="0.25">
      <c r="A5010" t="s">
        <v>83</v>
      </c>
    </row>
    <row r="5011" spans="1:11" x14ac:dyDescent="0.25">
      <c r="A5011">
        <v>149.045955353517</v>
      </c>
      <c r="B5011">
        <v>107.315820873001</v>
      </c>
      <c r="C5011">
        <v>2000</v>
      </c>
    </row>
    <row r="5012" spans="1:11" x14ac:dyDescent="0.25">
      <c r="A5012">
        <v>145.038180559246</v>
      </c>
      <c r="B5012">
        <v>103.30804607872901</v>
      </c>
      <c r="C5012">
        <v>2000</v>
      </c>
    </row>
    <row r="5013" spans="1:11" x14ac:dyDescent="0.25">
      <c r="A5013">
        <v>145.47519658369399</v>
      </c>
      <c r="B5013">
        <v>102.87103005428099</v>
      </c>
      <c r="C5013">
        <v>2001</v>
      </c>
    </row>
    <row r="5014" spans="1:11" x14ac:dyDescent="0.25">
      <c r="A5014">
        <v>149.12998356202601</v>
      </c>
      <c r="B5014">
        <v>106.525817032612</v>
      </c>
      <c r="C5014">
        <v>2001</v>
      </c>
    </row>
    <row r="5015" spans="1:11" x14ac:dyDescent="0.25">
      <c r="A5015">
        <v>150</v>
      </c>
      <c r="B5015">
        <v>107.395833470586</v>
      </c>
      <c r="C5015">
        <v>2001</v>
      </c>
    </row>
    <row r="5016" spans="1:11" x14ac:dyDescent="0.25">
      <c r="A5016">
        <v>150</v>
      </c>
      <c r="B5016">
        <v>108.269865519484</v>
      </c>
      <c r="C5016">
        <v>2000</v>
      </c>
    </row>
    <row r="5017" spans="1:11" x14ac:dyDescent="0.25">
      <c r="A5017" t="s">
        <v>84</v>
      </c>
    </row>
    <row r="5018" spans="1:11" x14ac:dyDescent="0.25">
      <c r="A5018">
        <v>949</v>
      </c>
      <c r="B5018">
        <v>0</v>
      </c>
      <c r="C5018">
        <v>0.95192226717415496</v>
      </c>
      <c r="D5018">
        <v>5.3854002349592296</v>
      </c>
      <c r="E5018">
        <v>6</v>
      </c>
      <c r="F5018">
        <v>1.01722196789785</v>
      </c>
      <c r="G5018" t="s">
        <v>81</v>
      </c>
      <c r="H5018" t="s">
        <v>81</v>
      </c>
      <c r="I5018">
        <v>258</v>
      </c>
      <c r="J5018">
        <v>946</v>
      </c>
      <c r="K5018">
        <v>0.106595525797685</v>
      </c>
    </row>
    <row r="5019" spans="1:11" x14ac:dyDescent="0.25">
      <c r="A5019" t="s">
        <v>83</v>
      </c>
    </row>
    <row r="5020" spans="1:11" x14ac:dyDescent="0.25">
      <c r="A5020">
        <v>124.09341124914801</v>
      </c>
      <c r="B5020">
        <v>121.895978769244</v>
      </c>
      <c r="C5020">
        <v>2000</v>
      </c>
    </row>
    <row r="5021" spans="1:11" x14ac:dyDescent="0.25">
      <c r="A5021">
        <v>123.420300558866</v>
      </c>
      <c r="B5021">
        <v>121.22286807896199</v>
      </c>
      <c r="C5021">
        <v>2000</v>
      </c>
    </row>
    <row r="5022" spans="1:11" x14ac:dyDescent="0.25">
      <c r="A5022">
        <v>122.983284534418</v>
      </c>
      <c r="B5022">
        <v>121.659884103411</v>
      </c>
      <c r="C5022">
        <v>2001</v>
      </c>
    </row>
    <row r="5023" spans="1:11" x14ac:dyDescent="0.25">
      <c r="A5023">
        <v>123.656395224699</v>
      </c>
      <c r="B5023">
        <v>122.332994793692</v>
      </c>
      <c r="C5023">
        <v>2001</v>
      </c>
    </row>
    <row r="5024" spans="1:11" x14ac:dyDescent="0.25">
      <c r="A5024">
        <v>127.464448250242</v>
      </c>
      <c r="B5024">
        <v>126.14104781923599</v>
      </c>
      <c r="C5024">
        <v>2001</v>
      </c>
    </row>
    <row r="5025" spans="1:11" x14ac:dyDescent="0.25">
      <c r="A5025">
        <v>127.90146427469099</v>
      </c>
      <c r="B5025">
        <v>125.704031794787</v>
      </c>
      <c r="C5025">
        <v>2000</v>
      </c>
    </row>
    <row r="5026" spans="1:11" x14ac:dyDescent="0.25">
      <c r="A5026" t="s">
        <v>84</v>
      </c>
    </row>
    <row r="5027" spans="1:11" x14ac:dyDescent="0.25">
      <c r="A5027">
        <v>809</v>
      </c>
      <c r="B5027">
        <v>0</v>
      </c>
      <c r="C5027">
        <v>2.3410379392026899</v>
      </c>
      <c r="D5027">
        <v>3.9382154929404898</v>
      </c>
      <c r="E5027">
        <v>6</v>
      </c>
      <c r="F5027">
        <v>1.01722196789785</v>
      </c>
      <c r="G5027" t="s">
        <v>81</v>
      </c>
      <c r="H5027" t="s">
        <v>81</v>
      </c>
      <c r="I5027">
        <v>729</v>
      </c>
      <c r="J5027">
        <v>907</v>
      </c>
      <c r="K5027">
        <v>0.10256144766988801</v>
      </c>
    </row>
    <row r="5028" spans="1:11" x14ac:dyDescent="0.25">
      <c r="A5028" t="s">
        <v>83</v>
      </c>
    </row>
    <row r="5029" spans="1:11" x14ac:dyDescent="0.25">
      <c r="A5029">
        <v>85.835212163545904</v>
      </c>
      <c r="B5029">
        <v>109.07060299119</v>
      </c>
      <c r="C5029">
        <v>2000</v>
      </c>
    </row>
    <row r="5030" spans="1:11" x14ac:dyDescent="0.25">
      <c r="A5030">
        <v>84.179848361720701</v>
      </c>
      <c r="B5030">
        <v>107.415239189365</v>
      </c>
      <c r="C5030">
        <v>2000</v>
      </c>
    </row>
    <row r="5031" spans="1:11" x14ac:dyDescent="0.25">
      <c r="A5031">
        <v>83.742832337271906</v>
      </c>
      <c r="B5031">
        <v>107.852255213814</v>
      </c>
      <c r="C5031">
        <v>2001</v>
      </c>
    </row>
    <row r="5032" spans="1:11" x14ac:dyDescent="0.25">
      <c r="A5032">
        <v>85.398196139097095</v>
      </c>
      <c r="B5032">
        <v>109.50761901563899</v>
      </c>
      <c r="C5032">
        <v>2001</v>
      </c>
    </row>
    <row r="5033" spans="1:11" x14ac:dyDescent="0.25">
      <c r="A5033">
        <v>88.182935019929303</v>
      </c>
      <c r="B5033">
        <v>112.292357896471</v>
      </c>
      <c r="C5033">
        <v>2001</v>
      </c>
    </row>
    <row r="5034" spans="1:11" x14ac:dyDescent="0.25">
      <c r="A5034">
        <v>88.619951044378098</v>
      </c>
      <c r="B5034">
        <v>111.855341872022</v>
      </c>
      <c r="C5034">
        <v>2000</v>
      </c>
    </row>
    <row r="5035" spans="1:11" x14ac:dyDescent="0.25">
      <c r="A5035" t="s">
        <v>84</v>
      </c>
    </row>
    <row r="5036" spans="1:11" x14ac:dyDescent="0.25">
      <c r="A5036">
        <v>883</v>
      </c>
      <c r="B5036">
        <v>0</v>
      </c>
      <c r="C5036">
        <v>0.10916337976328799</v>
      </c>
      <c r="D5036">
        <v>6.1550962072123498</v>
      </c>
      <c r="E5036">
        <v>6</v>
      </c>
      <c r="F5036">
        <v>1.01722196789785</v>
      </c>
      <c r="G5036" t="s">
        <v>81</v>
      </c>
      <c r="H5036" t="s">
        <v>82</v>
      </c>
      <c r="I5036">
        <v>870</v>
      </c>
      <c r="J5036">
        <v>0</v>
      </c>
      <c r="K5036">
        <v>0.104401248428883</v>
      </c>
    </row>
    <row r="5037" spans="1:11" x14ac:dyDescent="0.25">
      <c r="A5037" t="s">
        <v>83</v>
      </c>
    </row>
    <row r="5038" spans="1:11" x14ac:dyDescent="0.25">
      <c r="A5038">
        <v>51.286545114747902</v>
      </c>
      <c r="B5038">
        <v>145.86238994118401</v>
      </c>
      <c r="C5038">
        <v>2000</v>
      </c>
    </row>
    <row r="5039" spans="1:11" x14ac:dyDescent="0.25">
      <c r="A5039">
        <v>51.213162752725097</v>
      </c>
      <c r="B5039">
        <v>145.78900757916099</v>
      </c>
      <c r="C5039">
        <v>2000</v>
      </c>
    </row>
    <row r="5040" spans="1:11" x14ac:dyDescent="0.25">
      <c r="A5040">
        <v>51.650178777173899</v>
      </c>
      <c r="B5040">
        <v>145.35199155471199</v>
      </c>
      <c r="C5040">
        <v>2001</v>
      </c>
    </row>
    <row r="5041" spans="1:11" x14ac:dyDescent="0.25">
      <c r="A5041">
        <v>51.731176747326799</v>
      </c>
      <c r="B5041">
        <v>145.43298952486501</v>
      </c>
      <c r="C5041">
        <v>2001</v>
      </c>
    </row>
    <row r="5042" spans="1:11" x14ac:dyDescent="0.25">
      <c r="A5042">
        <v>56.298187222461699</v>
      </c>
      <c r="B5042">
        <v>150</v>
      </c>
      <c r="C5042">
        <v>2001</v>
      </c>
    </row>
    <row r="5043" spans="1:11" x14ac:dyDescent="0.25">
      <c r="A5043">
        <v>55.424155173564003</v>
      </c>
      <c r="B5043">
        <v>150</v>
      </c>
      <c r="C5043">
        <v>2000</v>
      </c>
    </row>
    <row r="5044" spans="1:11" x14ac:dyDescent="0.25">
      <c r="A5044" t="s">
        <v>84</v>
      </c>
    </row>
    <row r="5045" spans="1:11" x14ac:dyDescent="0.25">
      <c r="A5045">
        <v>433</v>
      </c>
      <c r="B5045">
        <v>0</v>
      </c>
      <c r="C5045">
        <v>5.1727604100449396</v>
      </c>
      <c r="D5045">
        <v>1.0828385821601401</v>
      </c>
      <c r="E5045">
        <v>6</v>
      </c>
      <c r="F5045">
        <v>1.01722196789785</v>
      </c>
      <c r="G5045" t="s">
        <v>81</v>
      </c>
      <c r="H5045" t="s">
        <v>81</v>
      </c>
      <c r="I5045">
        <v>422</v>
      </c>
      <c r="J5045">
        <v>788</v>
      </c>
      <c r="K5045">
        <v>0</v>
      </c>
    </row>
    <row r="5046" spans="1:11" x14ac:dyDescent="0.25">
      <c r="A5046" t="s">
        <v>83</v>
      </c>
    </row>
    <row r="5047" spans="1:11" x14ac:dyDescent="0.25">
      <c r="A5047">
        <v>30.060749837230102</v>
      </c>
      <c r="B5047">
        <v>134.97888378005899</v>
      </c>
      <c r="C5047">
        <v>2000</v>
      </c>
    </row>
    <row r="5048" spans="1:11" x14ac:dyDescent="0.25">
      <c r="A5048">
        <v>26.403055873833999</v>
      </c>
      <c r="B5048">
        <v>131.32118981666301</v>
      </c>
      <c r="C5048">
        <v>2000</v>
      </c>
    </row>
    <row r="5049" spans="1:11" x14ac:dyDescent="0.25">
      <c r="A5049">
        <v>26.840071898282901</v>
      </c>
      <c r="B5049">
        <v>130.884173792214</v>
      </c>
      <c r="C5049">
        <v>2001</v>
      </c>
    </row>
    <row r="5050" spans="1:11" x14ac:dyDescent="0.25">
      <c r="A5050">
        <v>30.497765861678999</v>
      </c>
      <c r="B5050">
        <v>134.54186775561001</v>
      </c>
      <c r="C5050">
        <v>2001</v>
      </c>
    </row>
    <row r="5051" spans="1:11" x14ac:dyDescent="0.25">
      <c r="A5051">
        <v>31.263448366054799</v>
      </c>
      <c r="B5051">
        <v>135.30755025998599</v>
      </c>
      <c r="C5051">
        <v>2001</v>
      </c>
    </row>
    <row r="5052" spans="1:11" x14ac:dyDescent="0.25">
      <c r="A5052">
        <v>30.826432341606001</v>
      </c>
      <c r="B5052">
        <v>135.744566284435</v>
      </c>
      <c r="C5052">
        <v>2000</v>
      </c>
    </row>
    <row r="5053" spans="1:11" x14ac:dyDescent="0.25">
      <c r="A5053" t="s">
        <v>84</v>
      </c>
    </row>
    <row r="5054" spans="1:11" x14ac:dyDescent="0.25">
      <c r="A5054">
        <v>845</v>
      </c>
      <c r="B5054">
        <v>0</v>
      </c>
      <c r="C5054">
        <v>2.5722566907690001</v>
      </c>
      <c r="D5054">
        <v>3.6215762024711502</v>
      </c>
      <c r="E5054">
        <v>8</v>
      </c>
      <c r="F5054">
        <v>1.01722196789785</v>
      </c>
      <c r="G5054" t="s">
        <v>81</v>
      </c>
      <c r="H5054" t="s">
        <v>81</v>
      </c>
      <c r="I5054">
        <v>594</v>
      </c>
      <c r="J5054">
        <v>266</v>
      </c>
      <c r="K5054">
        <v>0.10361701455149699</v>
      </c>
    </row>
    <row r="5055" spans="1:11" x14ac:dyDescent="0.25">
      <c r="A5055" t="s">
        <v>83</v>
      </c>
    </row>
    <row r="5056" spans="1:11" x14ac:dyDescent="0.25">
      <c r="A5056">
        <v>118.494658137898</v>
      </c>
      <c r="B5056">
        <v>97.851522751087899</v>
      </c>
      <c r="C5056">
        <v>2000</v>
      </c>
    </row>
    <row r="5057" spans="1:11" x14ac:dyDescent="0.25">
      <c r="A5057">
        <v>116.675797988902</v>
      </c>
      <c r="B5057">
        <v>96.0326626020926</v>
      </c>
      <c r="C5057">
        <v>2000</v>
      </c>
    </row>
    <row r="5058" spans="1:11" x14ac:dyDescent="0.25">
      <c r="A5058">
        <v>116.238781964453</v>
      </c>
      <c r="B5058">
        <v>96.469678626541395</v>
      </c>
      <c r="C5058">
        <v>2001</v>
      </c>
    </row>
    <row r="5059" spans="1:11" x14ac:dyDescent="0.25">
      <c r="A5059">
        <v>118.05764211344901</v>
      </c>
      <c r="B5059">
        <v>98.288538775536693</v>
      </c>
      <c r="C5059">
        <v>2001</v>
      </c>
    </row>
    <row r="5060" spans="1:11" x14ac:dyDescent="0.25">
      <c r="A5060">
        <v>119.98761135013601</v>
      </c>
      <c r="B5060">
        <v>100.21850801222401</v>
      </c>
      <c r="C5060">
        <v>2001</v>
      </c>
    </row>
    <row r="5061" spans="1:11" x14ac:dyDescent="0.25">
      <c r="A5061">
        <v>120.6184832048</v>
      </c>
      <c r="B5061">
        <v>100.849379866888</v>
      </c>
      <c r="C5061">
        <v>2001</v>
      </c>
    </row>
    <row r="5062" spans="1:11" x14ac:dyDescent="0.25">
      <c r="A5062">
        <v>121.05549922924899</v>
      </c>
      <c r="B5062">
        <v>100.41236384243901</v>
      </c>
      <c r="C5062">
        <v>2000</v>
      </c>
    </row>
    <row r="5063" spans="1:11" x14ac:dyDescent="0.25">
      <c r="A5063">
        <v>120.424627374585</v>
      </c>
      <c r="B5063">
        <v>99.781491987775595</v>
      </c>
      <c r="C5063">
        <v>2000</v>
      </c>
    </row>
    <row r="5064" spans="1:11" x14ac:dyDescent="0.25">
      <c r="A5064" t="s">
        <v>84</v>
      </c>
    </row>
    <row r="5065" spans="1:11" x14ac:dyDescent="0.25">
      <c r="A5065">
        <v>670</v>
      </c>
      <c r="B5065">
        <v>0</v>
      </c>
      <c r="C5065">
        <v>2.0588809117276399</v>
      </c>
      <c r="D5065">
        <v>3.9631006205352701</v>
      </c>
      <c r="E5065">
        <v>8</v>
      </c>
      <c r="F5065">
        <v>1.01722196789785</v>
      </c>
      <c r="G5065" t="s">
        <v>81</v>
      </c>
      <c r="H5065" t="s">
        <v>81</v>
      </c>
      <c r="I5065">
        <v>811</v>
      </c>
      <c r="J5065">
        <v>353</v>
      </c>
      <c r="K5065">
        <v>0</v>
      </c>
    </row>
    <row r="5066" spans="1:11" x14ac:dyDescent="0.25">
      <c r="A5066" t="s">
        <v>83</v>
      </c>
    </row>
    <row r="5067" spans="1:11" x14ac:dyDescent="0.25">
      <c r="A5067">
        <v>86.883442163883302</v>
      </c>
      <c r="B5067">
        <v>97.656708562582295</v>
      </c>
      <c r="C5067">
        <v>2000</v>
      </c>
    </row>
    <row r="5068" spans="1:11" x14ac:dyDescent="0.25">
      <c r="A5068">
        <v>85.427593509545105</v>
      </c>
      <c r="B5068">
        <v>96.200859908244198</v>
      </c>
      <c r="C5068">
        <v>2000</v>
      </c>
    </row>
    <row r="5069" spans="1:11" x14ac:dyDescent="0.25">
      <c r="A5069">
        <v>85.8646095339939</v>
      </c>
      <c r="B5069">
        <v>95.763843883795303</v>
      </c>
      <c r="C5069">
        <v>2001</v>
      </c>
    </row>
    <row r="5070" spans="1:11" x14ac:dyDescent="0.25">
      <c r="A5070">
        <v>87.320458188332097</v>
      </c>
      <c r="B5070">
        <v>97.219692538133501</v>
      </c>
      <c r="C5070">
        <v>2001</v>
      </c>
    </row>
    <row r="5071" spans="1:11" x14ac:dyDescent="0.25">
      <c r="A5071">
        <v>89.882257637974206</v>
      </c>
      <c r="B5071">
        <v>99.781491987775595</v>
      </c>
      <c r="C5071">
        <v>2001</v>
      </c>
    </row>
    <row r="5072" spans="1:11" x14ac:dyDescent="0.25">
      <c r="A5072">
        <v>90.122793511637198</v>
      </c>
      <c r="B5072">
        <v>100.022027861439</v>
      </c>
      <c r="C5072">
        <v>2001</v>
      </c>
    </row>
    <row r="5073" spans="1:11" x14ac:dyDescent="0.25">
      <c r="A5073">
        <v>89.685777487188403</v>
      </c>
      <c r="B5073">
        <v>100.459043885887</v>
      </c>
      <c r="C5073">
        <v>2000</v>
      </c>
    </row>
    <row r="5074" spans="1:11" x14ac:dyDescent="0.25">
      <c r="A5074">
        <v>89.445241613525397</v>
      </c>
      <c r="B5074">
        <v>100.21850801222401</v>
      </c>
      <c r="C5074">
        <v>2000</v>
      </c>
    </row>
    <row r="5075" spans="1:11" x14ac:dyDescent="0.25">
      <c r="A5075" t="s">
        <v>84</v>
      </c>
    </row>
    <row r="5076" spans="1:11" x14ac:dyDescent="0.25">
      <c r="A5076">
        <v>875</v>
      </c>
      <c r="B5076">
        <v>0</v>
      </c>
      <c r="C5076">
        <v>1.16822522753311</v>
      </c>
      <c r="D5076">
        <v>4.8312480050457998</v>
      </c>
      <c r="E5076">
        <v>6</v>
      </c>
      <c r="F5076">
        <v>1.01722196789785</v>
      </c>
      <c r="G5076" t="s">
        <v>81</v>
      </c>
      <c r="H5076" t="s">
        <v>81</v>
      </c>
      <c r="I5076">
        <v>768</v>
      </c>
      <c r="J5076">
        <v>853</v>
      </c>
      <c r="K5076">
        <v>0.104210552406962</v>
      </c>
    </row>
    <row r="5077" spans="1:11" x14ac:dyDescent="0.25">
      <c r="A5077" t="s">
        <v>83</v>
      </c>
    </row>
    <row r="5078" spans="1:11" x14ac:dyDescent="0.25">
      <c r="A5078">
        <v>18.724773510692199</v>
      </c>
      <c r="B5078">
        <v>66.366390654992301</v>
      </c>
      <c r="C5078">
        <v>2000</v>
      </c>
    </row>
    <row r="5079" spans="1:11" x14ac:dyDescent="0.25">
      <c r="A5079">
        <v>17.898713530350399</v>
      </c>
      <c r="B5079">
        <v>65.540330674650505</v>
      </c>
      <c r="C5079">
        <v>2000</v>
      </c>
    </row>
    <row r="5080" spans="1:11" x14ac:dyDescent="0.25">
      <c r="A5080">
        <v>17.461697505901601</v>
      </c>
      <c r="B5080">
        <v>65.9773466990993</v>
      </c>
      <c r="C5080">
        <v>2001</v>
      </c>
    </row>
    <row r="5081" spans="1:11" x14ac:dyDescent="0.25">
      <c r="A5081">
        <v>18.2877574862434</v>
      </c>
      <c r="B5081">
        <v>66.803406679441096</v>
      </c>
      <c r="C5081">
        <v>2001</v>
      </c>
    </row>
    <row r="5082" spans="1:11" x14ac:dyDescent="0.25">
      <c r="A5082">
        <v>21.703965712205299</v>
      </c>
      <c r="B5082">
        <v>70.219614905403006</v>
      </c>
      <c r="C5082">
        <v>2001</v>
      </c>
    </row>
    <row r="5083" spans="1:11" x14ac:dyDescent="0.25">
      <c r="A5083">
        <v>22.140981736654101</v>
      </c>
      <c r="B5083">
        <v>69.782598880954197</v>
      </c>
      <c r="C5083">
        <v>2000</v>
      </c>
    </row>
    <row r="5084" spans="1:11" x14ac:dyDescent="0.25">
      <c r="A5084" t="s">
        <v>84</v>
      </c>
    </row>
    <row r="5085" spans="1:11" x14ac:dyDescent="0.25">
      <c r="A5085">
        <v>39</v>
      </c>
      <c r="B5085">
        <v>0</v>
      </c>
      <c r="C5085">
        <v>2.0588809117276701</v>
      </c>
      <c r="D5085">
        <v>3.7239912005703499</v>
      </c>
      <c r="E5085">
        <v>8</v>
      </c>
      <c r="F5085">
        <v>1.01722196789785</v>
      </c>
      <c r="G5085" t="s">
        <v>81</v>
      </c>
      <c r="H5085" t="s">
        <v>81</v>
      </c>
      <c r="I5085">
        <v>1016</v>
      </c>
      <c r="J5085">
        <v>1004</v>
      </c>
      <c r="K5085">
        <v>0</v>
      </c>
    </row>
    <row r="5086" spans="1:11" x14ac:dyDescent="0.25">
      <c r="A5086" t="s">
        <v>83</v>
      </c>
    </row>
    <row r="5087" spans="1:11" x14ac:dyDescent="0.25">
      <c r="A5087">
        <v>29.6105962114503</v>
      </c>
      <c r="B5087">
        <v>47.925358780620499</v>
      </c>
      <c r="C5087">
        <v>2000</v>
      </c>
    </row>
    <row r="5088" spans="1:11" x14ac:dyDescent="0.25">
      <c r="A5088">
        <v>28.154747557112099</v>
      </c>
      <c r="B5088">
        <v>46.469510126282302</v>
      </c>
      <c r="C5088">
        <v>2000</v>
      </c>
    </row>
    <row r="5089" spans="1:11" x14ac:dyDescent="0.25">
      <c r="A5089">
        <v>28.591763581560901</v>
      </c>
      <c r="B5089">
        <v>46.0324941018335</v>
      </c>
      <c r="C5089">
        <v>2001</v>
      </c>
    </row>
    <row r="5090" spans="1:11" x14ac:dyDescent="0.25">
      <c r="A5090">
        <v>30.047612235899098</v>
      </c>
      <c r="B5090">
        <v>47.488342756171697</v>
      </c>
      <c r="C5090">
        <v>2001</v>
      </c>
    </row>
    <row r="5091" spans="1:11" x14ac:dyDescent="0.25">
      <c r="A5091">
        <v>32.340761467503</v>
      </c>
      <c r="B5091">
        <v>49.781491987775603</v>
      </c>
      <c r="C5091">
        <v>2001</v>
      </c>
    </row>
    <row r="5092" spans="1:11" x14ac:dyDescent="0.25">
      <c r="A5092">
        <v>32.680871666901403</v>
      </c>
      <c r="B5092">
        <v>50.121602187173998</v>
      </c>
      <c r="C5092">
        <v>2001</v>
      </c>
    </row>
    <row r="5093" spans="1:11" x14ac:dyDescent="0.25">
      <c r="A5093">
        <v>32.243855642452601</v>
      </c>
      <c r="B5093">
        <v>50.5586182116228</v>
      </c>
      <c r="C5093">
        <v>2000</v>
      </c>
    </row>
    <row r="5094" spans="1:11" x14ac:dyDescent="0.25">
      <c r="A5094">
        <v>31.903745443054198</v>
      </c>
      <c r="B5094">
        <v>50.218508012224397</v>
      </c>
      <c r="C5094">
        <v>2000</v>
      </c>
    </row>
    <row r="5095" spans="1:11" x14ac:dyDescent="0.25">
      <c r="A5095" t="s">
        <v>84</v>
      </c>
    </row>
    <row r="5096" spans="1:11" x14ac:dyDescent="0.25">
      <c r="A5096">
        <v>934</v>
      </c>
      <c r="B5096">
        <v>0</v>
      </c>
      <c r="C5096">
        <v>3.3351294287741999</v>
      </c>
      <c r="D5096">
        <v>2.1001192140140601</v>
      </c>
      <c r="E5096">
        <v>6</v>
      </c>
      <c r="F5096">
        <v>1.01722196789785</v>
      </c>
      <c r="G5096" t="s">
        <v>81</v>
      </c>
      <c r="H5096" t="s">
        <v>81</v>
      </c>
      <c r="I5096">
        <v>945</v>
      </c>
      <c r="J5096">
        <v>644</v>
      </c>
      <c r="K5096">
        <v>0.10580846500036099</v>
      </c>
    </row>
    <row r="5097" spans="1:11" x14ac:dyDescent="0.25">
      <c r="A5097" t="s">
        <v>83</v>
      </c>
    </row>
    <row r="5098" spans="1:11" x14ac:dyDescent="0.25">
      <c r="A5098">
        <v>83.567526234108001</v>
      </c>
      <c r="B5098">
        <v>54.650388772906702</v>
      </c>
      <c r="C5098">
        <v>2000</v>
      </c>
    </row>
    <row r="5099" spans="1:11" x14ac:dyDescent="0.25">
      <c r="A5099">
        <v>81.209233598886897</v>
      </c>
      <c r="B5099">
        <v>52.292096137685697</v>
      </c>
      <c r="C5099">
        <v>2000</v>
      </c>
    </row>
    <row r="5100" spans="1:11" x14ac:dyDescent="0.25">
      <c r="A5100">
        <v>80.772217574438102</v>
      </c>
      <c r="B5100">
        <v>52.729112162134498</v>
      </c>
      <c r="C5100">
        <v>2001</v>
      </c>
    </row>
    <row r="5101" spans="1:11" x14ac:dyDescent="0.25">
      <c r="A5101">
        <v>83.130510209659207</v>
      </c>
      <c r="B5101">
        <v>55.087404797355603</v>
      </c>
      <c r="C5101">
        <v>2001</v>
      </c>
    </row>
    <row r="5102" spans="1:11" x14ac:dyDescent="0.25">
      <c r="A5102">
        <v>84.615518747188702</v>
      </c>
      <c r="B5102">
        <v>56.572413334885098</v>
      </c>
      <c r="C5102">
        <v>2001</v>
      </c>
    </row>
    <row r="5103" spans="1:11" x14ac:dyDescent="0.25">
      <c r="A5103">
        <v>85.052534771637497</v>
      </c>
      <c r="B5103">
        <v>56.135397310436197</v>
      </c>
      <c r="C5103">
        <v>2000</v>
      </c>
    </row>
    <row r="5104" spans="1:11" x14ac:dyDescent="0.25">
      <c r="A5104" t="s">
        <v>84</v>
      </c>
    </row>
    <row r="5105" spans="1:11" x14ac:dyDescent="0.25">
      <c r="A5105">
        <v>1018</v>
      </c>
      <c r="B5105">
        <v>0</v>
      </c>
      <c r="C5105">
        <v>4.9012761872573796</v>
      </c>
      <c r="D5105">
        <v>0.52666028561978395</v>
      </c>
      <c r="E5105">
        <v>8</v>
      </c>
      <c r="F5105">
        <v>1.01722196789785</v>
      </c>
      <c r="G5105" t="s">
        <v>81</v>
      </c>
      <c r="H5105" t="s">
        <v>81</v>
      </c>
      <c r="I5105">
        <v>667</v>
      </c>
      <c r="J5105">
        <v>590</v>
      </c>
      <c r="K5105">
        <v>0.111250480700389</v>
      </c>
    </row>
    <row r="5106" spans="1:11" x14ac:dyDescent="0.25">
      <c r="A5106" t="s">
        <v>83</v>
      </c>
    </row>
    <row r="5107" spans="1:11" x14ac:dyDescent="0.25">
      <c r="A5107">
        <v>100.220893071131</v>
      </c>
      <c r="B5107">
        <v>63.483003413068403</v>
      </c>
      <c r="C5107">
        <v>2000</v>
      </c>
    </row>
    <row r="5108" spans="1:11" x14ac:dyDescent="0.25">
      <c r="A5108">
        <v>100.21850801222401</v>
      </c>
      <c r="B5108">
        <v>63.4806183541614</v>
      </c>
      <c r="C5108">
        <v>2000</v>
      </c>
    </row>
    <row r="5109" spans="1:11" x14ac:dyDescent="0.25">
      <c r="A5109">
        <v>96.755167442653601</v>
      </c>
      <c r="B5109">
        <v>60.017277784590597</v>
      </c>
      <c r="C5109">
        <v>2000</v>
      </c>
    </row>
    <row r="5110" spans="1:11" x14ac:dyDescent="0.25">
      <c r="A5110">
        <v>96.318151418204806</v>
      </c>
      <c r="B5110">
        <v>60.454293809039399</v>
      </c>
      <c r="C5110">
        <v>2001</v>
      </c>
    </row>
    <row r="5111" spans="1:11" x14ac:dyDescent="0.25">
      <c r="A5111">
        <v>99.781491987775595</v>
      </c>
      <c r="B5111">
        <v>63.917634378610202</v>
      </c>
      <c r="C5111">
        <v>2001</v>
      </c>
    </row>
    <row r="5112" spans="1:11" x14ac:dyDescent="0.25">
      <c r="A5112">
        <v>99.783877046682605</v>
      </c>
      <c r="B5112">
        <v>63.920019437517198</v>
      </c>
      <c r="C5112">
        <v>2001</v>
      </c>
    </row>
    <row r="5113" spans="1:11" x14ac:dyDescent="0.25">
      <c r="A5113">
        <v>100.156282106026</v>
      </c>
      <c r="B5113">
        <v>64.292424496860605</v>
      </c>
      <c r="C5113">
        <v>2001</v>
      </c>
    </row>
    <row r="5114" spans="1:11" x14ac:dyDescent="0.25">
      <c r="A5114">
        <v>100.59329813047501</v>
      </c>
      <c r="B5114">
        <v>63.855408472411803</v>
      </c>
      <c r="C5114">
        <v>2000</v>
      </c>
    </row>
    <row r="5115" spans="1:11" x14ac:dyDescent="0.25">
      <c r="A5115" t="s">
        <v>84</v>
      </c>
    </row>
    <row r="5116" spans="1:11" x14ac:dyDescent="0.25">
      <c r="A5116">
        <v>775</v>
      </c>
      <c r="B5116">
        <v>0</v>
      </c>
      <c r="C5116">
        <v>0.101638065462588</v>
      </c>
      <c r="D5116">
        <v>4.98122081519932</v>
      </c>
      <c r="E5116">
        <v>6</v>
      </c>
      <c r="F5116">
        <v>1.01722196789785</v>
      </c>
      <c r="G5116" t="s">
        <v>81</v>
      </c>
      <c r="H5116" t="s">
        <v>81</v>
      </c>
      <c r="I5116">
        <v>31</v>
      </c>
      <c r="J5116">
        <v>35</v>
      </c>
      <c r="K5116">
        <v>0.101899323518764</v>
      </c>
    </row>
    <row r="5117" spans="1:11" x14ac:dyDescent="0.25">
      <c r="A5117" t="s">
        <v>83</v>
      </c>
    </row>
    <row r="5118" spans="1:11" x14ac:dyDescent="0.25">
      <c r="A5118">
        <v>33.968984743570203</v>
      </c>
      <c r="B5118">
        <v>26.182968720874499</v>
      </c>
      <c r="C5118">
        <v>2000</v>
      </c>
    </row>
    <row r="5119" spans="1:11" x14ac:dyDescent="0.25">
      <c r="A5119">
        <v>33.897115778254999</v>
      </c>
      <c r="B5119">
        <v>26.111099755559199</v>
      </c>
      <c r="C5119">
        <v>2000</v>
      </c>
    </row>
    <row r="5120" spans="1:11" x14ac:dyDescent="0.25">
      <c r="A5120">
        <v>34.334131802703801</v>
      </c>
      <c r="B5120">
        <v>25.6740837311104</v>
      </c>
      <c r="C5120">
        <v>2001</v>
      </c>
    </row>
    <row r="5121" spans="1:11" x14ac:dyDescent="0.25">
      <c r="A5121">
        <v>34.406000768019098</v>
      </c>
      <c r="B5121">
        <v>25.745952696425601</v>
      </c>
      <c r="C5121">
        <v>2001</v>
      </c>
    </row>
    <row r="5122" spans="1:11" x14ac:dyDescent="0.25">
      <c r="A5122">
        <v>37.928255785034096</v>
      </c>
      <c r="B5122">
        <v>29.268207713440699</v>
      </c>
      <c r="C5122">
        <v>2001</v>
      </c>
    </row>
    <row r="5123" spans="1:11" x14ac:dyDescent="0.25">
      <c r="A5123">
        <v>37.491239760585302</v>
      </c>
      <c r="B5123">
        <v>29.705223737889501</v>
      </c>
      <c r="C5123">
        <v>2000</v>
      </c>
    </row>
    <row r="5124" spans="1:11" x14ac:dyDescent="0.25">
      <c r="A5124" t="s">
        <v>84</v>
      </c>
    </row>
    <row r="5125" spans="1:11" x14ac:dyDescent="0.25">
      <c r="A5125">
        <v>505</v>
      </c>
      <c r="B5125">
        <v>0</v>
      </c>
      <c r="C5125">
        <v>1.3354810197331399</v>
      </c>
      <c r="D5125">
        <v>3.6218342196245201</v>
      </c>
      <c r="E5125">
        <v>6</v>
      </c>
      <c r="F5125">
        <v>1.01722196789785</v>
      </c>
      <c r="G5125" t="s">
        <v>81</v>
      </c>
      <c r="H5125" t="s">
        <v>81</v>
      </c>
      <c r="I5125">
        <v>507</v>
      </c>
      <c r="J5125">
        <v>520</v>
      </c>
      <c r="K5125">
        <v>0</v>
      </c>
    </row>
    <row r="5126" spans="1:11" x14ac:dyDescent="0.25">
      <c r="A5126" t="s">
        <v>83</v>
      </c>
    </row>
    <row r="5127" spans="1:11" x14ac:dyDescent="0.25">
      <c r="A5127">
        <v>129.967019111838</v>
      </c>
      <c r="B5127">
        <v>22.6937457596344</v>
      </c>
      <c r="C5127">
        <v>2000</v>
      </c>
    </row>
    <row r="5128" spans="1:11" x14ac:dyDescent="0.25">
      <c r="A5128">
        <v>129.022691426639</v>
      </c>
      <c r="B5128">
        <v>21.749418074435098</v>
      </c>
      <c r="C5128">
        <v>2000</v>
      </c>
    </row>
    <row r="5129" spans="1:11" x14ac:dyDescent="0.25">
      <c r="A5129">
        <v>129.45970745108801</v>
      </c>
      <c r="B5129">
        <v>21.3124020499863</v>
      </c>
      <c r="C5129">
        <v>2001</v>
      </c>
    </row>
    <row r="5130" spans="1:11" x14ac:dyDescent="0.25">
      <c r="A5130">
        <v>130.40403513628701</v>
      </c>
      <c r="B5130">
        <v>22.256729735185498</v>
      </c>
      <c r="C5130">
        <v>2001</v>
      </c>
    </row>
    <row r="5131" spans="1:11" x14ac:dyDescent="0.25">
      <c r="A5131">
        <v>132.965058673317</v>
      </c>
      <c r="B5131">
        <v>24.817753272215501</v>
      </c>
      <c r="C5131">
        <v>2001</v>
      </c>
    </row>
    <row r="5132" spans="1:11" x14ac:dyDescent="0.25">
      <c r="A5132">
        <v>132.528042648868</v>
      </c>
      <c r="B5132">
        <v>25.2547692966643</v>
      </c>
      <c r="C5132">
        <v>2000</v>
      </c>
    </row>
    <row r="5133" spans="1:11" x14ac:dyDescent="0.25">
      <c r="A5133" t="s">
        <v>84</v>
      </c>
    </row>
    <row r="5134" spans="1:11" x14ac:dyDescent="0.25">
      <c r="A5134">
        <v>276</v>
      </c>
      <c r="B5134">
        <v>0</v>
      </c>
      <c r="C5134">
        <v>4.2029988840586396</v>
      </c>
      <c r="D5134">
        <v>0.70162667112140298</v>
      </c>
      <c r="E5134">
        <v>6</v>
      </c>
      <c r="F5134">
        <v>1.01722196789785</v>
      </c>
      <c r="G5134" t="s">
        <v>81</v>
      </c>
      <c r="H5134" t="s">
        <v>82</v>
      </c>
      <c r="I5134">
        <v>274</v>
      </c>
      <c r="J5134">
        <v>0</v>
      </c>
      <c r="K5134">
        <v>0</v>
      </c>
    </row>
    <row r="5135" spans="1:11" x14ac:dyDescent="0.25">
      <c r="A5135" t="s">
        <v>83</v>
      </c>
    </row>
    <row r="5136" spans="1:11" x14ac:dyDescent="0.25">
      <c r="A5136">
        <v>129.81011987935199</v>
      </c>
      <c r="B5136">
        <v>149.47261656146</v>
      </c>
      <c r="C5136">
        <v>2000</v>
      </c>
    </row>
    <row r="5137" spans="1:11" x14ac:dyDescent="0.25">
      <c r="A5137">
        <v>126.650901316419</v>
      </c>
      <c r="B5137">
        <v>146.31339799852699</v>
      </c>
      <c r="C5137">
        <v>2000</v>
      </c>
    </row>
    <row r="5138" spans="1:11" x14ac:dyDescent="0.25">
      <c r="A5138">
        <v>126.21388529197</v>
      </c>
      <c r="B5138">
        <v>146.750414022976</v>
      </c>
      <c r="C5138">
        <v>2001</v>
      </c>
    </row>
    <row r="5139" spans="1:11" x14ac:dyDescent="0.25">
      <c r="A5139">
        <v>128.99860475351201</v>
      </c>
      <c r="B5139">
        <v>149.53513348451801</v>
      </c>
      <c r="C5139">
        <v>2001</v>
      </c>
    </row>
    <row r="5140" spans="1:11" x14ac:dyDescent="0.25">
      <c r="A5140">
        <v>129.463471268994</v>
      </c>
      <c r="B5140">
        <v>150</v>
      </c>
      <c r="C5140">
        <v>2001</v>
      </c>
    </row>
    <row r="5141" spans="1:11" x14ac:dyDescent="0.25">
      <c r="A5141">
        <v>130.33750331789199</v>
      </c>
      <c r="B5141">
        <v>150</v>
      </c>
      <c r="C5141">
        <v>2000</v>
      </c>
    </row>
    <row r="5142" spans="1:11" x14ac:dyDescent="0.25">
      <c r="A5142" t="s">
        <v>84</v>
      </c>
    </row>
    <row r="5143" spans="1:11" x14ac:dyDescent="0.25">
      <c r="A5143">
        <v>993</v>
      </c>
      <c r="B5143">
        <v>0</v>
      </c>
      <c r="C5143">
        <v>3.42687976341406</v>
      </c>
      <c r="D5143">
        <v>1.4221962433148601</v>
      </c>
      <c r="E5143">
        <v>6</v>
      </c>
      <c r="F5143">
        <v>1.01722196789785</v>
      </c>
      <c r="G5143" t="s">
        <v>82</v>
      </c>
      <c r="H5143" t="s">
        <v>81</v>
      </c>
      <c r="I5143">
        <v>0</v>
      </c>
      <c r="J5143">
        <v>91</v>
      </c>
      <c r="K5143">
        <v>0.109004315129809</v>
      </c>
    </row>
    <row r="5144" spans="1:11" x14ac:dyDescent="0.25">
      <c r="A5144" t="s">
        <v>83</v>
      </c>
    </row>
    <row r="5145" spans="1:11" x14ac:dyDescent="0.25">
      <c r="A5145">
        <v>2.5775912323179502</v>
      </c>
      <c r="B5145">
        <v>79.116036758380304</v>
      </c>
      <c r="C5145">
        <v>2000</v>
      </c>
    </row>
    <row r="5146" spans="1:11" x14ac:dyDescent="0.25">
      <c r="A5146">
        <v>0</v>
      </c>
      <c r="B5146">
        <v>76.538445526062404</v>
      </c>
      <c r="C5146">
        <v>2000</v>
      </c>
    </row>
    <row r="5147" spans="1:11" x14ac:dyDescent="0.25">
      <c r="A5147">
        <v>0</v>
      </c>
      <c r="B5147">
        <v>77.412477574959993</v>
      </c>
      <c r="C5147">
        <v>2001</v>
      </c>
    </row>
    <row r="5148" spans="1:11" x14ac:dyDescent="0.25">
      <c r="A5148">
        <v>2.26874860572411</v>
      </c>
      <c r="B5148">
        <v>79.681226180684106</v>
      </c>
      <c r="C5148">
        <v>2001</v>
      </c>
    </row>
    <row r="5149" spans="1:11" x14ac:dyDescent="0.25">
      <c r="A5149">
        <v>3.2103065146226002</v>
      </c>
      <c r="B5149">
        <v>80.622784089582595</v>
      </c>
      <c r="C5149">
        <v>2001</v>
      </c>
    </row>
    <row r="5150" spans="1:11" x14ac:dyDescent="0.25">
      <c r="A5150">
        <v>3.6473225390714199</v>
      </c>
      <c r="B5150">
        <v>80.1857680651338</v>
      </c>
      <c r="C5150">
        <v>2000</v>
      </c>
    </row>
    <row r="5151" spans="1:11" x14ac:dyDescent="0.25">
      <c r="A5151" t="s">
        <v>84</v>
      </c>
    </row>
    <row r="5152" spans="1:11" x14ac:dyDescent="0.25">
      <c r="A5152">
        <v>857</v>
      </c>
      <c r="B5152">
        <v>0</v>
      </c>
      <c r="C5152">
        <v>2.2302437370718999E-2</v>
      </c>
      <c r="D5152">
        <v>4.5764073527839297</v>
      </c>
      <c r="E5152">
        <v>6</v>
      </c>
      <c r="F5152">
        <v>1.01722196789785</v>
      </c>
      <c r="G5152" t="s">
        <v>81</v>
      </c>
      <c r="H5152" t="s">
        <v>81</v>
      </c>
      <c r="I5152">
        <v>1038</v>
      </c>
      <c r="J5152">
        <v>111</v>
      </c>
      <c r="K5152">
        <v>0.103818452298958</v>
      </c>
    </row>
    <row r="5153" spans="1:11" x14ac:dyDescent="0.25">
      <c r="A5153" t="s">
        <v>83</v>
      </c>
    </row>
    <row r="5154" spans="1:11" x14ac:dyDescent="0.25">
      <c r="A5154">
        <v>27.817980007179202</v>
      </c>
      <c r="B5154">
        <v>61.925037463165197</v>
      </c>
      <c r="C5154">
        <v>2000</v>
      </c>
    </row>
    <row r="5155" spans="1:11" x14ac:dyDescent="0.25">
      <c r="A5155">
        <v>27.8022098024774</v>
      </c>
      <c r="B5155">
        <v>61.909267258463402</v>
      </c>
      <c r="C5155">
        <v>2000</v>
      </c>
    </row>
    <row r="5156" spans="1:11" x14ac:dyDescent="0.25">
      <c r="A5156">
        <v>27.365193778028601</v>
      </c>
      <c r="B5156">
        <v>62.346283282912196</v>
      </c>
      <c r="C5156">
        <v>2001</v>
      </c>
    </row>
    <row r="5157" spans="1:11" x14ac:dyDescent="0.25">
      <c r="A5157">
        <v>27.3809639827304</v>
      </c>
      <c r="B5157">
        <v>62.362053487613998</v>
      </c>
      <c r="C5157">
        <v>2001</v>
      </c>
    </row>
    <row r="5158" spans="1:11" x14ac:dyDescent="0.25">
      <c r="A5158">
        <v>30.616972655355902</v>
      </c>
      <c r="B5158">
        <v>65.598062160239493</v>
      </c>
      <c r="C5158">
        <v>2001</v>
      </c>
    </row>
    <row r="5159" spans="1:11" x14ac:dyDescent="0.25">
      <c r="A5159">
        <v>31.0539886798047</v>
      </c>
      <c r="B5159">
        <v>65.161046135790698</v>
      </c>
      <c r="C5159">
        <v>2000</v>
      </c>
    </row>
    <row r="5160" spans="1:11" x14ac:dyDescent="0.25">
      <c r="A5160" t="s">
        <v>84</v>
      </c>
    </row>
    <row r="5161" spans="1:11" x14ac:dyDescent="0.25">
      <c r="A5161">
        <v>115</v>
      </c>
      <c r="B5161">
        <v>0</v>
      </c>
      <c r="C5161">
        <v>2.0497216077348099</v>
      </c>
      <c r="D5161">
        <v>2.52724268244953</v>
      </c>
      <c r="E5161">
        <v>6</v>
      </c>
      <c r="F5161">
        <v>1.01722196789785</v>
      </c>
      <c r="G5161" t="s">
        <v>81</v>
      </c>
      <c r="H5161" t="s">
        <v>81</v>
      </c>
      <c r="I5161">
        <v>120</v>
      </c>
      <c r="J5161">
        <v>857</v>
      </c>
      <c r="K5161">
        <v>0</v>
      </c>
    </row>
    <row r="5162" spans="1:11" x14ac:dyDescent="0.25">
      <c r="A5162" t="s">
        <v>83</v>
      </c>
    </row>
    <row r="5163" spans="1:11" x14ac:dyDescent="0.25">
      <c r="A5163">
        <v>25.5625175235574</v>
      </c>
      <c r="B5163">
        <v>60.574898660455098</v>
      </c>
      <c r="C5163">
        <v>2000</v>
      </c>
    </row>
    <row r="5164" spans="1:11" x14ac:dyDescent="0.25">
      <c r="A5164">
        <v>24.113145475183501</v>
      </c>
      <c r="B5164">
        <v>59.125526612081302</v>
      </c>
      <c r="C5164">
        <v>2000</v>
      </c>
    </row>
    <row r="5165" spans="1:11" x14ac:dyDescent="0.25">
      <c r="A5165">
        <v>23.676129450734699</v>
      </c>
      <c r="B5165">
        <v>59.562542636530097</v>
      </c>
      <c r="C5165">
        <v>2001</v>
      </c>
    </row>
    <row r="5166" spans="1:11" x14ac:dyDescent="0.25">
      <c r="A5166">
        <v>25.125501499108498</v>
      </c>
      <c r="B5166">
        <v>61.011914684903999</v>
      </c>
      <c r="C5166">
        <v>2001</v>
      </c>
    </row>
    <row r="5167" spans="1:11" x14ac:dyDescent="0.25">
      <c r="A5167">
        <v>26.912531937572702</v>
      </c>
      <c r="B5167">
        <v>62.7989451233681</v>
      </c>
      <c r="C5167">
        <v>2001</v>
      </c>
    </row>
    <row r="5168" spans="1:11" x14ac:dyDescent="0.25">
      <c r="A5168">
        <v>27.3495479620215</v>
      </c>
      <c r="B5168">
        <v>62.361929098919298</v>
      </c>
      <c r="C5168">
        <v>2000</v>
      </c>
    </row>
    <row r="5169" spans="1:11" x14ac:dyDescent="0.25">
      <c r="A5169" t="s">
        <v>84</v>
      </c>
    </row>
    <row r="5170" spans="1:11" x14ac:dyDescent="0.25">
      <c r="A5170">
        <v>819</v>
      </c>
      <c r="B5170">
        <v>0</v>
      </c>
      <c r="C5170">
        <v>1.3935268701603101</v>
      </c>
      <c r="D5170">
        <v>2.4499343854317601</v>
      </c>
      <c r="E5170">
        <v>6</v>
      </c>
      <c r="F5170">
        <v>1.01722196789785</v>
      </c>
      <c r="G5170" t="s">
        <v>81</v>
      </c>
      <c r="H5170" t="s">
        <v>82</v>
      </c>
      <c r="I5170">
        <v>788</v>
      </c>
      <c r="J5170">
        <v>0</v>
      </c>
      <c r="K5170">
        <v>0.10299214925957</v>
      </c>
    </row>
    <row r="5171" spans="1:11" x14ac:dyDescent="0.25">
      <c r="A5171" t="s">
        <v>83</v>
      </c>
    </row>
    <row r="5172" spans="1:11" x14ac:dyDescent="0.25">
      <c r="A5172">
        <v>43.162826515362703</v>
      </c>
      <c r="B5172">
        <v>148.128351397899</v>
      </c>
      <c r="C5172">
        <v>2000</v>
      </c>
    </row>
    <row r="5173" spans="1:11" x14ac:dyDescent="0.25">
      <c r="A5173">
        <v>42.098229588182001</v>
      </c>
      <c r="B5173">
        <v>147.063754470719</v>
      </c>
      <c r="C5173">
        <v>2000</v>
      </c>
    </row>
    <row r="5174" spans="1:11" x14ac:dyDescent="0.25">
      <c r="A5174">
        <v>41.661213563733099</v>
      </c>
      <c r="B5174">
        <v>147.50077049516801</v>
      </c>
      <c r="C5174">
        <v>2001</v>
      </c>
    </row>
    <row r="5175" spans="1:11" x14ac:dyDescent="0.25">
      <c r="A5175">
        <v>42.567361235864396</v>
      </c>
      <c r="B5175">
        <v>148.40691816729901</v>
      </c>
      <c r="C5175">
        <v>2001</v>
      </c>
    </row>
    <row r="5176" spans="1:11" x14ac:dyDescent="0.25">
      <c r="A5176">
        <v>44.160443068565598</v>
      </c>
      <c r="B5176">
        <v>150</v>
      </c>
      <c r="C5176">
        <v>2001</v>
      </c>
    </row>
    <row r="5177" spans="1:11" x14ac:dyDescent="0.25">
      <c r="A5177">
        <v>45.034475117463302</v>
      </c>
      <c r="B5177">
        <v>150</v>
      </c>
      <c r="C5177">
        <v>2000</v>
      </c>
    </row>
    <row r="5178" spans="1:11" x14ac:dyDescent="0.25">
      <c r="A5178" t="s">
        <v>84</v>
      </c>
    </row>
    <row r="5179" spans="1:11" x14ac:dyDescent="0.25">
      <c r="A5179">
        <v>825</v>
      </c>
      <c r="B5179">
        <v>0</v>
      </c>
      <c r="C5179">
        <v>0.78971286015125497</v>
      </c>
      <c r="D5179">
        <v>2.8903887548721099</v>
      </c>
      <c r="E5179">
        <v>8</v>
      </c>
      <c r="F5179">
        <v>1.01722196789785</v>
      </c>
      <c r="G5179" t="s">
        <v>82</v>
      </c>
      <c r="H5179" t="s">
        <v>81</v>
      </c>
      <c r="I5179">
        <v>0</v>
      </c>
      <c r="J5179">
        <v>423</v>
      </c>
      <c r="K5179">
        <v>0.10299214925957</v>
      </c>
    </row>
    <row r="5180" spans="1:11" x14ac:dyDescent="0.25">
      <c r="A5180" t="s">
        <v>83</v>
      </c>
    </row>
    <row r="5181" spans="1:11" x14ac:dyDescent="0.25">
      <c r="A5181">
        <v>0.480506476100799</v>
      </c>
      <c r="B5181">
        <v>99.351286778708996</v>
      </c>
      <c r="C5181">
        <v>2000</v>
      </c>
    </row>
    <row r="5182" spans="1:11" x14ac:dyDescent="0.25">
      <c r="A5182">
        <v>0</v>
      </c>
      <c r="B5182">
        <v>98.870780302608196</v>
      </c>
      <c r="C5182">
        <v>2000</v>
      </c>
    </row>
    <row r="5183" spans="1:11" x14ac:dyDescent="0.25">
      <c r="A5183">
        <v>0</v>
      </c>
      <c r="B5183">
        <v>97.996748253710507</v>
      </c>
      <c r="C5183">
        <v>2001</v>
      </c>
    </row>
    <row r="5184" spans="1:11" x14ac:dyDescent="0.25">
      <c r="A5184">
        <v>0.636316161105553</v>
      </c>
      <c r="B5184">
        <v>98.633064414816104</v>
      </c>
      <c r="C5184">
        <v>2001</v>
      </c>
    </row>
    <row r="5185" spans="1:11" x14ac:dyDescent="0.25">
      <c r="A5185">
        <v>1.78474373406505</v>
      </c>
      <c r="B5185">
        <v>99.781491987775595</v>
      </c>
      <c r="C5185">
        <v>2001</v>
      </c>
    </row>
    <row r="5186" spans="1:11" x14ac:dyDescent="0.25">
      <c r="A5186">
        <v>2.8207328196629899</v>
      </c>
      <c r="B5186">
        <v>100.817481073374</v>
      </c>
      <c r="C5186">
        <v>2001</v>
      </c>
    </row>
    <row r="5187" spans="1:11" x14ac:dyDescent="0.25">
      <c r="A5187">
        <v>2.3837167952141698</v>
      </c>
      <c r="B5187">
        <v>101.254497097822</v>
      </c>
      <c r="C5187">
        <v>2000</v>
      </c>
    </row>
    <row r="5188" spans="1:11" x14ac:dyDescent="0.25">
      <c r="A5188">
        <v>1.3477277096162299</v>
      </c>
      <c r="B5188">
        <v>100.21850801222401</v>
      </c>
      <c r="C5188">
        <v>2000</v>
      </c>
    </row>
    <row r="5189" spans="1:11" x14ac:dyDescent="0.25">
      <c r="A5189" t="s">
        <v>84</v>
      </c>
    </row>
    <row r="5190" spans="1:11" x14ac:dyDescent="0.25">
      <c r="A5190">
        <v>766</v>
      </c>
      <c r="B5190">
        <v>0</v>
      </c>
      <c r="C5190">
        <v>3.09848771611748</v>
      </c>
      <c r="D5190">
        <v>0.43172615117116198</v>
      </c>
      <c r="E5190">
        <v>6</v>
      </c>
      <c r="F5190">
        <v>1.01722196789785</v>
      </c>
      <c r="G5190" t="s">
        <v>81</v>
      </c>
      <c r="H5190" t="s">
        <v>81</v>
      </c>
      <c r="I5190">
        <v>116</v>
      </c>
      <c r="J5190">
        <v>110</v>
      </c>
      <c r="K5190">
        <v>0.101658837564709</v>
      </c>
    </row>
    <row r="5191" spans="1:11" x14ac:dyDescent="0.25">
      <c r="A5191" t="s">
        <v>83</v>
      </c>
    </row>
    <row r="5192" spans="1:11" x14ac:dyDescent="0.25">
      <c r="A5192">
        <v>36.8759067165132</v>
      </c>
      <c r="B5192">
        <v>95.623331239267102</v>
      </c>
      <c r="C5192">
        <v>2000</v>
      </c>
    </row>
    <row r="5193" spans="1:11" x14ac:dyDescent="0.25">
      <c r="A5193">
        <v>34.684945041023298</v>
      </c>
      <c r="B5193">
        <v>93.4323695637772</v>
      </c>
      <c r="C5193">
        <v>2000</v>
      </c>
    </row>
    <row r="5194" spans="1:11" x14ac:dyDescent="0.25">
      <c r="A5194">
        <v>35.121961065472199</v>
      </c>
      <c r="B5194">
        <v>92.995353539328406</v>
      </c>
      <c r="C5194">
        <v>2001</v>
      </c>
    </row>
    <row r="5195" spans="1:11" x14ac:dyDescent="0.25">
      <c r="A5195">
        <v>37.312922740962001</v>
      </c>
      <c r="B5195">
        <v>95.186315214818293</v>
      </c>
      <c r="C5195">
        <v>2001</v>
      </c>
    </row>
    <row r="5196" spans="1:11" x14ac:dyDescent="0.25">
      <c r="A5196">
        <v>37.618199230070701</v>
      </c>
      <c r="B5196">
        <v>95.491591703927</v>
      </c>
      <c r="C5196">
        <v>2001</v>
      </c>
    </row>
    <row r="5197" spans="1:11" x14ac:dyDescent="0.25">
      <c r="A5197">
        <v>37.181183205621899</v>
      </c>
      <c r="B5197">
        <v>95.928607728375795</v>
      </c>
      <c r="C5197">
        <v>2000</v>
      </c>
    </row>
    <row r="5198" spans="1:11" x14ac:dyDescent="0.25">
      <c r="A5198" t="s">
        <v>84</v>
      </c>
    </row>
    <row r="5199" spans="1:11" x14ac:dyDescent="0.25">
      <c r="A5199">
        <v>938</v>
      </c>
      <c r="B5199">
        <v>0</v>
      </c>
      <c r="C5199">
        <v>2.39427879693908</v>
      </c>
      <c r="D5199">
        <v>0.97048770010107399</v>
      </c>
      <c r="E5199">
        <v>6</v>
      </c>
      <c r="F5199">
        <v>1.01722196789785</v>
      </c>
      <c r="G5199" t="s">
        <v>81</v>
      </c>
      <c r="H5199" t="s">
        <v>81</v>
      </c>
      <c r="I5199">
        <v>96</v>
      </c>
      <c r="J5199">
        <v>1003</v>
      </c>
      <c r="K5199">
        <v>0.10613089671621601</v>
      </c>
    </row>
    <row r="5200" spans="1:11" x14ac:dyDescent="0.25">
      <c r="A5200" t="s">
        <v>83</v>
      </c>
    </row>
    <row r="5201" spans="1:11" x14ac:dyDescent="0.25">
      <c r="A5201">
        <v>47.837082625286399</v>
      </c>
      <c r="B5201">
        <v>60.0916696489329</v>
      </c>
      <c r="C5201">
        <v>2000</v>
      </c>
    </row>
    <row r="5202" spans="1:11" x14ac:dyDescent="0.25">
      <c r="A5202">
        <v>46.144071851919598</v>
      </c>
      <c r="B5202">
        <v>58.398658875566099</v>
      </c>
      <c r="C5202">
        <v>2000</v>
      </c>
    </row>
    <row r="5203" spans="1:11" x14ac:dyDescent="0.25">
      <c r="A5203">
        <v>45.707055827470803</v>
      </c>
      <c r="B5203">
        <v>58.835674900014901</v>
      </c>
      <c r="C5203">
        <v>2001</v>
      </c>
    </row>
    <row r="5204" spans="1:11" x14ac:dyDescent="0.25">
      <c r="A5204">
        <v>47.400066600837597</v>
      </c>
      <c r="B5204">
        <v>60.528685673381702</v>
      </c>
      <c r="C5204">
        <v>2001</v>
      </c>
    </row>
    <row r="5205" spans="1:11" x14ac:dyDescent="0.25">
      <c r="A5205">
        <v>48.086305034637199</v>
      </c>
      <c r="B5205">
        <v>61.214924107181297</v>
      </c>
      <c r="C5205">
        <v>2001</v>
      </c>
    </row>
    <row r="5206" spans="1:11" x14ac:dyDescent="0.25">
      <c r="A5206">
        <v>48.523321059086001</v>
      </c>
      <c r="B5206">
        <v>60.777908082732502</v>
      </c>
      <c r="C5206">
        <v>2000</v>
      </c>
    </row>
    <row r="5207" spans="1:11" x14ac:dyDescent="0.25">
      <c r="A5207" t="s">
        <v>84</v>
      </c>
    </row>
    <row r="5208" spans="1:11" x14ac:dyDescent="0.25">
      <c r="A5208">
        <v>1045</v>
      </c>
      <c r="B5208">
        <v>0</v>
      </c>
      <c r="C5208">
        <v>1.47105950496736</v>
      </c>
      <c r="D5208">
        <v>1.76620948944201</v>
      </c>
      <c r="E5208">
        <v>6</v>
      </c>
      <c r="F5208">
        <v>1.01722196789785</v>
      </c>
      <c r="G5208" t="s">
        <v>82</v>
      </c>
      <c r="H5208" t="s">
        <v>81</v>
      </c>
      <c r="I5208">
        <v>0</v>
      </c>
      <c r="J5208">
        <v>170</v>
      </c>
      <c r="K5208">
        <v>0.113435297416095</v>
      </c>
    </row>
    <row r="5209" spans="1:11" x14ac:dyDescent="0.25">
      <c r="A5209" t="s">
        <v>83</v>
      </c>
    </row>
    <row r="5210" spans="1:11" x14ac:dyDescent="0.25">
      <c r="A5210">
        <v>69.528608775639398</v>
      </c>
      <c r="B5210">
        <v>1.1394891941298599</v>
      </c>
      <c r="C5210">
        <v>2000</v>
      </c>
    </row>
    <row r="5211" spans="1:11" x14ac:dyDescent="0.25">
      <c r="A5211">
        <v>68.389119581509505</v>
      </c>
      <c r="B5211">
        <v>0</v>
      </c>
      <c r="C5211">
        <v>2000</v>
      </c>
    </row>
    <row r="5212" spans="1:11" x14ac:dyDescent="0.25">
      <c r="A5212">
        <v>69.263151630407194</v>
      </c>
      <c r="B5212">
        <v>0</v>
      </c>
      <c r="C5212">
        <v>2001</v>
      </c>
    </row>
    <row r="5213" spans="1:11" x14ac:dyDescent="0.25">
      <c r="A5213">
        <v>70.204054739260002</v>
      </c>
      <c r="B5213">
        <v>0.94090310885282402</v>
      </c>
      <c r="C5213">
        <v>2001</v>
      </c>
    </row>
    <row r="5214" spans="1:11" x14ac:dyDescent="0.25">
      <c r="A5214">
        <v>71.333738476654602</v>
      </c>
      <c r="B5214">
        <v>2.0705868462474002</v>
      </c>
      <c r="C5214">
        <v>2001</v>
      </c>
    </row>
    <row r="5215" spans="1:11" x14ac:dyDescent="0.25">
      <c r="A5215">
        <v>70.896722452205793</v>
      </c>
      <c r="B5215">
        <v>2.5076028706962199</v>
      </c>
      <c r="C5215">
        <v>2000</v>
      </c>
    </row>
    <row r="5216" spans="1:11" x14ac:dyDescent="0.25">
      <c r="A5216" t="s">
        <v>84</v>
      </c>
    </row>
    <row r="5217" spans="1:11" x14ac:dyDescent="0.25">
      <c r="A5217">
        <v>864</v>
      </c>
      <c r="B5217">
        <v>0</v>
      </c>
      <c r="C5217">
        <v>0.91240650719026195</v>
      </c>
      <c r="D5217">
        <v>2.0300648113920201</v>
      </c>
      <c r="E5217">
        <v>6</v>
      </c>
      <c r="F5217">
        <v>1.01722196789785</v>
      </c>
      <c r="G5217" t="s">
        <v>81</v>
      </c>
      <c r="H5217" t="s">
        <v>81</v>
      </c>
      <c r="I5217">
        <v>39</v>
      </c>
      <c r="J5217">
        <v>765</v>
      </c>
      <c r="K5217">
        <v>0.104016298956218</v>
      </c>
    </row>
    <row r="5218" spans="1:11" x14ac:dyDescent="0.25">
      <c r="A5218" t="s">
        <v>83</v>
      </c>
    </row>
    <row r="5219" spans="1:11" x14ac:dyDescent="0.25">
      <c r="A5219">
        <v>32.636614481288099</v>
      </c>
      <c r="B5219">
        <v>51.456197029653303</v>
      </c>
      <c r="C5219">
        <v>2000</v>
      </c>
    </row>
    <row r="5220" spans="1:11" x14ac:dyDescent="0.25">
      <c r="A5220">
        <v>31.991445652855099</v>
      </c>
      <c r="B5220">
        <v>50.811028201220303</v>
      </c>
      <c r="C5220">
        <v>2000</v>
      </c>
    </row>
    <row r="5221" spans="1:11" x14ac:dyDescent="0.25">
      <c r="A5221">
        <v>32.428461677304</v>
      </c>
      <c r="B5221">
        <v>50.374012176771501</v>
      </c>
      <c r="C5221">
        <v>2001</v>
      </c>
    </row>
    <row r="5222" spans="1:11" x14ac:dyDescent="0.25">
      <c r="A5222">
        <v>33.073630505736901</v>
      </c>
      <c r="B5222">
        <v>51.019181005204501</v>
      </c>
      <c r="C5222">
        <v>2001</v>
      </c>
    </row>
    <row r="5223" spans="1:11" x14ac:dyDescent="0.25">
      <c r="A5223">
        <v>34.509103100120399</v>
      </c>
      <c r="B5223">
        <v>52.4546535995879</v>
      </c>
      <c r="C5223">
        <v>2001</v>
      </c>
    </row>
    <row r="5224" spans="1:11" x14ac:dyDescent="0.25">
      <c r="A5224">
        <v>34.072087075671597</v>
      </c>
      <c r="B5224">
        <v>52.891669624036801</v>
      </c>
      <c r="C5224">
        <v>2000</v>
      </c>
    </row>
    <row r="5225" spans="1:11" x14ac:dyDescent="0.25">
      <c r="A5225" t="s">
        <v>84</v>
      </c>
    </row>
    <row r="5226" spans="1:11" x14ac:dyDescent="0.25">
      <c r="A5226">
        <v>784</v>
      </c>
      <c r="B5226">
        <v>0</v>
      </c>
      <c r="C5226">
        <v>0.35599493661985099</v>
      </c>
      <c r="D5226">
        <v>2.37327680828938</v>
      </c>
      <c r="E5226">
        <v>6</v>
      </c>
      <c r="F5226">
        <v>1.01722196789785</v>
      </c>
      <c r="G5226" t="s">
        <v>81</v>
      </c>
      <c r="H5226" t="s">
        <v>82</v>
      </c>
      <c r="I5226">
        <v>595</v>
      </c>
      <c r="J5226">
        <v>0</v>
      </c>
      <c r="K5226">
        <v>0.102125662797643</v>
      </c>
    </row>
    <row r="5227" spans="1:11" x14ac:dyDescent="0.25">
      <c r="A5227" t="s">
        <v>83</v>
      </c>
    </row>
    <row r="5228" spans="1:11" x14ac:dyDescent="0.25">
      <c r="A5228">
        <v>148.51184660460501</v>
      </c>
      <c r="B5228">
        <v>95.982398278621801</v>
      </c>
      <c r="C5228">
        <v>2000</v>
      </c>
    </row>
    <row r="5229" spans="1:11" x14ac:dyDescent="0.25">
      <c r="A5229">
        <v>148.288621453698</v>
      </c>
      <c r="B5229">
        <v>95.759173127714902</v>
      </c>
      <c r="C5229">
        <v>2000</v>
      </c>
    </row>
    <row r="5230" spans="1:11" x14ac:dyDescent="0.25">
      <c r="A5230">
        <v>147.85160542924899</v>
      </c>
      <c r="B5230">
        <v>96.196189152163697</v>
      </c>
      <c r="C5230">
        <v>2001</v>
      </c>
    </row>
    <row r="5231" spans="1:11" x14ac:dyDescent="0.25">
      <c r="A5231">
        <v>148.131833145846</v>
      </c>
      <c r="B5231">
        <v>96.476416868760793</v>
      </c>
      <c r="C5231">
        <v>2001</v>
      </c>
    </row>
    <row r="5232" spans="1:11" x14ac:dyDescent="0.25">
      <c r="A5232">
        <v>150</v>
      </c>
      <c r="B5232">
        <v>98.344583722914194</v>
      </c>
      <c r="C5232">
        <v>2001</v>
      </c>
    </row>
    <row r="5233" spans="1:11" x14ac:dyDescent="0.25">
      <c r="A5233">
        <v>150</v>
      </c>
      <c r="B5233">
        <v>97.470551674016605</v>
      </c>
      <c r="C5233">
        <v>2000</v>
      </c>
    </row>
    <row r="5234" spans="1:11" x14ac:dyDescent="0.25">
      <c r="A5234" t="s">
        <v>84</v>
      </c>
    </row>
    <row r="5235" spans="1:11" x14ac:dyDescent="0.25">
      <c r="A5235">
        <v>188</v>
      </c>
      <c r="B5235">
        <v>0</v>
      </c>
      <c r="C5235">
        <v>0.58083671804616399</v>
      </c>
      <c r="D5235">
        <v>1.19316995749428</v>
      </c>
      <c r="E5235">
        <v>6</v>
      </c>
      <c r="F5235">
        <v>1.01722196789785</v>
      </c>
      <c r="G5235" t="s">
        <v>81</v>
      </c>
      <c r="H5235" t="s">
        <v>81</v>
      </c>
      <c r="I5235">
        <v>756</v>
      </c>
      <c r="J5235">
        <v>754</v>
      </c>
      <c r="K5235">
        <v>0</v>
      </c>
    </row>
    <row r="5236" spans="1:11" x14ac:dyDescent="0.25">
      <c r="A5236" t="s">
        <v>83</v>
      </c>
    </row>
    <row r="5237" spans="1:11" x14ac:dyDescent="0.25">
      <c r="A5237">
        <v>60.401386955013002</v>
      </c>
      <c r="B5237">
        <v>22.276862538544101</v>
      </c>
      <c r="C5237">
        <v>2000</v>
      </c>
    </row>
    <row r="5238" spans="1:11" x14ac:dyDescent="0.25">
      <c r="A5238">
        <v>59.990673372920398</v>
      </c>
      <c r="B5238">
        <v>21.8661489564515</v>
      </c>
      <c r="C5238">
        <v>2000</v>
      </c>
    </row>
    <row r="5239" spans="1:11" x14ac:dyDescent="0.25">
      <c r="A5239">
        <v>60.427689397369299</v>
      </c>
      <c r="B5239">
        <v>21.429132932002702</v>
      </c>
      <c r="C5239">
        <v>2001</v>
      </c>
    </row>
    <row r="5240" spans="1:11" x14ac:dyDescent="0.25">
      <c r="A5240">
        <v>60.838402979461797</v>
      </c>
      <c r="B5240">
        <v>21.839846514095299</v>
      </c>
      <c r="C5240">
        <v>2001</v>
      </c>
    </row>
    <row r="5241" spans="1:11" x14ac:dyDescent="0.25">
      <c r="A5241">
        <v>61.682101547514101</v>
      </c>
      <c r="B5241">
        <v>22.683545082147599</v>
      </c>
      <c r="C5241">
        <v>2001</v>
      </c>
    </row>
    <row r="5242" spans="1:11" x14ac:dyDescent="0.25">
      <c r="A5242">
        <v>61.245085523065299</v>
      </c>
      <c r="B5242">
        <v>23.120561106596401</v>
      </c>
      <c r="C5242">
        <v>2000</v>
      </c>
    </row>
    <row r="5243" spans="1:11" x14ac:dyDescent="0.25">
      <c r="A5243" t="s">
        <v>84</v>
      </c>
    </row>
    <row r="5244" spans="1:11" x14ac:dyDescent="0.25">
      <c r="A5244">
        <v>561</v>
      </c>
      <c r="B5244">
        <v>0</v>
      </c>
      <c r="C5244">
        <v>0.63554406144682196</v>
      </c>
      <c r="D5244">
        <v>0.63554406144682196</v>
      </c>
      <c r="E5244">
        <v>6</v>
      </c>
      <c r="F5244">
        <v>1.5707963267949001</v>
      </c>
      <c r="G5244" t="s">
        <v>85</v>
      </c>
      <c r="H5244" t="s">
        <v>85</v>
      </c>
      <c r="I5244">
        <v>0</v>
      </c>
      <c r="J5244">
        <v>0</v>
      </c>
      <c r="K5244">
        <v>0</v>
      </c>
    </row>
    <row r="5245" spans="1:11" x14ac:dyDescent="0.25">
      <c r="A5245" t="s">
        <v>83</v>
      </c>
    </row>
    <row r="5246" spans="1:11" x14ac:dyDescent="0.25">
      <c r="A5246">
        <v>108.01186018298</v>
      </c>
      <c r="B5246">
        <v>66.021787417596997</v>
      </c>
      <c r="C5246">
        <v>2000</v>
      </c>
    </row>
    <row r="5247" spans="1:11" x14ac:dyDescent="0.25">
      <c r="A5247">
        <v>107.562462667388</v>
      </c>
      <c r="B5247">
        <v>65.572389902005099</v>
      </c>
      <c r="C5247">
        <v>2000</v>
      </c>
    </row>
    <row r="5248" spans="1:11" x14ac:dyDescent="0.25">
      <c r="A5248">
        <v>107.562462667388</v>
      </c>
      <c r="B5248">
        <v>65.572389902005099</v>
      </c>
      <c r="C5248">
        <v>2001</v>
      </c>
    </row>
    <row r="5249" spans="1:11" x14ac:dyDescent="0.25">
      <c r="A5249">
        <v>108.01186018298</v>
      </c>
      <c r="B5249">
        <v>66.021787417596997</v>
      </c>
      <c r="C5249">
        <v>2001</v>
      </c>
    </row>
    <row r="5250" spans="1:11" x14ac:dyDescent="0.25">
      <c r="A5250">
        <v>108.461257698572</v>
      </c>
      <c r="B5250">
        <v>66.471184933188894</v>
      </c>
      <c r="C5250">
        <v>2001</v>
      </c>
    </row>
    <row r="5251" spans="1:11" x14ac:dyDescent="0.25">
      <c r="A5251">
        <v>108.461257698572</v>
      </c>
      <c r="B5251">
        <v>66.471184933188894</v>
      </c>
      <c r="C5251">
        <v>2000</v>
      </c>
    </row>
    <row r="5252" spans="1:11" x14ac:dyDescent="0.25">
      <c r="A5252" t="s">
        <v>84</v>
      </c>
    </row>
    <row r="5253" spans="1:11" x14ac:dyDescent="0.25">
      <c r="A5253">
        <v>572</v>
      </c>
      <c r="B5253">
        <v>0</v>
      </c>
      <c r="C5253">
        <v>0.63554406144682196</v>
      </c>
      <c r="D5253">
        <v>0.63554406144682196</v>
      </c>
      <c r="E5253">
        <v>6</v>
      </c>
      <c r="F5253">
        <v>1.5707963267949001</v>
      </c>
      <c r="G5253" t="s">
        <v>85</v>
      </c>
      <c r="H5253" t="s">
        <v>85</v>
      </c>
      <c r="I5253">
        <v>0</v>
      </c>
      <c r="J5253">
        <v>0</v>
      </c>
      <c r="K5253">
        <v>0</v>
      </c>
    </row>
    <row r="5254" spans="1:11" x14ac:dyDescent="0.25">
      <c r="A5254" t="s">
        <v>83</v>
      </c>
    </row>
    <row r="5255" spans="1:11" x14ac:dyDescent="0.25">
      <c r="A5255">
        <v>110.57029011918701</v>
      </c>
      <c r="B5255">
        <v>66.515361211037003</v>
      </c>
      <c r="C5255">
        <v>2000</v>
      </c>
    </row>
    <row r="5256" spans="1:11" x14ac:dyDescent="0.25">
      <c r="A5256">
        <v>110.120892603595</v>
      </c>
      <c r="B5256">
        <v>66.065963695445106</v>
      </c>
      <c r="C5256">
        <v>2000</v>
      </c>
    </row>
    <row r="5257" spans="1:11" x14ac:dyDescent="0.25">
      <c r="A5257">
        <v>110.120892603595</v>
      </c>
      <c r="B5257">
        <v>66.065963695445106</v>
      </c>
      <c r="C5257">
        <v>2001</v>
      </c>
    </row>
    <row r="5258" spans="1:11" x14ac:dyDescent="0.25">
      <c r="A5258">
        <v>110.57029011918701</v>
      </c>
      <c r="B5258">
        <v>66.515361211037003</v>
      </c>
      <c r="C5258">
        <v>2001</v>
      </c>
    </row>
    <row r="5259" spans="1:11" x14ac:dyDescent="0.25">
      <c r="A5259">
        <v>111.019687634779</v>
      </c>
      <c r="B5259">
        <v>66.964758726628801</v>
      </c>
      <c r="C5259">
        <v>2001</v>
      </c>
    </row>
    <row r="5260" spans="1:11" x14ac:dyDescent="0.25">
      <c r="A5260">
        <v>111.019687634779</v>
      </c>
      <c r="B5260">
        <v>66.964758726628801</v>
      </c>
      <c r="C5260">
        <v>2000</v>
      </c>
    </row>
    <row r="5261" spans="1:11" x14ac:dyDescent="0.25">
      <c r="A5261" t="s">
        <v>84</v>
      </c>
    </row>
    <row r="5262" spans="1:11" x14ac:dyDescent="0.25">
      <c r="A5262">
        <v>659</v>
      </c>
      <c r="B5262">
        <v>0</v>
      </c>
      <c r="C5262">
        <v>0.63554406144682196</v>
      </c>
      <c r="D5262">
        <v>0.63554406144682196</v>
      </c>
      <c r="E5262">
        <v>6</v>
      </c>
      <c r="F5262">
        <v>1.5707963267949001</v>
      </c>
      <c r="G5262" t="s">
        <v>85</v>
      </c>
      <c r="H5262" t="s">
        <v>85</v>
      </c>
      <c r="I5262">
        <v>0</v>
      </c>
      <c r="J5262">
        <v>0</v>
      </c>
      <c r="K5262">
        <v>0</v>
      </c>
    </row>
    <row r="5263" spans="1:11" x14ac:dyDescent="0.25">
      <c r="A5263" t="s">
        <v>83</v>
      </c>
    </row>
    <row r="5264" spans="1:11" x14ac:dyDescent="0.25">
      <c r="A5264">
        <v>73.216707421567605</v>
      </c>
      <c r="B5264">
        <v>97.749024547054006</v>
      </c>
      <c r="C5264">
        <v>2000</v>
      </c>
    </row>
    <row r="5265" spans="1:11" x14ac:dyDescent="0.25">
      <c r="A5265">
        <v>72.767309905975694</v>
      </c>
      <c r="B5265">
        <v>97.299627031462094</v>
      </c>
      <c r="C5265">
        <v>2000</v>
      </c>
    </row>
    <row r="5266" spans="1:11" x14ac:dyDescent="0.25">
      <c r="A5266">
        <v>72.767309905975694</v>
      </c>
      <c r="B5266">
        <v>97.299627031462094</v>
      </c>
      <c r="C5266">
        <v>2001</v>
      </c>
    </row>
    <row r="5267" spans="1:11" x14ac:dyDescent="0.25">
      <c r="A5267">
        <v>73.216707421567605</v>
      </c>
      <c r="B5267">
        <v>97.749024547054006</v>
      </c>
      <c r="C5267">
        <v>2001</v>
      </c>
    </row>
    <row r="5268" spans="1:11" x14ac:dyDescent="0.25">
      <c r="A5268">
        <v>73.666104937159503</v>
      </c>
      <c r="B5268">
        <v>98.198422062645903</v>
      </c>
      <c r="C5268">
        <v>2001</v>
      </c>
    </row>
    <row r="5269" spans="1:11" x14ac:dyDescent="0.25">
      <c r="A5269">
        <v>73.666104937159503</v>
      </c>
      <c r="B5269">
        <v>98.198422062645903</v>
      </c>
      <c r="C5269">
        <v>2000</v>
      </c>
    </row>
    <row r="5270" spans="1:11" x14ac:dyDescent="0.25">
      <c r="A5270" t="s">
        <v>84</v>
      </c>
    </row>
    <row r="5271" spans="1:11" x14ac:dyDescent="0.25">
      <c r="A5271">
        <v>658</v>
      </c>
      <c r="B5271">
        <v>0</v>
      </c>
      <c r="C5271">
        <v>0.63554406144682196</v>
      </c>
      <c r="D5271">
        <v>0.63554406144682196</v>
      </c>
      <c r="E5271">
        <v>6</v>
      </c>
      <c r="F5271">
        <v>1.5707963267949001</v>
      </c>
      <c r="G5271" t="s">
        <v>85</v>
      </c>
      <c r="H5271" t="s">
        <v>85</v>
      </c>
      <c r="I5271">
        <v>0</v>
      </c>
      <c r="J5271">
        <v>0</v>
      </c>
      <c r="K5271">
        <v>0</v>
      </c>
    </row>
    <row r="5272" spans="1:11" x14ac:dyDescent="0.25">
      <c r="A5272" t="s">
        <v>83</v>
      </c>
    </row>
    <row r="5273" spans="1:11" x14ac:dyDescent="0.25">
      <c r="A5273">
        <v>60.729012678251102</v>
      </c>
      <c r="B5273">
        <v>57.160247691050301</v>
      </c>
      <c r="C5273">
        <v>2000</v>
      </c>
    </row>
    <row r="5274" spans="1:11" x14ac:dyDescent="0.25">
      <c r="A5274">
        <v>60.279615162659198</v>
      </c>
      <c r="B5274">
        <v>56.710850175458397</v>
      </c>
      <c r="C5274">
        <v>2000</v>
      </c>
    </row>
    <row r="5275" spans="1:11" x14ac:dyDescent="0.25">
      <c r="A5275">
        <v>60.279615162659198</v>
      </c>
      <c r="B5275">
        <v>56.710850175458397</v>
      </c>
      <c r="C5275">
        <v>2001</v>
      </c>
    </row>
    <row r="5276" spans="1:11" x14ac:dyDescent="0.25">
      <c r="A5276">
        <v>60.729012678251102</v>
      </c>
      <c r="B5276">
        <v>57.160247691050301</v>
      </c>
      <c r="C5276">
        <v>2001</v>
      </c>
    </row>
    <row r="5277" spans="1:11" x14ac:dyDescent="0.25">
      <c r="A5277">
        <v>61.178410193843</v>
      </c>
      <c r="B5277">
        <v>57.609645206642199</v>
      </c>
      <c r="C5277">
        <v>2001</v>
      </c>
    </row>
    <row r="5278" spans="1:11" x14ac:dyDescent="0.25">
      <c r="A5278">
        <v>61.178410193843</v>
      </c>
      <c r="B5278">
        <v>57.609645206642199</v>
      </c>
      <c r="C5278">
        <v>2000</v>
      </c>
    </row>
    <row r="5279" spans="1:11" x14ac:dyDescent="0.25">
      <c r="A5279" t="s">
        <v>84</v>
      </c>
    </row>
    <row r="5280" spans="1:11" x14ac:dyDescent="0.25">
      <c r="A5280">
        <v>651</v>
      </c>
      <c r="B5280">
        <v>0</v>
      </c>
      <c r="C5280">
        <v>0.63554406144682196</v>
      </c>
      <c r="D5280">
        <v>0.63554406144682196</v>
      </c>
      <c r="E5280">
        <v>6</v>
      </c>
      <c r="F5280">
        <v>1.5707963267949001</v>
      </c>
      <c r="G5280" t="s">
        <v>85</v>
      </c>
      <c r="H5280" t="s">
        <v>85</v>
      </c>
      <c r="I5280">
        <v>0</v>
      </c>
      <c r="J5280">
        <v>0</v>
      </c>
      <c r="K5280">
        <v>0</v>
      </c>
    </row>
    <row r="5281" spans="1:11" x14ac:dyDescent="0.25">
      <c r="A5281" t="s">
        <v>83</v>
      </c>
    </row>
    <row r="5282" spans="1:11" x14ac:dyDescent="0.25">
      <c r="A5282">
        <v>64.856140892885705</v>
      </c>
      <c r="B5282">
        <v>70.652793764906406</v>
      </c>
      <c r="C5282">
        <v>2000</v>
      </c>
    </row>
    <row r="5283" spans="1:11" x14ac:dyDescent="0.25">
      <c r="A5283">
        <v>64.406743377293793</v>
      </c>
      <c r="B5283">
        <v>70.203396249314494</v>
      </c>
      <c r="C5283">
        <v>2000</v>
      </c>
    </row>
    <row r="5284" spans="1:11" x14ac:dyDescent="0.25">
      <c r="A5284">
        <v>64.406743377293793</v>
      </c>
      <c r="B5284">
        <v>70.203396249314494</v>
      </c>
      <c r="C5284">
        <v>2001</v>
      </c>
    </row>
    <row r="5285" spans="1:11" x14ac:dyDescent="0.25">
      <c r="A5285">
        <v>64.856140892885705</v>
      </c>
      <c r="B5285">
        <v>70.652793764906406</v>
      </c>
      <c r="C5285">
        <v>2001</v>
      </c>
    </row>
    <row r="5286" spans="1:11" x14ac:dyDescent="0.25">
      <c r="A5286">
        <v>65.305538408477602</v>
      </c>
      <c r="B5286">
        <v>71.102191280498303</v>
      </c>
      <c r="C5286">
        <v>2001</v>
      </c>
    </row>
    <row r="5287" spans="1:11" x14ac:dyDescent="0.25">
      <c r="A5287">
        <v>65.305538408477602</v>
      </c>
      <c r="B5287">
        <v>71.102191280498303</v>
      </c>
      <c r="C5287">
        <v>2000</v>
      </c>
    </row>
    <row r="5288" spans="1:11" x14ac:dyDescent="0.25">
      <c r="A5288" t="s">
        <v>84</v>
      </c>
    </row>
    <row r="5289" spans="1:11" x14ac:dyDescent="0.25">
      <c r="A5289">
        <v>648</v>
      </c>
      <c r="B5289">
        <v>0</v>
      </c>
      <c r="C5289">
        <v>0.63554406144682196</v>
      </c>
      <c r="D5289">
        <v>0.63554406144682196</v>
      </c>
      <c r="E5289">
        <v>6</v>
      </c>
      <c r="F5289">
        <v>1.5707963267949001</v>
      </c>
      <c r="G5289" t="s">
        <v>85</v>
      </c>
      <c r="H5289" t="s">
        <v>85</v>
      </c>
      <c r="I5289">
        <v>0</v>
      </c>
      <c r="J5289">
        <v>0</v>
      </c>
      <c r="K5289">
        <v>0</v>
      </c>
    </row>
    <row r="5290" spans="1:11" x14ac:dyDescent="0.25">
      <c r="A5290" t="s">
        <v>83</v>
      </c>
    </row>
    <row r="5291" spans="1:11" x14ac:dyDescent="0.25">
      <c r="A5291">
        <v>62.734878476585699</v>
      </c>
      <c r="B5291">
        <v>67.170912000430306</v>
      </c>
      <c r="C5291">
        <v>2000</v>
      </c>
    </row>
    <row r="5292" spans="1:11" x14ac:dyDescent="0.25">
      <c r="A5292">
        <v>62.285480960993802</v>
      </c>
      <c r="B5292">
        <v>66.721514484838394</v>
      </c>
      <c r="C5292">
        <v>2000</v>
      </c>
    </row>
    <row r="5293" spans="1:11" x14ac:dyDescent="0.25">
      <c r="A5293">
        <v>62.285480960993802</v>
      </c>
      <c r="B5293">
        <v>66.721514484838394</v>
      </c>
      <c r="C5293">
        <v>2001</v>
      </c>
    </row>
    <row r="5294" spans="1:11" x14ac:dyDescent="0.25">
      <c r="A5294">
        <v>62.734878476585699</v>
      </c>
      <c r="B5294">
        <v>67.170912000430306</v>
      </c>
      <c r="C5294">
        <v>2001</v>
      </c>
    </row>
    <row r="5295" spans="1:11" x14ac:dyDescent="0.25">
      <c r="A5295">
        <v>63.184275992177596</v>
      </c>
      <c r="B5295">
        <v>67.620309516022104</v>
      </c>
      <c r="C5295">
        <v>2001</v>
      </c>
    </row>
    <row r="5296" spans="1:11" x14ac:dyDescent="0.25">
      <c r="A5296">
        <v>63.184275992177596</v>
      </c>
      <c r="B5296">
        <v>67.620309516022104</v>
      </c>
      <c r="C5296">
        <v>2000</v>
      </c>
    </row>
    <row r="5297" spans="1:11" x14ac:dyDescent="0.25">
      <c r="A5297" t="s">
        <v>84</v>
      </c>
    </row>
    <row r="5298" spans="1:11" x14ac:dyDescent="0.25">
      <c r="A5298">
        <v>646</v>
      </c>
      <c r="B5298">
        <v>0</v>
      </c>
      <c r="C5298">
        <v>0.63554406144682196</v>
      </c>
      <c r="D5298">
        <v>0.63554406144682196</v>
      </c>
      <c r="E5298">
        <v>6</v>
      </c>
      <c r="F5298">
        <v>1.5707963267949001</v>
      </c>
      <c r="G5298" t="s">
        <v>85</v>
      </c>
      <c r="H5298" t="s">
        <v>85</v>
      </c>
      <c r="I5298">
        <v>0</v>
      </c>
      <c r="J5298">
        <v>0</v>
      </c>
      <c r="K5298">
        <v>0</v>
      </c>
    </row>
    <row r="5299" spans="1:11" x14ac:dyDescent="0.25">
      <c r="A5299" t="s">
        <v>83</v>
      </c>
    </row>
    <row r="5300" spans="1:11" x14ac:dyDescent="0.25">
      <c r="A5300">
        <v>64.155638119743998</v>
      </c>
      <c r="B5300">
        <v>52.063030622463202</v>
      </c>
      <c r="C5300">
        <v>2000</v>
      </c>
    </row>
    <row r="5301" spans="1:11" x14ac:dyDescent="0.25">
      <c r="A5301">
        <v>63.7062406041521</v>
      </c>
      <c r="B5301">
        <v>51.613633106871298</v>
      </c>
      <c r="C5301">
        <v>2000</v>
      </c>
    </row>
    <row r="5302" spans="1:11" x14ac:dyDescent="0.25">
      <c r="A5302">
        <v>63.7062406041521</v>
      </c>
      <c r="B5302">
        <v>51.613633106871298</v>
      </c>
      <c r="C5302">
        <v>2001</v>
      </c>
    </row>
    <row r="5303" spans="1:11" x14ac:dyDescent="0.25">
      <c r="A5303">
        <v>64.155638119743998</v>
      </c>
      <c r="B5303">
        <v>52.063030622463202</v>
      </c>
      <c r="C5303">
        <v>2001</v>
      </c>
    </row>
    <row r="5304" spans="1:11" x14ac:dyDescent="0.25">
      <c r="A5304">
        <v>64.605035635335895</v>
      </c>
      <c r="B5304">
        <v>52.5124281380551</v>
      </c>
      <c r="C5304">
        <v>2001</v>
      </c>
    </row>
    <row r="5305" spans="1:11" x14ac:dyDescent="0.25">
      <c r="A5305">
        <v>64.605035635335895</v>
      </c>
      <c r="B5305">
        <v>52.5124281380551</v>
      </c>
      <c r="C5305">
        <v>2000</v>
      </c>
    </row>
    <row r="5306" spans="1:11" x14ac:dyDescent="0.25">
      <c r="A5306" t="s">
        <v>84</v>
      </c>
    </row>
    <row r="5307" spans="1:11" x14ac:dyDescent="0.25">
      <c r="A5307">
        <v>1</v>
      </c>
      <c r="B5307">
        <v>0</v>
      </c>
      <c r="C5307">
        <v>0.63554406144682196</v>
      </c>
      <c r="D5307">
        <v>0.63554406144682196</v>
      </c>
      <c r="E5307">
        <v>6</v>
      </c>
      <c r="F5307">
        <v>1.5707963267949001</v>
      </c>
      <c r="G5307" t="s">
        <v>85</v>
      </c>
      <c r="H5307" t="s">
        <v>85</v>
      </c>
      <c r="I5307">
        <v>0</v>
      </c>
      <c r="J5307">
        <v>0</v>
      </c>
      <c r="K5307">
        <v>0</v>
      </c>
    </row>
    <row r="5308" spans="1:11" x14ac:dyDescent="0.25">
      <c r="A5308" t="s">
        <v>83</v>
      </c>
    </row>
    <row r="5309" spans="1:11" x14ac:dyDescent="0.25">
      <c r="A5309">
        <v>44.510344262006797</v>
      </c>
      <c r="B5309">
        <v>4.4193971340634803</v>
      </c>
      <c r="C5309">
        <v>2000</v>
      </c>
    </row>
    <row r="5310" spans="1:11" x14ac:dyDescent="0.25">
      <c r="A5310">
        <v>44.060946746414999</v>
      </c>
      <c r="B5310">
        <v>3.96999961847159</v>
      </c>
      <c r="C5310">
        <v>2000</v>
      </c>
    </row>
    <row r="5311" spans="1:11" x14ac:dyDescent="0.25">
      <c r="A5311">
        <v>44.060946746414999</v>
      </c>
      <c r="B5311">
        <v>3.96999961847159</v>
      </c>
      <c r="C5311">
        <v>2001</v>
      </c>
    </row>
    <row r="5312" spans="1:11" x14ac:dyDescent="0.25">
      <c r="A5312">
        <v>44.510344262006797</v>
      </c>
      <c r="B5312">
        <v>4.4193971340634803</v>
      </c>
      <c r="C5312">
        <v>2001</v>
      </c>
    </row>
    <row r="5313" spans="1:11" x14ac:dyDescent="0.25">
      <c r="A5313">
        <v>44.959741777598701</v>
      </c>
      <c r="B5313">
        <v>4.86879464965536</v>
      </c>
      <c r="C5313">
        <v>2001</v>
      </c>
    </row>
    <row r="5314" spans="1:11" x14ac:dyDescent="0.25">
      <c r="A5314">
        <v>44.959741777598701</v>
      </c>
      <c r="B5314">
        <v>4.86879464965536</v>
      </c>
      <c r="C5314">
        <v>2000</v>
      </c>
    </row>
    <row r="5315" spans="1:11" x14ac:dyDescent="0.25">
      <c r="A5315" t="s">
        <v>84</v>
      </c>
    </row>
    <row r="5316" spans="1:11" x14ac:dyDescent="0.25">
      <c r="A5316">
        <v>498</v>
      </c>
      <c r="B5316">
        <v>0</v>
      </c>
      <c r="C5316">
        <v>0.63554406144682196</v>
      </c>
      <c r="D5316">
        <v>0.63554406144682196</v>
      </c>
      <c r="E5316">
        <v>6</v>
      </c>
      <c r="F5316">
        <v>1.5707963267949001</v>
      </c>
      <c r="G5316" t="s">
        <v>85</v>
      </c>
      <c r="H5316" t="s">
        <v>85</v>
      </c>
      <c r="I5316">
        <v>0</v>
      </c>
      <c r="J5316">
        <v>0</v>
      </c>
      <c r="K5316">
        <v>0</v>
      </c>
    </row>
    <row r="5317" spans="1:11" x14ac:dyDescent="0.25">
      <c r="A5317" t="s">
        <v>83</v>
      </c>
    </row>
    <row r="5318" spans="1:11" x14ac:dyDescent="0.25">
      <c r="A5318">
        <v>143.17992283877899</v>
      </c>
      <c r="B5318">
        <v>5.5948577498061596</v>
      </c>
      <c r="C5318">
        <v>2000</v>
      </c>
    </row>
    <row r="5319" spans="1:11" x14ac:dyDescent="0.25">
      <c r="A5319">
        <v>142.73052532318701</v>
      </c>
      <c r="B5319">
        <v>5.1454602342142701</v>
      </c>
      <c r="C5319">
        <v>2000</v>
      </c>
    </row>
    <row r="5320" spans="1:11" x14ac:dyDescent="0.25">
      <c r="A5320">
        <v>142.73052532318701</v>
      </c>
      <c r="B5320">
        <v>5.1454602342142701</v>
      </c>
      <c r="C5320">
        <v>2001</v>
      </c>
    </row>
    <row r="5321" spans="1:11" x14ac:dyDescent="0.25">
      <c r="A5321">
        <v>143.17992283877899</v>
      </c>
      <c r="B5321">
        <v>5.5948577498061596</v>
      </c>
      <c r="C5321">
        <v>2001</v>
      </c>
    </row>
    <row r="5322" spans="1:11" x14ac:dyDescent="0.25">
      <c r="A5322">
        <v>143.629320354371</v>
      </c>
      <c r="B5322">
        <v>6.0442552653980499</v>
      </c>
      <c r="C5322">
        <v>2001</v>
      </c>
    </row>
    <row r="5323" spans="1:11" x14ac:dyDescent="0.25">
      <c r="A5323">
        <v>143.629320354371</v>
      </c>
      <c r="B5323">
        <v>6.0442552653980499</v>
      </c>
      <c r="C5323">
        <v>2000</v>
      </c>
    </row>
    <row r="5324" spans="1:11" x14ac:dyDescent="0.25">
      <c r="A5324" t="s">
        <v>84</v>
      </c>
    </row>
    <row r="5325" spans="1:11" x14ac:dyDescent="0.25">
      <c r="A5325">
        <v>642</v>
      </c>
      <c r="B5325">
        <v>0</v>
      </c>
      <c r="C5325">
        <v>0.63554406144682196</v>
      </c>
      <c r="D5325">
        <v>0.63554406144682196</v>
      </c>
      <c r="E5325">
        <v>6</v>
      </c>
      <c r="F5325">
        <v>1.5707963267949001</v>
      </c>
      <c r="G5325" t="s">
        <v>85</v>
      </c>
      <c r="H5325" t="s">
        <v>85</v>
      </c>
      <c r="I5325">
        <v>0</v>
      </c>
      <c r="J5325">
        <v>0</v>
      </c>
      <c r="K5325">
        <v>0</v>
      </c>
    </row>
    <row r="5326" spans="1:11" x14ac:dyDescent="0.25">
      <c r="A5326" t="s">
        <v>83</v>
      </c>
    </row>
    <row r="5327" spans="1:11" x14ac:dyDescent="0.25">
      <c r="A5327">
        <v>67.068014755876703</v>
      </c>
      <c r="B5327">
        <v>97.884003851974398</v>
      </c>
      <c r="C5327">
        <v>2000</v>
      </c>
    </row>
    <row r="5328" spans="1:11" x14ac:dyDescent="0.25">
      <c r="A5328">
        <v>66.618617240284806</v>
      </c>
      <c r="B5328">
        <v>97.434606336382501</v>
      </c>
      <c r="C5328">
        <v>2000</v>
      </c>
    </row>
    <row r="5329" spans="1:11" x14ac:dyDescent="0.25">
      <c r="A5329">
        <v>66.618617240284806</v>
      </c>
      <c r="B5329">
        <v>97.434606336382501</v>
      </c>
      <c r="C5329">
        <v>2001</v>
      </c>
    </row>
    <row r="5330" spans="1:11" x14ac:dyDescent="0.25">
      <c r="A5330">
        <v>67.068014755876703</v>
      </c>
      <c r="B5330">
        <v>97.884003851974398</v>
      </c>
      <c r="C5330">
        <v>2001</v>
      </c>
    </row>
    <row r="5331" spans="1:11" x14ac:dyDescent="0.25">
      <c r="A5331">
        <v>67.517412271468601</v>
      </c>
      <c r="B5331">
        <v>98.333401367566296</v>
      </c>
      <c r="C5331">
        <v>2001</v>
      </c>
    </row>
    <row r="5332" spans="1:11" x14ac:dyDescent="0.25">
      <c r="A5332">
        <v>67.517412271468601</v>
      </c>
      <c r="B5332">
        <v>98.333401367566296</v>
      </c>
      <c r="C5332">
        <v>2000</v>
      </c>
    </row>
    <row r="5333" spans="1:11" x14ac:dyDescent="0.25">
      <c r="A5333" t="s">
        <v>84</v>
      </c>
    </row>
    <row r="5334" spans="1:11" x14ac:dyDescent="0.25">
      <c r="A5334">
        <v>177</v>
      </c>
      <c r="B5334">
        <v>0</v>
      </c>
      <c r="C5334">
        <v>0.63554406144682196</v>
      </c>
      <c r="D5334">
        <v>0.63554406144682196</v>
      </c>
      <c r="E5334">
        <v>6</v>
      </c>
      <c r="F5334">
        <v>1.5707963267949001</v>
      </c>
      <c r="G5334" t="s">
        <v>85</v>
      </c>
      <c r="H5334" t="s">
        <v>85</v>
      </c>
      <c r="I5334">
        <v>0</v>
      </c>
      <c r="J5334">
        <v>0</v>
      </c>
      <c r="K5334">
        <v>0</v>
      </c>
    </row>
    <row r="5335" spans="1:11" x14ac:dyDescent="0.25">
      <c r="A5335" t="s">
        <v>83</v>
      </c>
    </row>
    <row r="5336" spans="1:11" x14ac:dyDescent="0.25">
      <c r="A5336">
        <v>55.331667759610198</v>
      </c>
      <c r="B5336">
        <v>14.612749307236101</v>
      </c>
      <c r="C5336">
        <v>2000</v>
      </c>
    </row>
    <row r="5337" spans="1:11" x14ac:dyDescent="0.25">
      <c r="A5337">
        <v>54.882270244018301</v>
      </c>
      <c r="B5337">
        <v>14.1633517916442</v>
      </c>
      <c r="C5337">
        <v>2000</v>
      </c>
    </row>
    <row r="5338" spans="1:11" x14ac:dyDescent="0.25">
      <c r="A5338">
        <v>54.882270244018301</v>
      </c>
      <c r="B5338">
        <v>14.1633517916442</v>
      </c>
      <c r="C5338">
        <v>2001</v>
      </c>
    </row>
    <row r="5339" spans="1:11" x14ac:dyDescent="0.25">
      <c r="A5339">
        <v>55.331667759610198</v>
      </c>
      <c r="B5339">
        <v>14.612749307236101</v>
      </c>
      <c r="C5339">
        <v>2001</v>
      </c>
    </row>
    <row r="5340" spans="1:11" x14ac:dyDescent="0.25">
      <c r="A5340">
        <v>55.781065275202103</v>
      </c>
      <c r="B5340">
        <v>15.0621468228279</v>
      </c>
      <c r="C5340">
        <v>2001</v>
      </c>
    </row>
    <row r="5341" spans="1:11" x14ac:dyDescent="0.25">
      <c r="A5341">
        <v>55.781065275202103</v>
      </c>
      <c r="B5341">
        <v>15.0621468228279</v>
      </c>
      <c r="C5341">
        <v>2000</v>
      </c>
    </row>
    <row r="5342" spans="1:11" x14ac:dyDescent="0.25">
      <c r="A5342" t="s">
        <v>84</v>
      </c>
    </row>
    <row r="5343" spans="1:11" x14ac:dyDescent="0.25">
      <c r="A5343">
        <v>171</v>
      </c>
      <c r="B5343">
        <v>0</v>
      </c>
      <c r="C5343">
        <v>0.63554406144682196</v>
      </c>
      <c r="D5343">
        <v>0.63554406144682196</v>
      </c>
      <c r="E5343">
        <v>6</v>
      </c>
      <c r="F5343">
        <v>1.5707963267949001</v>
      </c>
      <c r="G5343" t="s">
        <v>85</v>
      </c>
      <c r="H5343" t="s">
        <v>85</v>
      </c>
      <c r="I5343">
        <v>0</v>
      </c>
      <c r="J5343">
        <v>0</v>
      </c>
      <c r="K5343">
        <v>0</v>
      </c>
    </row>
    <row r="5344" spans="1:11" x14ac:dyDescent="0.25">
      <c r="A5344" t="s">
        <v>83</v>
      </c>
    </row>
    <row r="5345" spans="1:11" x14ac:dyDescent="0.25">
      <c r="A5345">
        <v>88.028519839527306</v>
      </c>
      <c r="B5345">
        <v>2.7591481468449999</v>
      </c>
      <c r="C5345">
        <v>2000</v>
      </c>
    </row>
    <row r="5346" spans="1:11" x14ac:dyDescent="0.25">
      <c r="A5346">
        <v>87.579122323935394</v>
      </c>
      <c r="B5346">
        <v>2.3097506312531202</v>
      </c>
      <c r="C5346">
        <v>2000</v>
      </c>
    </row>
    <row r="5347" spans="1:11" x14ac:dyDescent="0.25">
      <c r="A5347">
        <v>87.579122323935394</v>
      </c>
      <c r="B5347">
        <v>2.3097506312531202</v>
      </c>
      <c r="C5347">
        <v>2001</v>
      </c>
    </row>
    <row r="5348" spans="1:11" x14ac:dyDescent="0.25">
      <c r="A5348">
        <v>88.028519839527306</v>
      </c>
      <c r="B5348">
        <v>2.7591481468449999</v>
      </c>
      <c r="C5348">
        <v>2001</v>
      </c>
    </row>
    <row r="5349" spans="1:11" x14ac:dyDescent="0.25">
      <c r="A5349">
        <v>88.477917355119203</v>
      </c>
      <c r="B5349">
        <v>3.2085456624368902</v>
      </c>
      <c r="C5349">
        <v>2001</v>
      </c>
    </row>
    <row r="5350" spans="1:11" x14ac:dyDescent="0.25">
      <c r="A5350">
        <v>88.477917355119203</v>
      </c>
      <c r="B5350">
        <v>3.2085456624368902</v>
      </c>
      <c r="C5350">
        <v>2000</v>
      </c>
    </row>
    <row r="5351" spans="1:11" x14ac:dyDescent="0.25">
      <c r="A5351" t="s">
        <v>84</v>
      </c>
    </row>
    <row r="5352" spans="1:11" x14ac:dyDescent="0.25">
      <c r="A5352">
        <v>167</v>
      </c>
      <c r="B5352">
        <v>0</v>
      </c>
      <c r="C5352">
        <v>0.63554406144682196</v>
      </c>
      <c r="D5352">
        <v>0.63554406144682196</v>
      </c>
      <c r="E5352">
        <v>6</v>
      </c>
      <c r="F5352">
        <v>1.5707963267949001</v>
      </c>
      <c r="G5352" t="s">
        <v>85</v>
      </c>
      <c r="H5352" t="s">
        <v>85</v>
      </c>
      <c r="I5352">
        <v>0</v>
      </c>
      <c r="J5352">
        <v>0</v>
      </c>
      <c r="K5352">
        <v>0</v>
      </c>
    </row>
    <row r="5353" spans="1:11" x14ac:dyDescent="0.25">
      <c r="A5353" t="s">
        <v>83</v>
      </c>
    </row>
    <row r="5354" spans="1:11" x14ac:dyDescent="0.25">
      <c r="A5354">
        <v>86.917318339421101</v>
      </c>
      <c r="B5354">
        <v>47.222700818545498</v>
      </c>
      <c r="C5354">
        <v>2000</v>
      </c>
    </row>
    <row r="5355" spans="1:11" x14ac:dyDescent="0.25">
      <c r="A5355">
        <v>86.467920823829203</v>
      </c>
      <c r="B5355">
        <v>46.7733033029536</v>
      </c>
      <c r="C5355">
        <v>2000</v>
      </c>
    </row>
    <row r="5356" spans="1:11" x14ac:dyDescent="0.25">
      <c r="A5356">
        <v>86.467920823829203</v>
      </c>
      <c r="B5356">
        <v>46.7733033029536</v>
      </c>
      <c r="C5356">
        <v>2001</v>
      </c>
    </row>
    <row r="5357" spans="1:11" x14ac:dyDescent="0.25">
      <c r="A5357">
        <v>86.917318339421101</v>
      </c>
      <c r="B5357">
        <v>47.222700818545498</v>
      </c>
      <c r="C5357">
        <v>2001</v>
      </c>
    </row>
    <row r="5358" spans="1:11" x14ac:dyDescent="0.25">
      <c r="A5358">
        <v>87.366715855012998</v>
      </c>
      <c r="B5358">
        <v>47.672098334137402</v>
      </c>
      <c r="C5358">
        <v>2001</v>
      </c>
    </row>
    <row r="5359" spans="1:11" x14ac:dyDescent="0.25">
      <c r="A5359">
        <v>87.366715855012998</v>
      </c>
      <c r="B5359">
        <v>47.672098334137402</v>
      </c>
      <c r="C5359">
        <v>2000</v>
      </c>
    </row>
    <row r="5360" spans="1:11" x14ac:dyDescent="0.25">
      <c r="A5360" t="s">
        <v>84</v>
      </c>
    </row>
    <row r="5361" spans="1:11" x14ac:dyDescent="0.25">
      <c r="A5361">
        <v>163</v>
      </c>
      <c r="B5361">
        <v>0</v>
      </c>
      <c r="C5361">
        <v>0.63554406144682196</v>
      </c>
      <c r="D5361">
        <v>0.63554406144682196</v>
      </c>
      <c r="E5361">
        <v>6</v>
      </c>
      <c r="F5361">
        <v>1.5707963267949001</v>
      </c>
      <c r="G5361" t="s">
        <v>85</v>
      </c>
      <c r="H5361" t="s">
        <v>85</v>
      </c>
      <c r="I5361">
        <v>0</v>
      </c>
      <c r="J5361">
        <v>0</v>
      </c>
      <c r="K5361">
        <v>0</v>
      </c>
    </row>
    <row r="5362" spans="1:11" x14ac:dyDescent="0.25">
      <c r="A5362" t="s">
        <v>83</v>
      </c>
    </row>
    <row r="5363" spans="1:11" x14ac:dyDescent="0.25">
      <c r="A5363">
        <v>78.026242485747801</v>
      </c>
      <c r="B5363">
        <v>2.2235872583573602</v>
      </c>
      <c r="C5363">
        <v>2000</v>
      </c>
    </row>
    <row r="5364" spans="1:11" x14ac:dyDescent="0.25">
      <c r="A5364">
        <v>77.576844970155904</v>
      </c>
      <c r="B5364">
        <v>1.77418974276547</v>
      </c>
      <c r="C5364">
        <v>2000</v>
      </c>
    </row>
    <row r="5365" spans="1:11" x14ac:dyDescent="0.25">
      <c r="A5365">
        <v>77.576844970155904</v>
      </c>
      <c r="B5365">
        <v>1.77418974276547</v>
      </c>
      <c r="C5365">
        <v>2001</v>
      </c>
    </row>
    <row r="5366" spans="1:11" x14ac:dyDescent="0.25">
      <c r="A5366">
        <v>78.026242485747801</v>
      </c>
      <c r="B5366">
        <v>2.2235872583573602</v>
      </c>
      <c r="C5366">
        <v>2001</v>
      </c>
    </row>
    <row r="5367" spans="1:11" x14ac:dyDescent="0.25">
      <c r="A5367">
        <v>78.475640001339698</v>
      </c>
      <c r="B5367">
        <v>2.67298477394925</v>
      </c>
      <c r="C5367">
        <v>2001</v>
      </c>
    </row>
    <row r="5368" spans="1:11" x14ac:dyDescent="0.25">
      <c r="A5368">
        <v>78.475640001339698</v>
      </c>
      <c r="B5368">
        <v>2.67298477394925</v>
      </c>
      <c r="C5368">
        <v>2000</v>
      </c>
    </row>
    <row r="5369" spans="1:11" x14ac:dyDescent="0.25">
      <c r="A5369" t="s">
        <v>84</v>
      </c>
    </row>
    <row r="5370" spans="1:11" x14ac:dyDescent="0.25">
      <c r="A5370">
        <v>161</v>
      </c>
      <c r="B5370">
        <v>0</v>
      </c>
      <c r="C5370">
        <v>0.63554406144682196</v>
      </c>
      <c r="D5370">
        <v>0.63554406144682196</v>
      </c>
      <c r="E5370">
        <v>6</v>
      </c>
      <c r="F5370">
        <v>1.5707963267949001</v>
      </c>
      <c r="G5370" t="s">
        <v>85</v>
      </c>
      <c r="H5370" t="s">
        <v>85</v>
      </c>
      <c r="I5370">
        <v>0</v>
      </c>
      <c r="J5370">
        <v>0</v>
      </c>
      <c r="K5370">
        <v>0</v>
      </c>
    </row>
    <row r="5371" spans="1:11" x14ac:dyDescent="0.25">
      <c r="A5371" t="s">
        <v>83</v>
      </c>
    </row>
    <row r="5372" spans="1:11" x14ac:dyDescent="0.25">
      <c r="A5372">
        <v>53.867201148004803</v>
      </c>
      <c r="B5372">
        <v>14.1838924908936</v>
      </c>
      <c r="C5372">
        <v>2000</v>
      </c>
    </row>
    <row r="5373" spans="1:11" x14ac:dyDescent="0.25">
      <c r="A5373">
        <v>53.417803632412898</v>
      </c>
      <c r="B5373">
        <v>13.7344949753017</v>
      </c>
      <c r="C5373">
        <v>2000</v>
      </c>
    </row>
    <row r="5374" spans="1:11" x14ac:dyDescent="0.25">
      <c r="A5374">
        <v>53.417803632412898</v>
      </c>
      <c r="B5374">
        <v>13.7344949753017</v>
      </c>
      <c r="C5374">
        <v>2001</v>
      </c>
    </row>
    <row r="5375" spans="1:11" x14ac:dyDescent="0.25">
      <c r="A5375">
        <v>53.867201148004803</v>
      </c>
      <c r="B5375">
        <v>14.1838924908936</v>
      </c>
      <c r="C5375">
        <v>2001</v>
      </c>
    </row>
    <row r="5376" spans="1:11" x14ac:dyDescent="0.25">
      <c r="A5376">
        <v>54.3165986635967</v>
      </c>
      <c r="B5376">
        <v>14.633290006485399</v>
      </c>
      <c r="C5376">
        <v>2001</v>
      </c>
    </row>
    <row r="5377" spans="1:11" x14ac:dyDescent="0.25">
      <c r="A5377">
        <v>54.3165986635967</v>
      </c>
      <c r="B5377">
        <v>14.633290006485399</v>
      </c>
      <c r="C5377">
        <v>2000</v>
      </c>
    </row>
    <row r="5378" spans="1:11" x14ac:dyDescent="0.25">
      <c r="A5378" t="s">
        <v>84</v>
      </c>
    </row>
    <row r="5379" spans="1:11" x14ac:dyDescent="0.25">
      <c r="A5379">
        <v>98</v>
      </c>
      <c r="B5379">
        <v>0</v>
      </c>
      <c r="C5379">
        <v>0.63554406144682196</v>
      </c>
      <c r="D5379">
        <v>0.63554406144682196</v>
      </c>
      <c r="E5379">
        <v>6</v>
      </c>
      <c r="F5379">
        <v>1.5707963267949001</v>
      </c>
      <c r="G5379" t="s">
        <v>85</v>
      </c>
      <c r="H5379" t="s">
        <v>85</v>
      </c>
      <c r="I5379">
        <v>0</v>
      </c>
      <c r="J5379">
        <v>0</v>
      </c>
      <c r="K5379">
        <v>0</v>
      </c>
    </row>
    <row r="5380" spans="1:11" x14ac:dyDescent="0.25">
      <c r="A5380" t="s">
        <v>83</v>
      </c>
    </row>
    <row r="5381" spans="1:11" x14ac:dyDescent="0.25">
      <c r="A5381">
        <v>18.5284805686811</v>
      </c>
      <c r="B5381">
        <v>55.779811265310201</v>
      </c>
      <c r="C5381">
        <v>2000</v>
      </c>
    </row>
    <row r="5382" spans="1:11" x14ac:dyDescent="0.25">
      <c r="A5382">
        <v>18.079083053089199</v>
      </c>
      <c r="B5382">
        <v>55.330413749718304</v>
      </c>
      <c r="C5382">
        <v>2000</v>
      </c>
    </row>
    <row r="5383" spans="1:11" x14ac:dyDescent="0.25">
      <c r="A5383">
        <v>18.079083053089199</v>
      </c>
      <c r="B5383">
        <v>55.330413749718304</v>
      </c>
      <c r="C5383">
        <v>2001</v>
      </c>
    </row>
    <row r="5384" spans="1:11" x14ac:dyDescent="0.25">
      <c r="A5384">
        <v>18.5284805686811</v>
      </c>
      <c r="B5384">
        <v>55.779811265310201</v>
      </c>
      <c r="C5384">
        <v>2001</v>
      </c>
    </row>
    <row r="5385" spans="1:11" x14ac:dyDescent="0.25">
      <c r="A5385">
        <v>18.977878084273001</v>
      </c>
      <c r="B5385">
        <v>56.229208780902098</v>
      </c>
      <c r="C5385">
        <v>2001</v>
      </c>
    </row>
    <row r="5386" spans="1:11" x14ac:dyDescent="0.25">
      <c r="A5386">
        <v>18.977878084273001</v>
      </c>
      <c r="B5386">
        <v>56.229208780902098</v>
      </c>
      <c r="C5386">
        <v>2000</v>
      </c>
    </row>
    <row r="5387" spans="1:11" x14ac:dyDescent="0.25">
      <c r="A5387" t="s">
        <v>84</v>
      </c>
    </row>
    <row r="5388" spans="1:11" x14ac:dyDescent="0.25">
      <c r="A5388">
        <v>95</v>
      </c>
      <c r="B5388">
        <v>0</v>
      </c>
      <c r="C5388">
        <v>0.63554406144682196</v>
      </c>
      <c r="D5388">
        <v>0.63554406144682196</v>
      </c>
      <c r="E5388">
        <v>6</v>
      </c>
      <c r="F5388">
        <v>1.5707963267949001</v>
      </c>
      <c r="G5388" t="s">
        <v>85</v>
      </c>
      <c r="H5388" t="s">
        <v>85</v>
      </c>
      <c r="I5388">
        <v>0</v>
      </c>
      <c r="J5388">
        <v>0</v>
      </c>
      <c r="K5388">
        <v>0</v>
      </c>
    </row>
    <row r="5389" spans="1:11" x14ac:dyDescent="0.25">
      <c r="A5389" t="s">
        <v>83</v>
      </c>
    </row>
    <row r="5390" spans="1:11" x14ac:dyDescent="0.25">
      <c r="A5390">
        <v>45.763479578664302</v>
      </c>
      <c r="B5390">
        <v>88.796578540371996</v>
      </c>
      <c r="C5390">
        <v>2000</v>
      </c>
    </row>
    <row r="5391" spans="1:11" x14ac:dyDescent="0.25">
      <c r="A5391">
        <v>45.314082063072398</v>
      </c>
      <c r="B5391">
        <v>88.347181024780099</v>
      </c>
      <c r="C5391">
        <v>2000</v>
      </c>
    </row>
    <row r="5392" spans="1:11" x14ac:dyDescent="0.25">
      <c r="A5392">
        <v>45.314082063072398</v>
      </c>
      <c r="B5392">
        <v>88.347181024780099</v>
      </c>
      <c r="C5392">
        <v>2001</v>
      </c>
    </row>
    <row r="5393" spans="1:11" x14ac:dyDescent="0.25">
      <c r="A5393">
        <v>45.763479578664302</v>
      </c>
      <c r="B5393">
        <v>88.796578540371996</v>
      </c>
      <c r="C5393">
        <v>2001</v>
      </c>
    </row>
    <row r="5394" spans="1:11" x14ac:dyDescent="0.25">
      <c r="A5394">
        <v>46.2128770942562</v>
      </c>
      <c r="B5394">
        <v>89.245976055963894</v>
      </c>
      <c r="C5394">
        <v>2001</v>
      </c>
    </row>
    <row r="5395" spans="1:11" x14ac:dyDescent="0.25">
      <c r="A5395">
        <v>46.2128770942562</v>
      </c>
      <c r="B5395">
        <v>89.245976055963894</v>
      </c>
      <c r="C5395">
        <v>2000</v>
      </c>
    </row>
    <row r="5396" spans="1:11" x14ac:dyDescent="0.25">
      <c r="A5396" t="s">
        <v>84</v>
      </c>
    </row>
    <row r="5397" spans="1:11" x14ac:dyDescent="0.25">
      <c r="A5397">
        <v>93</v>
      </c>
      <c r="B5397">
        <v>0</v>
      </c>
      <c r="C5397">
        <v>0.63554406144682196</v>
      </c>
      <c r="D5397">
        <v>0.63554406144682196</v>
      </c>
      <c r="E5397">
        <v>6</v>
      </c>
      <c r="F5397">
        <v>1.5707963267949001</v>
      </c>
      <c r="G5397" t="s">
        <v>85</v>
      </c>
      <c r="H5397" t="s">
        <v>85</v>
      </c>
      <c r="I5397">
        <v>0</v>
      </c>
      <c r="J5397">
        <v>0</v>
      </c>
      <c r="K5397">
        <v>0</v>
      </c>
    </row>
    <row r="5398" spans="1:11" x14ac:dyDescent="0.25">
      <c r="A5398" t="s">
        <v>83</v>
      </c>
    </row>
    <row r="5399" spans="1:11" x14ac:dyDescent="0.25">
      <c r="A5399">
        <v>40.485317849314399</v>
      </c>
      <c r="B5399">
        <v>60.434079815370097</v>
      </c>
      <c r="C5399">
        <v>2000</v>
      </c>
    </row>
    <row r="5400" spans="1:11" x14ac:dyDescent="0.25">
      <c r="A5400">
        <v>40.035920333722601</v>
      </c>
      <c r="B5400">
        <v>59.9846822997782</v>
      </c>
      <c r="C5400">
        <v>2000</v>
      </c>
    </row>
    <row r="5401" spans="1:11" x14ac:dyDescent="0.25">
      <c r="A5401">
        <v>40.035920333722601</v>
      </c>
      <c r="B5401">
        <v>59.9846822997782</v>
      </c>
      <c r="C5401">
        <v>2001</v>
      </c>
    </row>
    <row r="5402" spans="1:11" x14ac:dyDescent="0.25">
      <c r="A5402">
        <v>40.485317849314399</v>
      </c>
      <c r="B5402">
        <v>60.434079815370097</v>
      </c>
      <c r="C5402">
        <v>2001</v>
      </c>
    </row>
    <row r="5403" spans="1:11" x14ac:dyDescent="0.25">
      <c r="A5403">
        <v>40.934715364906303</v>
      </c>
      <c r="B5403">
        <v>60.883477330961902</v>
      </c>
      <c r="C5403">
        <v>2001</v>
      </c>
    </row>
    <row r="5404" spans="1:11" x14ac:dyDescent="0.25">
      <c r="A5404">
        <v>40.934715364906303</v>
      </c>
      <c r="B5404">
        <v>60.883477330961902</v>
      </c>
      <c r="C5404">
        <v>2000</v>
      </c>
    </row>
    <row r="5405" spans="1:11" x14ac:dyDescent="0.25">
      <c r="A5405" t="s">
        <v>84</v>
      </c>
    </row>
    <row r="5406" spans="1:11" x14ac:dyDescent="0.25">
      <c r="A5406">
        <v>90</v>
      </c>
      <c r="B5406">
        <v>0</v>
      </c>
      <c r="C5406">
        <v>0.63554406144682196</v>
      </c>
      <c r="D5406">
        <v>0.63554406144682196</v>
      </c>
      <c r="E5406">
        <v>6</v>
      </c>
      <c r="F5406">
        <v>1.5707963267949001</v>
      </c>
      <c r="G5406" t="s">
        <v>85</v>
      </c>
      <c r="H5406" t="s">
        <v>85</v>
      </c>
      <c r="I5406">
        <v>0</v>
      </c>
      <c r="J5406">
        <v>0</v>
      </c>
      <c r="K5406">
        <v>0</v>
      </c>
    </row>
    <row r="5407" spans="1:11" x14ac:dyDescent="0.25">
      <c r="A5407" t="s">
        <v>83</v>
      </c>
    </row>
    <row r="5408" spans="1:11" x14ac:dyDescent="0.25">
      <c r="A5408">
        <v>18.7706009222989</v>
      </c>
      <c r="B5408">
        <v>98.733378771568397</v>
      </c>
      <c r="C5408">
        <v>2000</v>
      </c>
    </row>
    <row r="5409" spans="1:11" x14ac:dyDescent="0.25">
      <c r="A5409">
        <v>18.321203406706999</v>
      </c>
      <c r="B5409">
        <v>98.283981255976499</v>
      </c>
      <c r="C5409">
        <v>2000</v>
      </c>
    </row>
    <row r="5410" spans="1:11" x14ac:dyDescent="0.25">
      <c r="A5410">
        <v>18.321203406706999</v>
      </c>
      <c r="B5410">
        <v>98.283981255976499</v>
      </c>
      <c r="C5410">
        <v>2001</v>
      </c>
    </row>
    <row r="5411" spans="1:11" x14ac:dyDescent="0.25">
      <c r="A5411">
        <v>18.7706009222989</v>
      </c>
      <c r="B5411">
        <v>98.733378771568397</v>
      </c>
      <c r="C5411">
        <v>2001</v>
      </c>
    </row>
    <row r="5412" spans="1:11" x14ac:dyDescent="0.25">
      <c r="A5412">
        <v>19.219998437890801</v>
      </c>
      <c r="B5412">
        <v>99.182776287160294</v>
      </c>
      <c r="C5412">
        <v>2001</v>
      </c>
    </row>
    <row r="5413" spans="1:11" x14ac:dyDescent="0.25">
      <c r="A5413">
        <v>19.219998437890801</v>
      </c>
      <c r="B5413">
        <v>99.182776287160294</v>
      </c>
      <c r="C5413">
        <v>2000</v>
      </c>
    </row>
    <row r="5414" spans="1:11" x14ac:dyDescent="0.25">
      <c r="A5414" t="s">
        <v>84</v>
      </c>
    </row>
    <row r="5415" spans="1:11" x14ac:dyDescent="0.25">
      <c r="A5415">
        <v>401</v>
      </c>
      <c r="B5415">
        <v>0</v>
      </c>
      <c r="C5415">
        <v>0.63554406144682196</v>
      </c>
      <c r="D5415">
        <v>0.63554406144682196</v>
      </c>
      <c r="E5415">
        <v>6</v>
      </c>
      <c r="F5415">
        <v>1.5707963267949001</v>
      </c>
      <c r="G5415" t="s">
        <v>85</v>
      </c>
      <c r="H5415" t="s">
        <v>85</v>
      </c>
      <c r="I5415">
        <v>0</v>
      </c>
      <c r="J5415">
        <v>0</v>
      </c>
      <c r="K5415">
        <v>0</v>
      </c>
    </row>
    <row r="5416" spans="1:11" x14ac:dyDescent="0.25">
      <c r="A5416" t="s">
        <v>83</v>
      </c>
    </row>
    <row r="5417" spans="1:11" x14ac:dyDescent="0.25">
      <c r="A5417">
        <v>23.928014933563801</v>
      </c>
      <c r="B5417">
        <v>119.509151645242</v>
      </c>
      <c r="C5417">
        <v>2000</v>
      </c>
    </row>
    <row r="5418" spans="1:11" x14ac:dyDescent="0.25">
      <c r="A5418">
        <v>23.4786174179719</v>
      </c>
      <c r="B5418">
        <v>119.05975412965</v>
      </c>
      <c r="C5418">
        <v>2000</v>
      </c>
    </row>
    <row r="5419" spans="1:11" x14ac:dyDescent="0.25">
      <c r="A5419">
        <v>23.4786174179719</v>
      </c>
      <c r="B5419">
        <v>119.05975412965</v>
      </c>
      <c r="C5419">
        <v>2001</v>
      </c>
    </row>
    <row r="5420" spans="1:11" x14ac:dyDescent="0.25">
      <c r="A5420">
        <v>23.928014933563801</v>
      </c>
      <c r="B5420">
        <v>119.509151645242</v>
      </c>
      <c r="C5420">
        <v>2001</v>
      </c>
    </row>
    <row r="5421" spans="1:11" x14ac:dyDescent="0.25">
      <c r="A5421">
        <v>24.377412449155699</v>
      </c>
      <c r="B5421">
        <v>119.958549160834</v>
      </c>
      <c r="C5421">
        <v>2001</v>
      </c>
    </row>
    <row r="5422" spans="1:11" x14ac:dyDescent="0.25">
      <c r="A5422">
        <v>24.377412449155699</v>
      </c>
      <c r="B5422">
        <v>119.958549160834</v>
      </c>
      <c r="C5422">
        <v>2000</v>
      </c>
    </row>
    <row r="5423" spans="1:11" x14ac:dyDescent="0.25">
      <c r="A5423" t="s">
        <v>84</v>
      </c>
    </row>
    <row r="5424" spans="1:11" x14ac:dyDescent="0.25">
      <c r="A5424">
        <v>89</v>
      </c>
      <c r="B5424">
        <v>0</v>
      </c>
      <c r="C5424">
        <v>0.63554406144682196</v>
      </c>
      <c r="D5424">
        <v>0.63554406144682196</v>
      </c>
      <c r="E5424">
        <v>6</v>
      </c>
      <c r="F5424">
        <v>1.5707963267949001</v>
      </c>
      <c r="G5424" t="s">
        <v>85</v>
      </c>
      <c r="H5424" t="s">
        <v>85</v>
      </c>
      <c r="I5424">
        <v>0</v>
      </c>
      <c r="J5424">
        <v>0</v>
      </c>
      <c r="K5424">
        <v>0</v>
      </c>
    </row>
    <row r="5425" spans="1:11" x14ac:dyDescent="0.25">
      <c r="A5425" t="s">
        <v>83</v>
      </c>
    </row>
    <row r="5426" spans="1:11" x14ac:dyDescent="0.25">
      <c r="A5426">
        <v>43.759967628288997</v>
      </c>
      <c r="B5426">
        <v>98.575463692459905</v>
      </c>
      <c r="C5426">
        <v>2000</v>
      </c>
    </row>
    <row r="5427" spans="1:11" x14ac:dyDescent="0.25">
      <c r="A5427">
        <v>43.3105701126971</v>
      </c>
      <c r="B5427">
        <v>98.126066176868093</v>
      </c>
      <c r="C5427">
        <v>2000</v>
      </c>
    </row>
    <row r="5428" spans="1:11" x14ac:dyDescent="0.25">
      <c r="A5428">
        <v>43.3105701126971</v>
      </c>
      <c r="B5428">
        <v>98.126066176868093</v>
      </c>
      <c r="C5428">
        <v>2001</v>
      </c>
    </row>
    <row r="5429" spans="1:11" x14ac:dyDescent="0.25">
      <c r="A5429">
        <v>43.759967628288997</v>
      </c>
      <c r="B5429">
        <v>98.575463692459905</v>
      </c>
      <c r="C5429">
        <v>2001</v>
      </c>
    </row>
    <row r="5430" spans="1:11" x14ac:dyDescent="0.25">
      <c r="A5430">
        <v>44.209365143880902</v>
      </c>
      <c r="B5430">
        <v>99.024861208051803</v>
      </c>
      <c r="C5430">
        <v>2001</v>
      </c>
    </row>
    <row r="5431" spans="1:11" x14ac:dyDescent="0.25">
      <c r="A5431">
        <v>44.209365143880902</v>
      </c>
      <c r="B5431">
        <v>99.024861208051803</v>
      </c>
      <c r="C5431">
        <v>2000</v>
      </c>
    </row>
    <row r="5432" spans="1:11" x14ac:dyDescent="0.25">
      <c r="A5432" t="s">
        <v>84</v>
      </c>
    </row>
    <row r="5433" spans="1:11" x14ac:dyDescent="0.25">
      <c r="A5433">
        <v>85</v>
      </c>
      <c r="B5433">
        <v>0</v>
      </c>
      <c r="C5433">
        <v>0.63554406144682196</v>
      </c>
      <c r="D5433">
        <v>0.63554406144682196</v>
      </c>
      <c r="E5433">
        <v>6</v>
      </c>
      <c r="F5433">
        <v>1.5707963267949001</v>
      </c>
      <c r="G5433" t="s">
        <v>85</v>
      </c>
      <c r="H5433" t="s">
        <v>85</v>
      </c>
      <c r="I5433">
        <v>0</v>
      </c>
      <c r="J5433">
        <v>0</v>
      </c>
      <c r="K5433">
        <v>0</v>
      </c>
    </row>
    <row r="5434" spans="1:11" x14ac:dyDescent="0.25">
      <c r="A5434" t="s">
        <v>83</v>
      </c>
    </row>
    <row r="5435" spans="1:11" x14ac:dyDescent="0.25">
      <c r="A5435">
        <v>30.927256613935899</v>
      </c>
      <c r="B5435">
        <v>52.221461514579801</v>
      </c>
      <c r="C5435">
        <v>2000</v>
      </c>
    </row>
    <row r="5436" spans="1:11" x14ac:dyDescent="0.25">
      <c r="A5436">
        <v>30.477859098343998</v>
      </c>
      <c r="B5436">
        <v>51.772063998987903</v>
      </c>
      <c r="C5436">
        <v>2000</v>
      </c>
    </row>
    <row r="5437" spans="1:11" x14ac:dyDescent="0.25">
      <c r="A5437">
        <v>30.477859098343998</v>
      </c>
      <c r="B5437">
        <v>51.772063998987903</v>
      </c>
      <c r="C5437">
        <v>2001</v>
      </c>
    </row>
    <row r="5438" spans="1:11" x14ac:dyDescent="0.25">
      <c r="A5438">
        <v>30.927256613935899</v>
      </c>
      <c r="B5438">
        <v>52.221461514579801</v>
      </c>
      <c r="C5438">
        <v>2001</v>
      </c>
    </row>
    <row r="5439" spans="1:11" x14ac:dyDescent="0.25">
      <c r="A5439">
        <v>31.3766541295278</v>
      </c>
      <c r="B5439">
        <v>52.670859030171698</v>
      </c>
      <c r="C5439">
        <v>2001</v>
      </c>
    </row>
    <row r="5440" spans="1:11" x14ac:dyDescent="0.25">
      <c r="A5440">
        <v>31.3766541295278</v>
      </c>
      <c r="B5440">
        <v>52.670859030171698</v>
      </c>
      <c r="C5440">
        <v>2000</v>
      </c>
    </row>
    <row r="5441" spans="1:11" x14ac:dyDescent="0.25">
      <c r="A5441" t="s">
        <v>84</v>
      </c>
    </row>
    <row r="5442" spans="1:11" x14ac:dyDescent="0.25">
      <c r="A5442">
        <v>84</v>
      </c>
      <c r="B5442">
        <v>0</v>
      </c>
      <c r="C5442">
        <v>0.63554406144682196</v>
      </c>
      <c r="D5442">
        <v>0.63554406144682196</v>
      </c>
      <c r="E5442">
        <v>6</v>
      </c>
      <c r="F5442">
        <v>1.5707963267949001</v>
      </c>
      <c r="G5442" t="s">
        <v>85</v>
      </c>
      <c r="H5442" t="s">
        <v>85</v>
      </c>
      <c r="I5442">
        <v>0</v>
      </c>
      <c r="J5442">
        <v>0</v>
      </c>
      <c r="K5442">
        <v>0</v>
      </c>
    </row>
    <row r="5443" spans="1:11" x14ac:dyDescent="0.25">
      <c r="A5443" t="s">
        <v>83</v>
      </c>
    </row>
    <row r="5444" spans="1:11" x14ac:dyDescent="0.25">
      <c r="A5444">
        <v>26.334581361773701</v>
      </c>
      <c r="B5444">
        <v>50.545390497681403</v>
      </c>
      <c r="C5444">
        <v>2000</v>
      </c>
    </row>
    <row r="5445" spans="1:11" x14ac:dyDescent="0.25">
      <c r="A5445">
        <v>25.8851838461818</v>
      </c>
      <c r="B5445">
        <v>50.095992982089498</v>
      </c>
      <c r="C5445">
        <v>2000</v>
      </c>
    </row>
    <row r="5446" spans="1:11" x14ac:dyDescent="0.25">
      <c r="A5446">
        <v>25.8851838461818</v>
      </c>
      <c r="B5446">
        <v>50.095992982089498</v>
      </c>
      <c r="C5446">
        <v>2001</v>
      </c>
    </row>
    <row r="5447" spans="1:11" x14ac:dyDescent="0.25">
      <c r="A5447">
        <v>26.334581361773701</v>
      </c>
      <c r="B5447">
        <v>50.545390497681403</v>
      </c>
      <c r="C5447">
        <v>2001</v>
      </c>
    </row>
    <row r="5448" spans="1:11" x14ac:dyDescent="0.25">
      <c r="A5448">
        <v>26.783978877365598</v>
      </c>
      <c r="B5448">
        <v>50.9947880132733</v>
      </c>
      <c r="C5448">
        <v>2001</v>
      </c>
    </row>
    <row r="5449" spans="1:11" x14ac:dyDescent="0.25">
      <c r="A5449">
        <v>26.783978877365598</v>
      </c>
      <c r="B5449">
        <v>50.9947880132733</v>
      </c>
      <c r="C5449">
        <v>2000</v>
      </c>
    </row>
    <row r="5450" spans="1:11" x14ac:dyDescent="0.25">
      <c r="A5450" t="s">
        <v>84</v>
      </c>
    </row>
    <row r="5451" spans="1:11" x14ac:dyDescent="0.25">
      <c r="A5451">
        <v>83</v>
      </c>
      <c r="B5451">
        <v>0</v>
      </c>
      <c r="C5451">
        <v>0.63554406144682196</v>
      </c>
      <c r="D5451">
        <v>0.63554406144682196</v>
      </c>
      <c r="E5451">
        <v>6</v>
      </c>
      <c r="F5451">
        <v>1.5707963267949001</v>
      </c>
      <c r="G5451" t="s">
        <v>85</v>
      </c>
      <c r="H5451" t="s">
        <v>85</v>
      </c>
      <c r="I5451">
        <v>0</v>
      </c>
      <c r="J5451">
        <v>0</v>
      </c>
      <c r="K5451">
        <v>0</v>
      </c>
    </row>
    <row r="5452" spans="1:11" x14ac:dyDescent="0.25">
      <c r="A5452" t="s">
        <v>83</v>
      </c>
    </row>
    <row r="5453" spans="1:11" x14ac:dyDescent="0.25">
      <c r="A5453">
        <v>27.1135245692513</v>
      </c>
      <c r="B5453">
        <v>81.964420251066102</v>
      </c>
      <c r="C5453">
        <v>2000</v>
      </c>
    </row>
    <row r="5454" spans="1:11" x14ac:dyDescent="0.25">
      <c r="A5454">
        <v>26.664127053659499</v>
      </c>
      <c r="B5454">
        <v>81.515022735474204</v>
      </c>
      <c r="C5454">
        <v>2000</v>
      </c>
    </row>
    <row r="5455" spans="1:11" x14ac:dyDescent="0.25">
      <c r="A5455">
        <v>26.664127053659499</v>
      </c>
      <c r="B5455">
        <v>81.515022735474204</v>
      </c>
      <c r="C5455">
        <v>2001</v>
      </c>
    </row>
    <row r="5456" spans="1:11" x14ac:dyDescent="0.25">
      <c r="A5456">
        <v>27.1135245692513</v>
      </c>
      <c r="B5456">
        <v>81.964420251066102</v>
      </c>
      <c r="C5456">
        <v>2001</v>
      </c>
    </row>
    <row r="5457" spans="1:11" x14ac:dyDescent="0.25">
      <c r="A5457">
        <v>27.562922084843201</v>
      </c>
      <c r="B5457">
        <v>82.4138177666579</v>
      </c>
      <c r="C5457">
        <v>2001</v>
      </c>
    </row>
    <row r="5458" spans="1:11" x14ac:dyDescent="0.25">
      <c r="A5458">
        <v>27.562922084843201</v>
      </c>
      <c r="B5458">
        <v>82.4138177666579</v>
      </c>
      <c r="C5458">
        <v>2000</v>
      </c>
    </row>
    <row r="5459" spans="1:11" x14ac:dyDescent="0.25">
      <c r="A5459" t="s">
        <v>84</v>
      </c>
    </row>
    <row r="5460" spans="1:11" x14ac:dyDescent="0.25">
      <c r="A5460">
        <v>82</v>
      </c>
      <c r="B5460">
        <v>0</v>
      </c>
      <c r="C5460">
        <v>0.63554406144682196</v>
      </c>
      <c r="D5460">
        <v>0.63554406144682196</v>
      </c>
      <c r="E5460">
        <v>6</v>
      </c>
      <c r="F5460">
        <v>1.5707963267949001</v>
      </c>
      <c r="G5460" t="s">
        <v>85</v>
      </c>
      <c r="H5460" t="s">
        <v>85</v>
      </c>
      <c r="I5460">
        <v>0</v>
      </c>
      <c r="J5460">
        <v>0</v>
      </c>
      <c r="K5460">
        <v>0</v>
      </c>
    </row>
    <row r="5461" spans="1:11" x14ac:dyDescent="0.25">
      <c r="A5461" t="s">
        <v>83</v>
      </c>
    </row>
    <row r="5462" spans="1:11" x14ac:dyDescent="0.25">
      <c r="A5462">
        <v>6.3322643429656704</v>
      </c>
      <c r="B5462">
        <v>94.071370930909794</v>
      </c>
      <c r="C5462">
        <v>2000</v>
      </c>
    </row>
    <row r="5463" spans="1:11" x14ac:dyDescent="0.25">
      <c r="A5463">
        <v>5.8828668273737801</v>
      </c>
      <c r="B5463">
        <v>93.621973415317896</v>
      </c>
      <c r="C5463">
        <v>2000</v>
      </c>
    </row>
    <row r="5464" spans="1:11" x14ac:dyDescent="0.25">
      <c r="A5464">
        <v>5.8828668273737801</v>
      </c>
      <c r="B5464">
        <v>93.621973415317896</v>
      </c>
      <c r="C5464">
        <v>2001</v>
      </c>
    </row>
    <row r="5465" spans="1:11" x14ac:dyDescent="0.25">
      <c r="A5465">
        <v>6.3322643429656704</v>
      </c>
      <c r="B5465">
        <v>94.071370930909794</v>
      </c>
      <c r="C5465">
        <v>2001</v>
      </c>
    </row>
    <row r="5466" spans="1:11" x14ac:dyDescent="0.25">
      <c r="A5466">
        <v>6.7816618585575599</v>
      </c>
      <c r="B5466">
        <v>94.520768446501705</v>
      </c>
      <c r="C5466">
        <v>2001</v>
      </c>
    </row>
    <row r="5467" spans="1:11" x14ac:dyDescent="0.25">
      <c r="A5467">
        <v>6.7816618585575599</v>
      </c>
      <c r="B5467">
        <v>94.520768446501705</v>
      </c>
      <c r="C5467">
        <v>2000</v>
      </c>
    </row>
    <row r="5468" spans="1:11" x14ac:dyDescent="0.25">
      <c r="A5468" t="s">
        <v>84</v>
      </c>
    </row>
    <row r="5469" spans="1:11" x14ac:dyDescent="0.25">
      <c r="A5469">
        <v>18</v>
      </c>
      <c r="B5469">
        <v>0</v>
      </c>
      <c r="C5469">
        <v>0.63554406144682196</v>
      </c>
      <c r="D5469">
        <v>0.63554406144682196</v>
      </c>
      <c r="E5469">
        <v>6</v>
      </c>
      <c r="F5469">
        <v>1.5707963267949001</v>
      </c>
      <c r="G5469" t="s">
        <v>85</v>
      </c>
      <c r="H5469" t="s">
        <v>85</v>
      </c>
      <c r="I5469">
        <v>0</v>
      </c>
      <c r="J5469">
        <v>0</v>
      </c>
      <c r="K5469">
        <v>0</v>
      </c>
    </row>
    <row r="5470" spans="1:11" x14ac:dyDescent="0.25">
      <c r="A5470" t="s">
        <v>83</v>
      </c>
    </row>
    <row r="5471" spans="1:11" x14ac:dyDescent="0.25">
      <c r="A5471">
        <v>13.7918848259337</v>
      </c>
      <c r="B5471">
        <v>11.739483842039199</v>
      </c>
      <c r="C5471">
        <v>2000</v>
      </c>
    </row>
    <row r="5472" spans="1:11" x14ac:dyDescent="0.25">
      <c r="A5472">
        <v>13.3424873103418</v>
      </c>
      <c r="B5472">
        <v>11.290086326447399</v>
      </c>
      <c r="C5472">
        <v>2000</v>
      </c>
    </row>
    <row r="5473" spans="1:11" x14ac:dyDescent="0.25">
      <c r="A5473">
        <v>13.3424873103418</v>
      </c>
      <c r="B5473">
        <v>11.290086326447399</v>
      </c>
      <c r="C5473">
        <v>2001</v>
      </c>
    </row>
    <row r="5474" spans="1:11" x14ac:dyDescent="0.25">
      <c r="A5474">
        <v>13.7918848259337</v>
      </c>
      <c r="B5474">
        <v>11.739483842039199</v>
      </c>
      <c r="C5474">
        <v>2001</v>
      </c>
    </row>
    <row r="5475" spans="1:11" x14ac:dyDescent="0.25">
      <c r="A5475">
        <v>14.241282341525601</v>
      </c>
      <c r="B5475">
        <v>12.1888813576311</v>
      </c>
      <c r="C5475">
        <v>2001</v>
      </c>
    </row>
    <row r="5476" spans="1:11" x14ac:dyDescent="0.25">
      <c r="A5476">
        <v>14.241282341525601</v>
      </c>
      <c r="B5476">
        <v>12.1888813576311</v>
      </c>
      <c r="C5476">
        <v>2000</v>
      </c>
    </row>
    <row r="5477" spans="1:11" x14ac:dyDescent="0.25">
      <c r="A5477" t="s">
        <v>84</v>
      </c>
    </row>
    <row r="5478" spans="1:11" x14ac:dyDescent="0.25">
      <c r="A5478">
        <v>14</v>
      </c>
      <c r="B5478">
        <v>0</v>
      </c>
      <c r="C5478">
        <v>0.63554406144682196</v>
      </c>
      <c r="D5478">
        <v>0.63554406144682196</v>
      </c>
      <c r="E5478">
        <v>6</v>
      </c>
      <c r="F5478">
        <v>1.5707963267949001</v>
      </c>
      <c r="G5478" t="s">
        <v>85</v>
      </c>
      <c r="H5478" t="s">
        <v>85</v>
      </c>
      <c r="I5478">
        <v>0</v>
      </c>
      <c r="J5478">
        <v>0</v>
      </c>
      <c r="K5478">
        <v>0</v>
      </c>
    </row>
    <row r="5479" spans="1:11" x14ac:dyDescent="0.25">
      <c r="A5479" t="s">
        <v>83</v>
      </c>
    </row>
    <row r="5480" spans="1:11" x14ac:dyDescent="0.25">
      <c r="A5480">
        <v>24.710088758594399</v>
      </c>
      <c r="B5480">
        <v>10.4256388197772</v>
      </c>
      <c r="C5480">
        <v>2000</v>
      </c>
    </row>
    <row r="5481" spans="1:11" x14ac:dyDescent="0.25">
      <c r="A5481">
        <v>24.260691243002501</v>
      </c>
      <c r="B5481">
        <v>9.9762413041853506</v>
      </c>
      <c r="C5481">
        <v>2000</v>
      </c>
    </row>
    <row r="5482" spans="1:11" x14ac:dyDescent="0.25">
      <c r="A5482">
        <v>24.260691243002501</v>
      </c>
      <c r="B5482">
        <v>9.9762413041853506</v>
      </c>
      <c r="C5482">
        <v>2001</v>
      </c>
    </row>
    <row r="5483" spans="1:11" x14ac:dyDescent="0.25">
      <c r="A5483">
        <v>24.710088758594399</v>
      </c>
      <c r="B5483">
        <v>10.4256388197772</v>
      </c>
      <c r="C5483">
        <v>2001</v>
      </c>
    </row>
    <row r="5484" spans="1:11" x14ac:dyDescent="0.25">
      <c r="A5484">
        <v>25.1594862741863</v>
      </c>
      <c r="B5484">
        <v>10.875036335369099</v>
      </c>
      <c r="C5484">
        <v>2001</v>
      </c>
    </row>
    <row r="5485" spans="1:11" x14ac:dyDescent="0.25">
      <c r="A5485">
        <v>25.1594862741863</v>
      </c>
      <c r="B5485">
        <v>10.875036335369099</v>
      </c>
      <c r="C5485">
        <v>2000</v>
      </c>
    </row>
    <row r="5486" spans="1:11" x14ac:dyDescent="0.25">
      <c r="A5486" t="s">
        <v>84</v>
      </c>
    </row>
    <row r="5487" spans="1:11" x14ac:dyDescent="0.25">
      <c r="A5487">
        <v>13</v>
      </c>
      <c r="B5487">
        <v>0</v>
      </c>
      <c r="C5487">
        <v>0.63554406144682196</v>
      </c>
      <c r="D5487">
        <v>0.63554406144682196</v>
      </c>
      <c r="E5487">
        <v>6</v>
      </c>
      <c r="F5487">
        <v>1.5707963267949001</v>
      </c>
      <c r="G5487" t="s">
        <v>85</v>
      </c>
      <c r="H5487" t="s">
        <v>85</v>
      </c>
      <c r="I5487">
        <v>0</v>
      </c>
      <c r="J5487">
        <v>0</v>
      </c>
      <c r="K5487">
        <v>0</v>
      </c>
    </row>
    <row r="5488" spans="1:11" x14ac:dyDescent="0.25">
      <c r="A5488" t="s">
        <v>83</v>
      </c>
    </row>
    <row r="5489" spans="1:11" x14ac:dyDescent="0.25">
      <c r="A5489">
        <v>19.106142802213402</v>
      </c>
      <c r="B5489">
        <v>10.271487936969599</v>
      </c>
      <c r="C5489">
        <v>2000</v>
      </c>
    </row>
    <row r="5490" spans="1:11" x14ac:dyDescent="0.25">
      <c r="A5490">
        <v>18.656745286621501</v>
      </c>
      <c r="B5490">
        <v>9.8220904213777196</v>
      </c>
      <c r="C5490">
        <v>2000</v>
      </c>
    </row>
    <row r="5491" spans="1:11" x14ac:dyDescent="0.25">
      <c r="A5491">
        <v>18.656745286621501</v>
      </c>
      <c r="B5491">
        <v>9.8220904213777196</v>
      </c>
      <c r="C5491">
        <v>2001</v>
      </c>
    </row>
    <row r="5492" spans="1:11" x14ac:dyDescent="0.25">
      <c r="A5492">
        <v>19.106142802213402</v>
      </c>
      <c r="B5492">
        <v>10.271487936969599</v>
      </c>
      <c r="C5492">
        <v>2001</v>
      </c>
    </row>
    <row r="5493" spans="1:11" x14ac:dyDescent="0.25">
      <c r="A5493">
        <v>19.555540317805299</v>
      </c>
      <c r="B5493">
        <v>10.7208854525615</v>
      </c>
      <c r="C5493">
        <v>2001</v>
      </c>
    </row>
    <row r="5494" spans="1:11" x14ac:dyDescent="0.25">
      <c r="A5494">
        <v>19.555540317805299</v>
      </c>
      <c r="B5494">
        <v>10.7208854525615</v>
      </c>
      <c r="C5494">
        <v>2000</v>
      </c>
    </row>
    <row r="5495" spans="1:11" x14ac:dyDescent="0.25">
      <c r="A5495" t="s">
        <v>84</v>
      </c>
    </row>
    <row r="5496" spans="1:11" x14ac:dyDescent="0.25">
      <c r="A5496">
        <v>9</v>
      </c>
      <c r="B5496">
        <v>0</v>
      </c>
      <c r="C5496">
        <v>0.63554406144682196</v>
      </c>
      <c r="D5496">
        <v>0.63554406144682196</v>
      </c>
      <c r="E5496">
        <v>6</v>
      </c>
      <c r="F5496">
        <v>1.5707963267949001</v>
      </c>
      <c r="G5496" t="s">
        <v>85</v>
      </c>
      <c r="H5496" t="s">
        <v>85</v>
      </c>
      <c r="I5496">
        <v>0</v>
      </c>
      <c r="J5496">
        <v>0</v>
      </c>
      <c r="K5496">
        <v>0</v>
      </c>
    </row>
    <row r="5497" spans="1:11" x14ac:dyDescent="0.25">
      <c r="A5497" t="s">
        <v>83</v>
      </c>
    </row>
    <row r="5498" spans="1:11" x14ac:dyDescent="0.25">
      <c r="A5498">
        <v>16.721114675384499</v>
      </c>
      <c r="B5498">
        <v>48.129778552395202</v>
      </c>
      <c r="C5498">
        <v>2000</v>
      </c>
    </row>
    <row r="5499" spans="1:11" x14ac:dyDescent="0.25">
      <c r="A5499">
        <v>16.271717159792601</v>
      </c>
      <c r="B5499">
        <v>47.680381036803297</v>
      </c>
      <c r="C5499">
        <v>2000</v>
      </c>
    </row>
    <row r="5500" spans="1:11" x14ac:dyDescent="0.25">
      <c r="A5500">
        <v>16.271717159792601</v>
      </c>
      <c r="B5500">
        <v>47.680381036803297</v>
      </c>
      <c r="C5500">
        <v>2001</v>
      </c>
    </row>
    <row r="5501" spans="1:11" x14ac:dyDescent="0.25">
      <c r="A5501">
        <v>16.721114675384499</v>
      </c>
      <c r="B5501">
        <v>48.129778552395202</v>
      </c>
      <c r="C5501">
        <v>2001</v>
      </c>
    </row>
    <row r="5502" spans="1:11" x14ac:dyDescent="0.25">
      <c r="A5502">
        <v>17.1705121909764</v>
      </c>
      <c r="B5502">
        <v>48.579176067987099</v>
      </c>
      <c r="C5502">
        <v>2001</v>
      </c>
    </row>
    <row r="5503" spans="1:11" x14ac:dyDescent="0.25">
      <c r="A5503">
        <v>17.1705121909764</v>
      </c>
      <c r="B5503">
        <v>48.579176067987099</v>
      </c>
      <c r="C5503">
        <v>2000</v>
      </c>
    </row>
    <row r="5504" spans="1:11" x14ac:dyDescent="0.25">
      <c r="A5504" t="s">
        <v>84</v>
      </c>
    </row>
    <row r="5505" spans="1:11" x14ac:dyDescent="0.25">
      <c r="A5505">
        <v>6</v>
      </c>
      <c r="B5505">
        <v>0</v>
      </c>
      <c r="C5505">
        <v>0.63554406144682196</v>
      </c>
      <c r="D5505">
        <v>0.63554406144682196</v>
      </c>
      <c r="E5505">
        <v>6</v>
      </c>
      <c r="F5505">
        <v>1.5707963267949001</v>
      </c>
      <c r="G5505" t="s">
        <v>85</v>
      </c>
      <c r="H5505" t="s">
        <v>85</v>
      </c>
      <c r="I5505">
        <v>0</v>
      </c>
      <c r="J5505">
        <v>0</v>
      </c>
      <c r="K5505">
        <v>0</v>
      </c>
    </row>
    <row r="5506" spans="1:11" x14ac:dyDescent="0.25">
      <c r="A5506" t="s">
        <v>83</v>
      </c>
    </row>
    <row r="5507" spans="1:11" x14ac:dyDescent="0.25">
      <c r="A5507">
        <v>9.0672391858264998</v>
      </c>
      <c r="B5507">
        <v>25.951365498337601</v>
      </c>
      <c r="C5507">
        <v>2000</v>
      </c>
    </row>
    <row r="5508" spans="1:11" x14ac:dyDescent="0.25">
      <c r="A5508">
        <v>8.6178416702346095</v>
      </c>
      <c r="B5508">
        <v>25.5019679827457</v>
      </c>
      <c r="C5508">
        <v>2000</v>
      </c>
    </row>
    <row r="5509" spans="1:11" x14ac:dyDescent="0.25">
      <c r="A5509">
        <v>8.6178416702346095</v>
      </c>
      <c r="B5509">
        <v>25.5019679827457</v>
      </c>
      <c r="C5509">
        <v>2001</v>
      </c>
    </row>
    <row r="5510" spans="1:11" x14ac:dyDescent="0.25">
      <c r="A5510">
        <v>9.0672391858264998</v>
      </c>
      <c r="B5510">
        <v>25.951365498337601</v>
      </c>
      <c r="C5510">
        <v>2001</v>
      </c>
    </row>
    <row r="5511" spans="1:11" x14ac:dyDescent="0.25">
      <c r="A5511">
        <v>9.5166367014183795</v>
      </c>
      <c r="B5511">
        <v>26.400763013929499</v>
      </c>
      <c r="C5511">
        <v>2001</v>
      </c>
    </row>
    <row r="5512" spans="1:11" x14ac:dyDescent="0.25">
      <c r="A5512">
        <v>9.5166367014183795</v>
      </c>
      <c r="B5512">
        <v>26.400763013929499</v>
      </c>
      <c r="C5512">
        <v>2000</v>
      </c>
    </row>
    <row r="5513" spans="1:11" x14ac:dyDescent="0.25">
      <c r="A5513" t="s">
        <v>84</v>
      </c>
    </row>
    <row r="5514" spans="1:11" x14ac:dyDescent="0.25">
      <c r="A5514">
        <v>3</v>
      </c>
      <c r="B5514">
        <v>0</v>
      </c>
      <c r="C5514">
        <v>0.63554406144682196</v>
      </c>
      <c r="D5514">
        <v>0.63554406144682196</v>
      </c>
      <c r="E5514">
        <v>6</v>
      </c>
      <c r="F5514">
        <v>1.5707963267949001</v>
      </c>
      <c r="G5514" t="s">
        <v>85</v>
      </c>
      <c r="H5514" t="s">
        <v>85</v>
      </c>
      <c r="I5514">
        <v>0</v>
      </c>
      <c r="J5514">
        <v>0</v>
      </c>
      <c r="K5514">
        <v>0</v>
      </c>
    </row>
    <row r="5515" spans="1:11" x14ac:dyDescent="0.25">
      <c r="A5515" t="s">
        <v>83</v>
      </c>
    </row>
    <row r="5516" spans="1:11" x14ac:dyDescent="0.25">
      <c r="A5516">
        <v>44.370829579127403</v>
      </c>
      <c r="B5516">
        <v>1.0382166020750101</v>
      </c>
      <c r="C5516">
        <v>2000</v>
      </c>
    </row>
    <row r="5517" spans="1:11" x14ac:dyDescent="0.25">
      <c r="A5517">
        <v>43.921432063535498</v>
      </c>
      <c r="B5517">
        <v>0.58881908648312398</v>
      </c>
      <c r="C5517">
        <v>2000</v>
      </c>
    </row>
    <row r="5518" spans="1:11" x14ac:dyDescent="0.25">
      <c r="A5518">
        <v>43.921432063535498</v>
      </c>
      <c r="B5518">
        <v>0.58881908648312398</v>
      </c>
      <c r="C5518">
        <v>2001</v>
      </c>
    </row>
    <row r="5519" spans="1:11" x14ac:dyDescent="0.25">
      <c r="A5519">
        <v>44.370829579127403</v>
      </c>
      <c r="B5519">
        <v>1.0382166020750101</v>
      </c>
      <c r="C5519">
        <v>2001</v>
      </c>
    </row>
    <row r="5520" spans="1:11" x14ac:dyDescent="0.25">
      <c r="A5520">
        <v>44.8202270947193</v>
      </c>
      <c r="B5520">
        <v>1.4876141176669</v>
      </c>
      <c r="C5520">
        <v>2001</v>
      </c>
    </row>
    <row r="5521" spans="1:11" x14ac:dyDescent="0.25">
      <c r="A5521">
        <v>44.8202270947193</v>
      </c>
      <c r="B5521">
        <v>1.4876141176669</v>
      </c>
      <c r="C5521">
        <v>2000</v>
      </c>
    </row>
    <row r="5522" spans="1:11" x14ac:dyDescent="0.25">
      <c r="A5522" t="s">
        <v>84</v>
      </c>
    </row>
    <row r="5523" spans="1:11" x14ac:dyDescent="0.25">
      <c r="A5523">
        <v>88</v>
      </c>
      <c r="B5523">
        <v>0</v>
      </c>
      <c r="C5523">
        <v>0.63554406144682196</v>
      </c>
      <c r="D5523">
        <v>0.63554406144682196</v>
      </c>
      <c r="E5523">
        <v>6</v>
      </c>
      <c r="F5523">
        <v>1.5707963267949001</v>
      </c>
      <c r="G5523" t="s">
        <v>85</v>
      </c>
      <c r="H5523" t="s">
        <v>85</v>
      </c>
      <c r="I5523">
        <v>0</v>
      </c>
      <c r="J5523">
        <v>0</v>
      </c>
      <c r="K5523">
        <v>0</v>
      </c>
    </row>
    <row r="5524" spans="1:11" x14ac:dyDescent="0.25">
      <c r="A5524" t="s">
        <v>83</v>
      </c>
    </row>
    <row r="5525" spans="1:11" x14ac:dyDescent="0.25">
      <c r="A5525">
        <v>21.637388643174098</v>
      </c>
      <c r="B5525">
        <v>53.718493054024201</v>
      </c>
      <c r="C5525">
        <v>2000</v>
      </c>
    </row>
    <row r="5526" spans="1:11" x14ac:dyDescent="0.25">
      <c r="A5526">
        <v>21.187991127582301</v>
      </c>
      <c r="B5526">
        <v>53.269095538432303</v>
      </c>
      <c r="C5526">
        <v>2000</v>
      </c>
    </row>
    <row r="5527" spans="1:11" x14ac:dyDescent="0.25">
      <c r="A5527">
        <v>21.187991127582301</v>
      </c>
      <c r="B5527">
        <v>53.269095538432303</v>
      </c>
      <c r="C5527">
        <v>2001</v>
      </c>
    </row>
    <row r="5528" spans="1:11" x14ac:dyDescent="0.25">
      <c r="A5528">
        <v>21.637388643174098</v>
      </c>
      <c r="B5528">
        <v>53.718493054024201</v>
      </c>
      <c r="C5528">
        <v>2001</v>
      </c>
    </row>
    <row r="5529" spans="1:11" x14ac:dyDescent="0.25">
      <c r="A5529">
        <v>22.086786158765999</v>
      </c>
      <c r="B5529">
        <v>54.167890569616098</v>
      </c>
      <c r="C5529">
        <v>2001</v>
      </c>
    </row>
    <row r="5530" spans="1:11" x14ac:dyDescent="0.25">
      <c r="A5530">
        <v>22.086786158765999</v>
      </c>
      <c r="B5530">
        <v>54.167890569616098</v>
      </c>
      <c r="C5530">
        <v>2000</v>
      </c>
    </row>
    <row r="5531" spans="1:11" x14ac:dyDescent="0.25">
      <c r="A5531" t="s">
        <v>84</v>
      </c>
    </row>
    <row r="5532" spans="1:11" x14ac:dyDescent="0.25">
      <c r="A5532">
        <v>406</v>
      </c>
      <c r="B5532">
        <v>0</v>
      </c>
      <c r="C5532">
        <v>0.63554406144682196</v>
      </c>
      <c r="D5532">
        <v>0.63554406144682196</v>
      </c>
      <c r="E5532">
        <v>6</v>
      </c>
      <c r="F5532">
        <v>1.5707963267949001</v>
      </c>
      <c r="G5532" t="s">
        <v>85</v>
      </c>
      <c r="H5532" t="s">
        <v>85</v>
      </c>
      <c r="I5532">
        <v>0</v>
      </c>
      <c r="J5532">
        <v>0</v>
      </c>
      <c r="K5532">
        <v>0</v>
      </c>
    </row>
    <row r="5533" spans="1:11" x14ac:dyDescent="0.25">
      <c r="A5533" t="s">
        <v>83</v>
      </c>
    </row>
    <row r="5534" spans="1:11" x14ac:dyDescent="0.25">
      <c r="A5534">
        <v>3.1338216169429201</v>
      </c>
      <c r="B5534">
        <v>133.24124932207201</v>
      </c>
      <c r="C5534">
        <v>2000</v>
      </c>
    </row>
    <row r="5535" spans="1:11" x14ac:dyDescent="0.25">
      <c r="A5535">
        <v>2.6844241013510302</v>
      </c>
      <c r="B5535">
        <v>132.79185180648</v>
      </c>
      <c r="C5535">
        <v>2000</v>
      </c>
    </row>
    <row r="5536" spans="1:11" x14ac:dyDescent="0.25">
      <c r="A5536">
        <v>2.6844241013510302</v>
      </c>
      <c r="B5536">
        <v>132.79185180648</v>
      </c>
      <c r="C5536">
        <v>2001</v>
      </c>
    </row>
    <row r="5537" spans="1:11" x14ac:dyDescent="0.25">
      <c r="A5537">
        <v>3.1338216169429201</v>
      </c>
      <c r="B5537">
        <v>133.24124932207201</v>
      </c>
      <c r="C5537">
        <v>2001</v>
      </c>
    </row>
    <row r="5538" spans="1:11" x14ac:dyDescent="0.25">
      <c r="A5538">
        <v>3.5832191325348099</v>
      </c>
      <c r="B5538">
        <v>133.69064683766399</v>
      </c>
      <c r="C5538">
        <v>2001</v>
      </c>
    </row>
    <row r="5539" spans="1:11" x14ac:dyDescent="0.25">
      <c r="A5539">
        <v>3.5832191325348099</v>
      </c>
      <c r="B5539">
        <v>133.69064683766399</v>
      </c>
      <c r="C5539">
        <v>2000</v>
      </c>
    </row>
    <row r="5540" spans="1:11" x14ac:dyDescent="0.25">
      <c r="A5540" t="s">
        <v>84</v>
      </c>
    </row>
    <row r="5541" spans="1:11" x14ac:dyDescent="0.25">
      <c r="A5541">
        <v>180</v>
      </c>
      <c r="B5541">
        <v>0</v>
      </c>
      <c r="C5541">
        <v>0.63554406144682196</v>
      </c>
      <c r="D5541">
        <v>0.63554406144682196</v>
      </c>
      <c r="E5541">
        <v>6</v>
      </c>
      <c r="F5541">
        <v>1.5707963267949001</v>
      </c>
      <c r="G5541" t="s">
        <v>85</v>
      </c>
      <c r="H5541" t="s">
        <v>85</v>
      </c>
      <c r="I5541">
        <v>0</v>
      </c>
      <c r="J5541">
        <v>0</v>
      </c>
      <c r="K5541">
        <v>0</v>
      </c>
    </row>
    <row r="5542" spans="1:11" x14ac:dyDescent="0.25">
      <c r="A5542" t="s">
        <v>83</v>
      </c>
    </row>
    <row r="5543" spans="1:11" x14ac:dyDescent="0.25">
      <c r="A5543">
        <v>79.632124237079196</v>
      </c>
      <c r="B5543">
        <v>37.558171438313202</v>
      </c>
      <c r="C5543">
        <v>2000</v>
      </c>
    </row>
    <row r="5544" spans="1:11" x14ac:dyDescent="0.25">
      <c r="A5544">
        <v>79.182726721487299</v>
      </c>
      <c r="B5544">
        <v>37.108773922721298</v>
      </c>
      <c r="C5544">
        <v>2000</v>
      </c>
    </row>
    <row r="5545" spans="1:11" x14ac:dyDescent="0.25">
      <c r="A5545">
        <v>79.182726721487299</v>
      </c>
      <c r="B5545">
        <v>37.108773922721298</v>
      </c>
      <c r="C5545">
        <v>2001</v>
      </c>
    </row>
    <row r="5546" spans="1:11" x14ac:dyDescent="0.25">
      <c r="A5546">
        <v>79.632124237079196</v>
      </c>
      <c r="B5546">
        <v>37.558171438313202</v>
      </c>
      <c r="C5546">
        <v>2001</v>
      </c>
    </row>
    <row r="5547" spans="1:11" x14ac:dyDescent="0.25">
      <c r="A5547">
        <v>80.081521752671094</v>
      </c>
      <c r="B5547">
        <v>38.0075689539051</v>
      </c>
      <c r="C5547">
        <v>2001</v>
      </c>
    </row>
    <row r="5548" spans="1:11" x14ac:dyDescent="0.25">
      <c r="A5548">
        <v>80.081521752671094</v>
      </c>
      <c r="B5548">
        <v>38.0075689539051</v>
      </c>
      <c r="C5548">
        <v>2000</v>
      </c>
    </row>
    <row r="5549" spans="1:11" x14ac:dyDescent="0.25">
      <c r="A5549" t="s">
        <v>84</v>
      </c>
    </row>
    <row r="5550" spans="1:11" x14ac:dyDescent="0.25">
      <c r="A5550">
        <v>482</v>
      </c>
      <c r="B5550">
        <v>0</v>
      </c>
      <c r="C5550">
        <v>0.63554406144682196</v>
      </c>
      <c r="D5550">
        <v>0.63554406144682196</v>
      </c>
      <c r="E5550">
        <v>6</v>
      </c>
      <c r="F5550">
        <v>1.5707963267949001</v>
      </c>
      <c r="G5550" t="s">
        <v>85</v>
      </c>
      <c r="H5550" t="s">
        <v>85</v>
      </c>
      <c r="I5550">
        <v>0</v>
      </c>
      <c r="J5550">
        <v>0</v>
      </c>
      <c r="K5550">
        <v>0</v>
      </c>
    </row>
    <row r="5551" spans="1:11" x14ac:dyDescent="0.25">
      <c r="A5551" t="s">
        <v>83</v>
      </c>
    </row>
    <row r="5552" spans="1:11" x14ac:dyDescent="0.25">
      <c r="A5552">
        <v>147.49410456162599</v>
      </c>
      <c r="B5552">
        <v>1.64842867602053</v>
      </c>
      <c r="C5552">
        <v>2000</v>
      </c>
    </row>
    <row r="5553" spans="1:11" x14ac:dyDescent="0.25">
      <c r="A5553">
        <v>147.04470704603401</v>
      </c>
      <c r="B5553">
        <v>1.1990311604286501</v>
      </c>
      <c r="C5553">
        <v>2000</v>
      </c>
    </row>
    <row r="5554" spans="1:11" x14ac:dyDescent="0.25">
      <c r="A5554">
        <v>147.04470704603401</v>
      </c>
      <c r="B5554">
        <v>1.1990311604286501</v>
      </c>
      <c r="C5554">
        <v>2001</v>
      </c>
    </row>
    <row r="5555" spans="1:11" x14ac:dyDescent="0.25">
      <c r="A5555">
        <v>147.49410456162599</v>
      </c>
      <c r="B5555">
        <v>1.64842867602053</v>
      </c>
      <c r="C5555">
        <v>2001</v>
      </c>
    </row>
    <row r="5556" spans="1:11" x14ac:dyDescent="0.25">
      <c r="A5556">
        <v>147.943502077218</v>
      </c>
      <c r="B5556">
        <v>2.0978261916124099</v>
      </c>
      <c r="C5556">
        <v>2001</v>
      </c>
    </row>
    <row r="5557" spans="1:11" x14ac:dyDescent="0.25">
      <c r="A5557">
        <v>147.943502077218</v>
      </c>
      <c r="B5557">
        <v>2.0978261916124099</v>
      </c>
      <c r="C5557">
        <v>2000</v>
      </c>
    </row>
    <row r="5558" spans="1:11" x14ac:dyDescent="0.25">
      <c r="A5558" t="s">
        <v>84</v>
      </c>
    </row>
    <row r="5559" spans="1:11" x14ac:dyDescent="0.25">
      <c r="A5559">
        <v>410</v>
      </c>
      <c r="B5559">
        <v>0</v>
      </c>
      <c r="C5559">
        <v>0.63554406144682196</v>
      </c>
      <c r="D5559">
        <v>0.63554406144682196</v>
      </c>
      <c r="E5559">
        <v>6</v>
      </c>
      <c r="F5559">
        <v>1.5707963267949001</v>
      </c>
      <c r="G5559" t="s">
        <v>85</v>
      </c>
      <c r="H5559" t="s">
        <v>85</v>
      </c>
      <c r="I5559">
        <v>0</v>
      </c>
      <c r="J5559">
        <v>0</v>
      </c>
      <c r="K5559">
        <v>0</v>
      </c>
    </row>
    <row r="5560" spans="1:11" x14ac:dyDescent="0.25">
      <c r="A5560" t="s">
        <v>83</v>
      </c>
    </row>
    <row r="5561" spans="1:11" x14ac:dyDescent="0.25">
      <c r="A5561">
        <v>42.265171006910997</v>
      </c>
      <c r="B5561">
        <v>105.38346596545701</v>
      </c>
      <c r="C5561">
        <v>2000</v>
      </c>
    </row>
    <row r="5562" spans="1:11" x14ac:dyDescent="0.25">
      <c r="A5562">
        <v>41.815773491319099</v>
      </c>
      <c r="B5562">
        <v>104.93406844986499</v>
      </c>
      <c r="C5562">
        <v>2000</v>
      </c>
    </row>
    <row r="5563" spans="1:11" x14ac:dyDescent="0.25">
      <c r="A5563">
        <v>41.815773491319099</v>
      </c>
      <c r="B5563">
        <v>104.93406844986499</v>
      </c>
      <c r="C5563">
        <v>2001</v>
      </c>
    </row>
    <row r="5564" spans="1:11" x14ac:dyDescent="0.25">
      <c r="A5564">
        <v>42.265171006910997</v>
      </c>
      <c r="B5564">
        <v>105.38346596545701</v>
      </c>
      <c r="C5564">
        <v>2001</v>
      </c>
    </row>
    <row r="5565" spans="1:11" x14ac:dyDescent="0.25">
      <c r="A5565">
        <v>42.714568522502901</v>
      </c>
      <c r="B5565">
        <v>105.832863481049</v>
      </c>
      <c r="C5565">
        <v>2001</v>
      </c>
    </row>
    <row r="5566" spans="1:11" x14ac:dyDescent="0.25">
      <c r="A5566">
        <v>42.714568522502901</v>
      </c>
      <c r="B5566">
        <v>105.832863481049</v>
      </c>
      <c r="C5566">
        <v>2000</v>
      </c>
    </row>
    <row r="5567" spans="1:11" x14ac:dyDescent="0.25">
      <c r="A5567" t="s">
        <v>84</v>
      </c>
    </row>
    <row r="5568" spans="1:11" x14ac:dyDescent="0.25">
      <c r="A5568">
        <v>495</v>
      </c>
      <c r="B5568">
        <v>0</v>
      </c>
      <c r="C5568">
        <v>0.63554406144682196</v>
      </c>
      <c r="D5568">
        <v>0.63554406144682196</v>
      </c>
      <c r="E5568">
        <v>6</v>
      </c>
      <c r="F5568">
        <v>1.5707963267949001</v>
      </c>
      <c r="G5568" t="s">
        <v>85</v>
      </c>
      <c r="H5568" t="s">
        <v>85</v>
      </c>
      <c r="I5568">
        <v>0</v>
      </c>
      <c r="J5568">
        <v>0</v>
      </c>
      <c r="K5568">
        <v>0</v>
      </c>
    </row>
    <row r="5569" spans="1:11" x14ac:dyDescent="0.25">
      <c r="A5569" t="s">
        <v>83</v>
      </c>
    </row>
    <row r="5570" spans="1:11" x14ac:dyDescent="0.25">
      <c r="A5570">
        <v>113.956135436406</v>
      </c>
      <c r="B5570">
        <v>34.2422381552133</v>
      </c>
      <c r="C5570">
        <v>2000</v>
      </c>
    </row>
    <row r="5571" spans="1:11" x14ac:dyDescent="0.25">
      <c r="A5571">
        <v>113.506737920815</v>
      </c>
      <c r="B5571">
        <v>33.792840639621403</v>
      </c>
      <c r="C5571">
        <v>2000</v>
      </c>
    </row>
    <row r="5572" spans="1:11" x14ac:dyDescent="0.25">
      <c r="A5572">
        <v>113.506737920815</v>
      </c>
      <c r="B5572">
        <v>33.792840639621403</v>
      </c>
      <c r="C5572">
        <v>2001</v>
      </c>
    </row>
    <row r="5573" spans="1:11" x14ac:dyDescent="0.25">
      <c r="A5573">
        <v>113.956135436406</v>
      </c>
      <c r="B5573">
        <v>34.2422381552133</v>
      </c>
      <c r="C5573">
        <v>2001</v>
      </c>
    </row>
    <row r="5574" spans="1:11" x14ac:dyDescent="0.25">
      <c r="A5574">
        <v>114.405532951998</v>
      </c>
      <c r="B5574">
        <v>34.691635670805198</v>
      </c>
      <c r="C5574">
        <v>2001</v>
      </c>
    </row>
    <row r="5575" spans="1:11" x14ac:dyDescent="0.25">
      <c r="A5575">
        <v>114.405532951998</v>
      </c>
      <c r="B5575">
        <v>34.691635670805198</v>
      </c>
      <c r="C5575">
        <v>2000</v>
      </c>
    </row>
    <row r="5576" spans="1:11" x14ac:dyDescent="0.25">
      <c r="A5576" t="s">
        <v>84</v>
      </c>
    </row>
    <row r="5577" spans="1:11" x14ac:dyDescent="0.25">
      <c r="A5577">
        <v>407</v>
      </c>
      <c r="B5577">
        <v>0</v>
      </c>
      <c r="C5577">
        <v>0.63554406144682196</v>
      </c>
      <c r="D5577">
        <v>0.63554406144682196</v>
      </c>
      <c r="E5577">
        <v>6</v>
      </c>
      <c r="F5577">
        <v>1.5707963267949001</v>
      </c>
      <c r="G5577" t="s">
        <v>85</v>
      </c>
      <c r="H5577" t="s">
        <v>85</v>
      </c>
      <c r="I5577">
        <v>0</v>
      </c>
      <c r="J5577">
        <v>0</v>
      </c>
      <c r="K5577">
        <v>0</v>
      </c>
    </row>
    <row r="5578" spans="1:11" x14ac:dyDescent="0.25">
      <c r="A5578" t="s">
        <v>83</v>
      </c>
    </row>
    <row r="5579" spans="1:11" x14ac:dyDescent="0.25">
      <c r="A5579">
        <v>34.458890096032498</v>
      </c>
      <c r="B5579">
        <v>112.76270897954799</v>
      </c>
      <c r="C5579">
        <v>2000</v>
      </c>
    </row>
    <row r="5580" spans="1:11" x14ac:dyDescent="0.25">
      <c r="A5580">
        <v>34.0094925804406</v>
      </c>
      <c r="B5580">
        <v>112.313311463956</v>
      </c>
      <c r="C5580">
        <v>2000</v>
      </c>
    </row>
    <row r="5581" spans="1:11" x14ac:dyDescent="0.25">
      <c r="A5581">
        <v>34.0094925804406</v>
      </c>
      <c r="B5581">
        <v>112.313311463956</v>
      </c>
      <c r="C5581">
        <v>2001</v>
      </c>
    </row>
    <row r="5582" spans="1:11" x14ac:dyDescent="0.25">
      <c r="A5582">
        <v>34.458890096032498</v>
      </c>
      <c r="B5582">
        <v>112.76270897954799</v>
      </c>
      <c r="C5582">
        <v>2001</v>
      </c>
    </row>
    <row r="5583" spans="1:11" x14ac:dyDescent="0.25">
      <c r="A5583">
        <v>34.908287611624402</v>
      </c>
      <c r="B5583">
        <v>113.21210649514001</v>
      </c>
      <c r="C5583">
        <v>2001</v>
      </c>
    </row>
    <row r="5584" spans="1:11" x14ac:dyDescent="0.25">
      <c r="A5584">
        <v>34.908287611624402</v>
      </c>
      <c r="B5584">
        <v>113.21210649514001</v>
      </c>
      <c r="C5584">
        <v>2000</v>
      </c>
    </row>
    <row r="5585" spans="1:11" x14ac:dyDescent="0.25">
      <c r="A5585" t="s">
        <v>84</v>
      </c>
    </row>
    <row r="5586" spans="1:11" x14ac:dyDescent="0.25">
      <c r="A5586">
        <v>491</v>
      </c>
      <c r="B5586">
        <v>0</v>
      </c>
      <c r="C5586">
        <v>0.63554406144682196</v>
      </c>
      <c r="D5586">
        <v>0.63554406144682196</v>
      </c>
      <c r="E5586">
        <v>6</v>
      </c>
      <c r="F5586">
        <v>1.5707963267949001</v>
      </c>
      <c r="G5586" t="s">
        <v>85</v>
      </c>
      <c r="H5586" t="s">
        <v>85</v>
      </c>
      <c r="I5586">
        <v>0</v>
      </c>
      <c r="J5586">
        <v>0</v>
      </c>
      <c r="K5586">
        <v>0</v>
      </c>
    </row>
    <row r="5587" spans="1:11" x14ac:dyDescent="0.25">
      <c r="A5587" t="s">
        <v>83</v>
      </c>
    </row>
    <row r="5588" spans="1:11" x14ac:dyDescent="0.25">
      <c r="A5588">
        <v>123.077410621605</v>
      </c>
      <c r="B5588">
        <v>6.1160905198734499</v>
      </c>
      <c r="C5588">
        <v>2000</v>
      </c>
    </row>
    <row r="5589" spans="1:11" x14ac:dyDescent="0.25">
      <c r="A5589">
        <v>122.628013106013</v>
      </c>
      <c r="B5589">
        <v>5.6666930042815604</v>
      </c>
      <c r="C5589">
        <v>2000</v>
      </c>
    </row>
    <row r="5590" spans="1:11" x14ac:dyDescent="0.25">
      <c r="A5590">
        <v>122.628013106013</v>
      </c>
      <c r="B5590">
        <v>5.6666930042815604</v>
      </c>
      <c r="C5590">
        <v>2001</v>
      </c>
    </row>
    <row r="5591" spans="1:11" x14ac:dyDescent="0.25">
      <c r="A5591">
        <v>123.077410621605</v>
      </c>
      <c r="B5591">
        <v>6.1160905198734499</v>
      </c>
      <c r="C5591">
        <v>2001</v>
      </c>
    </row>
    <row r="5592" spans="1:11" x14ac:dyDescent="0.25">
      <c r="A5592">
        <v>123.526808137196</v>
      </c>
      <c r="B5592">
        <v>6.5654880354653402</v>
      </c>
      <c r="C5592">
        <v>2001</v>
      </c>
    </row>
    <row r="5593" spans="1:11" x14ac:dyDescent="0.25">
      <c r="A5593">
        <v>123.526808137196</v>
      </c>
      <c r="B5593">
        <v>6.5654880354653402</v>
      </c>
      <c r="C5593">
        <v>2000</v>
      </c>
    </row>
    <row r="5594" spans="1:11" x14ac:dyDescent="0.25">
      <c r="A5594" t="s">
        <v>84</v>
      </c>
    </row>
    <row r="5595" spans="1:11" x14ac:dyDescent="0.25">
      <c r="A5595">
        <v>497</v>
      </c>
      <c r="B5595">
        <v>0</v>
      </c>
      <c r="C5595">
        <v>0.63554406144682196</v>
      </c>
      <c r="D5595">
        <v>0.63554406144682196</v>
      </c>
      <c r="E5595">
        <v>6</v>
      </c>
      <c r="F5595">
        <v>1.5707963267949001</v>
      </c>
      <c r="G5595" t="s">
        <v>85</v>
      </c>
      <c r="H5595" t="s">
        <v>85</v>
      </c>
      <c r="I5595">
        <v>0</v>
      </c>
      <c r="J5595">
        <v>0</v>
      </c>
      <c r="K5595">
        <v>0</v>
      </c>
    </row>
    <row r="5596" spans="1:11" x14ac:dyDescent="0.25">
      <c r="A5596" t="s">
        <v>83</v>
      </c>
    </row>
    <row r="5597" spans="1:11" x14ac:dyDescent="0.25">
      <c r="A5597">
        <v>144.82155629425401</v>
      </c>
      <c r="B5597">
        <v>4.2844023691883102</v>
      </c>
      <c r="C5597">
        <v>2000</v>
      </c>
    </row>
    <row r="5598" spans="1:11" x14ac:dyDescent="0.25">
      <c r="A5598">
        <v>144.372158778662</v>
      </c>
      <c r="B5598">
        <v>3.8350048535964301</v>
      </c>
      <c r="C5598">
        <v>2000</v>
      </c>
    </row>
    <row r="5599" spans="1:11" x14ac:dyDescent="0.25">
      <c r="A5599">
        <v>144.372158778662</v>
      </c>
      <c r="B5599">
        <v>3.8350048535964301</v>
      </c>
      <c r="C5599">
        <v>2001</v>
      </c>
    </row>
    <row r="5600" spans="1:11" x14ac:dyDescent="0.25">
      <c r="A5600">
        <v>144.82155629425401</v>
      </c>
      <c r="B5600">
        <v>4.2844023691883102</v>
      </c>
      <c r="C5600">
        <v>2001</v>
      </c>
    </row>
    <row r="5601" spans="1:11" x14ac:dyDescent="0.25">
      <c r="A5601">
        <v>145.27095380984599</v>
      </c>
      <c r="B5601">
        <v>4.7337998847801996</v>
      </c>
      <c r="C5601">
        <v>2001</v>
      </c>
    </row>
    <row r="5602" spans="1:11" x14ac:dyDescent="0.25">
      <c r="A5602">
        <v>145.27095380984599</v>
      </c>
      <c r="B5602">
        <v>4.7337998847801996</v>
      </c>
      <c r="C5602">
        <v>2000</v>
      </c>
    </row>
    <row r="5603" spans="1:11" x14ac:dyDescent="0.25">
      <c r="A5603" t="s">
        <v>84</v>
      </c>
    </row>
    <row r="5604" spans="1:11" x14ac:dyDescent="0.25">
      <c r="A5604">
        <v>490</v>
      </c>
      <c r="B5604">
        <v>0</v>
      </c>
      <c r="C5604">
        <v>0.63554406144682196</v>
      </c>
      <c r="D5604">
        <v>0.63554406144682196</v>
      </c>
      <c r="E5604">
        <v>6</v>
      </c>
      <c r="F5604">
        <v>1.5707963267949001</v>
      </c>
      <c r="G5604" t="s">
        <v>85</v>
      </c>
      <c r="H5604" t="s">
        <v>85</v>
      </c>
      <c r="I5604">
        <v>0</v>
      </c>
      <c r="J5604">
        <v>0</v>
      </c>
      <c r="K5604">
        <v>0</v>
      </c>
    </row>
    <row r="5605" spans="1:11" x14ac:dyDescent="0.25">
      <c r="A5605" t="s">
        <v>83</v>
      </c>
    </row>
    <row r="5606" spans="1:11" x14ac:dyDescent="0.25">
      <c r="A5606">
        <v>129.519272714164</v>
      </c>
      <c r="B5606">
        <v>23.610676032775402</v>
      </c>
      <c r="C5606">
        <v>2000</v>
      </c>
    </row>
    <row r="5607" spans="1:11" x14ac:dyDescent="0.25">
      <c r="A5607">
        <v>129.06987519857199</v>
      </c>
      <c r="B5607">
        <v>23.161278517183501</v>
      </c>
      <c r="C5607">
        <v>2000</v>
      </c>
    </row>
    <row r="5608" spans="1:11" x14ac:dyDescent="0.25">
      <c r="A5608">
        <v>129.06987519857199</v>
      </c>
      <c r="B5608">
        <v>23.161278517183501</v>
      </c>
      <c r="C5608">
        <v>2001</v>
      </c>
    </row>
    <row r="5609" spans="1:11" x14ac:dyDescent="0.25">
      <c r="A5609">
        <v>129.519272714164</v>
      </c>
      <c r="B5609">
        <v>23.610676032775402</v>
      </c>
      <c r="C5609">
        <v>2001</v>
      </c>
    </row>
    <row r="5610" spans="1:11" x14ac:dyDescent="0.25">
      <c r="A5610">
        <v>129.96867022975599</v>
      </c>
      <c r="B5610">
        <v>24.060073548367299</v>
      </c>
      <c r="C5610">
        <v>2001</v>
      </c>
    </row>
    <row r="5611" spans="1:11" x14ac:dyDescent="0.25">
      <c r="A5611">
        <v>129.96867022975599</v>
      </c>
      <c r="B5611">
        <v>24.060073548367299</v>
      </c>
      <c r="C5611">
        <v>2000</v>
      </c>
    </row>
    <row r="5612" spans="1:11" x14ac:dyDescent="0.25">
      <c r="A5612" t="s">
        <v>84</v>
      </c>
    </row>
    <row r="5613" spans="1:11" x14ac:dyDescent="0.25">
      <c r="A5613">
        <v>414</v>
      </c>
      <c r="B5613">
        <v>0</v>
      </c>
      <c r="C5613">
        <v>0.63554406144682196</v>
      </c>
      <c r="D5613">
        <v>0.63554406144682196</v>
      </c>
      <c r="E5613">
        <v>6</v>
      </c>
      <c r="F5613">
        <v>1.5707963267949001</v>
      </c>
      <c r="G5613" t="s">
        <v>85</v>
      </c>
      <c r="H5613" t="s">
        <v>85</v>
      </c>
      <c r="I5613">
        <v>0</v>
      </c>
      <c r="J5613">
        <v>0</v>
      </c>
      <c r="K5613">
        <v>0</v>
      </c>
    </row>
    <row r="5614" spans="1:11" x14ac:dyDescent="0.25">
      <c r="A5614" t="s">
        <v>83</v>
      </c>
    </row>
    <row r="5615" spans="1:11" x14ac:dyDescent="0.25">
      <c r="A5615">
        <v>35.022374619740198</v>
      </c>
      <c r="B5615">
        <v>126.54798764341901</v>
      </c>
      <c r="C5615">
        <v>2000</v>
      </c>
    </row>
    <row r="5616" spans="1:11" x14ac:dyDescent="0.25">
      <c r="A5616">
        <v>34.5729771041483</v>
      </c>
      <c r="B5616">
        <v>126.09859012782699</v>
      </c>
      <c r="C5616">
        <v>2000</v>
      </c>
    </row>
    <row r="5617" spans="1:11" x14ac:dyDescent="0.25">
      <c r="A5617">
        <v>34.5729771041483</v>
      </c>
      <c r="B5617">
        <v>126.09859012782699</v>
      </c>
      <c r="C5617">
        <v>2001</v>
      </c>
    </row>
    <row r="5618" spans="1:11" x14ac:dyDescent="0.25">
      <c r="A5618">
        <v>35.022374619740198</v>
      </c>
      <c r="B5618">
        <v>126.54798764341901</v>
      </c>
      <c r="C5618">
        <v>2001</v>
      </c>
    </row>
    <row r="5619" spans="1:11" x14ac:dyDescent="0.25">
      <c r="A5619">
        <v>35.471772135332102</v>
      </c>
      <c r="B5619">
        <v>126.997385159011</v>
      </c>
      <c r="C5619">
        <v>2001</v>
      </c>
    </row>
    <row r="5620" spans="1:11" x14ac:dyDescent="0.25">
      <c r="A5620">
        <v>35.471772135332102</v>
      </c>
      <c r="B5620">
        <v>126.997385159011</v>
      </c>
      <c r="C5620">
        <v>2000</v>
      </c>
    </row>
    <row r="5621" spans="1:11" x14ac:dyDescent="0.25">
      <c r="A5621" t="s">
        <v>84</v>
      </c>
    </row>
    <row r="5622" spans="1:11" x14ac:dyDescent="0.25">
      <c r="A5622">
        <v>415</v>
      </c>
      <c r="B5622">
        <v>0</v>
      </c>
      <c r="C5622">
        <v>0.63554406144682196</v>
      </c>
      <c r="D5622">
        <v>0.63554406144682196</v>
      </c>
      <c r="E5622">
        <v>6</v>
      </c>
      <c r="F5622">
        <v>1.5707963267949001</v>
      </c>
      <c r="G5622" t="s">
        <v>85</v>
      </c>
      <c r="H5622" t="s">
        <v>85</v>
      </c>
      <c r="I5622">
        <v>0</v>
      </c>
      <c r="J5622">
        <v>0</v>
      </c>
      <c r="K5622">
        <v>0</v>
      </c>
    </row>
    <row r="5623" spans="1:11" x14ac:dyDescent="0.25">
      <c r="A5623" t="s">
        <v>83</v>
      </c>
    </row>
    <row r="5624" spans="1:11" x14ac:dyDescent="0.25">
      <c r="A5624">
        <v>30.823132770985001</v>
      </c>
      <c r="B5624">
        <v>131.17477584452101</v>
      </c>
      <c r="C5624">
        <v>2000</v>
      </c>
    </row>
    <row r="5625" spans="1:11" x14ac:dyDescent="0.25">
      <c r="A5625">
        <v>30.3737352553931</v>
      </c>
      <c r="B5625">
        <v>130.725378328929</v>
      </c>
      <c r="C5625">
        <v>2000</v>
      </c>
    </row>
    <row r="5626" spans="1:11" x14ac:dyDescent="0.25">
      <c r="A5626">
        <v>30.3737352553931</v>
      </c>
      <c r="B5626">
        <v>130.725378328929</v>
      </c>
      <c r="C5626">
        <v>2001</v>
      </c>
    </row>
    <row r="5627" spans="1:11" x14ac:dyDescent="0.25">
      <c r="A5627">
        <v>30.823132770985001</v>
      </c>
      <c r="B5627">
        <v>131.17477584452101</v>
      </c>
      <c r="C5627">
        <v>2001</v>
      </c>
    </row>
    <row r="5628" spans="1:11" x14ac:dyDescent="0.25">
      <c r="A5628">
        <v>31.272530286576899</v>
      </c>
      <c r="B5628">
        <v>131.62417336011299</v>
      </c>
      <c r="C5628">
        <v>2001</v>
      </c>
    </row>
    <row r="5629" spans="1:11" x14ac:dyDescent="0.25">
      <c r="A5629">
        <v>31.272530286576899</v>
      </c>
      <c r="B5629">
        <v>131.62417336011299</v>
      </c>
      <c r="C5629">
        <v>2000</v>
      </c>
    </row>
    <row r="5630" spans="1:11" x14ac:dyDescent="0.25">
      <c r="A5630" t="s">
        <v>84</v>
      </c>
    </row>
    <row r="5631" spans="1:11" x14ac:dyDescent="0.25">
      <c r="A5631">
        <v>485</v>
      </c>
      <c r="B5631">
        <v>0</v>
      </c>
      <c r="C5631">
        <v>0.63554406144682196</v>
      </c>
      <c r="D5631">
        <v>0.63554406144682196</v>
      </c>
      <c r="E5631">
        <v>6</v>
      </c>
      <c r="F5631">
        <v>1.5707963267949001</v>
      </c>
      <c r="G5631" t="s">
        <v>85</v>
      </c>
      <c r="H5631" t="s">
        <v>85</v>
      </c>
      <c r="I5631">
        <v>0</v>
      </c>
      <c r="J5631">
        <v>0</v>
      </c>
      <c r="K5631">
        <v>0</v>
      </c>
    </row>
    <row r="5632" spans="1:11" x14ac:dyDescent="0.25">
      <c r="A5632" t="s">
        <v>83</v>
      </c>
    </row>
    <row r="5633" spans="1:11" x14ac:dyDescent="0.25">
      <c r="A5633">
        <v>103.108969274028</v>
      </c>
      <c r="B5633">
        <v>15.9743406069346</v>
      </c>
      <c r="C5633">
        <v>2000</v>
      </c>
    </row>
    <row r="5634" spans="1:11" x14ac:dyDescent="0.25">
      <c r="A5634">
        <v>102.659571758436</v>
      </c>
      <c r="B5634">
        <v>15.524943091342699</v>
      </c>
      <c r="C5634">
        <v>2000</v>
      </c>
    </row>
    <row r="5635" spans="1:11" x14ac:dyDescent="0.25">
      <c r="A5635">
        <v>102.659571758436</v>
      </c>
      <c r="B5635">
        <v>15.524943091342699</v>
      </c>
      <c r="C5635">
        <v>2001</v>
      </c>
    </row>
    <row r="5636" spans="1:11" x14ac:dyDescent="0.25">
      <c r="A5636">
        <v>103.108969274028</v>
      </c>
      <c r="B5636">
        <v>15.9743406069346</v>
      </c>
      <c r="C5636">
        <v>2001</v>
      </c>
    </row>
    <row r="5637" spans="1:11" x14ac:dyDescent="0.25">
      <c r="A5637">
        <v>103.55836678962</v>
      </c>
      <c r="B5637">
        <v>16.423738122526402</v>
      </c>
      <c r="C5637">
        <v>2001</v>
      </c>
    </row>
    <row r="5638" spans="1:11" x14ac:dyDescent="0.25">
      <c r="A5638">
        <v>103.55836678962</v>
      </c>
      <c r="B5638">
        <v>16.423738122526402</v>
      </c>
      <c r="C5638">
        <v>2000</v>
      </c>
    </row>
    <row r="5639" spans="1:11" x14ac:dyDescent="0.25">
      <c r="A5639" t="s">
        <v>84</v>
      </c>
    </row>
    <row r="5640" spans="1:11" x14ac:dyDescent="0.25">
      <c r="A5640">
        <v>420</v>
      </c>
      <c r="B5640">
        <v>0</v>
      </c>
      <c r="C5640">
        <v>0.63554406144682196</v>
      </c>
      <c r="D5640">
        <v>0.63554406144682196</v>
      </c>
      <c r="E5640">
        <v>6</v>
      </c>
      <c r="F5640">
        <v>1.5707963267949001</v>
      </c>
      <c r="G5640" t="s">
        <v>85</v>
      </c>
      <c r="H5640" t="s">
        <v>85</v>
      </c>
      <c r="I5640">
        <v>0</v>
      </c>
      <c r="J5640">
        <v>0</v>
      </c>
      <c r="K5640">
        <v>0</v>
      </c>
    </row>
    <row r="5641" spans="1:11" x14ac:dyDescent="0.25">
      <c r="A5641" t="s">
        <v>83</v>
      </c>
    </row>
    <row r="5642" spans="1:11" x14ac:dyDescent="0.25">
      <c r="A5642">
        <v>0.66101093574473402</v>
      </c>
      <c r="B5642">
        <v>124.65033184255</v>
      </c>
      <c r="C5642">
        <v>2000</v>
      </c>
    </row>
    <row r="5643" spans="1:11" x14ac:dyDescent="0.25">
      <c r="A5643">
        <v>0.21161342015284401</v>
      </c>
      <c r="B5643">
        <v>124.20093432695801</v>
      </c>
      <c r="C5643">
        <v>2000</v>
      </c>
    </row>
    <row r="5644" spans="1:11" x14ac:dyDescent="0.25">
      <c r="A5644">
        <v>0.21161342015284401</v>
      </c>
      <c r="B5644">
        <v>124.20093432695801</v>
      </c>
      <c r="C5644">
        <v>2001</v>
      </c>
    </row>
    <row r="5645" spans="1:11" x14ac:dyDescent="0.25">
      <c r="A5645">
        <v>0.66101093574473402</v>
      </c>
      <c r="B5645">
        <v>124.65033184255</v>
      </c>
      <c r="C5645">
        <v>2001</v>
      </c>
    </row>
    <row r="5646" spans="1:11" x14ac:dyDescent="0.25">
      <c r="A5646">
        <v>1.1104084513366199</v>
      </c>
      <c r="B5646">
        <v>125.099729358142</v>
      </c>
      <c r="C5646">
        <v>2001</v>
      </c>
    </row>
    <row r="5647" spans="1:11" x14ac:dyDescent="0.25">
      <c r="A5647">
        <v>1.1104084513366199</v>
      </c>
      <c r="B5647">
        <v>125.099729358142</v>
      </c>
      <c r="C5647">
        <v>2000</v>
      </c>
    </row>
    <row r="5648" spans="1:11" x14ac:dyDescent="0.25">
      <c r="A5648" t="s">
        <v>84</v>
      </c>
    </row>
    <row r="5649" spans="1:11" x14ac:dyDescent="0.25">
      <c r="A5649">
        <v>483</v>
      </c>
      <c r="B5649">
        <v>0</v>
      </c>
      <c r="C5649">
        <v>0.63554406144682196</v>
      </c>
      <c r="D5649">
        <v>0.63554406144682196</v>
      </c>
      <c r="E5649">
        <v>6</v>
      </c>
      <c r="F5649">
        <v>1.5707963267949001</v>
      </c>
      <c r="G5649" t="s">
        <v>85</v>
      </c>
      <c r="H5649" t="s">
        <v>85</v>
      </c>
      <c r="I5649">
        <v>0</v>
      </c>
      <c r="J5649">
        <v>0</v>
      </c>
      <c r="K5649">
        <v>0</v>
      </c>
    </row>
    <row r="5650" spans="1:11" x14ac:dyDescent="0.25">
      <c r="A5650" t="s">
        <v>83</v>
      </c>
    </row>
    <row r="5651" spans="1:11" x14ac:dyDescent="0.25">
      <c r="A5651">
        <v>127.048614761815</v>
      </c>
      <c r="B5651">
        <v>33.815961032554497</v>
      </c>
      <c r="C5651">
        <v>2000</v>
      </c>
    </row>
    <row r="5652" spans="1:11" x14ac:dyDescent="0.25">
      <c r="A5652">
        <v>126.59921724622301</v>
      </c>
      <c r="B5652">
        <v>33.3665635169626</v>
      </c>
      <c r="C5652">
        <v>2000</v>
      </c>
    </row>
    <row r="5653" spans="1:11" x14ac:dyDescent="0.25">
      <c r="A5653">
        <v>126.59921724622301</v>
      </c>
      <c r="B5653">
        <v>33.3665635169626</v>
      </c>
      <c r="C5653">
        <v>2001</v>
      </c>
    </row>
    <row r="5654" spans="1:11" x14ac:dyDescent="0.25">
      <c r="A5654">
        <v>127.048614761815</v>
      </c>
      <c r="B5654">
        <v>33.815961032554497</v>
      </c>
      <c r="C5654">
        <v>2001</v>
      </c>
    </row>
    <row r="5655" spans="1:11" x14ac:dyDescent="0.25">
      <c r="A5655">
        <v>127.498012277407</v>
      </c>
      <c r="B5655">
        <v>34.265358548146402</v>
      </c>
      <c r="C5655">
        <v>2001</v>
      </c>
    </row>
    <row r="5656" spans="1:11" x14ac:dyDescent="0.25">
      <c r="A5656">
        <v>127.498012277407</v>
      </c>
      <c r="B5656">
        <v>34.265358548146402</v>
      </c>
      <c r="C5656">
        <v>2000</v>
      </c>
    </row>
    <row r="5657" spans="1:11" x14ac:dyDescent="0.25">
      <c r="A5657" t="s">
        <v>84</v>
      </c>
    </row>
    <row r="5658" spans="1:11" x14ac:dyDescent="0.25">
      <c r="A5658">
        <v>409</v>
      </c>
      <c r="B5658">
        <v>0</v>
      </c>
      <c r="C5658">
        <v>0.63554406144682196</v>
      </c>
      <c r="D5658">
        <v>0.63554406144682196</v>
      </c>
      <c r="E5658">
        <v>6</v>
      </c>
      <c r="F5658">
        <v>1.5707963267949001</v>
      </c>
      <c r="G5658" t="s">
        <v>85</v>
      </c>
      <c r="H5658" t="s">
        <v>85</v>
      </c>
      <c r="I5658">
        <v>0</v>
      </c>
      <c r="J5658">
        <v>0</v>
      </c>
      <c r="K5658">
        <v>0</v>
      </c>
    </row>
    <row r="5659" spans="1:11" x14ac:dyDescent="0.25">
      <c r="A5659" t="s">
        <v>83</v>
      </c>
    </row>
    <row r="5660" spans="1:11" x14ac:dyDescent="0.25">
      <c r="A5660">
        <v>7.6345533051688896</v>
      </c>
      <c r="B5660">
        <v>132.98027629870001</v>
      </c>
      <c r="C5660">
        <v>2000</v>
      </c>
    </row>
    <row r="5661" spans="1:11" x14ac:dyDescent="0.25">
      <c r="A5661">
        <v>7.1851557895770002</v>
      </c>
      <c r="B5661">
        <v>132.53087878310799</v>
      </c>
      <c r="C5661">
        <v>2000</v>
      </c>
    </row>
    <row r="5662" spans="1:11" x14ac:dyDescent="0.25">
      <c r="A5662">
        <v>7.1851557895770002</v>
      </c>
      <c r="B5662">
        <v>132.53087878310799</v>
      </c>
      <c r="C5662">
        <v>2001</v>
      </c>
    </row>
    <row r="5663" spans="1:11" x14ac:dyDescent="0.25">
      <c r="A5663">
        <v>7.6345533051688896</v>
      </c>
      <c r="B5663">
        <v>132.98027629870001</v>
      </c>
      <c r="C5663">
        <v>2001</v>
      </c>
    </row>
    <row r="5664" spans="1:11" x14ac:dyDescent="0.25">
      <c r="A5664">
        <v>8.08395082076078</v>
      </c>
      <c r="B5664">
        <v>133.42967381429199</v>
      </c>
      <c r="C5664">
        <v>2001</v>
      </c>
    </row>
    <row r="5665" spans="1:11" x14ac:dyDescent="0.25">
      <c r="A5665">
        <v>8.08395082076078</v>
      </c>
      <c r="B5665">
        <v>133.42967381429199</v>
      </c>
      <c r="C5665">
        <v>2000</v>
      </c>
    </row>
    <row r="5666" spans="1:11" x14ac:dyDescent="0.25">
      <c r="A5666" t="s">
        <v>84</v>
      </c>
    </row>
    <row r="5667" spans="1:11" x14ac:dyDescent="0.25">
      <c r="A5667">
        <v>489</v>
      </c>
      <c r="B5667">
        <v>0</v>
      </c>
      <c r="C5667">
        <v>0.63554406144682196</v>
      </c>
      <c r="D5667">
        <v>0.63554406144682196</v>
      </c>
      <c r="E5667">
        <v>6</v>
      </c>
      <c r="F5667">
        <v>1.5707963267949001</v>
      </c>
      <c r="G5667" t="s">
        <v>85</v>
      </c>
      <c r="H5667" t="s">
        <v>85</v>
      </c>
      <c r="I5667">
        <v>0</v>
      </c>
      <c r="J5667">
        <v>0</v>
      </c>
      <c r="K5667">
        <v>0</v>
      </c>
    </row>
    <row r="5668" spans="1:11" x14ac:dyDescent="0.25">
      <c r="A5668" t="s">
        <v>83</v>
      </c>
    </row>
    <row r="5669" spans="1:11" x14ac:dyDescent="0.25">
      <c r="A5669">
        <v>121.015376525938</v>
      </c>
      <c r="B5669">
        <v>30.198717818222299</v>
      </c>
      <c r="C5669">
        <v>2000</v>
      </c>
    </row>
    <row r="5670" spans="1:11" x14ac:dyDescent="0.25">
      <c r="A5670">
        <v>120.565979010346</v>
      </c>
      <c r="B5670">
        <v>29.749320302630501</v>
      </c>
      <c r="C5670">
        <v>2000</v>
      </c>
    </row>
    <row r="5671" spans="1:11" x14ac:dyDescent="0.25">
      <c r="A5671">
        <v>120.565979010346</v>
      </c>
      <c r="B5671">
        <v>29.749320302630501</v>
      </c>
      <c r="C5671">
        <v>2001</v>
      </c>
    </row>
    <row r="5672" spans="1:11" x14ac:dyDescent="0.25">
      <c r="A5672">
        <v>121.015376525938</v>
      </c>
      <c r="B5672">
        <v>30.198717818222299</v>
      </c>
      <c r="C5672">
        <v>2001</v>
      </c>
    </row>
    <row r="5673" spans="1:11" x14ac:dyDescent="0.25">
      <c r="A5673">
        <v>121.46477404153001</v>
      </c>
      <c r="B5673">
        <v>30.6481153338142</v>
      </c>
      <c r="C5673">
        <v>2001</v>
      </c>
    </row>
    <row r="5674" spans="1:11" x14ac:dyDescent="0.25">
      <c r="A5674">
        <v>121.46477404153001</v>
      </c>
      <c r="B5674">
        <v>30.6481153338142</v>
      </c>
      <c r="C5674">
        <v>2000</v>
      </c>
    </row>
    <row r="5675" spans="1:11" x14ac:dyDescent="0.25">
      <c r="A5675" t="s">
        <v>84</v>
      </c>
    </row>
    <row r="5676" spans="1:11" x14ac:dyDescent="0.25">
      <c r="A5676">
        <v>493</v>
      </c>
      <c r="B5676">
        <v>0</v>
      </c>
      <c r="C5676">
        <v>0.63554406144682196</v>
      </c>
      <c r="D5676">
        <v>0.63554406144682196</v>
      </c>
      <c r="E5676">
        <v>6</v>
      </c>
      <c r="F5676">
        <v>1.5707963267949001</v>
      </c>
      <c r="G5676" t="s">
        <v>85</v>
      </c>
      <c r="H5676" t="s">
        <v>85</v>
      </c>
      <c r="I5676">
        <v>0</v>
      </c>
      <c r="J5676">
        <v>0</v>
      </c>
      <c r="K5676">
        <v>0</v>
      </c>
    </row>
    <row r="5677" spans="1:11" x14ac:dyDescent="0.25">
      <c r="A5677" t="s">
        <v>83</v>
      </c>
    </row>
    <row r="5678" spans="1:11" x14ac:dyDescent="0.25">
      <c r="A5678">
        <v>124.754088418444</v>
      </c>
      <c r="B5678">
        <v>25.137435994175</v>
      </c>
      <c r="C5678">
        <v>2000</v>
      </c>
    </row>
    <row r="5679" spans="1:11" x14ac:dyDescent="0.25">
      <c r="A5679">
        <v>124.304690902852</v>
      </c>
      <c r="B5679">
        <v>24.688038478583099</v>
      </c>
      <c r="C5679">
        <v>2000</v>
      </c>
    </row>
    <row r="5680" spans="1:11" x14ac:dyDescent="0.25">
      <c r="A5680">
        <v>124.304690902852</v>
      </c>
      <c r="B5680">
        <v>24.688038478583099</v>
      </c>
      <c r="C5680">
        <v>2001</v>
      </c>
    </row>
    <row r="5681" spans="1:11" x14ac:dyDescent="0.25">
      <c r="A5681">
        <v>124.754088418444</v>
      </c>
      <c r="B5681">
        <v>25.137435994175</v>
      </c>
      <c r="C5681">
        <v>2001</v>
      </c>
    </row>
    <row r="5682" spans="1:11" x14ac:dyDescent="0.25">
      <c r="A5682">
        <v>125.203485934036</v>
      </c>
      <c r="B5682">
        <v>25.586833509766901</v>
      </c>
      <c r="C5682">
        <v>2001</v>
      </c>
    </row>
    <row r="5683" spans="1:11" x14ac:dyDescent="0.25">
      <c r="A5683">
        <v>125.203485934036</v>
      </c>
      <c r="B5683">
        <v>25.586833509766901</v>
      </c>
      <c r="C5683">
        <v>2000</v>
      </c>
    </row>
    <row r="5684" spans="1:11" x14ac:dyDescent="0.25">
      <c r="A5684" t="s">
        <v>84</v>
      </c>
    </row>
    <row r="5685" spans="1:11" x14ac:dyDescent="0.25">
      <c r="A5685">
        <v>562</v>
      </c>
      <c r="B5685">
        <v>0</v>
      </c>
      <c r="C5685">
        <v>0.63554406144680797</v>
      </c>
      <c r="D5685">
        <v>0.63554406144680797</v>
      </c>
      <c r="E5685">
        <v>6</v>
      </c>
      <c r="F5685">
        <v>1.5707963267949001</v>
      </c>
      <c r="G5685" t="s">
        <v>85</v>
      </c>
      <c r="H5685" t="s">
        <v>85</v>
      </c>
      <c r="I5685">
        <v>0</v>
      </c>
      <c r="J5685">
        <v>0</v>
      </c>
      <c r="K5685">
        <v>0</v>
      </c>
    </row>
    <row r="5686" spans="1:11" x14ac:dyDescent="0.25">
      <c r="A5686" t="s">
        <v>83</v>
      </c>
    </row>
    <row r="5687" spans="1:11" x14ac:dyDescent="0.25">
      <c r="A5687">
        <v>116.623701104719</v>
      </c>
      <c r="B5687">
        <v>88.822108769706503</v>
      </c>
      <c r="C5687">
        <v>2000</v>
      </c>
    </row>
    <row r="5688" spans="1:11" x14ac:dyDescent="0.25">
      <c r="A5688">
        <v>116.17430358912701</v>
      </c>
      <c r="B5688">
        <v>88.372711254114606</v>
      </c>
      <c r="C5688">
        <v>2000</v>
      </c>
    </row>
    <row r="5689" spans="1:11" x14ac:dyDescent="0.25">
      <c r="A5689">
        <v>116.17430358912701</v>
      </c>
      <c r="B5689">
        <v>88.372711254114606</v>
      </c>
      <c r="C5689">
        <v>2001</v>
      </c>
    </row>
    <row r="5690" spans="1:11" x14ac:dyDescent="0.25">
      <c r="A5690">
        <v>116.623701104719</v>
      </c>
      <c r="B5690">
        <v>88.822108769706503</v>
      </c>
      <c r="C5690">
        <v>2001</v>
      </c>
    </row>
    <row r="5691" spans="1:11" x14ac:dyDescent="0.25">
      <c r="A5691">
        <v>117.073098620311</v>
      </c>
      <c r="B5691">
        <v>89.2715062852984</v>
      </c>
      <c r="C5691">
        <v>2001</v>
      </c>
    </row>
    <row r="5692" spans="1:11" x14ac:dyDescent="0.25">
      <c r="A5692">
        <v>117.073098620311</v>
      </c>
      <c r="B5692">
        <v>89.2715062852984</v>
      </c>
      <c r="C5692">
        <v>2000</v>
      </c>
    </row>
    <row r="5693" spans="1:11" x14ac:dyDescent="0.25">
      <c r="A5693" t="s">
        <v>84</v>
      </c>
    </row>
    <row r="5694" spans="1:11" x14ac:dyDescent="0.25">
      <c r="A5694">
        <v>245</v>
      </c>
      <c r="B5694">
        <v>0</v>
      </c>
      <c r="C5694">
        <v>0.63554406144680797</v>
      </c>
      <c r="D5694">
        <v>0.63554406144680797</v>
      </c>
      <c r="E5694">
        <v>6</v>
      </c>
      <c r="F5694">
        <v>1.5707963267949001</v>
      </c>
      <c r="G5694" t="s">
        <v>85</v>
      </c>
      <c r="H5694" t="s">
        <v>85</v>
      </c>
      <c r="I5694">
        <v>0</v>
      </c>
      <c r="J5694">
        <v>0</v>
      </c>
      <c r="K5694">
        <v>0</v>
      </c>
    </row>
    <row r="5695" spans="1:11" x14ac:dyDescent="0.25">
      <c r="A5695" t="s">
        <v>83</v>
      </c>
    </row>
    <row r="5696" spans="1:11" x14ac:dyDescent="0.25">
      <c r="A5696">
        <v>109.200773636904</v>
      </c>
      <c r="B5696">
        <v>116.89366465057</v>
      </c>
      <c r="C5696">
        <v>2000</v>
      </c>
    </row>
    <row r="5697" spans="1:11" x14ac:dyDescent="0.25">
      <c r="A5697">
        <v>108.75137612131201</v>
      </c>
      <c r="B5697">
        <v>116.44426713497801</v>
      </c>
      <c r="C5697">
        <v>2000</v>
      </c>
    </row>
    <row r="5698" spans="1:11" x14ac:dyDescent="0.25">
      <c r="A5698">
        <v>108.75137612131201</v>
      </c>
      <c r="B5698">
        <v>116.44426713497801</v>
      </c>
      <c r="C5698">
        <v>2001</v>
      </c>
    </row>
    <row r="5699" spans="1:11" x14ac:dyDescent="0.25">
      <c r="A5699">
        <v>109.200773636904</v>
      </c>
      <c r="B5699">
        <v>116.89366465057</v>
      </c>
      <c r="C5699">
        <v>2001</v>
      </c>
    </row>
    <row r="5700" spans="1:11" x14ac:dyDescent="0.25">
      <c r="A5700">
        <v>109.650171152496</v>
      </c>
      <c r="B5700">
        <v>117.343062166161</v>
      </c>
      <c r="C5700">
        <v>2001</v>
      </c>
    </row>
    <row r="5701" spans="1:11" x14ac:dyDescent="0.25">
      <c r="A5701">
        <v>109.650171152496</v>
      </c>
      <c r="B5701">
        <v>117.343062166161</v>
      </c>
      <c r="C5701">
        <v>2000</v>
      </c>
    </row>
    <row r="5702" spans="1:11" x14ac:dyDescent="0.25">
      <c r="A5702" t="s">
        <v>84</v>
      </c>
    </row>
    <row r="5703" spans="1:11" x14ac:dyDescent="0.25">
      <c r="A5703">
        <v>243</v>
      </c>
      <c r="B5703">
        <v>0</v>
      </c>
      <c r="C5703">
        <v>0.63554406144680797</v>
      </c>
      <c r="D5703">
        <v>0.63554406144680797</v>
      </c>
      <c r="E5703">
        <v>6</v>
      </c>
      <c r="F5703">
        <v>1.5707963267949001</v>
      </c>
      <c r="G5703" t="s">
        <v>85</v>
      </c>
      <c r="H5703" t="s">
        <v>85</v>
      </c>
      <c r="I5703">
        <v>0</v>
      </c>
      <c r="J5703">
        <v>0</v>
      </c>
      <c r="K5703">
        <v>0</v>
      </c>
    </row>
    <row r="5704" spans="1:11" x14ac:dyDescent="0.25">
      <c r="A5704" t="s">
        <v>83</v>
      </c>
    </row>
    <row r="5705" spans="1:11" x14ac:dyDescent="0.25">
      <c r="A5705">
        <v>102.625550319266</v>
      </c>
      <c r="B5705">
        <v>147.97518978499599</v>
      </c>
      <c r="C5705">
        <v>2000</v>
      </c>
    </row>
    <row r="5706" spans="1:11" x14ac:dyDescent="0.25">
      <c r="A5706">
        <v>102.176152803674</v>
      </c>
      <c r="B5706">
        <v>147.52579226940401</v>
      </c>
      <c r="C5706">
        <v>2000</v>
      </c>
    </row>
    <row r="5707" spans="1:11" x14ac:dyDescent="0.25">
      <c r="A5707">
        <v>102.176152803674</v>
      </c>
      <c r="B5707">
        <v>147.52579226940401</v>
      </c>
      <c r="C5707">
        <v>2001</v>
      </c>
    </row>
    <row r="5708" spans="1:11" x14ac:dyDescent="0.25">
      <c r="A5708">
        <v>102.625550319266</v>
      </c>
      <c r="B5708">
        <v>147.97518978499599</v>
      </c>
      <c r="C5708">
        <v>2001</v>
      </c>
    </row>
    <row r="5709" spans="1:11" x14ac:dyDescent="0.25">
      <c r="A5709">
        <v>103.07494783485799</v>
      </c>
      <c r="B5709">
        <v>148.424587300588</v>
      </c>
      <c r="C5709">
        <v>2001</v>
      </c>
    </row>
    <row r="5710" spans="1:11" x14ac:dyDescent="0.25">
      <c r="A5710">
        <v>103.07494783485799</v>
      </c>
      <c r="B5710">
        <v>148.424587300588</v>
      </c>
      <c r="C5710">
        <v>2000</v>
      </c>
    </row>
    <row r="5711" spans="1:11" x14ac:dyDescent="0.25">
      <c r="A5711" t="s">
        <v>84</v>
      </c>
    </row>
    <row r="5712" spans="1:11" x14ac:dyDescent="0.25">
      <c r="A5712">
        <v>567</v>
      </c>
      <c r="B5712">
        <v>0</v>
      </c>
      <c r="C5712">
        <v>0.63554406144680797</v>
      </c>
      <c r="D5712">
        <v>0.63554406144680797</v>
      </c>
      <c r="E5712">
        <v>6</v>
      </c>
      <c r="F5712">
        <v>1.5707963267949001</v>
      </c>
      <c r="G5712" t="s">
        <v>85</v>
      </c>
      <c r="H5712" t="s">
        <v>85</v>
      </c>
      <c r="I5712">
        <v>0</v>
      </c>
      <c r="J5712">
        <v>0</v>
      </c>
      <c r="K5712">
        <v>0</v>
      </c>
    </row>
    <row r="5713" spans="1:11" x14ac:dyDescent="0.25">
      <c r="A5713" t="s">
        <v>83</v>
      </c>
    </row>
    <row r="5714" spans="1:11" x14ac:dyDescent="0.25">
      <c r="A5714">
        <v>130.87559165706699</v>
      </c>
      <c r="B5714">
        <v>97.121793903467207</v>
      </c>
      <c r="C5714">
        <v>2000</v>
      </c>
    </row>
    <row r="5715" spans="1:11" x14ac:dyDescent="0.25">
      <c r="A5715">
        <v>130.42619414147501</v>
      </c>
      <c r="B5715">
        <v>96.672396387875295</v>
      </c>
      <c r="C5715">
        <v>2000</v>
      </c>
    </row>
    <row r="5716" spans="1:11" x14ac:dyDescent="0.25">
      <c r="A5716">
        <v>130.42619414147501</v>
      </c>
      <c r="B5716">
        <v>96.672396387875295</v>
      </c>
      <c r="C5716">
        <v>2001</v>
      </c>
    </row>
    <row r="5717" spans="1:11" x14ac:dyDescent="0.25">
      <c r="A5717">
        <v>130.87559165706699</v>
      </c>
      <c r="B5717">
        <v>97.121793903467207</v>
      </c>
      <c r="C5717">
        <v>2001</v>
      </c>
    </row>
    <row r="5718" spans="1:11" x14ac:dyDescent="0.25">
      <c r="A5718">
        <v>131.32498917265801</v>
      </c>
      <c r="B5718">
        <v>97.571191419059005</v>
      </c>
      <c r="C5718">
        <v>2001</v>
      </c>
    </row>
    <row r="5719" spans="1:11" x14ac:dyDescent="0.25">
      <c r="A5719">
        <v>131.32498917265801</v>
      </c>
      <c r="B5719">
        <v>97.571191419059005</v>
      </c>
      <c r="C5719">
        <v>2000</v>
      </c>
    </row>
    <row r="5720" spans="1:11" x14ac:dyDescent="0.25">
      <c r="A5720" t="s">
        <v>84</v>
      </c>
    </row>
    <row r="5721" spans="1:11" x14ac:dyDescent="0.25">
      <c r="A5721">
        <v>579</v>
      </c>
      <c r="B5721">
        <v>0</v>
      </c>
      <c r="C5721">
        <v>0.63554406144680797</v>
      </c>
      <c r="D5721">
        <v>0.63554406144680797</v>
      </c>
      <c r="E5721">
        <v>6</v>
      </c>
      <c r="F5721">
        <v>1.5707963267949001</v>
      </c>
      <c r="G5721" t="s">
        <v>85</v>
      </c>
      <c r="H5721" t="s">
        <v>85</v>
      </c>
      <c r="I5721">
        <v>0</v>
      </c>
      <c r="J5721">
        <v>0</v>
      </c>
      <c r="K5721">
        <v>0</v>
      </c>
    </row>
    <row r="5722" spans="1:11" x14ac:dyDescent="0.25">
      <c r="A5722" t="s">
        <v>83</v>
      </c>
    </row>
    <row r="5723" spans="1:11" x14ac:dyDescent="0.25">
      <c r="A5723">
        <v>138.530580612612</v>
      </c>
      <c r="B5723">
        <v>59.103601814295899</v>
      </c>
      <c r="C5723">
        <v>2000</v>
      </c>
    </row>
    <row r="5724" spans="1:11" x14ac:dyDescent="0.25">
      <c r="A5724">
        <v>138.08118309701999</v>
      </c>
      <c r="B5724">
        <v>58.654204298704002</v>
      </c>
      <c r="C5724">
        <v>2000</v>
      </c>
    </row>
    <row r="5725" spans="1:11" x14ac:dyDescent="0.25">
      <c r="A5725">
        <v>138.08118309701999</v>
      </c>
      <c r="B5725">
        <v>58.654204298704002</v>
      </c>
      <c r="C5725">
        <v>2001</v>
      </c>
    </row>
    <row r="5726" spans="1:11" x14ac:dyDescent="0.25">
      <c r="A5726">
        <v>138.530580612612</v>
      </c>
      <c r="B5726">
        <v>59.103601814295899</v>
      </c>
      <c r="C5726">
        <v>2001</v>
      </c>
    </row>
    <row r="5727" spans="1:11" x14ac:dyDescent="0.25">
      <c r="A5727">
        <v>138.97997812820401</v>
      </c>
      <c r="B5727">
        <v>59.552999329887797</v>
      </c>
      <c r="C5727">
        <v>2001</v>
      </c>
    </row>
    <row r="5728" spans="1:11" x14ac:dyDescent="0.25">
      <c r="A5728">
        <v>138.97997812820401</v>
      </c>
      <c r="B5728">
        <v>59.552999329887797</v>
      </c>
      <c r="C5728">
        <v>2000</v>
      </c>
    </row>
    <row r="5729" spans="1:11" x14ac:dyDescent="0.25">
      <c r="A5729" t="s">
        <v>84</v>
      </c>
    </row>
    <row r="5730" spans="1:11" x14ac:dyDescent="0.25">
      <c r="A5730">
        <v>574</v>
      </c>
      <c r="B5730">
        <v>0</v>
      </c>
      <c r="C5730">
        <v>0.63554406144680797</v>
      </c>
      <c r="D5730">
        <v>0.63554406144680797</v>
      </c>
      <c r="E5730">
        <v>6</v>
      </c>
      <c r="F5730">
        <v>1.5707963267949001</v>
      </c>
      <c r="G5730" t="s">
        <v>85</v>
      </c>
      <c r="H5730" t="s">
        <v>85</v>
      </c>
      <c r="I5730">
        <v>0</v>
      </c>
      <c r="J5730">
        <v>0</v>
      </c>
      <c r="K5730">
        <v>0</v>
      </c>
    </row>
    <row r="5731" spans="1:11" x14ac:dyDescent="0.25">
      <c r="A5731" t="s">
        <v>83</v>
      </c>
    </row>
    <row r="5732" spans="1:11" x14ac:dyDescent="0.25">
      <c r="A5732">
        <v>127.419160121316</v>
      </c>
      <c r="B5732">
        <v>56.052953810921402</v>
      </c>
      <c r="C5732">
        <v>2000</v>
      </c>
    </row>
    <row r="5733" spans="1:11" x14ac:dyDescent="0.25">
      <c r="A5733">
        <v>126.969762605724</v>
      </c>
      <c r="B5733">
        <v>55.603556295329497</v>
      </c>
      <c r="C5733">
        <v>2000</v>
      </c>
    </row>
    <row r="5734" spans="1:11" x14ac:dyDescent="0.25">
      <c r="A5734">
        <v>126.969762605724</v>
      </c>
      <c r="B5734">
        <v>55.603556295329497</v>
      </c>
      <c r="C5734">
        <v>2001</v>
      </c>
    </row>
    <row r="5735" spans="1:11" x14ac:dyDescent="0.25">
      <c r="A5735">
        <v>127.419160121316</v>
      </c>
      <c r="B5735">
        <v>56.052953810921402</v>
      </c>
      <c r="C5735">
        <v>2001</v>
      </c>
    </row>
    <row r="5736" spans="1:11" x14ac:dyDescent="0.25">
      <c r="A5736">
        <v>127.86855763690799</v>
      </c>
      <c r="B5736">
        <v>56.5023513265132</v>
      </c>
      <c r="C5736">
        <v>2001</v>
      </c>
    </row>
    <row r="5737" spans="1:11" x14ac:dyDescent="0.25">
      <c r="A5737">
        <v>127.86855763690799</v>
      </c>
      <c r="B5737">
        <v>56.5023513265132</v>
      </c>
      <c r="C5737">
        <v>2000</v>
      </c>
    </row>
    <row r="5738" spans="1:11" x14ac:dyDescent="0.25">
      <c r="A5738" t="s">
        <v>84</v>
      </c>
    </row>
    <row r="5739" spans="1:11" x14ac:dyDescent="0.25">
      <c r="A5739">
        <v>575</v>
      </c>
      <c r="B5739">
        <v>0</v>
      </c>
      <c r="C5739">
        <v>0.63554406144680797</v>
      </c>
      <c r="D5739">
        <v>0.63554406144680797</v>
      </c>
      <c r="E5739">
        <v>6</v>
      </c>
      <c r="F5739">
        <v>1.5707963267949001</v>
      </c>
      <c r="G5739" t="s">
        <v>85</v>
      </c>
      <c r="H5739" t="s">
        <v>85</v>
      </c>
      <c r="I5739">
        <v>0</v>
      </c>
      <c r="J5739">
        <v>0</v>
      </c>
      <c r="K5739">
        <v>0</v>
      </c>
    </row>
    <row r="5740" spans="1:11" x14ac:dyDescent="0.25">
      <c r="A5740" t="s">
        <v>83</v>
      </c>
    </row>
    <row r="5741" spans="1:11" x14ac:dyDescent="0.25">
      <c r="A5741">
        <v>123.50275278953001</v>
      </c>
      <c r="B5741">
        <v>65.715053929348997</v>
      </c>
      <c r="C5741">
        <v>2000</v>
      </c>
    </row>
    <row r="5742" spans="1:11" x14ac:dyDescent="0.25">
      <c r="A5742">
        <v>123.053355273938</v>
      </c>
      <c r="B5742">
        <v>65.2656564137571</v>
      </c>
      <c r="C5742">
        <v>2000</v>
      </c>
    </row>
    <row r="5743" spans="1:11" x14ac:dyDescent="0.25">
      <c r="A5743">
        <v>123.053355273938</v>
      </c>
      <c r="B5743">
        <v>65.2656564137571</v>
      </c>
      <c r="C5743">
        <v>2001</v>
      </c>
    </row>
    <row r="5744" spans="1:11" x14ac:dyDescent="0.25">
      <c r="A5744">
        <v>123.50275278953001</v>
      </c>
      <c r="B5744">
        <v>65.715053929348997</v>
      </c>
      <c r="C5744">
        <v>2001</v>
      </c>
    </row>
    <row r="5745" spans="1:11" x14ac:dyDescent="0.25">
      <c r="A5745">
        <v>123.952150305122</v>
      </c>
      <c r="B5745">
        <v>66.164451444940795</v>
      </c>
      <c r="C5745">
        <v>2001</v>
      </c>
    </row>
    <row r="5746" spans="1:11" x14ac:dyDescent="0.25">
      <c r="A5746">
        <v>123.952150305122</v>
      </c>
      <c r="B5746">
        <v>66.164451444940795</v>
      </c>
      <c r="C5746">
        <v>2000</v>
      </c>
    </row>
    <row r="5747" spans="1:11" x14ac:dyDescent="0.25">
      <c r="A5747" t="s">
        <v>84</v>
      </c>
    </row>
    <row r="5748" spans="1:11" x14ac:dyDescent="0.25">
      <c r="A5748">
        <v>578</v>
      </c>
      <c r="B5748">
        <v>0</v>
      </c>
      <c r="C5748">
        <v>0.63554406144680797</v>
      </c>
      <c r="D5748">
        <v>0.63554406144680797</v>
      </c>
      <c r="E5748">
        <v>6</v>
      </c>
      <c r="F5748">
        <v>1.5707963267949001</v>
      </c>
      <c r="G5748" t="s">
        <v>85</v>
      </c>
      <c r="H5748" t="s">
        <v>85</v>
      </c>
      <c r="I5748">
        <v>0</v>
      </c>
      <c r="J5748">
        <v>0</v>
      </c>
      <c r="K5748">
        <v>0</v>
      </c>
    </row>
    <row r="5749" spans="1:11" x14ac:dyDescent="0.25">
      <c r="A5749" t="s">
        <v>83</v>
      </c>
    </row>
    <row r="5750" spans="1:11" x14ac:dyDescent="0.25">
      <c r="A5750">
        <v>114.913509641734</v>
      </c>
      <c r="B5750">
        <v>78.875111673900406</v>
      </c>
      <c r="C5750">
        <v>2000</v>
      </c>
    </row>
    <row r="5751" spans="1:11" x14ac:dyDescent="0.25">
      <c r="A5751">
        <v>114.464112126142</v>
      </c>
      <c r="B5751">
        <v>78.425714158308594</v>
      </c>
      <c r="C5751">
        <v>2000</v>
      </c>
    </row>
    <row r="5752" spans="1:11" x14ac:dyDescent="0.25">
      <c r="A5752">
        <v>114.464112126142</v>
      </c>
      <c r="B5752">
        <v>78.425714158308594</v>
      </c>
      <c r="C5752">
        <v>2001</v>
      </c>
    </row>
    <row r="5753" spans="1:11" x14ac:dyDescent="0.25">
      <c r="A5753">
        <v>114.913509641734</v>
      </c>
      <c r="B5753">
        <v>78.875111673900406</v>
      </c>
      <c r="C5753">
        <v>2001</v>
      </c>
    </row>
    <row r="5754" spans="1:11" x14ac:dyDescent="0.25">
      <c r="A5754">
        <v>115.36290715732601</v>
      </c>
      <c r="B5754">
        <v>79.324509189492304</v>
      </c>
      <c r="C5754">
        <v>2001</v>
      </c>
    </row>
    <row r="5755" spans="1:11" x14ac:dyDescent="0.25">
      <c r="A5755">
        <v>115.36290715732601</v>
      </c>
      <c r="B5755">
        <v>79.324509189492304</v>
      </c>
      <c r="C5755">
        <v>2000</v>
      </c>
    </row>
    <row r="5756" spans="1:11" x14ac:dyDescent="0.25">
      <c r="A5756" t="s">
        <v>84</v>
      </c>
    </row>
    <row r="5757" spans="1:11" x14ac:dyDescent="0.25">
      <c r="A5757">
        <v>417</v>
      </c>
      <c r="B5757">
        <v>0</v>
      </c>
      <c r="C5757">
        <v>0.63554406144680797</v>
      </c>
      <c r="D5757">
        <v>0.63554406144680797</v>
      </c>
      <c r="E5757">
        <v>6</v>
      </c>
      <c r="F5757">
        <v>1.5707963267949001</v>
      </c>
      <c r="G5757" t="s">
        <v>85</v>
      </c>
      <c r="H5757" t="s">
        <v>85</v>
      </c>
      <c r="I5757">
        <v>0</v>
      </c>
      <c r="J5757">
        <v>0</v>
      </c>
      <c r="K5757">
        <v>0</v>
      </c>
    </row>
    <row r="5758" spans="1:11" x14ac:dyDescent="0.25">
      <c r="A5758" t="s">
        <v>83</v>
      </c>
    </row>
    <row r="5759" spans="1:11" x14ac:dyDescent="0.25">
      <c r="A5759">
        <v>47.594197593906102</v>
      </c>
      <c r="B5759">
        <v>142.078221783544</v>
      </c>
      <c r="C5759">
        <v>2000</v>
      </c>
    </row>
    <row r="5760" spans="1:11" x14ac:dyDescent="0.25">
      <c r="A5760">
        <v>47.144800078314198</v>
      </c>
      <c r="B5760">
        <v>141.62882426795201</v>
      </c>
      <c r="C5760">
        <v>2000</v>
      </c>
    </row>
    <row r="5761" spans="1:11" x14ac:dyDescent="0.25">
      <c r="A5761">
        <v>47.144800078314198</v>
      </c>
      <c r="B5761">
        <v>141.62882426795201</v>
      </c>
      <c r="C5761">
        <v>2001</v>
      </c>
    </row>
    <row r="5762" spans="1:11" x14ac:dyDescent="0.25">
      <c r="A5762">
        <v>47.594197593906102</v>
      </c>
      <c r="B5762">
        <v>142.078221783544</v>
      </c>
      <c r="C5762">
        <v>2001</v>
      </c>
    </row>
    <row r="5763" spans="1:11" x14ac:dyDescent="0.25">
      <c r="A5763">
        <v>48.0435951094979</v>
      </c>
      <c r="B5763">
        <v>142.52761929913601</v>
      </c>
      <c r="C5763">
        <v>2001</v>
      </c>
    </row>
    <row r="5764" spans="1:11" x14ac:dyDescent="0.25">
      <c r="A5764">
        <v>48.0435951094979</v>
      </c>
      <c r="B5764">
        <v>142.52761929913601</v>
      </c>
      <c r="C5764">
        <v>2000</v>
      </c>
    </row>
    <row r="5765" spans="1:11" x14ac:dyDescent="0.25">
      <c r="A5765" t="s">
        <v>84</v>
      </c>
    </row>
    <row r="5766" spans="1:11" x14ac:dyDescent="0.25">
      <c r="A5766">
        <v>570</v>
      </c>
      <c r="B5766">
        <v>0</v>
      </c>
      <c r="C5766">
        <v>0.63554406144680797</v>
      </c>
      <c r="D5766">
        <v>0.63554406144680797</v>
      </c>
      <c r="E5766">
        <v>6</v>
      </c>
      <c r="F5766">
        <v>1.5707963267949001</v>
      </c>
      <c r="G5766" t="s">
        <v>85</v>
      </c>
      <c r="H5766" t="s">
        <v>85</v>
      </c>
      <c r="I5766">
        <v>0</v>
      </c>
      <c r="J5766">
        <v>0</v>
      </c>
      <c r="K5766">
        <v>0</v>
      </c>
    </row>
    <row r="5767" spans="1:11" x14ac:dyDescent="0.25">
      <c r="A5767" t="s">
        <v>83</v>
      </c>
    </row>
    <row r="5768" spans="1:11" x14ac:dyDescent="0.25">
      <c r="A5768">
        <v>138.22526834589701</v>
      </c>
      <c r="B5768">
        <v>92.335654267731897</v>
      </c>
      <c r="C5768">
        <v>2000</v>
      </c>
    </row>
    <row r="5769" spans="1:11" x14ac:dyDescent="0.25">
      <c r="A5769">
        <v>137.775870830305</v>
      </c>
      <c r="B5769">
        <v>91.88625675214</v>
      </c>
      <c r="C5769">
        <v>2000</v>
      </c>
    </row>
    <row r="5770" spans="1:11" x14ac:dyDescent="0.25">
      <c r="A5770">
        <v>137.775870830305</v>
      </c>
      <c r="B5770">
        <v>91.88625675214</v>
      </c>
      <c r="C5770">
        <v>2001</v>
      </c>
    </row>
    <row r="5771" spans="1:11" x14ac:dyDescent="0.25">
      <c r="A5771">
        <v>138.22526834589701</v>
      </c>
      <c r="B5771">
        <v>92.335654267731897</v>
      </c>
      <c r="C5771">
        <v>2001</v>
      </c>
    </row>
    <row r="5772" spans="1:11" x14ac:dyDescent="0.25">
      <c r="A5772">
        <v>138.67466586148899</v>
      </c>
      <c r="B5772">
        <v>92.785051783323794</v>
      </c>
      <c r="C5772">
        <v>2001</v>
      </c>
    </row>
    <row r="5773" spans="1:11" x14ac:dyDescent="0.25">
      <c r="A5773">
        <v>138.67466586148899</v>
      </c>
      <c r="B5773">
        <v>92.785051783323794</v>
      </c>
      <c r="C5773">
        <v>2000</v>
      </c>
    </row>
    <row r="5774" spans="1:11" x14ac:dyDescent="0.25">
      <c r="A5774" t="s">
        <v>84</v>
      </c>
    </row>
    <row r="5775" spans="1:11" x14ac:dyDescent="0.25">
      <c r="A5775">
        <v>656</v>
      </c>
      <c r="B5775">
        <v>0</v>
      </c>
      <c r="C5775">
        <v>0.63554406144680797</v>
      </c>
      <c r="D5775">
        <v>0.63554406144680797</v>
      </c>
      <c r="E5775">
        <v>6</v>
      </c>
      <c r="F5775">
        <v>1.5707963267949001</v>
      </c>
      <c r="G5775" t="s">
        <v>85</v>
      </c>
      <c r="H5775" t="s">
        <v>85</v>
      </c>
      <c r="I5775">
        <v>0</v>
      </c>
      <c r="J5775">
        <v>0</v>
      </c>
      <c r="K5775">
        <v>0</v>
      </c>
    </row>
    <row r="5776" spans="1:11" x14ac:dyDescent="0.25">
      <c r="A5776" t="s">
        <v>83</v>
      </c>
    </row>
    <row r="5777" spans="1:11" x14ac:dyDescent="0.25">
      <c r="A5777">
        <v>97.138136495900397</v>
      </c>
      <c r="B5777">
        <v>99.076567904127998</v>
      </c>
      <c r="C5777">
        <v>2000</v>
      </c>
    </row>
    <row r="5778" spans="1:11" x14ac:dyDescent="0.25">
      <c r="A5778">
        <v>96.6887389803085</v>
      </c>
      <c r="B5778">
        <v>98.6271703885362</v>
      </c>
      <c r="C5778">
        <v>2000</v>
      </c>
    </row>
    <row r="5779" spans="1:11" x14ac:dyDescent="0.25">
      <c r="A5779">
        <v>96.6887389803085</v>
      </c>
      <c r="B5779">
        <v>98.6271703885362</v>
      </c>
      <c r="C5779">
        <v>2001</v>
      </c>
    </row>
    <row r="5780" spans="1:11" x14ac:dyDescent="0.25">
      <c r="A5780">
        <v>97.138136495900397</v>
      </c>
      <c r="B5780">
        <v>99.076567904127998</v>
      </c>
      <c r="C5780">
        <v>2001</v>
      </c>
    </row>
    <row r="5781" spans="1:11" x14ac:dyDescent="0.25">
      <c r="A5781">
        <v>97.587534011492295</v>
      </c>
      <c r="B5781">
        <v>99.525965419719896</v>
      </c>
      <c r="C5781">
        <v>2001</v>
      </c>
    </row>
    <row r="5782" spans="1:11" x14ac:dyDescent="0.25">
      <c r="A5782">
        <v>97.587534011492295</v>
      </c>
      <c r="B5782">
        <v>99.525965419719896</v>
      </c>
      <c r="C5782">
        <v>2000</v>
      </c>
    </row>
    <row r="5783" spans="1:11" x14ac:dyDescent="0.25">
      <c r="A5783" t="s">
        <v>84</v>
      </c>
    </row>
    <row r="5784" spans="1:11" x14ac:dyDescent="0.25">
      <c r="A5784">
        <v>241</v>
      </c>
      <c r="B5784">
        <v>0</v>
      </c>
      <c r="C5784">
        <v>0.63554406144680797</v>
      </c>
      <c r="D5784">
        <v>0.63554406144680797</v>
      </c>
      <c r="E5784">
        <v>8</v>
      </c>
      <c r="F5784">
        <v>1.5707963267949001</v>
      </c>
      <c r="G5784" t="s">
        <v>85</v>
      </c>
      <c r="H5784" t="s">
        <v>85</v>
      </c>
      <c r="I5784">
        <v>0</v>
      </c>
      <c r="J5784">
        <v>0</v>
      </c>
      <c r="K5784">
        <v>0</v>
      </c>
    </row>
    <row r="5785" spans="1:11" x14ac:dyDescent="0.25">
      <c r="A5785" t="s">
        <v>83</v>
      </c>
    </row>
    <row r="5786" spans="1:11" x14ac:dyDescent="0.25">
      <c r="A5786">
        <v>100.12642905354799</v>
      </c>
      <c r="B5786">
        <v>121.090229226318</v>
      </c>
      <c r="C5786">
        <v>2000</v>
      </c>
    </row>
    <row r="5787" spans="1:11" x14ac:dyDescent="0.25">
      <c r="A5787">
        <v>100</v>
      </c>
      <c r="B5787">
        <v>120.96380017276999</v>
      </c>
      <c r="C5787">
        <v>2000</v>
      </c>
    </row>
    <row r="5788" spans="1:11" x14ac:dyDescent="0.25">
      <c r="A5788">
        <v>99.677031537956097</v>
      </c>
      <c r="B5788">
        <v>120.640831710726</v>
      </c>
      <c r="C5788">
        <v>2000</v>
      </c>
    </row>
    <row r="5789" spans="1:11" x14ac:dyDescent="0.25">
      <c r="A5789">
        <v>99.677031537956097</v>
      </c>
      <c r="B5789">
        <v>120.640831710726</v>
      </c>
      <c r="C5789">
        <v>2001</v>
      </c>
    </row>
    <row r="5790" spans="1:11" x14ac:dyDescent="0.25">
      <c r="A5790">
        <v>100</v>
      </c>
      <c r="B5790">
        <v>120.96380017276999</v>
      </c>
      <c r="C5790">
        <v>2001</v>
      </c>
    </row>
    <row r="5791" spans="1:11" x14ac:dyDescent="0.25">
      <c r="A5791">
        <v>100.12642905354799</v>
      </c>
      <c r="B5791">
        <v>121.090229226318</v>
      </c>
      <c r="C5791">
        <v>2001</v>
      </c>
    </row>
    <row r="5792" spans="1:11" x14ac:dyDescent="0.25">
      <c r="A5792">
        <v>100.57582656914001</v>
      </c>
      <c r="B5792">
        <v>121.53962674191</v>
      </c>
      <c r="C5792">
        <v>2001</v>
      </c>
    </row>
    <row r="5793" spans="1:11" x14ac:dyDescent="0.25">
      <c r="A5793">
        <v>100.57582656914001</v>
      </c>
      <c r="B5793">
        <v>121.53962674191</v>
      </c>
      <c r="C5793">
        <v>2000</v>
      </c>
    </row>
    <row r="5794" spans="1:11" x14ac:dyDescent="0.25">
      <c r="A5794" t="s">
        <v>84</v>
      </c>
    </row>
    <row r="5795" spans="1:11" x14ac:dyDescent="0.25">
      <c r="A5795">
        <v>329</v>
      </c>
      <c r="B5795">
        <v>0</v>
      </c>
      <c r="C5795">
        <v>0.63554406144680797</v>
      </c>
      <c r="D5795">
        <v>0.63554406144680797</v>
      </c>
      <c r="E5795">
        <v>6</v>
      </c>
      <c r="F5795">
        <v>1.5707963267949001</v>
      </c>
      <c r="G5795" t="s">
        <v>85</v>
      </c>
      <c r="H5795" t="s">
        <v>85</v>
      </c>
      <c r="I5795">
        <v>0</v>
      </c>
      <c r="J5795">
        <v>0</v>
      </c>
      <c r="K5795">
        <v>0</v>
      </c>
    </row>
    <row r="5796" spans="1:11" x14ac:dyDescent="0.25">
      <c r="A5796" t="s">
        <v>83</v>
      </c>
    </row>
    <row r="5797" spans="1:11" x14ac:dyDescent="0.25">
      <c r="A5797">
        <v>73.658665431970107</v>
      </c>
      <c r="B5797">
        <v>133.69201706195801</v>
      </c>
      <c r="C5797">
        <v>2000</v>
      </c>
    </row>
    <row r="5798" spans="1:11" x14ac:dyDescent="0.25">
      <c r="A5798">
        <v>73.209267916378195</v>
      </c>
      <c r="B5798">
        <v>133.242619546366</v>
      </c>
      <c r="C5798">
        <v>2000</v>
      </c>
    </row>
    <row r="5799" spans="1:11" x14ac:dyDescent="0.25">
      <c r="A5799">
        <v>73.209267916378195</v>
      </c>
      <c r="B5799">
        <v>133.242619546366</v>
      </c>
      <c r="C5799">
        <v>2001</v>
      </c>
    </row>
    <row r="5800" spans="1:11" x14ac:dyDescent="0.25">
      <c r="A5800">
        <v>73.658665431970107</v>
      </c>
      <c r="B5800">
        <v>133.69201706195801</v>
      </c>
      <c r="C5800">
        <v>2001</v>
      </c>
    </row>
    <row r="5801" spans="1:11" x14ac:dyDescent="0.25">
      <c r="A5801">
        <v>74.108062947562004</v>
      </c>
      <c r="B5801">
        <v>134.14141457754999</v>
      </c>
      <c r="C5801">
        <v>2001</v>
      </c>
    </row>
    <row r="5802" spans="1:11" x14ac:dyDescent="0.25">
      <c r="A5802">
        <v>74.108062947562004</v>
      </c>
      <c r="B5802">
        <v>134.14141457754999</v>
      </c>
      <c r="C5802">
        <v>2000</v>
      </c>
    </row>
    <row r="5803" spans="1:11" x14ac:dyDescent="0.25">
      <c r="A5803" t="s">
        <v>84</v>
      </c>
    </row>
    <row r="5804" spans="1:11" x14ac:dyDescent="0.25">
      <c r="A5804">
        <v>340</v>
      </c>
      <c r="B5804">
        <v>0</v>
      </c>
      <c r="C5804">
        <v>0.63554406144680797</v>
      </c>
      <c r="D5804">
        <v>0.63554406144680797</v>
      </c>
      <c r="E5804">
        <v>6</v>
      </c>
      <c r="F5804">
        <v>1.5707963267949001</v>
      </c>
      <c r="G5804" t="s">
        <v>85</v>
      </c>
      <c r="H5804" t="s">
        <v>85</v>
      </c>
      <c r="I5804">
        <v>0</v>
      </c>
      <c r="J5804">
        <v>0</v>
      </c>
      <c r="K5804">
        <v>0</v>
      </c>
    </row>
    <row r="5805" spans="1:11" x14ac:dyDescent="0.25">
      <c r="A5805" t="s">
        <v>83</v>
      </c>
    </row>
    <row r="5806" spans="1:11" x14ac:dyDescent="0.25">
      <c r="A5806">
        <v>79.299109663953601</v>
      </c>
      <c r="B5806">
        <v>117.981525064903</v>
      </c>
      <c r="C5806">
        <v>2000</v>
      </c>
    </row>
    <row r="5807" spans="1:11" x14ac:dyDescent="0.25">
      <c r="A5807">
        <v>78.849712148361704</v>
      </c>
      <c r="B5807">
        <v>117.532127549311</v>
      </c>
      <c r="C5807">
        <v>2000</v>
      </c>
    </row>
    <row r="5808" spans="1:11" x14ac:dyDescent="0.25">
      <c r="A5808">
        <v>78.849712148361704</v>
      </c>
      <c r="B5808">
        <v>117.532127549311</v>
      </c>
      <c r="C5808">
        <v>2001</v>
      </c>
    </row>
    <row r="5809" spans="1:11" x14ac:dyDescent="0.25">
      <c r="A5809">
        <v>79.299109663953601</v>
      </c>
      <c r="B5809">
        <v>117.981525064903</v>
      </c>
      <c r="C5809">
        <v>2001</v>
      </c>
    </row>
    <row r="5810" spans="1:11" x14ac:dyDescent="0.25">
      <c r="A5810">
        <v>79.748507179545499</v>
      </c>
      <c r="B5810">
        <v>118.43092258049499</v>
      </c>
      <c r="C5810">
        <v>2001</v>
      </c>
    </row>
    <row r="5811" spans="1:11" x14ac:dyDescent="0.25">
      <c r="A5811">
        <v>79.748507179545499</v>
      </c>
      <c r="B5811">
        <v>118.43092258049499</v>
      </c>
      <c r="C5811">
        <v>2000</v>
      </c>
    </row>
    <row r="5812" spans="1:11" x14ac:dyDescent="0.25">
      <c r="A5812" t="s">
        <v>84</v>
      </c>
    </row>
    <row r="5813" spans="1:11" x14ac:dyDescent="0.25">
      <c r="A5813">
        <v>251</v>
      </c>
      <c r="B5813">
        <v>0</v>
      </c>
      <c r="C5813">
        <v>0.63554406144680797</v>
      </c>
      <c r="D5813">
        <v>0.63554406144680797</v>
      </c>
      <c r="E5813">
        <v>6</v>
      </c>
      <c r="F5813">
        <v>1.5707963267949001</v>
      </c>
      <c r="G5813" t="s">
        <v>85</v>
      </c>
      <c r="H5813" t="s">
        <v>85</v>
      </c>
      <c r="I5813">
        <v>0</v>
      </c>
      <c r="J5813">
        <v>0</v>
      </c>
      <c r="K5813">
        <v>0</v>
      </c>
    </row>
    <row r="5814" spans="1:11" x14ac:dyDescent="0.25">
      <c r="A5814" t="s">
        <v>83</v>
      </c>
    </row>
    <row r="5815" spans="1:11" x14ac:dyDescent="0.25">
      <c r="A5815">
        <v>118.054242265902</v>
      </c>
      <c r="B5815">
        <v>141.89817761857901</v>
      </c>
      <c r="C5815">
        <v>2000</v>
      </c>
    </row>
    <row r="5816" spans="1:11" x14ac:dyDescent="0.25">
      <c r="A5816">
        <v>117.60484475030999</v>
      </c>
      <c r="B5816">
        <v>141.448780102987</v>
      </c>
      <c r="C5816">
        <v>2000</v>
      </c>
    </row>
    <row r="5817" spans="1:11" x14ac:dyDescent="0.25">
      <c r="A5817">
        <v>117.60484475030999</v>
      </c>
      <c r="B5817">
        <v>141.448780102987</v>
      </c>
      <c r="C5817">
        <v>2001</v>
      </c>
    </row>
    <row r="5818" spans="1:11" x14ac:dyDescent="0.25">
      <c r="A5818">
        <v>118.054242265902</v>
      </c>
      <c r="B5818">
        <v>141.89817761857901</v>
      </c>
      <c r="C5818">
        <v>2001</v>
      </c>
    </row>
    <row r="5819" spans="1:11" x14ac:dyDescent="0.25">
      <c r="A5819">
        <v>118.503639781494</v>
      </c>
      <c r="B5819">
        <v>142.347575134171</v>
      </c>
      <c r="C5819">
        <v>2001</v>
      </c>
    </row>
    <row r="5820" spans="1:11" x14ac:dyDescent="0.25">
      <c r="A5820">
        <v>118.503639781494</v>
      </c>
      <c r="B5820">
        <v>142.347575134171</v>
      </c>
      <c r="C5820">
        <v>2000</v>
      </c>
    </row>
    <row r="5821" spans="1:11" x14ac:dyDescent="0.25">
      <c r="A5821" t="s">
        <v>84</v>
      </c>
    </row>
    <row r="5822" spans="1:11" x14ac:dyDescent="0.25">
      <c r="A5822">
        <v>252</v>
      </c>
      <c r="B5822">
        <v>0</v>
      </c>
      <c r="C5822">
        <v>0.63554406144680797</v>
      </c>
      <c r="D5822">
        <v>0.63554406144680797</v>
      </c>
      <c r="E5822">
        <v>6</v>
      </c>
      <c r="F5822">
        <v>1.5707963267949001</v>
      </c>
      <c r="G5822" t="s">
        <v>85</v>
      </c>
      <c r="H5822" t="s">
        <v>85</v>
      </c>
      <c r="I5822">
        <v>0</v>
      </c>
      <c r="J5822">
        <v>0</v>
      </c>
      <c r="K5822">
        <v>0</v>
      </c>
    </row>
    <row r="5823" spans="1:11" x14ac:dyDescent="0.25">
      <c r="A5823" t="s">
        <v>83</v>
      </c>
    </row>
    <row r="5824" spans="1:11" x14ac:dyDescent="0.25">
      <c r="A5824">
        <v>123.332865349172</v>
      </c>
      <c r="B5824">
        <v>147.555356320252</v>
      </c>
      <c r="C5824">
        <v>2000</v>
      </c>
    </row>
    <row r="5825" spans="1:11" x14ac:dyDescent="0.25">
      <c r="A5825">
        <v>122.88346783358</v>
      </c>
      <c r="B5825">
        <v>147.10595880465999</v>
      </c>
      <c r="C5825">
        <v>2000</v>
      </c>
    </row>
    <row r="5826" spans="1:11" x14ac:dyDescent="0.25">
      <c r="A5826">
        <v>122.88346783358</v>
      </c>
      <c r="B5826">
        <v>147.10595880465999</v>
      </c>
      <c r="C5826">
        <v>2001</v>
      </c>
    </row>
    <row r="5827" spans="1:11" x14ac:dyDescent="0.25">
      <c r="A5827">
        <v>123.332865349172</v>
      </c>
      <c r="B5827">
        <v>147.555356320252</v>
      </c>
      <c r="C5827">
        <v>2001</v>
      </c>
    </row>
    <row r="5828" spans="1:11" x14ac:dyDescent="0.25">
      <c r="A5828">
        <v>123.78226286476399</v>
      </c>
      <c r="B5828">
        <v>148.00475383584401</v>
      </c>
      <c r="C5828">
        <v>2001</v>
      </c>
    </row>
    <row r="5829" spans="1:11" x14ac:dyDescent="0.25">
      <c r="A5829">
        <v>123.78226286476399</v>
      </c>
      <c r="B5829">
        <v>148.00475383584401</v>
      </c>
      <c r="C5829">
        <v>2000</v>
      </c>
    </row>
    <row r="5830" spans="1:11" x14ac:dyDescent="0.25">
      <c r="A5830" t="s">
        <v>84</v>
      </c>
    </row>
    <row r="5831" spans="1:11" x14ac:dyDescent="0.25">
      <c r="A5831">
        <v>339</v>
      </c>
      <c r="B5831">
        <v>0</v>
      </c>
      <c r="C5831">
        <v>0.63554406144680797</v>
      </c>
      <c r="D5831">
        <v>0.63554406144680797</v>
      </c>
      <c r="E5831">
        <v>6</v>
      </c>
      <c r="F5831">
        <v>1.5707963267949001</v>
      </c>
      <c r="G5831" t="s">
        <v>85</v>
      </c>
      <c r="H5831" t="s">
        <v>85</v>
      </c>
      <c r="I5831">
        <v>0</v>
      </c>
      <c r="J5831">
        <v>0</v>
      </c>
      <c r="K5831">
        <v>0</v>
      </c>
    </row>
    <row r="5832" spans="1:11" x14ac:dyDescent="0.25">
      <c r="A5832" t="s">
        <v>83</v>
      </c>
    </row>
    <row r="5833" spans="1:11" x14ac:dyDescent="0.25">
      <c r="A5833">
        <v>54.346504402042598</v>
      </c>
      <c r="B5833">
        <v>138.88838291814901</v>
      </c>
      <c r="C5833">
        <v>2000</v>
      </c>
    </row>
    <row r="5834" spans="1:11" x14ac:dyDescent="0.25">
      <c r="A5834">
        <v>53.8971068864507</v>
      </c>
      <c r="B5834">
        <v>138.43898540255799</v>
      </c>
      <c r="C5834">
        <v>2000</v>
      </c>
    </row>
    <row r="5835" spans="1:11" x14ac:dyDescent="0.25">
      <c r="A5835">
        <v>53.8971068864507</v>
      </c>
      <c r="B5835">
        <v>138.43898540255799</v>
      </c>
      <c r="C5835">
        <v>2001</v>
      </c>
    </row>
    <row r="5836" spans="1:11" x14ac:dyDescent="0.25">
      <c r="A5836">
        <v>54.346504402042598</v>
      </c>
      <c r="B5836">
        <v>138.88838291814901</v>
      </c>
      <c r="C5836">
        <v>2001</v>
      </c>
    </row>
    <row r="5837" spans="1:11" x14ac:dyDescent="0.25">
      <c r="A5837">
        <v>54.795901917634502</v>
      </c>
      <c r="B5837">
        <v>139.33778043374099</v>
      </c>
      <c r="C5837">
        <v>2001</v>
      </c>
    </row>
    <row r="5838" spans="1:11" x14ac:dyDescent="0.25">
      <c r="A5838">
        <v>54.795901917634502</v>
      </c>
      <c r="B5838">
        <v>139.33778043374099</v>
      </c>
      <c r="C5838">
        <v>2000</v>
      </c>
    </row>
    <row r="5839" spans="1:11" x14ac:dyDescent="0.25">
      <c r="A5839" t="s">
        <v>84</v>
      </c>
    </row>
    <row r="5840" spans="1:11" x14ac:dyDescent="0.25">
      <c r="A5840">
        <v>327</v>
      </c>
      <c r="B5840">
        <v>0</v>
      </c>
      <c r="C5840">
        <v>0.63554406144680797</v>
      </c>
      <c r="D5840">
        <v>0.63554406144680797</v>
      </c>
      <c r="E5840">
        <v>6</v>
      </c>
      <c r="F5840">
        <v>1.5707963267949001</v>
      </c>
      <c r="G5840" t="s">
        <v>85</v>
      </c>
      <c r="H5840" t="s">
        <v>85</v>
      </c>
      <c r="I5840">
        <v>0</v>
      </c>
      <c r="J5840">
        <v>0</v>
      </c>
      <c r="K5840">
        <v>0</v>
      </c>
    </row>
    <row r="5841" spans="1:11" x14ac:dyDescent="0.25">
      <c r="A5841" t="s">
        <v>83</v>
      </c>
    </row>
    <row r="5842" spans="1:11" x14ac:dyDescent="0.25">
      <c r="A5842">
        <v>98.023166168957601</v>
      </c>
      <c r="B5842">
        <v>132.48651433153401</v>
      </c>
      <c r="C5842">
        <v>2000</v>
      </c>
    </row>
    <row r="5843" spans="1:11" x14ac:dyDescent="0.25">
      <c r="A5843">
        <v>97.573768653365704</v>
      </c>
      <c r="B5843">
        <v>132.037116815942</v>
      </c>
      <c r="C5843">
        <v>2000</v>
      </c>
    </row>
    <row r="5844" spans="1:11" x14ac:dyDescent="0.25">
      <c r="A5844">
        <v>97.573768653365704</v>
      </c>
      <c r="B5844">
        <v>132.037116815942</v>
      </c>
      <c r="C5844">
        <v>2001</v>
      </c>
    </row>
    <row r="5845" spans="1:11" x14ac:dyDescent="0.25">
      <c r="A5845">
        <v>98.023166168957601</v>
      </c>
      <c r="B5845">
        <v>132.48651433153401</v>
      </c>
      <c r="C5845">
        <v>2001</v>
      </c>
    </row>
    <row r="5846" spans="1:11" x14ac:dyDescent="0.25">
      <c r="A5846">
        <v>98.472563684549499</v>
      </c>
      <c r="B5846">
        <v>132.93591184712599</v>
      </c>
      <c r="C5846">
        <v>2001</v>
      </c>
    </row>
    <row r="5847" spans="1:11" x14ac:dyDescent="0.25">
      <c r="A5847">
        <v>98.472563684549499</v>
      </c>
      <c r="B5847">
        <v>132.93591184712599</v>
      </c>
      <c r="C5847">
        <v>2000</v>
      </c>
    </row>
    <row r="5848" spans="1:11" x14ac:dyDescent="0.25">
      <c r="A5848" t="s">
        <v>84</v>
      </c>
    </row>
    <row r="5849" spans="1:11" x14ac:dyDescent="0.25">
      <c r="A5849">
        <v>337</v>
      </c>
      <c r="B5849">
        <v>0</v>
      </c>
      <c r="C5849">
        <v>0.63554406144680797</v>
      </c>
      <c r="D5849">
        <v>0.63554406144680797</v>
      </c>
      <c r="E5849">
        <v>6</v>
      </c>
      <c r="F5849">
        <v>1.5707963267949001</v>
      </c>
      <c r="G5849" t="s">
        <v>85</v>
      </c>
      <c r="H5849" t="s">
        <v>85</v>
      </c>
      <c r="I5849">
        <v>0</v>
      </c>
      <c r="J5849">
        <v>0</v>
      </c>
      <c r="K5849">
        <v>0</v>
      </c>
    </row>
    <row r="5850" spans="1:11" x14ac:dyDescent="0.25">
      <c r="A5850" t="s">
        <v>83</v>
      </c>
    </row>
    <row r="5851" spans="1:11" x14ac:dyDescent="0.25">
      <c r="A5851">
        <v>80.546622888905304</v>
      </c>
      <c r="B5851">
        <v>146.476300443279</v>
      </c>
      <c r="C5851">
        <v>2000</v>
      </c>
    </row>
    <row r="5852" spans="1:11" x14ac:dyDescent="0.25">
      <c r="A5852">
        <v>80.097225373313407</v>
      </c>
      <c r="B5852">
        <v>146.02690292768699</v>
      </c>
      <c r="C5852">
        <v>2000</v>
      </c>
    </row>
    <row r="5853" spans="1:11" x14ac:dyDescent="0.25">
      <c r="A5853">
        <v>80.097225373313407</v>
      </c>
      <c r="B5853">
        <v>146.02690292768699</v>
      </c>
      <c r="C5853">
        <v>2001</v>
      </c>
    </row>
    <row r="5854" spans="1:11" x14ac:dyDescent="0.25">
      <c r="A5854">
        <v>80.546622888905304</v>
      </c>
      <c r="B5854">
        <v>146.476300443279</v>
      </c>
      <c r="C5854">
        <v>2001</v>
      </c>
    </row>
    <row r="5855" spans="1:11" x14ac:dyDescent="0.25">
      <c r="A5855">
        <v>80.996020404497202</v>
      </c>
      <c r="B5855">
        <v>146.92569795887101</v>
      </c>
      <c r="C5855">
        <v>2001</v>
      </c>
    </row>
    <row r="5856" spans="1:11" x14ac:dyDescent="0.25">
      <c r="A5856">
        <v>80.996020404497202</v>
      </c>
      <c r="B5856">
        <v>146.92569795887101</v>
      </c>
      <c r="C5856">
        <v>2000</v>
      </c>
    </row>
    <row r="5857" spans="1:11" x14ac:dyDescent="0.25">
      <c r="A5857" t="s">
        <v>84</v>
      </c>
    </row>
    <row r="5858" spans="1:11" x14ac:dyDescent="0.25">
      <c r="A5858">
        <v>336</v>
      </c>
      <c r="B5858">
        <v>0</v>
      </c>
      <c r="C5858">
        <v>0.63554406144680797</v>
      </c>
      <c r="D5858">
        <v>0.63554406144680797</v>
      </c>
      <c r="E5858">
        <v>6</v>
      </c>
      <c r="F5858">
        <v>1.5707963267949001</v>
      </c>
      <c r="G5858" t="s">
        <v>85</v>
      </c>
      <c r="H5858" t="s">
        <v>85</v>
      </c>
      <c r="I5858">
        <v>0</v>
      </c>
      <c r="J5858">
        <v>0</v>
      </c>
      <c r="K5858">
        <v>0</v>
      </c>
    </row>
    <row r="5859" spans="1:11" x14ac:dyDescent="0.25">
      <c r="A5859" t="s">
        <v>83</v>
      </c>
    </row>
    <row r="5860" spans="1:11" x14ac:dyDescent="0.25">
      <c r="A5860">
        <v>83.1734736488077</v>
      </c>
      <c r="B5860">
        <v>132.42905147254001</v>
      </c>
      <c r="C5860">
        <v>2000</v>
      </c>
    </row>
    <row r="5861" spans="1:11" x14ac:dyDescent="0.25">
      <c r="A5861">
        <v>82.724076133215803</v>
      </c>
      <c r="B5861">
        <v>131.979653956948</v>
      </c>
      <c r="C5861">
        <v>2000</v>
      </c>
    </row>
    <row r="5862" spans="1:11" x14ac:dyDescent="0.25">
      <c r="A5862">
        <v>82.724076133215803</v>
      </c>
      <c r="B5862">
        <v>131.979653956948</v>
      </c>
      <c r="C5862">
        <v>2001</v>
      </c>
    </row>
    <row r="5863" spans="1:11" x14ac:dyDescent="0.25">
      <c r="A5863">
        <v>83.1734736488077</v>
      </c>
      <c r="B5863">
        <v>132.42905147254001</v>
      </c>
      <c r="C5863">
        <v>2001</v>
      </c>
    </row>
    <row r="5864" spans="1:11" x14ac:dyDescent="0.25">
      <c r="A5864">
        <v>83.622871164399598</v>
      </c>
      <c r="B5864">
        <v>132.878448988131</v>
      </c>
      <c r="C5864">
        <v>2001</v>
      </c>
    </row>
    <row r="5865" spans="1:11" x14ac:dyDescent="0.25">
      <c r="A5865">
        <v>83.622871164399598</v>
      </c>
      <c r="B5865">
        <v>132.878448988131</v>
      </c>
      <c r="C5865">
        <v>2000</v>
      </c>
    </row>
    <row r="5866" spans="1:11" x14ac:dyDescent="0.25">
      <c r="A5866" t="s">
        <v>84</v>
      </c>
    </row>
    <row r="5867" spans="1:11" x14ac:dyDescent="0.25">
      <c r="A5867">
        <v>330</v>
      </c>
      <c r="B5867">
        <v>0</v>
      </c>
      <c r="C5867">
        <v>0.63554406144680797</v>
      </c>
      <c r="D5867">
        <v>0.63554406144680797</v>
      </c>
      <c r="E5867">
        <v>6</v>
      </c>
      <c r="F5867">
        <v>1.5707963267949001</v>
      </c>
      <c r="G5867" t="s">
        <v>85</v>
      </c>
      <c r="H5867" t="s">
        <v>85</v>
      </c>
      <c r="I5867">
        <v>0</v>
      </c>
      <c r="J5867">
        <v>0</v>
      </c>
      <c r="K5867">
        <v>0</v>
      </c>
    </row>
    <row r="5868" spans="1:11" x14ac:dyDescent="0.25">
      <c r="A5868" t="s">
        <v>83</v>
      </c>
    </row>
    <row r="5869" spans="1:11" x14ac:dyDescent="0.25">
      <c r="A5869">
        <v>84.197591645269497</v>
      </c>
      <c r="B5869">
        <v>131.217682038535</v>
      </c>
      <c r="C5869">
        <v>2000</v>
      </c>
    </row>
    <row r="5870" spans="1:11" x14ac:dyDescent="0.25">
      <c r="A5870">
        <v>83.7481941296776</v>
      </c>
      <c r="B5870">
        <v>130.76828452294299</v>
      </c>
      <c r="C5870">
        <v>2000</v>
      </c>
    </row>
    <row r="5871" spans="1:11" x14ac:dyDescent="0.25">
      <c r="A5871">
        <v>83.7481941296776</v>
      </c>
      <c r="B5871">
        <v>130.76828452294299</v>
      </c>
      <c r="C5871">
        <v>2001</v>
      </c>
    </row>
    <row r="5872" spans="1:11" x14ac:dyDescent="0.25">
      <c r="A5872">
        <v>84.197591645269497</v>
      </c>
      <c r="B5872">
        <v>131.217682038535</v>
      </c>
      <c r="C5872">
        <v>2001</v>
      </c>
    </row>
    <row r="5873" spans="1:11" x14ac:dyDescent="0.25">
      <c r="A5873">
        <v>84.646989160861395</v>
      </c>
      <c r="B5873">
        <v>131.66707955412701</v>
      </c>
      <c r="C5873">
        <v>2001</v>
      </c>
    </row>
    <row r="5874" spans="1:11" x14ac:dyDescent="0.25">
      <c r="A5874">
        <v>84.646989160861395</v>
      </c>
      <c r="B5874">
        <v>131.66707955412701</v>
      </c>
      <c r="C5874">
        <v>2000</v>
      </c>
    </row>
    <row r="5875" spans="1:11" x14ac:dyDescent="0.25">
      <c r="A5875" t="s">
        <v>84</v>
      </c>
    </row>
    <row r="5876" spans="1:11" x14ac:dyDescent="0.25">
      <c r="A5876">
        <v>322</v>
      </c>
      <c r="B5876">
        <v>0</v>
      </c>
      <c r="C5876">
        <v>0.63554406144680797</v>
      </c>
      <c r="D5876">
        <v>0.63554406144680797</v>
      </c>
      <c r="E5876">
        <v>6</v>
      </c>
      <c r="F5876">
        <v>1.5707963267949001</v>
      </c>
      <c r="G5876" t="s">
        <v>85</v>
      </c>
      <c r="H5876" t="s">
        <v>85</v>
      </c>
      <c r="I5876">
        <v>0</v>
      </c>
      <c r="J5876">
        <v>0</v>
      </c>
      <c r="K5876">
        <v>0</v>
      </c>
    </row>
    <row r="5877" spans="1:11" x14ac:dyDescent="0.25">
      <c r="A5877" t="s">
        <v>83</v>
      </c>
    </row>
    <row r="5878" spans="1:11" x14ac:dyDescent="0.25">
      <c r="A5878">
        <v>81.052612213442401</v>
      </c>
      <c r="B5878">
        <v>122.156287169622</v>
      </c>
      <c r="C5878">
        <v>2000</v>
      </c>
    </row>
    <row r="5879" spans="1:11" x14ac:dyDescent="0.25">
      <c r="A5879">
        <v>80.603214697850504</v>
      </c>
      <c r="B5879">
        <v>121.706889654031</v>
      </c>
      <c r="C5879">
        <v>2000</v>
      </c>
    </row>
    <row r="5880" spans="1:11" x14ac:dyDescent="0.25">
      <c r="A5880">
        <v>80.603214697850504</v>
      </c>
      <c r="B5880">
        <v>121.706889654031</v>
      </c>
      <c r="C5880">
        <v>2001</v>
      </c>
    </row>
    <row r="5881" spans="1:11" x14ac:dyDescent="0.25">
      <c r="A5881">
        <v>81.052612213442401</v>
      </c>
      <c r="B5881">
        <v>122.156287169622</v>
      </c>
      <c r="C5881">
        <v>2001</v>
      </c>
    </row>
    <row r="5882" spans="1:11" x14ac:dyDescent="0.25">
      <c r="A5882">
        <v>81.502009729034299</v>
      </c>
      <c r="B5882">
        <v>122.605684685214</v>
      </c>
      <c r="C5882">
        <v>2001</v>
      </c>
    </row>
    <row r="5883" spans="1:11" x14ac:dyDescent="0.25">
      <c r="A5883">
        <v>81.502009729034299</v>
      </c>
      <c r="B5883">
        <v>122.605684685214</v>
      </c>
      <c r="C5883">
        <v>2000</v>
      </c>
    </row>
    <row r="5884" spans="1:11" x14ac:dyDescent="0.25">
      <c r="A5884" t="s">
        <v>84</v>
      </c>
    </row>
    <row r="5885" spans="1:11" x14ac:dyDescent="0.25">
      <c r="A5885">
        <v>413</v>
      </c>
      <c r="B5885">
        <v>0</v>
      </c>
      <c r="C5885">
        <v>0.63554406144682196</v>
      </c>
      <c r="D5885">
        <v>0.60158961148184198</v>
      </c>
      <c r="E5885">
        <v>6</v>
      </c>
      <c r="F5885">
        <v>1.5707963267949001</v>
      </c>
      <c r="G5885" t="s">
        <v>85</v>
      </c>
      <c r="H5885" t="s">
        <v>81</v>
      </c>
      <c r="I5885">
        <v>0</v>
      </c>
      <c r="J5885">
        <v>1047</v>
      </c>
      <c r="K5885">
        <v>0</v>
      </c>
    </row>
    <row r="5886" spans="1:11" x14ac:dyDescent="0.25">
      <c r="A5886" t="s">
        <v>83</v>
      </c>
    </row>
    <row r="5887" spans="1:11" x14ac:dyDescent="0.25">
      <c r="A5887">
        <v>0.52144202660837402</v>
      </c>
      <c r="B5887">
        <v>144.994714958591</v>
      </c>
      <c r="C5887">
        <v>2000</v>
      </c>
    </row>
    <row r="5888" spans="1:11" x14ac:dyDescent="0.25">
      <c r="A5888">
        <v>7.2044511016485999E-2</v>
      </c>
      <c r="B5888">
        <v>144.54531744299899</v>
      </c>
      <c r="C5888">
        <v>2000</v>
      </c>
    </row>
    <row r="5889" spans="1:11" x14ac:dyDescent="0.25">
      <c r="A5889">
        <v>7.2044511016485999E-2</v>
      </c>
      <c r="B5889">
        <v>144.54531744299899</v>
      </c>
      <c r="C5889">
        <v>2001</v>
      </c>
    </row>
    <row r="5890" spans="1:11" x14ac:dyDescent="0.25">
      <c r="A5890">
        <v>0.52144202660837402</v>
      </c>
      <c r="B5890">
        <v>144.994714958591</v>
      </c>
      <c r="C5890">
        <v>2001</v>
      </c>
    </row>
    <row r="5891" spans="1:11" x14ac:dyDescent="0.25">
      <c r="A5891">
        <v>0.94683012037856396</v>
      </c>
      <c r="B5891">
        <v>145.42010305236099</v>
      </c>
      <c r="C5891">
        <v>2001</v>
      </c>
    </row>
    <row r="5892" spans="1:11" x14ac:dyDescent="0.25">
      <c r="A5892">
        <v>0.94683012037856396</v>
      </c>
      <c r="B5892">
        <v>145.42010305236099</v>
      </c>
      <c r="C5892">
        <v>2000</v>
      </c>
    </row>
    <row r="5893" spans="1:11" x14ac:dyDescent="0.25">
      <c r="A5893" t="s">
        <v>84</v>
      </c>
    </row>
    <row r="5894" spans="1:11" x14ac:dyDescent="0.25">
      <c r="A5894">
        <v>19</v>
      </c>
      <c r="B5894">
        <v>0</v>
      </c>
      <c r="C5894">
        <v>0.45911696033992999</v>
      </c>
      <c r="D5894">
        <v>0.63554406144682196</v>
      </c>
      <c r="E5894">
        <v>6</v>
      </c>
      <c r="F5894">
        <v>1.5707963267949001</v>
      </c>
      <c r="G5894" t="s">
        <v>81</v>
      </c>
      <c r="H5894" t="s">
        <v>85</v>
      </c>
      <c r="I5894">
        <v>37</v>
      </c>
      <c r="J5894">
        <v>0</v>
      </c>
      <c r="K5894">
        <v>0</v>
      </c>
    </row>
    <row r="5895" spans="1:11" x14ac:dyDescent="0.25">
      <c r="A5895" t="s">
        <v>83</v>
      </c>
    </row>
    <row r="5896" spans="1:11" x14ac:dyDescent="0.25">
      <c r="A5896">
        <v>23.596047935353599</v>
      </c>
      <c r="B5896">
        <v>13.8090467726854</v>
      </c>
      <c r="C5896">
        <v>2000</v>
      </c>
    </row>
    <row r="5897" spans="1:11" x14ac:dyDescent="0.25">
      <c r="A5897">
        <v>23.271403219339501</v>
      </c>
      <c r="B5897">
        <v>13.4844020566713</v>
      </c>
      <c r="C5897">
        <v>2000</v>
      </c>
    </row>
    <row r="5898" spans="1:11" x14ac:dyDescent="0.25">
      <c r="A5898">
        <v>23.271403219339501</v>
      </c>
      <c r="B5898">
        <v>13.4844020566713</v>
      </c>
      <c r="C5898">
        <v>2001</v>
      </c>
    </row>
    <row r="5899" spans="1:11" x14ac:dyDescent="0.25">
      <c r="A5899">
        <v>23.596047935353599</v>
      </c>
      <c r="B5899">
        <v>13.8090467726854</v>
      </c>
      <c r="C5899">
        <v>2001</v>
      </c>
    </row>
    <row r="5900" spans="1:11" x14ac:dyDescent="0.25">
      <c r="A5900">
        <v>24.0454454509455</v>
      </c>
      <c r="B5900">
        <v>14.2584442882773</v>
      </c>
      <c r="C5900">
        <v>2001</v>
      </c>
    </row>
    <row r="5901" spans="1:11" x14ac:dyDescent="0.25">
      <c r="A5901">
        <v>24.0454454509455</v>
      </c>
      <c r="B5901">
        <v>14.2584442882773</v>
      </c>
      <c r="C5901">
        <v>2000</v>
      </c>
    </row>
    <row r="5902" spans="1:11" x14ac:dyDescent="0.25">
      <c r="A5902" t="s">
        <v>84</v>
      </c>
    </row>
    <row r="5903" spans="1:11" x14ac:dyDescent="0.25">
      <c r="A5903">
        <v>333</v>
      </c>
      <c r="B5903">
        <v>0</v>
      </c>
      <c r="C5903">
        <v>0.44643715094616698</v>
      </c>
      <c r="D5903">
        <v>0.63554406144680797</v>
      </c>
      <c r="E5903">
        <v>8</v>
      </c>
      <c r="F5903">
        <v>1.5707963267949001</v>
      </c>
      <c r="G5903" t="s">
        <v>81</v>
      </c>
      <c r="H5903" t="s">
        <v>85</v>
      </c>
      <c r="I5903">
        <v>730</v>
      </c>
      <c r="J5903">
        <v>0</v>
      </c>
      <c r="K5903">
        <v>0</v>
      </c>
    </row>
    <row r="5904" spans="1:11" x14ac:dyDescent="0.25">
      <c r="A5904" t="s">
        <v>83</v>
      </c>
    </row>
    <row r="5905" spans="1:11" x14ac:dyDescent="0.25">
      <c r="A5905">
        <v>99.802867101879301</v>
      </c>
      <c r="B5905">
        <v>148.99100888240699</v>
      </c>
      <c r="C5905">
        <v>2000</v>
      </c>
    </row>
    <row r="5906" spans="1:11" x14ac:dyDescent="0.25">
      <c r="A5906">
        <v>99.487188365071603</v>
      </c>
      <c r="B5906">
        <v>148.67533014559899</v>
      </c>
      <c r="C5906">
        <v>2000</v>
      </c>
    </row>
    <row r="5907" spans="1:11" x14ac:dyDescent="0.25">
      <c r="A5907">
        <v>99.487188365071603</v>
      </c>
      <c r="B5907">
        <v>148.67533014559899</v>
      </c>
      <c r="C5907">
        <v>2001</v>
      </c>
    </row>
    <row r="5908" spans="1:11" x14ac:dyDescent="0.25">
      <c r="A5908">
        <v>99.802867101879301</v>
      </c>
      <c r="B5908">
        <v>148.99100888240699</v>
      </c>
      <c r="C5908">
        <v>2001</v>
      </c>
    </row>
    <row r="5909" spans="1:11" x14ac:dyDescent="0.25">
      <c r="A5909">
        <v>100</v>
      </c>
      <c r="B5909">
        <v>149.18814178052699</v>
      </c>
      <c r="C5909">
        <v>2001</v>
      </c>
    </row>
    <row r="5910" spans="1:11" x14ac:dyDescent="0.25">
      <c r="A5910">
        <v>100.252264617471</v>
      </c>
      <c r="B5910">
        <v>149.440406397999</v>
      </c>
      <c r="C5910">
        <v>2001</v>
      </c>
    </row>
    <row r="5911" spans="1:11" x14ac:dyDescent="0.25">
      <c r="A5911">
        <v>100.252264617471</v>
      </c>
      <c r="B5911">
        <v>149.440406397999</v>
      </c>
      <c r="C5911">
        <v>2000</v>
      </c>
    </row>
    <row r="5912" spans="1:11" x14ac:dyDescent="0.25">
      <c r="A5912">
        <v>100</v>
      </c>
      <c r="B5912">
        <v>149.18814178052699</v>
      </c>
      <c r="C5912">
        <v>2000</v>
      </c>
    </row>
    <row r="5913" spans="1:11" x14ac:dyDescent="0.25">
      <c r="A5913" t="s">
        <v>84</v>
      </c>
    </row>
    <row r="5914" spans="1:11" x14ac:dyDescent="0.25">
      <c r="A5914">
        <v>94</v>
      </c>
      <c r="B5914">
        <v>0</v>
      </c>
      <c r="C5914">
        <v>0.63554406144682196</v>
      </c>
      <c r="D5914">
        <v>0.37488558005342998</v>
      </c>
      <c r="E5914">
        <v>6</v>
      </c>
      <c r="F5914">
        <v>1.5707963267949001</v>
      </c>
      <c r="G5914" t="s">
        <v>85</v>
      </c>
      <c r="H5914" t="s">
        <v>81</v>
      </c>
      <c r="I5914">
        <v>0</v>
      </c>
      <c r="J5914">
        <v>99</v>
      </c>
      <c r="K5914">
        <v>0</v>
      </c>
    </row>
    <row r="5915" spans="1:11" x14ac:dyDescent="0.25">
      <c r="A5915" t="s">
        <v>83</v>
      </c>
    </row>
    <row r="5916" spans="1:11" x14ac:dyDescent="0.25">
      <c r="A5916">
        <v>5.1960524312202097</v>
      </c>
      <c r="B5916">
        <v>96.709805364585407</v>
      </c>
      <c r="C5916">
        <v>2000</v>
      </c>
    </row>
    <row r="5917" spans="1:11" x14ac:dyDescent="0.25">
      <c r="A5917">
        <v>4.7466549156283202</v>
      </c>
      <c r="B5917">
        <v>96.260407848993495</v>
      </c>
      <c r="C5917">
        <v>2000</v>
      </c>
    </row>
    <row r="5918" spans="1:11" x14ac:dyDescent="0.25">
      <c r="A5918">
        <v>4.7466549156283202</v>
      </c>
      <c r="B5918">
        <v>96.260407848993495</v>
      </c>
      <c r="C5918">
        <v>2001</v>
      </c>
    </row>
    <row r="5919" spans="1:11" x14ac:dyDescent="0.25">
      <c r="A5919">
        <v>5.1960524312202097</v>
      </c>
      <c r="B5919">
        <v>96.709805364585407</v>
      </c>
      <c r="C5919">
        <v>2001</v>
      </c>
    </row>
    <row r="5920" spans="1:11" x14ac:dyDescent="0.25">
      <c r="A5920">
        <v>5.46113656704504</v>
      </c>
      <c r="B5920">
        <v>96.9748895004102</v>
      </c>
      <c r="C5920">
        <v>2001</v>
      </c>
    </row>
    <row r="5921" spans="1:11" x14ac:dyDescent="0.25">
      <c r="A5921">
        <v>5.46113656704504</v>
      </c>
      <c r="B5921">
        <v>96.9748895004102</v>
      </c>
      <c r="C5921">
        <v>2000</v>
      </c>
    </row>
    <row r="5922" spans="1:11" x14ac:dyDescent="0.25">
      <c r="A5922" t="s">
        <v>84</v>
      </c>
    </row>
    <row r="5923" spans="1:11" x14ac:dyDescent="0.25">
      <c r="A5923">
        <v>99</v>
      </c>
      <c r="B5923">
        <v>0</v>
      </c>
      <c r="C5923">
        <v>0.310646477312361</v>
      </c>
      <c r="D5923">
        <v>0.63554406144682196</v>
      </c>
      <c r="E5923">
        <v>6</v>
      </c>
      <c r="F5923">
        <v>1.5707963267949001</v>
      </c>
      <c r="G5923" t="s">
        <v>81</v>
      </c>
      <c r="H5923" t="s">
        <v>85</v>
      </c>
      <c r="I5923">
        <v>94</v>
      </c>
      <c r="J5923">
        <v>0</v>
      </c>
      <c r="K5923">
        <v>0</v>
      </c>
    </row>
    <row r="5924" spans="1:11" x14ac:dyDescent="0.25">
      <c r="A5924" t="s">
        <v>83</v>
      </c>
    </row>
    <row r="5925" spans="1:11" x14ac:dyDescent="0.25">
      <c r="A5925">
        <v>5.6180567157538803</v>
      </c>
      <c r="B5925">
        <v>97.257289813019995</v>
      </c>
      <c r="C5925">
        <v>2000</v>
      </c>
    </row>
    <row r="5926" spans="1:11" x14ac:dyDescent="0.25">
      <c r="A5926">
        <v>5.3983964850946</v>
      </c>
      <c r="B5926">
        <v>97.037629582360694</v>
      </c>
      <c r="C5926">
        <v>2000</v>
      </c>
    </row>
    <row r="5927" spans="1:11" x14ac:dyDescent="0.25">
      <c r="A5927">
        <v>5.3983964850946</v>
      </c>
      <c r="B5927">
        <v>97.037629582360694</v>
      </c>
      <c r="C5927">
        <v>2001</v>
      </c>
    </row>
    <row r="5928" spans="1:11" x14ac:dyDescent="0.25">
      <c r="A5928">
        <v>5.6180567157538803</v>
      </c>
      <c r="B5928">
        <v>97.257289813019995</v>
      </c>
      <c r="C5928">
        <v>2001</v>
      </c>
    </row>
    <row r="5929" spans="1:11" x14ac:dyDescent="0.25">
      <c r="A5929">
        <v>6.0674542313457698</v>
      </c>
      <c r="B5929">
        <v>97.706687328611807</v>
      </c>
      <c r="C5929">
        <v>2001</v>
      </c>
    </row>
    <row r="5930" spans="1:11" x14ac:dyDescent="0.25">
      <c r="A5930">
        <v>6.0674542313457698</v>
      </c>
      <c r="B5930">
        <v>97.706687328611807</v>
      </c>
      <c r="C5930">
        <v>2000</v>
      </c>
    </row>
    <row r="5931" spans="1:11" x14ac:dyDescent="0.25">
      <c r="A5931" t="s">
        <v>84</v>
      </c>
    </row>
    <row r="5932" spans="1:11" x14ac:dyDescent="0.25">
      <c r="A5932">
        <v>326</v>
      </c>
      <c r="B5932">
        <v>0</v>
      </c>
      <c r="C5932">
        <v>0.310646477312361</v>
      </c>
      <c r="D5932">
        <v>0.63554406144680797</v>
      </c>
      <c r="E5932">
        <v>6</v>
      </c>
      <c r="F5932">
        <v>1.5707963267949001</v>
      </c>
      <c r="G5932" t="s">
        <v>81</v>
      </c>
      <c r="H5932" t="s">
        <v>85</v>
      </c>
      <c r="I5932">
        <v>324</v>
      </c>
      <c r="J5932">
        <v>0</v>
      </c>
      <c r="K5932">
        <v>0</v>
      </c>
    </row>
    <row r="5933" spans="1:11" x14ac:dyDescent="0.25">
      <c r="A5933" t="s">
        <v>83</v>
      </c>
    </row>
    <row r="5934" spans="1:11" x14ac:dyDescent="0.25">
      <c r="A5934">
        <v>91.597165081928097</v>
      </c>
      <c r="B5934">
        <v>129.875537266431</v>
      </c>
      <c r="C5934">
        <v>2000</v>
      </c>
    </row>
    <row r="5935" spans="1:11" x14ac:dyDescent="0.25">
      <c r="A5935">
        <v>91.377504851268796</v>
      </c>
      <c r="B5935">
        <v>129.65587703577199</v>
      </c>
      <c r="C5935">
        <v>2000</v>
      </c>
    </row>
    <row r="5936" spans="1:11" x14ac:dyDescent="0.25">
      <c r="A5936">
        <v>91.377504851268796</v>
      </c>
      <c r="B5936">
        <v>129.65587703577199</v>
      </c>
      <c r="C5936">
        <v>2001</v>
      </c>
    </row>
    <row r="5937" spans="1:11" x14ac:dyDescent="0.25">
      <c r="A5937">
        <v>91.597165081928097</v>
      </c>
      <c r="B5937">
        <v>129.875537266431</v>
      </c>
      <c r="C5937">
        <v>2001</v>
      </c>
    </row>
    <row r="5938" spans="1:11" x14ac:dyDescent="0.25">
      <c r="A5938">
        <v>92.046562597519994</v>
      </c>
      <c r="B5938">
        <v>130.32493478202301</v>
      </c>
      <c r="C5938">
        <v>2001</v>
      </c>
    </row>
    <row r="5939" spans="1:11" x14ac:dyDescent="0.25">
      <c r="A5939">
        <v>92.046562597519994</v>
      </c>
      <c r="B5939">
        <v>130.32493478202301</v>
      </c>
      <c r="C5939">
        <v>2000</v>
      </c>
    </row>
    <row r="5940" spans="1:11" x14ac:dyDescent="0.25">
      <c r="A5940" t="s">
        <v>84</v>
      </c>
    </row>
    <row r="5941" spans="1:11" x14ac:dyDescent="0.25">
      <c r="A5941">
        <v>728</v>
      </c>
      <c r="B5941">
        <v>0</v>
      </c>
      <c r="C5941">
        <v>0.80268664121510402</v>
      </c>
      <c r="D5941">
        <v>5.53278795279653E-2</v>
      </c>
      <c r="E5941">
        <v>6</v>
      </c>
      <c r="F5941">
        <v>1.01722196789785</v>
      </c>
      <c r="G5941" t="s">
        <v>81</v>
      </c>
      <c r="H5941" t="s">
        <v>81</v>
      </c>
      <c r="I5941">
        <v>981</v>
      </c>
      <c r="J5941">
        <v>519</v>
      </c>
      <c r="K5941">
        <v>0.102125662797643</v>
      </c>
    </row>
    <row r="5942" spans="1:11" x14ac:dyDescent="0.25">
      <c r="A5942" t="s">
        <v>83</v>
      </c>
    </row>
    <row r="5943" spans="1:11" x14ac:dyDescent="0.25">
      <c r="A5943">
        <v>137.074899966402</v>
      </c>
      <c r="B5943">
        <v>32.841848880440097</v>
      </c>
      <c r="C5943">
        <v>2000</v>
      </c>
    </row>
    <row r="5944" spans="1:11" x14ac:dyDescent="0.25">
      <c r="A5944">
        <v>136.50731479923101</v>
      </c>
      <c r="B5944">
        <v>32.274263713269001</v>
      </c>
      <c r="C5944">
        <v>2000</v>
      </c>
    </row>
    <row r="5945" spans="1:11" x14ac:dyDescent="0.25">
      <c r="A5945">
        <v>136.94433082367999</v>
      </c>
      <c r="B5945">
        <v>31.837247688820199</v>
      </c>
      <c r="C5945">
        <v>2001</v>
      </c>
    </row>
    <row r="5946" spans="1:11" x14ac:dyDescent="0.25">
      <c r="A5946">
        <v>137.51191599085101</v>
      </c>
      <c r="B5946">
        <v>32.404832855991302</v>
      </c>
      <c r="C5946">
        <v>2001</v>
      </c>
    </row>
    <row r="5947" spans="1:11" x14ac:dyDescent="0.25">
      <c r="A5947">
        <v>137.55103870965399</v>
      </c>
      <c r="B5947">
        <v>32.443955574794202</v>
      </c>
      <c r="C5947">
        <v>2001</v>
      </c>
    </row>
    <row r="5948" spans="1:11" x14ac:dyDescent="0.25">
      <c r="A5948">
        <v>137.11402268520499</v>
      </c>
      <c r="B5948">
        <v>32.880971599242997</v>
      </c>
      <c r="C5948">
        <v>2000</v>
      </c>
    </row>
    <row r="5949" spans="1:11" x14ac:dyDescent="0.25">
      <c r="A5949" t="s">
        <v>84</v>
      </c>
    </row>
    <row r="5950" spans="1:11" x14ac:dyDescent="0.25">
      <c r="A5950">
        <v>650</v>
      </c>
      <c r="B5950">
        <v>0</v>
      </c>
      <c r="C5950">
        <v>0.13999293059099199</v>
      </c>
      <c r="D5950">
        <v>0.63554406144682196</v>
      </c>
      <c r="E5950">
        <v>6</v>
      </c>
      <c r="F5950">
        <v>1.5707963267949001</v>
      </c>
      <c r="G5950" t="s">
        <v>81</v>
      </c>
      <c r="H5950" t="s">
        <v>85</v>
      </c>
      <c r="I5950">
        <v>647</v>
      </c>
      <c r="J5950">
        <v>0</v>
      </c>
      <c r="K5950">
        <v>0</v>
      </c>
    </row>
    <row r="5951" spans="1:11" x14ac:dyDescent="0.25">
      <c r="A5951" t="s">
        <v>83</v>
      </c>
    </row>
    <row r="5952" spans="1:11" x14ac:dyDescent="0.25">
      <c r="A5952">
        <v>72.894324943374102</v>
      </c>
      <c r="B5952">
        <v>72.121883974001705</v>
      </c>
      <c r="C5952">
        <v>2000</v>
      </c>
    </row>
    <row r="5953" spans="1:11" x14ac:dyDescent="0.25">
      <c r="A5953">
        <v>72.795334992834995</v>
      </c>
      <c r="B5953">
        <v>72.022894023462598</v>
      </c>
      <c r="C5953">
        <v>2000</v>
      </c>
    </row>
    <row r="5954" spans="1:11" x14ac:dyDescent="0.25">
      <c r="A5954">
        <v>72.795334992834995</v>
      </c>
      <c r="B5954">
        <v>72.022894023462598</v>
      </c>
      <c r="C5954">
        <v>2001</v>
      </c>
    </row>
    <row r="5955" spans="1:11" x14ac:dyDescent="0.25">
      <c r="A5955">
        <v>72.894324943374102</v>
      </c>
      <c r="B5955">
        <v>72.121883974001705</v>
      </c>
      <c r="C5955">
        <v>2001</v>
      </c>
    </row>
    <row r="5956" spans="1:11" x14ac:dyDescent="0.25">
      <c r="A5956">
        <v>73.3437224589659</v>
      </c>
      <c r="B5956">
        <v>72.571281489593602</v>
      </c>
      <c r="C5956">
        <v>2001</v>
      </c>
    </row>
    <row r="5957" spans="1:11" x14ac:dyDescent="0.25">
      <c r="A5957">
        <v>73.3437224589659</v>
      </c>
      <c r="B5957">
        <v>72.571281489593602</v>
      </c>
      <c r="C5957">
        <v>2000</v>
      </c>
    </row>
    <row r="5958" spans="1:11" x14ac:dyDescent="0.25">
      <c r="A5958" t="s">
        <v>84</v>
      </c>
    </row>
    <row r="5959" spans="1:11" x14ac:dyDescent="0.25">
      <c r="A5959">
        <v>331</v>
      </c>
      <c r="B5959">
        <v>0</v>
      </c>
      <c r="C5959">
        <v>0.63554406144683595</v>
      </c>
      <c r="D5959">
        <v>0</v>
      </c>
      <c r="E5959">
        <v>7</v>
      </c>
      <c r="F5959">
        <v>1.5707963267949001</v>
      </c>
      <c r="G5959" t="s">
        <v>85</v>
      </c>
      <c r="H5959" t="s">
        <v>81</v>
      </c>
      <c r="I5959">
        <v>0</v>
      </c>
      <c r="J5959">
        <v>348</v>
      </c>
      <c r="K5959">
        <v>0</v>
      </c>
    </row>
    <row r="5960" spans="1:11" x14ac:dyDescent="0.25">
      <c r="A5960" t="s">
        <v>83</v>
      </c>
    </row>
    <row r="5961" spans="1:11" x14ac:dyDescent="0.25">
      <c r="A5961">
        <v>50.261404283932102</v>
      </c>
      <c r="B5961">
        <v>113.31496550157399</v>
      </c>
      <c r="C5961">
        <v>2000</v>
      </c>
    </row>
    <row r="5962" spans="1:11" x14ac:dyDescent="0.25">
      <c r="A5962">
        <v>50</v>
      </c>
      <c r="B5962">
        <v>113.053561217642</v>
      </c>
      <c r="C5962">
        <v>2000</v>
      </c>
    </row>
    <row r="5963" spans="1:11" x14ac:dyDescent="0.25">
      <c r="A5963">
        <v>49.812006768340197</v>
      </c>
      <c r="B5963">
        <v>112.865567985982</v>
      </c>
      <c r="C5963">
        <v>2000</v>
      </c>
    </row>
    <row r="5964" spans="1:11" x14ac:dyDescent="0.25">
      <c r="A5964">
        <v>49.812006768340197</v>
      </c>
      <c r="B5964">
        <v>112.865567985982</v>
      </c>
      <c r="C5964">
        <v>2001</v>
      </c>
    </row>
    <row r="5965" spans="1:11" x14ac:dyDescent="0.25">
      <c r="A5965">
        <v>50</v>
      </c>
      <c r="B5965">
        <v>113.053561217642</v>
      </c>
      <c r="C5965">
        <v>2001</v>
      </c>
    </row>
    <row r="5966" spans="1:11" x14ac:dyDescent="0.25">
      <c r="A5966">
        <v>50.261404283932102</v>
      </c>
      <c r="B5966">
        <v>113.31496550157399</v>
      </c>
      <c r="C5966">
        <v>2001</v>
      </c>
    </row>
    <row r="5967" spans="1:11" x14ac:dyDescent="0.25">
      <c r="A5967">
        <v>50.261404283932102</v>
      </c>
      <c r="B5967">
        <v>113.31496550157399</v>
      </c>
      <c r="C5967">
        <v>2000</v>
      </c>
    </row>
    <row r="5968" spans="1:11" x14ac:dyDescent="0.25">
      <c r="A5968" t="s">
        <v>84</v>
      </c>
    </row>
    <row r="5969" spans="1:11" x14ac:dyDescent="0.25">
      <c r="A5969">
        <v>87</v>
      </c>
      <c r="B5969">
        <v>0</v>
      </c>
      <c r="C5969">
        <v>0.63554406144682196</v>
      </c>
      <c r="D5969">
        <v>0</v>
      </c>
      <c r="E5969">
        <v>5</v>
      </c>
      <c r="F5969">
        <v>1.5707963267949001</v>
      </c>
      <c r="G5969" t="s">
        <v>85</v>
      </c>
      <c r="H5969" t="s">
        <v>81</v>
      </c>
      <c r="I5969">
        <v>0</v>
      </c>
      <c r="J5969">
        <v>935</v>
      </c>
      <c r="K5969">
        <v>0</v>
      </c>
    </row>
    <row r="5970" spans="1:11" x14ac:dyDescent="0.25">
      <c r="A5970" t="s">
        <v>83</v>
      </c>
    </row>
    <row r="5971" spans="1:11" x14ac:dyDescent="0.25">
      <c r="A5971">
        <v>3.1995591606011402</v>
      </c>
      <c r="B5971">
        <v>75.796377635931805</v>
      </c>
      <c r="C5971">
        <v>2000</v>
      </c>
    </row>
    <row r="5972" spans="1:11" x14ac:dyDescent="0.25">
      <c r="A5972">
        <v>2.7501616450092499</v>
      </c>
      <c r="B5972">
        <v>75.346980120339893</v>
      </c>
      <c r="C5972">
        <v>2000</v>
      </c>
    </row>
    <row r="5973" spans="1:11" x14ac:dyDescent="0.25">
      <c r="A5973">
        <v>2.7501616450092499</v>
      </c>
      <c r="B5973">
        <v>75.346980120339893</v>
      </c>
      <c r="C5973">
        <v>2001</v>
      </c>
    </row>
    <row r="5974" spans="1:11" x14ac:dyDescent="0.25">
      <c r="A5974">
        <v>3.1995591606011402</v>
      </c>
      <c r="B5974">
        <v>75.796377635931805</v>
      </c>
      <c r="C5974">
        <v>2001</v>
      </c>
    </row>
    <row r="5975" spans="1:11" x14ac:dyDescent="0.25">
      <c r="A5975">
        <v>3.1995591606011402</v>
      </c>
      <c r="B5975">
        <v>75.796377635931805</v>
      </c>
      <c r="C5975">
        <v>2000</v>
      </c>
    </row>
    <row r="5976" spans="1:11" x14ac:dyDescent="0.25">
      <c r="A5976" t="s">
        <v>84</v>
      </c>
    </row>
    <row r="5977" spans="1:11" x14ac:dyDescent="0.25">
      <c r="A5977">
        <v>643</v>
      </c>
      <c r="B5977">
        <v>0</v>
      </c>
      <c r="C5977">
        <v>0</v>
      </c>
      <c r="D5977">
        <v>0.63554406144682196</v>
      </c>
      <c r="E5977">
        <v>4</v>
      </c>
      <c r="F5977">
        <v>1.5707963267949001</v>
      </c>
      <c r="G5977" t="s">
        <v>81</v>
      </c>
      <c r="H5977" t="s">
        <v>85</v>
      </c>
      <c r="I5977">
        <v>746</v>
      </c>
      <c r="J5977">
        <v>0</v>
      </c>
      <c r="K5977">
        <v>0</v>
      </c>
    </row>
    <row r="5978" spans="1:11" x14ac:dyDescent="0.25">
      <c r="A5978" t="s">
        <v>83</v>
      </c>
    </row>
    <row r="5979" spans="1:11" x14ac:dyDescent="0.25">
      <c r="A5979">
        <v>90.569014575131703</v>
      </c>
      <c r="B5979">
        <v>73.911461908794706</v>
      </c>
      <c r="C5979">
        <v>2000</v>
      </c>
    </row>
    <row r="5980" spans="1:11" x14ac:dyDescent="0.25">
      <c r="A5980">
        <v>90.569014575131703</v>
      </c>
      <c r="B5980">
        <v>73.911461908794706</v>
      </c>
      <c r="C5980">
        <v>2001</v>
      </c>
    </row>
    <row r="5981" spans="1:11" x14ac:dyDescent="0.25">
      <c r="A5981">
        <v>91.018412090723601</v>
      </c>
      <c r="B5981">
        <v>74.360859424386604</v>
      </c>
      <c r="C5981">
        <v>2001</v>
      </c>
    </row>
    <row r="5982" spans="1:11" x14ac:dyDescent="0.25">
      <c r="A5982">
        <v>91.018412090723601</v>
      </c>
      <c r="B5982">
        <v>74.360859424386604</v>
      </c>
      <c r="C5982">
        <v>2000</v>
      </c>
    </row>
    <row r="5983" spans="1:11" x14ac:dyDescent="0.25">
      <c r="A5983" t="s">
        <v>84</v>
      </c>
    </row>
    <row r="5984" spans="1:11" x14ac:dyDescent="0.25">
      <c r="A5984">
        <v>86</v>
      </c>
      <c r="B5984">
        <v>0</v>
      </c>
      <c r="C5984">
        <v>0</v>
      </c>
      <c r="D5984">
        <v>0.63554406144682196</v>
      </c>
      <c r="E5984">
        <v>4</v>
      </c>
      <c r="F5984">
        <v>1.5707963267949001</v>
      </c>
      <c r="G5984" t="s">
        <v>81</v>
      </c>
      <c r="H5984" t="s">
        <v>85</v>
      </c>
      <c r="I5984">
        <v>953</v>
      </c>
      <c r="J5984">
        <v>0</v>
      </c>
      <c r="K5984">
        <v>0</v>
      </c>
    </row>
    <row r="5985" spans="1:11" x14ac:dyDescent="0.25">
      <c r="A5985" t="s">
        <v>83</v>
      </c>
    </row>
    <row r="5986" spans="1:11" x14ac:dyDescent="0.25">
      <c r="A5986">
        <v>49.0379346413714</v>
      </c>
      <c r="B5986">
        <v>94.488436458394105</v>
      </c>
      <c r="C5986">
        <v>2000</v>
      </c>
    </row>
    <row r="5987" spans="1:11" x14ac:dyDescent="0.25">
      <c r="A5987">
        <v>49.0379346413714</v>
      </c>
      <c r="B5987">
        <v>94.488436458394105</v>
      </c>
      <c r="C5987">
        <v>2001</v>
      </c>
    </row>
    <row r="5988" spans="1:11" x14ac:dyDescent="0.25">
      <c r="A5988">
        <v>49.487332156963298</v>
      </c>
      <c r="B5988">
        <v>94.937833973986002</v>
      </c>
      <c r="C5988">
        <v>2001</v>
      </c>
    </row>
    <row r="5989" spans="1:11" x14ac:dyDescent="0.25">
      <c r="A5989">
        <v>49.487332156963298</v>
      </c>
      <c r="B5989">
        <v>94.937833973986002</v>
      </c>
      <c r="C5989">
        <v>2000</v>
      </c>
    </row>
    <row r="5990" spans="1:11" x14ac:dyDescent="0.25">
      <c r="A5990" t="s">
        <v>84</v>
      </c>
    </row>
    <row r="5991" spans="1:11" x14ac:dyDescent="0.25">
      <c r="A5991">
        <v>487</v>
      </c>
      <c r="B5991">
        <v>0</v>
      </c>
      <c r="C5991">
        <v>0</v>
      </c>
      <c r="D5991">
        <v>0.63554406144682196</v>
      </c>
      <c r="E5991">
        <v>4</v>
      </c>
      <c r="F5991">
        <v>1.5707963267949001</v>
      </c>
      <c r="G5991" t="s">
        <v>81</v>
      </c>
      <c r="H5991" t="s">
        <v>85</v>
      </c>
      <c r="I5991">
        <v>508</v>
      </c>
      <c r="J5991">
        <v>0</v>
      </c>
      <c r="K5991">
        <v>0</v>
      </c>
    </row>
    <row r="5992" spans="1:11" x14ac:dyDescent="0.25">
      <c r="A5992" t="s">
        <v>83</v>
      </c>
    </row>
    <row r="5993" spans="1:11" x14ac:dyDescent="0.25">
      <c r="A5993">
        <v>134.70340103828499</v>
      </c>
      <c r="B5993">
        <v>25.536601012822501</v>
      </c>
      <c r="C5993">
        <v>2000</v>
      </c>
    </row>
    <row r="5994" spans="1:11" x14ac:dyDescent="0.25">
      <c r="A5994">
        <v>134.70340103828499</v>
      </c>
      <c r="B5994">
        <v>25.536601012822501</v>
      </c>
      <c r="C5994">
        <v>2001</v>
      </c>
    </row>
    <row r="5995" spans="1:11" x14ac:dyDescent="0.25">
      <c r="A5995">
        <v>135.15279855387701</v>
      </c>
      <c r="B5995">
        <v>25.985998528414399</v>
      </c>
      <c r="C5995">
        <v>2001</v>
      </c>
    </row>
    <row r="5996" spans="1:11" x14ac:dyDescent="0.25">
      <c r="A5996">
        <v>135.15279855387701</v>
      </c>
      <c r="B5996">
        <v>25.985998528414399</v>
      </c>
      <c r="C5996">
        <v>2000</v>
      </c>
    </row>
    <row r="5997" spans="1:11" x14ac:dyDescent="0.25">
      <c r="A5997" t="s">
        <v>84</v>
      </c>
    </row>
    <row r="5998" spans="1:11" x14ac:dyDescent="0.25">
      <c r="A5998">
        <v>652</v>
      </c>
      <c r="B5998">
        <v>0</v>
      </c>
      <c r="C5998">
        <v>0.63554406144682196</v>
      </c>
      <c r="D5998">
        <v>0</v>
      </c>
      <c r="E5998">
        <v>5</v>
      </c>
      <c r="F5998">
        <v>1.5707963267949001</v>
      </c>
      <c r="G5998" t="s">
        <v>85</v>
      </c>
      <c r="H5998" t="s">
        <v>81</v>
      </c>
      <c r="I5998">
        <v>0</v>
      </c>
      <c r="J5998">
        <v>919</v>
      </c>
      <c r="K5998">
        <v>0</v>
      </c>
    </row>
    <row r="5999" spans="1:11" x14ac:dyDescent="0.25">
      <c r="A5999" t="s">
        <v>83</v>
      </c>
    </row>
    <row r="6000" spans="1:11" x14ac:dyDescent="0.25">
      <c r="A6000">
        <v>67.127081515326694</v>
      </c>
      <c r="B6000">
        <v>85.701812832011797</v>
      </c>
      <c r="C6000">
        <v>2000</v>
      </c>
    </row>
    <row r="6001" spans="1:11" x14ac:dyDescent="0.25">
      <c r="A6001">
        <v>66.677683999734796</v>
      </c>
      <c r="B6001">
        <v>85.252415316419899</v>
      </c>
      <c r="C6001">
        <v>2000</v>
      </c>
    </row>
    <row r="6002" spans="1:11" x14ac:dyDescent="0.25">
      <c r="A6002">
        <v>66.677683999734796</v>
      </c>
      <c r="B6002">
        <v>85.252415316419899</v>
      </c>
      <c r="C6002">
        <v>2001</v>
      </c>
    </row>
    <row r="6003" spans="1:11" x14ac:dyDescent="0.25">
      <c r="A6003">
        <v>67.127081515326694</v>
      </c>
      <c r="B6003">
        <v>85.701812832011797</v>
      </c>
      <c r="C6003">
        <v>2001</v>
      </c>
    </row>
    <row r="6004" spans="1:11" x14ac:dyDescent="0.25">
      <c r="A6004">
        <v>67.127081515326694</v>
      </c>
      <c r="B6004">
        <v>85.701812832011797</v>
      </c>
      <c r="C6004">
        <v>2000</v>
      </c>
    </row>
    <row r="6005" spans="1:11" x14ac:dyDescent="0.25">
      <c r="A6005" t="s">
        <v>84</v>
      </c>
    </row>
    <row r="6006" spans="1:11" x14ac:dyDescent="0.25">
      <c r="A6006">
        <v>20</v>
      </c>
      <c r="B6006">
        <v>0</v>
      </c>
      <c r="C6006">
        <v>0.63554406144682196</v>
      </c>
      <c r="D6006">
        <v>0</v>
      </c>
      <c r="E6006">
        <v>5</v>
      </c>
      <c r="F6006">
        <v>1.5707963267949001</v>
      </c>
      <c r="G6006" t="s">
        <v>85</v>
      </c>
      <c r="H6006" t="s">
        <v>81</v>
      </c>
      <c r="I6006">
        <v>0</v>
      </c>
      <c r="J6006">
        <v>1000</v>
      </c>
      <c r="K6006">
        <v>0</v>
      </c>
    </row>
    <row r="6007" spans="1:11" x14ac:dyDescent="0.25">
      <c r="A6007" t="s">
        <v>83</v>
      </c>
    </row>
    <row r="6008" spans="1:11" x14ac:dyDescent="0.25">
      <c r="A6008">
        <v>12.5506674347216</v>
      </c>
      <c r="B6008">
        <v>40.8572126486605</v>
      </c>
      <c r="C6008">
        <v>2000</v>
      </c>
    </row>
    <row r="6009" spans="1:11" x14ac:dyDescent="0.25">
      <c r="A6009">
        <v>12.101269919129701</v>
      </c>
      <c r="B6009">
        <v>40.407815133068603</v>
      </c>
      <c r="C6009">
        <v>2000</v>
      </c>
    </row>
    <row r="6010" spans="1:11" x14ac:dyDescent="0.25">
      <c r="A6010">
        <v>12.101269919129701</v>
      </c>
      <c r="B6010">
        <v>40.407815133068603</v>
      </c>
      <c r="C6010">
        <v>2001</v>
      </c>
    </row>
    <row r="6011" spans="1:11" x14ac:dyDescent="0.25">
      <c r="A6011">
        <v>12.5506674347216</v>
      </c>
      <c r="B6011">
        <v>40.8572126486605</v>
      </c>
      <c r="C6011">
        <v>2001</v>
      </c>
    </row>
    <row r="6012" spans="1:11" x14ac:dyDescent="0.25">
      <c r="A6012">
        <v>12.5506674347216</v>
      </c>
      <c r="B6012">
        <v>40.8572126486605</v>
      </c>
      <c r="C6012">
        <v>2000</v>
      </c>
    </row>
    <row r="6013" spans="1:11" x14ac:dyDescent="0.25">
      <c r="A6013" t="s">
        <v>84</v>
      </c>
    </row>
    <row r="6014" spans="1:11" x14ac:dyDescent="0.25">
      <c r="A6014">
        <v>653</v>
      </c>
      <c r="B6014">
        <v>0</v>
      </c>
      <c r="C6014">
        <v>0</v>
      </c>
      <c r="D6014">
        <v>0.63554406144682196</v>
      </c>
      <c r="E6014">
        <v>4</v>
      </c>
      <c r="F6014">
        <v>1.5707963267949001</v>
      </c>
      <c r="G6014" t="s">
        <v>81</v>
      </c>
      <c r="H6014" t="s">
        <v>85</v>
      </c>
      <c r="I6014">
        <v>952</v>
      </c>
      <c r="J6014">
        <v>0</v>
      </c>
      <c r="K6014">
        <v>0</v>
      </c>
    </row>
    <row r="6015" spans="1:11" x14ac:dyDescent="0.25">
      <c r="A6015" t="s">
        <v>83</v>
      </c>
    </row>
    <row r="6016" spans="1:11" x14ac:dyDescent="0.25">
      <c r="A6016">
        <v>64.251058008173004</v>
      </c>
      <c r="B6016">
        <v>84.641019026581702</v>
      </c>
      <c r="C6016">
        <v>2000</v>
      </c>
    </row>
    <row r="6017" spans="1:11" x14ac:dyDescent="0.25">
      <c r="A6017">
        <v>64.251058008173004</v>
      </c>
      <c r="B6017">
        <v>84.641019026581702</v>
      </c>
      <c r="C6017">
        <v>2001</v>
      </c>
    </row>
    <row r="6018" spans="1:11" x14ac:dyDescent="0.25">
      <c r="A6018">
        <v>64.700455523764901</v>
      </c>
      <c r="B6018">
        <v>85.0904165421736</v>
      </c>
      <c r="C6018">
        <v>2001</v>
      </c>
    </row>
    <row r="6019" spans="1:11" x14ac:dyDescent="0.25">
      <c r="A6019">
        <v>64.700455523764901</v>
      </c>
      <c r="B6019">
        <v>85.0904165421736</v>
      </c>
      <c r="C6019">
        <v>2000</v>
      </c>
    </row>
    <row r="6020" spans="1:11" x14ac:dyDescent="0.25">
      <c r="A6020" t="s">
        <v>84</v>
      </c>
    </row>
    <row r="6021" spans="1:11" x14ac:dyDescent="0.25">
      <c r="A6021">
        <v>645</v>
      </c>
      <c r="B6021">
        <v>0</v>
      </c>
      <c r="C6021">
        <v>0.63554406144682196</v>
      </c>
      <c r="D6021">
        <v>0</v>
      </c>
      <c r="E6021">
        <v>5</v>
      </c>
      <c r="F6021">
        <v>1.5707963267949001</v>
      </c>
      <c r="G6021" t="s">
        <v>85</v>
      </c>
      <c r="H6021" t="s">
        <v>81</v>
      </c>
      <c r="I6021">
        <v>0</v>
      </c>
      <c r="J6021">
        <v>1006</v>
      </c>
      <c r="K6021">
        <v>0</v>
      </c>
    </row>
    <row r="6022" spans="1:11" x14ac:dyDescent="0.25">
      <c r="A6022" t="s">
        <v>83</v>
      </c>
    </row>
    <row r="6023" spans="1:11" x14ac:dyDescent="0.25">
      <c r="A6023">
        <v>68.296776732102401</v>
      </c>
      <c r="B6023">
        <v>74.314980348253201</v>
      </c>
      <c r="C6023">
        <v>2000</v>
      </c>
    </row>
    <row r="6024" spans="1:11" x14ac:dyDescent="0.25">
      <c r="A6024">
        <v>67.847379216510504</v>
      </c>
      <c r="B6024">
        <v>73.865582832661303</v>
      </c>
      <c r="C6024">
        <v>2000</v>
      </c>
    </row>
    <row r="6025" spans="1:11" x14ac:dyDescent="0.25">
      <c r="A6025">
        <v>67.847379216510504</v>
      </c>
      <c r="B6025">
        <v>73.865582832661303</v>
      </c>
      <c r="C6025">
        <v>2001</v>
      </c>
    </row>
    <row r="6026" spans="1:11" x14ac:dyDescent="0.25">
      <c r="A6026">
        <v>68.296776732102401</v>
      </c>
      <c r="B6026">
        <v>74.314980348253201</v>
      </c>
      <c r="C6026">
        <v>2001</v>
      </c>
    </row>
    <row r="6027" spans="1:11" x14ac:dyDescent="0.25">
      <c r="A6027">
        <v>68.296776732102401</v>
      </c>
      <c r="B6027">
        <v>74.314980348253201</v>
      </c>
      <c r="C6027">
        <v>2000</v>
      </c>
    </row>
    <row r="6028" spans="1:11" x14ac:dyDescent="0.25">
      <c r="A6028" t="s">
        <v>84</v>
      </c>
    </row>
    <row r="6029" spans="1:11" x14ac:dyDescent="0.25">
      <c r="A6029">
        <v>492</v>
      </c>
      <c r="B6029">
        <v>0</v>
      </c>
      <c r="C6029">
        <v>0</v>
      </c>
      <c r="D6029">
        <v>0.63554406144682196</v>
      </c>
      <c r="E6029">
        <v>4</v>
      </c>
      <c r="F6029">
        <v>1.5707963267949001</v>
      </c>
      <c r="G6029" t="s">
        <v>81</v>
      </c>
      <c r="H6029" t="s">
        <v>85</v>
      </c>
      <c r="I6029">
        <v>836</v>
      </c>
      <c r="J6029">
        <v>0</v>
      </c>
      <c r="K6029">
        <v>0</v>
      </c>
    </row>
    <row r="6030" spans="1:11" x14ac:dyDescent="0.25">
      <c r="A6030" t="s">
        <v>83</v>
      </c>
    </row>
    <row r="6031" spans="1:11" x14ac:dyDescent="0.25">
      <c r="A6031">
        <v>139.97528127626299</v>
      </c>
      <c r="B6031">
        <v>18.735765942249301</v>
      </c>
      <c r="C6031">
        <v>2000</v>
      </c>
    </row>
    <row r="6032" spans="1:11" x14ac:dyDescent="0.25">
      <c r="A6032">
        <v>139.97528127626299</v>
      </c>
      <c r="B6032">
        <v>18.735765942249301</v>
      </c>
      <c r="C6032">
        <v>2001</v>
      </c>
    </row>
    <row r="6033" spans="1:11" x14ac:dyDescent="0.25">
      <c r="A6033">
        <v>140.424678791855</v>
      </c>
      <c r="B6033">
        <v>19.185163457841199</v>
      </c>
      <c r="C6033">
        <v>2001</v>
      </c>
    </row>
    <row r="6034" spans="1:11" x14ac:dyDescent="0.25">
      <c r="A6034">
        <v>140.424678791855</v>
      </c>
      <c r="B6034">
        <v>19.185163457841199</v>
      </c>
      <c r="C6034">
        <v>2000</v>
      </c>
    </row>
    <row r="6035" spans="1:11" x14ac:dyDescent="0.25">
      <c r="A6035" t="s">
        <v>84</v>
      </c>
    </row>
    <row r="6036" spans="1:11" x14ac:dyDescent="0.25">
      <c r="A6036">
        <v>2</v>
      </c>
      <c r="B6036">
        <v>0</v>
      </c>
      <c r="C6036">
        <v>0.63554406144682196</v>
      </c>
      <c r="D6036">
        <v>0</v>
      </c>
      <c r="E6036">
        <v>5</v>
      </c>
      <c r="F6036">
        <v>1.5707963267949001</v>
      </c>
      <c r="G6036" t="s">
        <v>85</v>
      </c>
      <c r="H6036" t="s">
        <v>81</v>
      </c>
      <c r="I6036">
        <v>0</v>
      </c>
      <c r="J6036">
        <v>191</v>
      </c>
      <c r="K6036">
        <v>0</v>
      </c>
    </row>
    <row r="6037" spans="1:11" x14ac:dyDescent="0.25">
      <c r="A6037" t="s">
        <v>83</v>
      </c>
    </row>
    <row r="6038" spans="1:11" x14ac:dyDescent="0.25">
      <c r="A6038">
        <v>37.824726483237299</v>
      </c>
      <c r="B6038">
        <v>24.668777943434598</v>
      </c>
      <c r="C6038">
        <v>2000</v>
      </c>
    </row>
    <row r="6039" spans="1:11" x14ac:dyDescent="0.25">
      <c r="A6039">
        <v>37.375328967645402</v>
      </c>
      <c r="B6039">
        <v>24.219380427842701</v>
      </c>
      <c r="C6039">
        <v>2000</v>
      </c>
    </row>
    <row r="6040" spans="1:11" x14ac:dyDescent="0.25">
      <c r="A6040">
        <v>37.375328967645402</v>
      </c>
      <c r="B6040">
        <v>24.219380427842701</v>
      </c>
      <c r="C6040">
        <v>2001</v>
      </c>
    </row>
    <row r="6041" spans="1:11" x14ac:dyDescent="0.25">
      <c r="A6041">
        <v>37.824726483237299</v>
      </c>
      <c r="B6041">
        <v>24.668777943434598</v>
      </c>
      <c r="C6041">
        <v>2001</v>
      </c>
    </row>
    <row r="6042" spans="1:11" x14ac:dyDescent="0.25">
      <c r="A6042">
        <v>37.824726483237299</v>
      </c>
      <c r="B6042">
        <v>24.668777943434598</v>
      </c>
      <c r="C6042">
        <v>2000</v>
      </c>
    </row>
    <row r="6043" spans="1:11" x14ac:dyDescent="0.25">
      <c r="A6043" t="s">
        <v>84</v>
      </c>
    </row>
    <row r="6044" spans="1:11" x14ac:dyDescent="0.25">
      <c r="A6044">
        <v>16</v>
      </c>
      <c r="B6044">
        <v>0</v>
      </c>
      <c r="C6044">
        <v>0.63554406144682196</v>
      </c>
      <c r="D6044">
        <v>0</v>
      </c>
      <c r="E6044">
        <v>5</v>
      </c>
      <c r="F6044">
        <v>1.5707963267949001</v>
      </c>
      <c r="G6044" t="s">
        <v>85</v>
      </c>
      <c r="H6044" t="s">
        <v>81</v>
      </c>
      <c r="I6044">
        <v>0</v>
      </c>
      <c r="J6044">
        <v>990</v>
      </c>
      <c r="K6044">
        <v>0</v>
      </c>
    </row>
    <row r="6045" spans="1:11" x14ac:dyDescent="0.25">
      <c r="A6045" t="s">
        <v>83</v>
      </c>
    </row>
    <row r="6046" spans="1:11" x14ac:dyDescent="0.25">
      <c r="A6046">
        <v>31.692326374674401</v>
      </c>
      <c r="B6046">
        <v>33.274498958268403</v>
      </c>
      <c r="C6046">
        <v>2000</v>
      </c>
    </row>
    <row r="6047" spans="1:11" x14ac:dyDescent="0.25">
      <c r="A6047">
        <v>31.2429288590825</v>
      </c>
      <c r="B6047">
        <v>32.825101442676498</v>
      </c>
      <c r="C6047">
        <v>2000</v>
      </c>
    </row>
    <row r="6048" spans="1:11" x14ac:dyDescent="0.25">
      <c r="A6048">
        <v>31.2429288590825</v>
      </c>
      <c r="B6048">
        <v>32.825101442676498</v>
      </c>
      <c r="C6048">
        <v>2001</v>
      </c>
    </row>
    <row r="6049" spans="1:11" x14ac:dyDescent="0.25">
      <c r="A6049">
        <v>31.692326374674401</v>
      </c>
      <c r="B6049">
        <v>33.274498958268403</v>
      </c>
      <c r="C6049">
        <v>2001</v>
      </c>
    </row>
    <row r="6050" spans="1:11" x14ac:dyDescent="0.25">
      <c r="A6050">
        <v>31.692326374674401</v>
      </c>
      <c r="B6050">
        <v>33.274498958268403</v>
      </c>
      <c r="C6050">
        <v>2000</v>
      </c>
    </row>
    <row r="6051" spans="1:11" x14ac:dyDescent="0.25">
      <c r="A6051" t="s">
        <v>84</v>
      </c>
    </row>
    <row r="6052" spans="1:11" x14ac:dyDescent="0.25">
      <c r="A6052">
        <v>649</v>
      </c>
      <c r="B6052">
        <v>0</v>
      </c>
      <c r="C6052">
        <v>0.63554406144682196</v>
      </c>
      <c r="D6052">
        <v>0</v>
      </c>
      <c r="E6052">
        <v>5</v>
      </c>
      <c r="F6052">
        <v>1.5707963267949001</v>
      </c>
      <c r="G6052" t="s">
        <v>85</v>
      </c>
      <c r="H6052" t="s">
        <v>81</v>
      </c>
      <c r="I6052">
        <v>0</v>
      </c>
      <c r="J6052">
        <v>920</v>
      </c>
      <c r="K6052">
        <v>0</v>
      </c>
    </row>
    <row r="6053" spans="1:11" x14ac:dyDescent="0.25">
      <c r="A6053" t="s">
        <v>83</v>
      </c>
    </row>
    <row r="6054" spans="1:11" x14ac:dyDescent="0.25">
      <c r="A6054">
        <v>96.875118893513005</v>
      </c>
      <c r="B6054">
        <v>64.446787787343695</v>
      </c>
      <c r="C6054">
        <v>2000</v>
      </c>
    </row>
    <row r="6055" spans="1:11" x14ac:dyDescent="0.25">
      <c r="A6055">
        <v>96.425721377921207</v>
      </c>
      <c r="B6055">
        <v>63.997390271751897</v>
      </c>
      <c r="C6055">
        <v>2000</v>
      </c>
    </row>
    <row r="6056" spans="1:11" x14ac:dyDescent="0.25">
      <c r="A6056">
        <v>96.425721377921207</v>
      </c>
      <c r="B6056">
        <v>63.997390271751897</v>
      </c>
      <c r="C6056">
        <v>2001</v>
      </c>
    </row>
    <row r="6057" spans="1:11" x14ac:dyDescent="0.25">
      <c r="A6057">
        <v>96.875118893513005</v>
      </c>
      <c r="B6057">
        <v>64.446787787343695</v>
      </c>
      <c r="C6057">
        <v>2001</v>
      </c>
    </row>
    <row r="6058" spans="1:11" x14ac:dyDescent="0.25">
      <c r="A6058">
        <v>96.875118893513005</v>
      </c>
      <c r="B6058">
        <v>64.446787787343695</v>
      </c>
      <c r="C6058">
        <v>2000</v>
      </c>
    </row>
    <row r="6059" spans="1:11" x14ac:dyDescent="0.25">
      <c r="A6059" t="s">
        <v>84</v>
      </c>
    </row>
    <row r="6060" spans="1:11" x14ac:dyDescent="0.25">
      <c r="A6060">
        <v>494</v>
      </c>
      <c r="B6060">
        <v>0</v>
      </c>
      <c r="C6060">
        <v>0.63554406144682196</v>
      </c>
      <c r="D6060">
        <v>0</v>
      </c>
      <c r="E6060">
        <v>5</v>
      </c>
      <c r="F6060">
        <v>1.5707963267949001</v>
      </c>
      <c r="G6060" t="s">
        <v>85</v>
      </c>
      <c r="H6060" t="s">
        <v>81</v>
      </c>
      <c r="I6060">
        <v>0</v>
      </c>
      <c r="J6060">
        <v>942</v>
      </c>
      <c r="K6060">
        <v>0</v>
      </c>
    </row>
    <row r="6061" spans="1:11" x14ac:dyDescent="0.25">
      <c r="A6061" t="s">
        <v>83</v>
      </c>
    </row>
    <row r="6062" spans="1:11" x14ac:dyDescent="0.25">
      <c r="A6062">
        <v>110.52670568950801</v>
      </c>
      <c r="B6062">
        <v>22.081582339984202</v>
      </c>
      <c r="C6062">
        <v>2000</v>
      </c>
    </row>
    <row r="6063" spans="1:11" x14ac:dyDescent="0.25">
      <c r="A6063">
        <v>110.07730817391599</v>
      </c>
      <c r="B6063">
        <v>21.632184824392301</v>
      </c>
      <c r="C6063">
        <v>2000</v>
      </c>
    </row>
    <row r="6064" spans="1:11" x14ac:dyDescent="0.25">
      <c r="A6064">
        <v>110.07730817391599</v>
      </c>
      <c r="B6064">
        <v>21.632184824392301</v>
      </c>
      <c r="C6064">
        <v>2001</v>
      </c>
    </row>
    <row r="6065" spans="1:11" x14ac:dyDescent="0.25">
      <c r="A6065">
        <v>110.52670568950801</v>
      </c>
      <c r="B6065">
        <v>22.081582339984202</v>
      </c>
      <c r="C6065">
        <v>2001</v>
      </c>
    </row>
    <row r="6066" spans="1:11" x14ac:dyDescent="0.25">
      <c r="A6066">
        <v>110.52670568950801</v>
      </c>
      <c r="B6066">
        <v>22.081582339984202</v>
      </c>
      <c r="C6066">
        <v>2000</v>
      </c>
    </row>
    <row r="6067" spans="1:11" x14ac:dyDescent="0.25">
      <c r="A6067" t="s">
        <v>84</v>
      </c>
    </row>
    <row r="6068" spans="1:11" x14ac:dyDescent="0.25">
      <c r="A6068">
        <v>11</v>
      </c>
      <c r="B6068">
        <v>0</v>
      </c>
      <c r="C6068">
        <v>0</v>
      </c>
      <c r="D6068">
        <v>0.63554406144682196</v>
      </c>
      <c r="E6068">
        <v>4</v>
      </c>
      <c r="F6068">
        <v>1.5707963267949001</v>
      </c>
      <c r="G6068" t="s">
        <v>81</v>
      </c>
      <c r="H6068" t="s">
        <v>85</v>
      </c>
      <c r="I6068">
        <v>804</v>
      </c>
      <c r="J6068">
        <v>0</v>
      </c>
      <c r="K6068">
        <v>0</v>
      </c>
    </row>
    <row r="6069" spans="1:11" x14ac:dyDescent="0.25">
      <c r="A6069" t="s">
        <v>83</v>
      </c>
    </row>
    <row r="6070" spans="1:11" x14ac:dyDescent="0.25">
      <c r="A6070">
        <v>29.219193572280499</v>
      </c>
      <c r="B6070">
        <v>23.6220651532626</v>
      </c>
      <c r="C6070">
        <v>2000</v>
      </c>
    </row>
    <row r="6071" spans="1:11" x14ac:dyDescent="0.25">
      <c r="A6071">
        <v>29.219193572280499</v>
      </c>
      <c r="B6071">
        <v>23.6220651532626</v>
      </c>
      <c r="C6071">
        <v>2001</v>
      </c>
    </row>
    <row r="6072" spans="1:11" x14ac:dyDescent="0.25">
      <c r="A6072">
        <v>29.6685910878724</v>
      </c>
      <c r="B6072">
        <v>24.071462668854501</v>
      </c>
      <c r="C6072">
        <v>2001</v>
      </c>
    </row>
    <row r="6073" spans="1:11" x14ac:dyDescent="0.25">
      <c r="A6073">
        <v>29.6685910878724</v>
      </c>
      <c r="B6073">
        <v>24.071462668854501</v>
      </c>
      <c r="C6073">
        <v>2000</v>
      </c>
    </row>
    <row r="6074" spans="1:11" x14ac:dyDescent="0.25">
      <c r="A6074" t="s">
        <v>84</v>
      </c>
    </row>
    <row r="6075" spans="1:11" x14ac:dyDescent="0.25">
      <c r="A6075">
        <v>10</v>
      </c>
      <c r="B6075">
        <v>0</v>
      </c>
      <c r="C6075">
        <v>0.63554406144682196</v>
      </c>
      <c r="D6075">
        <v>0</v>
      </c>
      <c r="E6075">
        <v>5</v>
      </c>
      <c r="F6075">
        <v>1.5707963267949001</v>
      </c>
      <c r="G6075" t="s">
        <v>85</v>
      </c>
      <c r="H6075" t="s">
        <v>81</v>
      </c>
      <c r="I6075">
        <v>0</v>
      </c>
      <c r="J6075">
        <v>871</v>
      </c>
      <c r="K6075">
        <v>0</v>
      </c>
    </row>
    <row r="6076" spans="1:11" x14ac:dyDescent="0.25">
      <c r="A6076" t="s">
        <v>83</v>
      </c>
    </row>
    <row r="6077" spans="1:11" x14ac:dyDescent="0.25">
      <c r="A6077">
        <v>48.388374072214802</v>
      </c>
      <c r="B6077">
        <v>3.46564533117489</v>
      </c>
      <c r="C6077">
        <v>2000</v>
      </c>
    </row>
    <row r="6078" spans="1:11" x14ac:dyDescent="0.25">
      <c r="A6078">
        <v>47.938976556622897</v>
      </c>
      <c r="B6078">
        <v>3.0162478155830099</v>
      </c>
      <c r="C6078">
        <v>2000</v>
      </c>
    </row>
    <row r="6079" spans="1:11" x14ac:dyDescent="0.25">
      <c r="A6079">
        <v>47.938976556622897</v>
      </c>
      <c r="B6079">
        <v>3.0162478155830099</v>
      </c>
      <c r="C6079">
        <v>2001</v>
      </c>
    </row>
    <row r="6080" spans="1:11" x14ac:dyDescent="0.25">
      <c r="A6080">
        <v>48.388374072214802</v>
      </c>
      <c r="B6080">
        <v>3.46564533117489</v>
      </c>
      <c r="C6080">
        <v>2001</v>
      </c>
    </row>
    <row r="6081" spans="1:11" x14ac:dyDescent="0.25">
      <c r="A6081">
        <v>48.388374072214802</v>
      </c>
      <c r="B6081">
        <v>3.46564533117489</v>
      </c>
      <c r="C6081">
        <v>2000</v>
      </c>
    </row>
    <row r="6082" spans="1:11" x14ac:dyDescent="0.25">
      <c r="A6082" t="s">
        <v>84</v>
      </c>
    </row>
    <row r="6083" spans="1:11" x14ac:dyDescent="0.25">
      <c r="A6083">
        <v>496</v>
      </c>
      <c r="B6083">
        <v>0</v>
      </c>
      <c r="C6083">
        <v>0.63554406144682196</v>
      </c>
      <c r="D6083">
        <v>0</v>
      </c>
      <c r="E6083">
        <v>5</v>
      </c>
      <c r="F6083">
        <v>1.5707963267949001</v>
      </c>
      <c r="G6083" t="s">
        <v>85</v>
      </c>
      <c r="H6083" t="s">
        <v>81</v>
      </c>
      <c r="I6083">
        <v>0</v>
      </c>
      <c r="J6083">
        <v>512</v>
      </c>
      <c r="K6083">
        <v>0</v>
      </c>
    </row>
    <row r="6084" spans="1:11" x14ac:dyDescent="0.25">
      <c r="A6084" t="s">
        <v>83</v>
      </c>
    </row>
    <row r="6085" spans="1:11" x14ac:dyDescent="0.25">
      <c r="A6085">
        <v>138.69802163154699</v>
      </c>
      <c r="B6085">
        <v>2.7774873086146199</v>
      </c>
      <c r="C6085">
        <v>2000</v>
      </c>
    </row>
    <row r="6086" spans="1:11" x14ac:dyDescent="0.25">
      <c r="A6086">
        <v>138.24862411595501</v>
      </c>
      <c r="B6086">
        <v>2.3280897930227402</v>
      </c>
      <c r="C6086">
        <v>2000</v>
      </c>
    </row>
    <row r="6087" spans="1:11" x14ac:dyDescent="0.25">
      <c r="A6087">
        <v>138.24862411595501</v>
      </c>
      <c r="B6087">
        <v>2.3280897930227402</v>
      </c>
      <c r="C6087">
        <v>2001</v>
      </c>
    </row>
    <row r="6088" spans="1:11" x14ac:dyDescent="0.25">
      <c r="A6088">
        <v>138.69802163154699</v>
      </c>
      <c r="B6088">
        <v>2.7774873086146199</v>
      </c>
      <c r="C6088">
        <v>2001</v>
      </c>
    </row>
    <row r="6089" spans="1:11" x14ac:dyDescent="0.25">
      <c r="A6089">
        <v>138.69802163154699</v>
      </c>
      <c r="B6089">
        <v>2.7774873086146199</v>
      </c>
      <c r="C6089">
        <v>2000</v>
      </c>
    </row>
    <row r="6090" spans="1:11" x14ac:dyDescent="0.25">
      <c r="A6090" t="s">
        <v>84</v>
      </c>
    </row>
    <row r="6091" spans="1:11" x14ac:dyDescent="0.25">
      <c r="A6091">
        <v>81</v>
      </c>
      <c r="B6091">
        <v>0</v>
      </c>
      <c r="C6091">
        <v>0.63554406144682196</v>
      </c>
      <c r="D6091">
        <v>0</v>
      </c>
      <c r="E6091">
        <v>5</v>
      </c>
      <c r="F6091">
        <v>1.5707963267949001</v>
      </c>
      <c r="G6091" t="s">
        <v>85</v>
      </c>
      <c r="H6091" t="s">
        <v>81</v>
      </c>
      <c r="I6091">
        <v>0</v>
      </c>
      <c r="J6091">
        <v>118</v>
      </c>
      <c r="K6091">
        <v>0</v>
      </c>
    </row>
    <row r="6092" spans="1:11" x14ac:dyDescent="0.25">
      <c r="A6092" t="s">
        <v>83</v>
      </c>
    </row>
    <row r="6093" spans="1:11" x14ac:dyDescent="0.25">
      <c r="A6093">
        <v>3.39046666789356</v>
      </c>
      <c r="B6093">
        <v>73.778818593723102</v>
      </c>
      <c r="C6093">
        <v>2000</v>
      </c>
    </row>
    <row r="6094" spans="1:11" x14ac:dyDescent="0.25">
      <c r="A6094">
        <v>2.9410691523016701</v>
      </c>
      <c r="B6094">
        <v>73.329421078131304</v>
      </c>
      <c r="C6094">
        <v>2000</v>
      </c>
    </row>
    <row r="6095" spans="1:11" x14ac:dyDescent="0.25">
      <c r="A6095">
        <v>2.9410691523016701</v>
      </c>
      <c r="B6095">
        <v>73.329421078131304</v>
      </c>
      <c r="C6095">
        <v>2001</v>
      </c>
    </row>
    <row r="6096" spans="1:11" x14ac:dyDescent="0.25">
      <c r="A6096">
        <v>3.39046666789356</v>
      </c>
      <c r="B6096">
        <v>73.778818593723102</v>
      </c>
      <c r="C6096">
        <v>2001</v>
      </c>
    </row>
    <row r="6097" spans="1:11" x14ac:dyDescent="0.25">
      <c r="A6097">
        <v>3.39046666789356</v>
      </c>
      <c r="B6097">
        <v>73.778818593723102</v>
      </c>
      <c r="C6097">
        <v>2000</v>
      </c>
    </row>
    <row r="6098" spans="1:11" x14ac:dyDescent="0.25">
      <c r="A6098" t="s">
        <v>84</v>
      </c>
    </row>
    <row r="6099" spans="1:11" x14ac:dyDescent="0.25">
      <c r="A6099">
        <v>403</v>
      </c>
      <c r="B6099">
        <v>0</v>
      </c>
      <c r="C6099">
        <v>0.63554406144682196</v>
      </c>
      <c r="D6099">
        <v>0</v>
      </c>
      <c r="E6099">
        <v>5</v>
      </c>
      <c r="F6099">
        <v>1.5707963267949001</v>
      </c>
      <c r="G6099" t="s">
        <v>85</v>
      </c>
      <c r="H6099" t="s">
        <v>81</v>
      </c>
      <c r="I6099">
        <v>0</v>
      </c>
      <c r="J6099">
        <v>405</v>
      </c>
      <c r="K6099">
        <v>0</v>
      </c>
    </row>
    <row r="6100" spans="1:11" x14ac:dyDescent="0.25">
      <c r="A6100" t="s">
        <v>83</v>
      </c>
    </row>
    <row r="6101" spans="1:11" x14ac:dyDescent="0.25">
      <c r="A6101">
        <v>12.511908443417299</v>
      </c>
      <c r="B6101">
        <v>100.523373123968</v>
      </c>
      <c r="C6101">
        <v>2000</v>
      </c>
    </row>
    <row r="6102" spans="1:11" x14ac:dyDescent="0.25">
      <c r="A6102">
        <v>12.0625109278254</v>
      </c>
      <c r="B6102">
        <v>100.073975608376</v>
      </c>
      <c r="C6102">
        <v>2000</v>
      </c>
    </row>
    <row r="6103" spans="1:11" x14ac:dyDescent="0.25">
      <c r="A6103">
        <v>12.0625109278254</v>
      </c>
      <c r="B6103">
        <v>100.073975608376</v>
      </c>
      <c r="C6103">
        <v>2001</v>
      </c>
    </row>
    <row r="6104" spans="1:11" x14ac:dyDescent="0.25">
      <c r="A6104">
        <v>12.511908443417299</v>
      </c>
      <c r="B6104">
        <v>100.523373123968</v>
      </c>
      <c r="C6104">
        <v>2001</v>
      </c>
    </row>
    <row r="6105" spans="1:11" x14ac:dyDescent="0.25">
      <c r="A6105">
        <v>12.511908443417299</v>
      </c>
      <c r="B6105">
        <v>100.523373123968</v>
      </c>
      <c r="C6105">
        <v>2000</v>
      </c>
    </row>
    <row r="6106" spans="1:11" x14ac:dyDescent="0.25">
      <c r="A6106" t="s">
        <v>84</v>
      </c>
    </row>
    <row r="6107" spans="1:11" x14ac:dyDescent="0.25">
      <c r="A6107">
        <v>175</v>
      </c>
      <c r="B6107">
        <v>0</v>
      </c>
      <c r="C6107">
        <v>0.63554406144682196</v>
      </c>
      <c r="D6107">
        <v>0</v>
      </c>
      <c r="E6107">
        <v>5</v>
      </c>
      <c r="F6107">
        <v>1.5707963267949001</v>
      </c>
      <c r="G6107" t="s">
        <v>85</v>
      </c>
      <c r="H6107" t="s">
        <v>81</v>
      </c>
      <c r="I6107">
        <v>0</v>
      </c>
      <c r="J6107">
        <v>799</v>
      </c>
      <c r="K6107">
        <v>0</v>
      </c>
    </row>
    <row r="6108" spans="1:11" x14ac:dyDescent="0.25">
      <c r="A6108" t="s">
        <v>83</v>
      </c>
    </row>
    <row r="6109" spans="1:11" x14ac:dyDescent="0.25">
      <c r="A6109">
        <v>68.999072417616404</v>
      </c>
      <c r="B6109">
        <v>6.9093295754442599</v>
      </c>
      <c r="C6109">
        <v>2000</v>
      </c>
    </row>
    <row r="6110" spans="1:11" x14ac:dyDescent="0.25">
      <c r="A6110">
        <v>68.549674902024506</v>
      </c>
      <c r="B6110">
        <v>6.4599320598523704</v>
      </c>
      <c r="C6110">
        <v>2000</v>
      </c>
    </row>
    <row r="6111" spans="1:11" x14ac:dyDescent="0.25">
      <c r="A6111">
        <v>68.549674902024506</v>
      </c>
      <c r="B6111">
        <v>6.4599320598523704</v>
      </c>
      <c r="C6111">
        <v>2001</v>
      </c>
    </row>
    <row r="6112" spans="1:11" x14ac:dyDescent="0.25">
      <c r="A6112">
        <v>68.999072417616404</v>
      </c>
      <c r="B6112">
        <v>6.9093295754442599</v>
      </c>
      <c r="C6112">
        <v>2001</v>
      </c>
    </row>
    <row r="6113" spans="1:11" x14ac:dyDescent="0.25">
      <c r="A6113">
        <v>68.999072417616404</v>
      </c>
      <c r="B6113">
        <v>6.9093295754442599</v>
      </c>
      <c r="C6113">
        <v>2000</v>
      </c>
    </row>
    <row r="6114" spans="1:11" x14ac:dyDescent="0.25">
      <c r="A6114" t="s">
        <v>84</v>
      </c>
    </row>
    <row r="6115" spans="1:11" x14ac:dyDescent="0.25">
      <c r="A6115">
        <v>481</v>
      </c>
      <c r="B6115">
        <v>0</v>
      </c>
      <c r="C6115">
        <v>0.63554406144682196</v>
      </c>
      <c r="D6115">
        <v>0</v>
      </c>
      <c r="E6115">
        <v>5</v>
      </c>
      <c r="F6115">
        <v>1.5707963267949001</v>
      </c>
      <c r="G6115" t="s">
        <v>85</v>
      </c>
      <c r="H6115" t="s">
        <v>81</v>
      </c>
      <c r="I6115">
        <v>0</v>
      </c>
      <c r="J6115">
        <v>976</v>
      </c>
      <c r="K6115">
        <v>0</v>
      </c>
    </row>
    <row r="6116" spans="1:11" x14ac:dyDescent="0.25">
      <c r="A6116" t="s">
        <v>83</v>
      </c>
    </row>
    <row r="6117" spans="1:11" x14ac:dyDescent="0.25">
      <c r="A6117">
        <v>103.608764046155</v>
      </c>
      <c r="B6117">
        <v>9.0556218913084106</v>
      </c>
      <c r="C6117">
        <v>2000</v>
      </c>
    </row>
    <row r="6118" spans="1:11" x14ac:dyDescent="0.25">
      <c r="A6118">
        <v>103.15936653056301</v>
      </c>
      <c r="B6118">
        <v>8.6062243757165202</v>
      </c>
      <c r="C6118">
        <v>2000</v>
      </c>
    </row>
    <row r="6119" spans="1:11" x14ac:dyDescent="0.25">
      <c r="A6119">
        <v>103.15936653056301</v>
      </c>
      <c r="B6119">
        <v>8.6062243757165202</v>
      </c>
      <c r="C6119">
        <v>2001</v>
      </c>
    </row>
    <row r="6120" spans="1:11" x14ac:dyDescent="0.25">
      <c r="A6120">
        <v>103.608764046155</v>
      </c>
      <c r="B6120">
        <v>9.0556218913084106</v>
      </c>
      <c r="C6120">
        <v>2001</v>
      </c>
    </row>
    <row r="6121" spans="1:11" x14ac:dyDescent="0.25">
      <c r="A6121">
        <v>103.608764046155</v>
      </c>
      <c r="B6121">
        <v>9.0556218913084106</v>
      </c>
      <c r="C6121">
        <v>2000</v>
      </c>
    </row>
    <row r="6122" spans="1:11" x14ac:dyDescent="0.25">
      <c r="A6122" t="s">
        <v>84</v>
      </c>
    </row>
    <row r="6123" spans="1:11" x14ac:dyDescent="0.25">
      <c r="A6123">
        <v>500</v>
      </c>
      <c r="B6123">
        <v>0</v>
      </c>
      <c r="C6123">
        <v>0.63554406144682196</v>
      </c>
      <c r="D6123">
        <v>0</v>
      </c>
      <c r="E6123">
        <v>5</v>
      </c>
      <c r="F6123">
        <v>1.5707963267949001</v>
      </c>
      <c r="G6123" t="s">
        <v>85</v>
      </c>
      <c r="H6123" t="s">
        <v>81</v>
      </c>
      <c r="I6123">
        <v>0</v>
      </c>
      <c r="J6123">
        <v>933</v>
      </c>
      <c r="K6123">
        <v>0</v>
      </c>
    </row>
    <row r="6124" spans="1:11" x14ac:dyDescent="0.25">
      <c r="A6124" t="s">
        <v>83</v>
      </c>
    </row>
    <row r="6125" spans="1:11" x14ac:dyDescent="0.25">
      <c r="A6125">
        <v>123.506500734252</v>
      </c>
      <c r="B6125">
        <v>45.790224206070498</v>
      </c>
      <c r="C6125">
        <v>2000</v>
      </c>
    </row>
    <row r="6126" spans="1:11" x14ac:dyDescent="0.25">
      <c r="A6126">
        <v>123.05710321866</v>
      </c>
      <c r="B6126">
        <v>45.3408266904786</v>
      </c>
      <c r="C6126">
        <v>2000</v>
      </c>
    </row>
    <row r="6127" spans="1:11" x14ac:dyDescent="0.25">
      <c r="A6127">
        <v>123.05710321866</v>
      </c>
      <c r="B6127">
        <v>45.3408266904786</v>
      </c>
      <c r="C6127">
        <v>2001</v>
      </c>
    </row>
    <row r="6128" spans="1:11" x14ac:dyDescent="0.25">
      <c r="A6128">
        <v>123.506500734252</v>
      </c>
      <c r="B6128">
        <v>45.790224206070498</v>
      </c>
      <c r="C6128">
        <v>2001</v>
      </c>
    </row>
    <row r="6129" spans="1:11" x14ac:dyDescent="0.25">
      <c r="A6129">
        <v>123.506500734252</v>
      </c>
      <c r="B6129">
        <v>45.790224206070498</v>
      </c>
      <c r="C6129">
        <v>2000</v>
      </c>
    </row>
    <row r="6130" spans="1:11" x14ac:dyDescent="0.25">
      <c r="A6130" t="s">
        <v>84</v>
      </c>
    </row>
    <row r="6131" spans="1:11" x14ac:dyDescent="0.25">
      <c r="A6131">
        <v>92</v>
      </c>
      <c r="B6131">
        <v>0</v>
      </c>
      <c r="C6131">
        <v>0</v>
      </c>
      <c r="D6131">
        <v>0.63554406144682196</v>
      </c>
      <c r="E6131">
        <v>4</v>
      </c>
      <c r="F6131">
        <v>1.5707963267949001</v>
      </c>
      <c r="G6131" t="s">
        <v>81</v>
      </c>
      <c r="H6131" t="s">
        <v>85</v>
      </c>
      <c r="I6131">
        <v>1037</v>
      </c>
      <c r="J6131">
        <v>0</v>
      </c>
      <c r="K6131">
        <v>0</v>
      </c>
    </row>
    <row r="6132" spans="1:11" x14ac:dyDescent="0.25">
      <c r="A6132" t="s">
        <v>83</v>
      </c>
    </row>
    <row r="6133" spans="1:11" x14ac:dyDescent="0.25">
      <c r="A6133">
        <v>33.151505728322803</v>
      </c>
      <c r="B6133">
        <v>83.3550851831003</v>
      </c>
      <c r="C6133">
        <v>2000</v>
      </c>
    </row>
    <row r="6134" spans="1:11" x14ac:dyDescent="0.25">
      <c r="A6134">
        <v>33.151505728322803</v>
      </c>
      <c r="B6134">
        <v>83.3550851831003</v>
      </c>
      <c r="C6134">
        <v>2001</v>
      </c>
    </row>
    <row r="6135" spans="1:11" x14ac:dyDescent="0.25">
      <c r="A6135">
        <v>33.600903243914701</v>
      </c>
      <c r="B6135">
        <v>83.804482698692198</v>
      </c>
      <c r="C6135">
        <v>2001</v>
      </c>
    </row>
    <row r="6136" spans="1:11" x14ac:dyDescent="0.25">
      <c r="A6136">
        <v>33.600903243914701</v>
      </c>
      <c r="B6136">
        <v>83.804482698692198</v>
      </c>
      <c r="C6136">
        <v>2000</v>
      </c>
    </row>
    <row r="6137" spans="1:11" x14ac:dyDescent="0.25">
      <c r="A6137" t="s">
        <v>84</v>
      </c>
    </row>
    <row r="6138" spans="1:11" x14ac:dyDescent="0.25">
      <c r="A6138">
        <v>571</v>
      </c>
      <c r="B6138">
        <v>0</v>
      </c>
      <c r="C6138">
        <v>0.63554406144682196</v>
      </c>
      <c r="D6138">
        <v>0</v>
      </c>
      <c r="E6138">
        <v>5</v>
      </c>
      <c r="F6138">
        <v>1.5707963267949001</v>
      </c>
      <c r="G6138" t="s">
        <v>85</v>
      </c>
      <c r="H6138" t="s">
        <v>81</v>
      </c>
      <c r="I6138">
        <v>0</v>
      </c>
      <c r="J6138">
        <v>954</v>
      </c>
      <c r="K6138">
        <v>0</v>
      </c>
    </row>
    <row r="6139" spans="1:11" x14ac:dyDescent="0.25">
      <c r="A6139" t="s">
        <v>83</v>
      </c>
    </row>
    <row r="6140" spans="1:11" x14ac:dyDescent="0.25">
      <c r="A6140">
        <v>107.993758066089</v>
      </c>
      <c r="B6140">
        <v>55.072901668061</v>
      </c>
      <c r="C6140">
        <v>2000</v>
      </c>
    </row>
    <row r="6141" spans="1:11" x14ac:dyDescent="0.25">
      <c r="A6141">
        <v>107.544360550497</v>
      </c>
      <c r="B6141">
        <v>54.623504152469103</v>
      </c>
      <c r="C6141">
        <v>2000</v>
      </c>
    </row>
    <row r="6142" spans="1:11" x14ac:dyDescent="0.25">
      <c r="A6142">
        <v>107.544360550497</v>
      </c>
      <c r="B6142">
        <v>54.623504152469103</v>
      </c>
      <c r="C6142">
        <v>2001</v>
      </c>
    </row>
    <row r="6143" spans="1:11" x14ac:dyDescent="0.25">
      <c r="A6143">
        <v>107.993758066089</v>
      </c>
      <c r="B6143">
        <v>55.072901668061</v>
      </c>
      <c r="C6143">
        <v>2001</v>
      </c>
    </row>
    <row r="6144" spans="1:11" x14ac:dyDescent="0.25">
      <c r="A6144">
        <v>107.993758066089</v>
      </c>
      <c r="B6144">
        <v>55.072901668061</v>
      </c>
      <c r="C6144">
        <v>2000</v>
      </c>
    </row>
    <row r="6145" spans="1:11" x14ac:dyDescent="0.25">
      <c r="A6145" t="s">
        <v>84</v>
      </c>
    </row>
    <row r="6146" spans="1:11" x14ac:dyDescent="0.25">
      <c r="A6146">
        <v>179</v>
      </c>
      <c r="B6146">
        <v>0</v>
      </c>
      <c r="C6146">
        <v>0.63554406144682196</v>
      </c>
      <c r="D6146">
        <v>0</v>
      </c>
      <c r="E6146">
        <v>5</v>
      </c>
      <c r="F6146">
        <v>1.5707963267949001</v>
      </c>
      <c r="G6146" t="s">
        <v>85</v>
      </c>
      <c r="H6146" t="s">
        <v>81</v>
      </c>
      <c r="I6146">
        <v>0</v>
      </c>
      <c r="J6146">
        <v>930</v>
      </c>
      <c r="K6146">
        <v>0</v>
      </c>
    </row>
    <row r="6147" spans="1:11" x14ac:dyDescent="0.25">
      <c r="A6147" t="s">
        <v>83</v>
      </c>
    </row>
    <row r="6148" spans="1:11" x14ac:dyDescent="0.25">
      <c r="A6148">
        <v>76.463814406406001</v>
      </c>
      <c r="B6148">
        <v>13.3437760818488</v>
      </c>
      <c r="C6148">
        <v>2000</v>
      </c>
    </row>
    <row r="6149" spans="1:11" x14ac:dyDescent="0.25">
      <c r="A6149">
        <v>76.014416890814104</v>
      </c>
      <c r="B6149">
        <v>12.894378566256901</v>
      </c>
      <c r="C6149">
        <v>2000</v>
      </c>
    </row>
    <row r="6150" spans="1:11" x14ac:dyDescent="0.25">
      <c r="A6150">
        <v>76.014416890814104</v>
      </c>
      <c r="B6150">
        <v>12.894378566256901</v>
      </c>
      <c r="C6150">
        <v>2001</v>
      </c>
    </row>
    <row r="6151" spans="1:11" x14ac:dyDescent="0.25">
      <c r="A6151">
        <v>76.463814406406001</v>
      </c>
      <c r="B6151">
        <v>13.3437760818488</v>
      </c>
      <c r="C6151">
        <v>2001</v>
      </c>
    </row>
    <row r="6152" spans="1:11" x14ac:dyDescent="0.25">
      <c r="A6152">
        <v>76.463814406406001</v>
      </c>
      <c r="B6152">
        <v>13.3437760818488</v>
      </c>
      <c r="C6152">
        <v>2000</v>
      </c>
    </row>
    <row r="6153" spans="1:11" x14ac:dyDescent="0.25">
      <c r="A6153" t="s">
        <v>84</v>
      </c>
    </row>
    <row r="6154" spans="1:11" x14ac:dyDescent="0.25">
      <c r="A6154">
        <v>176</v>
      </c>
      <c r="B6154">
        <v>0</v>
      </c>
      <c r="C6154">
        <v>0.63554406144682196</v>
      </c>
      <c r="D6154">
        <v>0</v>
      </c>
      <c r="E6154">
        <v>5</v>
      </c>
      <c r="F6154">
        <v>1.5707963267949001</v>
      </c>
      <c r="G6154" t="s">
        <v>85</v>
      </c>
      <c r="H6154" t="s">
        <v>81</v>
      </c>
      <c r="I6154">
        <v>0</v>
      </c>
      <c r="J6154">
        <v>755</v>
      </c>
      <c r="K6154">
        <v>0</v>
      </c>
    </row>
    <row r="6155" spans="1:11" x14ac:dyDescent="0.25">
      <c r="A6155" t="s">
        <v>83</v>
      </c>
    </row>
    <row r="6156" spans="1:11" x14ac:dyDescent="0.25">
      <c r="A6156">
        <v>83.479662196934001</v>
      </c>
      <c r="B6156">
        <v>3.4547426870347699</v>
      </c>
      <c r="C6156">
        <v>2000</v>
      </c>
    </row>
    <row r="6157" spans="1:11" x14ac:dyDescent="0.25">
      <c r="A6157">
        <v>83.030264681342203</v>
      </c>
      <c r="B6157">
        <v>3.00534517144288</v>
      </c>
      <c r="C6157">
        <v>2000</v>
      </c>
    </row>
    <row r="6158" spans="1:11" x14ac:dyDescent="0.25">
      <c r="A6158">
        <v>83.030264681342203</v>
      </c>
      <c r="B6158">
        <v>3.00534517144288</v>
      </c>
      <c r="C6158">
        <v>2001</v>
      </c>
    </row>
    <row r="6159" spans="1:11" x14ac:dyDescent="0.25">
      <c r="A6159">
        <v>83.479662196934001</v>
      </c>
      <c r="B6159">
        <v>3.4547426870347699</v>
      </c>
      <c r="C6159">
        <v>2001</v>
      </c>
    </row>
    <row r="6160" spans="1:11" x14ac:dyDescent="0.25">
      <c r="A6160">
        <v>83.479662196934001</v>
      </c>
      <c r="B6160">
        <v>3.4547426870347699</v>
      </c>
      <c r="C6160">
        <v>2000</v>
      </c>
    </row>
    <row r="6161" spans="1:11" x14ac:dyDescent="0.25">
      <c r="A6161" t="s">
        <v>84</v>
      </c>
    </row>
    <row r="6162" spans="1:11" x14ac:dyDescent="0.25">
      <c r="A6162">
        <v>173</v>
      </c>
      <c r="B6162">
        <v>0</v>
      </c>
      <c r="C6162">
        <v>0.63554406144682196</v>
      </c>
      <c r="D6162">
        <v>0</v>
      </c>
      <c r="E6162">
        <v>5</v>
      </c>
      <c r="F6162">
        <v>1.5707963267949001</v>
      </c>
      <c r="G6162" t="s">
        <v>85</v>
      </c>
      <c r="H6162" t="s">
        <v>81</v>
      </c>
      <c r="I6162">
        <v>0</v>
      </c>
      <c r="J6162">
        <v>510</v>
      </c>
      <c r="K6162">
        <v>0</v>
      </c>
    </row>
    <row r="6163" spans="1:11" x14ac:dyDescent="0.25">
      <c r="A6163" t="s">
        <v>83</v>
      </c>
    </row>
    <row r="6164" spans="1:11" x14ac:dyDescent="0.25">
      <c r="A6164">
        <v>96.056714803472502</v>
      </c>
      <c r="B6164">
        <v>19.682704724689302</v>
      </c>
      <c r="C6164">
        <v>2000</v>
      </c>
    </row>
    <row r="6165" spans="1:11" x14ac:dyDescent="0.25">
      <c r="A6165">
        <v>95.607317287880605</v>
      </c>
      <c r="B6165">
        <v>19.233307209097401</v>
      </c>
      <c r="C6165">
        <v>2000</v>
      </c>
    </row>
    <row r="6166" spans="1:11" x14ac:dyDescent="0.25">
      <c r="A6166">
        <v>95.607317287880605</v>
      </c>
      <c r="B6166">
        <v>19.233307209097401</v>
      </c>
      <c r="C6166">
        <v>2001</v>
      </c>
    </row>
    <row r="6167" spans="1:11" x14ac:dyDescent="0.25">
      <c r="A6167">
        <v>96.056714803472502</v>
      </c>
      <c r="B6167">
        <v>19.682704724689302</v>
      </c>
      <c r="C6167">
        <v>2001</v>
      </c>
    </row>
    <row r="6168" spans="1:11" x14ac:dyDescent="0.25">
      <c r="A6168">
        <v>96.056714803472502</v>
      </c>
      <c r="B6168">
        <v>19.682704724689302</v>
      </c>
      <c r="C6168">
        <v>2000</v>
      </c>
    </row>
    <row r="6169" spans="1:11" x14ac:dyDescent="0.25">
      <c r="A6169" t="s">
        <v>84</v>
      </c>
    </row>
    <row r="6170" spans="1:11" x14ac:dyDescent="0.25">
      <c r="A6170">
        <v>172</v>
      </c>
      <c r="B6170">
        <v>0</v>
      </c>
      <c r="C6170">
        <v>0</v>
      </c>
      <c r="D6170">
        <v>0.63554406144682196</v>
      </c>
      <c r="E6170">
        <v>4</v>
      </c>
      <c r="F6170">
        <v>1.5707963267949001</v>
      </c>
      <c r="G6170" t="s">
        <v>81</v>
      </c>
      <c r="H6170" t="s">
        <v>85</v>
      </c>
      <c r="I6170">
        <v>983</v>
      </c>
      <c r="J6170">
        <v>0</v>
      </c>
      <c r="K6170">
        <v>0</v>
      </c>
    </row>
    <row r="6171" spans="1:11" x14ac:dyDescent="0.25">
      <c r="A6171" t="s">
        <v>83</v>
      </c>
    </row>
    <row r="6172" spans="1:11" x14ac:dyDescent="0.25">
      <c r="A6172">
        <v>63.898023003199199</v>
      </c>
      <c r="B6172">
        <v>33.469066400299397</v>
      </c>
      <c r="C6172">
        <v>2000</v>
      </c>
    </row>
    <row r="6173" spans="1:11" x14ac:dyDescent="0.25">
      <c r="A6173">
        <v>63.898023003199199</v>
      </c>
      <c r="B6173">
        <v>33.469066400299397</v>
      </c>
      <c r="C6173">
        <v>2001</v>
      </c>
    </row>
    <row r="6174" spans="1:11" x14ac:dyDescent="0.25">
      <c r="A6174">
        <v>64.347420518790997</v>
      </c>
      <c r="B6174">
        <v>33.918463915891202</v>
      </c>
      <c r="C6174">
        <v>2001</v>
      </c>
    </row>
    <row r="6175" spans="1:11" x14ac:dyDescent="0.25">
      <c r="A6175">
        <v>64.347420518790997</v>
      </c>
      <c r="B6175">
        <v>33.918463915891202</v>
      </c>
      <c r="C6175">
        <v>2000</v>
      </c>
    </row>
    <row r="6176" spans="1:11" x14ac:dyDescent="0.25">
      <c r="A6176" t="s">
        <v>84</v>
      </c>
    </row>
    <row r="6177" spans="1:11" x14ac:dyDescent="0.25">
      <c r="A6177">
        <v>641</v>
      </c>
      <c r="B6177">
        <v>0</v>
      </c>
      <c r="C6177">
        <v>0.63554406144682196</v>
      </c>
      <c r="D6177">
        <v>0</v>
      </c>
      <c r="E6177">
        <v>5</v>
      </c>
      <c r="F6177">
        <v>1.5707963267949001</v>
      </c>
      <c r="G6177" t="s">
        <v>85</v>
      </c>
      <c r="H6177" t="s">
        <v>81</v>
      </c>
      <c r="I6177">
        <v>0</v>
      </c>
      <c r="J6177">
        <v>269</v>
      </c>
      <c r="K6177">
        <v>0</v>
      </c>
    </row>
    <row r="6178" spans="1:11" x14ac:dyDescent="0.25">
      <c r="A6178" t="s">
        <v>83</v>
      </c>
    </row>
    <row r="6179" spans="1:11" x14ac:dyDescent="0.25">
      <c r="A6179">
        <v>75.999579765368097</v>
      </c>
      <c r="B6179">
        <v>79.745570223194306</v>
      </c>
      <c r="C6179">
        <v>2000</v>
      </c>
    </row>
    <row r="6180" spans="1:11" x14ac:dyDescent="0.25">
      <c r="A6180">
        <v>75.550182249776199</v>
      </c>
      <c r="B6180">
        <v>79.296172707602494</v>
      </c>
      <c r="C6180">
        <v>2000</v>
      </c>
    </row>
    <row r="6181" spans="1:11" x14ac:dyDescent="0.25">
      <c r="A6181">
        <v>75.550182249776199</v>
      </c>
      <c r="B6181">
        <v>79.296172707602494</v>
      </c>
      <c r="C6181">
        <v>2001</v>
      </c>
    </row>
    <row r="6182" spans="1:11" x14ac:dyDescent="0.25">
      <c r="A6182">
        <v>75.999579765368097</v>
      </c>
      <c r="B6182">
        <v>79.745570223194306</v>
      </c>
      <c r="C6182">
        <v>2001</v>
      </c>
    </row>
    <row r="6183" spans="1:11" x14ac:dyDescent="0.25">
      <c r="A6183">
        <v>75.999579765368097</v>
      </c>
      <c r="B6183">
        <v>79.745570223194306</v>
      </c>
      <c r="C6183">
        <v>2000</v>
      </c>
    </row>
    <row r="6184" spans="1:11" x14ac:dyDescent="0.25">
      <c r="A6184" t="s">
        <v>84</v>
      </c>
    </row>
    <row r="6185" spans="1:11" x14ac:dyDescent="0.25">
      <c r="A6185">
        <v>168</v>
      </c>
      <c r="B6185">
        <v>0</v>
      </c>
      <c r="C6185">
        <v>0.63554406144682196</v>
      </c>
      <c r="D6185">
        <v>0</v>
      </c>
      <c r="E6185">
        <v>5</v>
      </c>
      <c r="F6185">
        <v>1.5707963267949001</v>
      </c>
      <c r="G6185" t="s">
        <v>85</v>
      </c>
      <c r="H6185" t="s">
        <v>81</v>
      </c>
      <c r="I6185">
        <v>0</v>
      </c>
      <c r="J6185">
        <v>199</v>
      </c>
      <c r="K6185">
        <v>0</v>
      </c>
    </row>
    <row r="6186" spans="1:11" x14ac:dyDescent="0.25">
      <c r="A6186" t="s">
        <v>83</v>
      </c>
    </row>
    <row r="6187" spans="1:11" x14ac:dyDescent="0.25">
      <c r="A6187">
        <v>60.181719523473497</v>
      </c>
      <c r="B6187">
        <v>6.6281560955700298</v>
      </c>
      <c r="C6187">
        <v>2000</v>
      </c>
    </row>
    <row r="6188" spans="1:11" x14ac:dyDescent="0.25">
      <c r="A6188">
        <v>59.732322007881599</v>
      </c>
      <c r="B6188">
        <v>6.1787585799781404</v>
      </c>
      <c r="C6188">
        <v>2000</v>
      </c>
    </row>
    <row r="6189" spans="1:11" x14ac:dyDescent="0.25">
      <c r="A6189">
        <v>59.732322007881599</v>
      </c>
      <c r="B6189">
        <v>6.1787585799781404</v>
      </c>
      <c r="C6189">
        <v>2001</v>
      </c>
    </row>
    <row r="6190" spans="1:11" x14ac:dyDescent="0.25">
      <c r="A6190">
        <v>60.181719523473497</v>
      </c>
      <c r="B6190">
        <v>6.6281560955700298</v>
      </c>
      <c r="C6190">
        <v>2001</v>
      </c>
    </row>
    <row r="6191" spans="1:11" x14ac:dyDescent="0.25">
      <c r="A6191">
        <v>60.181719523473497</v>
      </c>
      <c r="B6191">
        <v>6.6281560955700298</v>
      </c>
      <c r="C6191">
        <v>2000</v>
      </c>
    </row>
    <row r="6192" spans="1:11" x14ac:dyDescent="0.25">
      <c r="A6192" t="s">
        <v>84</v>
      </c>
    </row>
    <row r="6193" spans="1:11" x14ac:dyDescent="0.25">
      <c r="A6193">
        <v>166</v>
      </c>
      <c r="B6193">
        <v>0</v>
      </c>
      <c r="C6193">
        <v>0.63554406144682196</v>
      </c>
      <c r="D6193">
        <v>0</v>
      </c>
      <c r="E6193">
        <v>5</v>
      </c>
      <c r="F6193">
        <v>1.5707963267949001</v>
      </c>
      <c r="G6193" t="s">
        <v>85</v>
      </c>
      <c r="H6193" t="s">
        <v>81</v>
      </c>
      <c r="I6193">
        <v>0</v>
      </c>
      <c r="J6193">
        <v>1009</v>
      </c>
      <c r="K6193">
        <v>0</v>
      </c>
    </row>
    <row r="6194" spans="1:11" x14ac:dyDescent="0.25">
      <c r="A6194" t="s">
        <v>83</v>
      </c>
    </row>
    <row r="6195" spans="1:11" x14ac:dyDescent="0.25">
      <c r="A6195">
        <v>57.624473926901999</v>
      </c>
      <c r="B6195">
        <v>13.739453087905201</v>
      </c>
      <c r="C6195">
        <v>2000</v>
      </c>
    </row>
    <row r="6196" spans="1:11" x14ac:dyDescent="0.25">
      <c r="A6196">
        <v>57.175076411310101</v>
      </c>
      <c r="B6196">
        <v>13.2900555723133</v>
      </c>
      <c r="C6196">
        <v>2000</v>
      </c>
    </row>
    <row r="6197" spans="1:11" x14ac:dyDescent="0.25">
      <c r="A6197">
        <v>57.175076411310101</v>
      </c>
      <c r="B6197">
        <v>13.2900555723133</v>
      </c>
      <c r="C6197">
        <v>2001</v>
      </c>
    </row>
    <row r="6198" spans="1:11" x14ac:dyDescent="0.25">
      <c r="A6198">
        <v>57.624473926901999</v>
      </c>
      <c r="B6198">
        <v>13.739453087905201</v>
      </c>
      <c r="C6198">
        <v>2001</v>
      </c>
    </row>
    <row r="6199" spans="1:11" x14ac:dyDescent="0.25">
      <c r="A6199">
        <v>57.624473926901999</v>
      </c>
      <c r="B6199">
        <v>13.739453087905201</v>
      </c>
      <c r="C6199">
        <v>2000</v>
      </c>
    </row>
    <row r="6200" spans="1:11" x14ac:dyDescent="0.25">
      <c r="A6200" t="s">
        <v>84</v>
      </c>
    </row>
    <row r="6201" spans="1:11" x14ac:dyDescent="0.25">
      <c r="A6201">
        <v>164</v>
      </c>
      <c r="B6201">
        <v>0</v>
      </c>
      <c r="C6201">
        <v>0</v>
      </c>
      <c r="D6201">
        <v>0.63554406144682196</v>
      </c>
      <c r="E6201">
        <v>4</v>
      </c>
      <c r="F6201">
        <v>1.5707963267949001</v>
      </c>
      <c r="G6201" t="s">
        <v>81</v>
      </c>
      <c r="H6201" t="s">
        <v>85</v>
      </c>
      <c r="I6201">
        <v>1017</v>
      </c>
      <c r="J6201">
        <v>0</v>
      </c>
      <c r="K6201">
        <v>0</v>
      </c>
    </row>
    <row r="6202" spans="1:11" x14ac:dyDescent="0.25">
      <c r="A6202" t="s">
        <v>83</v>
      </c>
    </row>
    <row r="6203" spans="1:11" x14ac:dyDescent="0.25">
      <c r="A6203">
        <v>71.800333143584595</v>
      </c>
      <c r="B6203">
        <v>26.3961624826287</v>
      </c>
      <c r="C6203">
        <v>2000</v>
      </c>
    </row>
    <row r="6204" spans="1:11" x14ac:dyDescent="0.25">
      <c r="A6204">
        <v>71.800333143584595</v>
      </c>
      <c r="B6204">
        <v>26.3961624826287</v>
      </c>
      <c r="C6204">
        <v>2001</v>
      </c>
    </row>
    <row r="6205" spans="1:11" x14ac:dyDescent="0.25">
      <c r="A6205">
        <v>72.249730659176507</v>
      </c>
      <c r="B6205">
        <v>26.845559998220601</v>
      </c>
      <c r="C6205">
        <v>2001</v>
      </c>
    </row>
    <row r="6206" spans="1:11" x14ac:dyDescent="0.25">
      <c r="A6206">
        <v>72.249730659176507</v>
      </c>
      <c r="B6206">
        <v>26.845559998220601</v>
      </c>
      <c r="C6206">
        <v>2000</v>
      </c>
    </row>
    <row r="6207" spans="1:11" x14ac:dyDescent="0.25">
      <c r="A6207" t="s">
        <v>84</v>
      </c>
    </row>
    <row r="6208" spans="1:11" x14ac:dyDescent="0.25">
      <c r="A6208">
        <v>416</v>
      </c>
      <c r="B6208">
        <v>0</v>
      </c>
      <c r="C6208">
        <v>0.63554406144682196</v>
      </c>
      <c r="D6208">
        <v>0</v>
      </c>
      <c r="E6208">
        <v>5</v>
      </c>
      <c r="F6208">
        <v>1.5707963267949001</v>
      </c>
      <c r="G6208" t="s">
        <v>85</v>
      </c>
      <c r="H6208" t="s">
        <v>81</v>
      </c>
      <c r="I6208">
        <v>0</v>
      </c>
      <c r="J6208">
        <v>424</v>
      </c>
      <c r="K6208">
        <v>0</v>
      </c>
    </row>
    <row r="6209" spans="1:11" x14ac:dyDescent="0.25">
      <c r="A6209" t="s">
        <v>83</v>
      </c>
    </row>
    <row r="6210" spans="1:11" x14ac:dyDescent="0.25">
      <c r="A6210">
        <v>2.79017597334001</v>
      </c>
      <c r="B6210">
        <v>129.14264279144899</v>
      </c>
      <c r="C6210">
        <v>2000</v>
      </c>
    </row>
    <row r="6211" spans="1:11" x14ac:dyDescent="0.25">
      <c r="A6211">
        <v>2.3407784577481201</v>
      </c>
      <c r="B6211">
        <v>128.693245275858</v>
      </c>
      <c r="C6211">
        <v>2000</v>
      </c>
    </row>
    <row r="6212" spans="1:11" x14ac:dyDescent="0.25">
      <c r="A6212">
        <v>2.3407784577481201</v>
      </c>
      <c r="B6212">
        <v>128.693245275858</v>
      </c>
      <c r="C6212">
        <v>2001</v>
      </c>
    </row>
    <row r="6213" spans="1:11" x14ac:dyDescent="0.25">
      <c r="A6213">
        <v>2.79017597334001</v>
      </c>
      <c r="B6213">
        <v>129.14264279144899</v>
      </c>
      <c r="C6213">
        <v>2001</v>
      </c>
    </row>
    <row r="6214" spans="1:11" x14ac:dyDescent="0.25">
      <c r="A6214">
        <v>2.79017597334001</v>
      </c>
      <c r="B6214">
        <v>129.14264279144899</v>
      </c>
      <c r="C6214">
        <v>2000</v>
      </c>
    </row>
    <row r="6215" spans="1:11" x14ac:dyDescent="0.25">
      <c r="A6215" t="s">
        <v>84</v>
      </c>
    </row>
    <row r="6216" spans="1:11" x14ac:dyDescent="0.25">
      <c r="A6216">
        <v>162</v>
      </c>
      <c r="B6216">
        <v>0</v>
      </c>
      <c r="C6216">
        <v>0.63554406144682196</v>
      </c>
      <c r="D6216">
        <v>0</v>
      </c>
      <c r="E6216">
        <v>5</v>
      </c>
      <c r="F6216">
        <v>1.5707963267949001</v>
      </c>
      <c r="G6216" t="s">
        <v>85</v>
      </c>
      <c r="H6216" t="s">
        <v>81</v>
      </c>
      <c r="I6216">
        <v>0</v>
      </c>
      <c r="J6216">
        <v>193</v>
      </c>
      <c r="K6216">
        <v>0</v>
      </c>
    </row>
    <row r="6217" spans="1:11" x14ac:dyDescent="0.25">
      <c r="A6217" t="s">
        <v>83</v>
      </c>
    </row>
    <row r="6218" spans="1:11" x14ac:dyDescent="0.25">
      <c r="A6218">
        <v>76.389576588473105</v>
      </c>
      <c r="B6218">
        <v>4.8037237160856403</v>
      </c>
      <c r="C6218">
        <v>2000</v>
      </c>
    </row>
    <row r="6219" spans="1:11" x14ac:dyDescent="0.25">
      <c r="A6219">
        <v>75.940179072881193</v>
      </c>
      <c r="B6219">
        <v>4.3543262004937597</v>
      </c>
      <c r="C6219">
        <v>2000</v>
      </c>
    </row>
    <row r="6220" spans="1:11" x14ac:dyDescent="0.25">
      <c r="A6220">
        <v>75.940179072881193</v>
      </c>
      <c r="B6220">
        <v>4.3543262004937597</v>
      </c>
      <c r="C6220">
        <v>2001</v>
      </c>
    </row>
    <row r="6221" spans="1:11" x14ac:dyDescent="0.25">
      <c r="A6221">
        <v>76.389576588473105</v>
      </c>
      <c r="B6221">
        <v>4.8037237160856403</v>
      </c>
      <c r="C6221">
        <v>2001</v>
      </c>
    </row>
    <row r="6222" spans="1:11" x14ac:dyDescent="0.25">
      <c r="A6222">
        <v>76.389576588473105</v>
      </c>
      <c r="B6222">
        <v>4.8037237160856403</v>
      </c>
      <c r="C6222">
        <v>2000</v>
      </c>
    </row>
    <row r="6223" spans="1:11" x14ac:dyDescent="0.25">
      <c r="A6223" t="s">
        <v>84</v>
      </c>
    </row>
    <row r="6224" spans="1:11" x14ac:dyDescent="0.25">
      <c r="A6224">
        <v>169</v>
      </c>
      <c r="B6224">
        <v>0</v>
      </c>
      <c r="C6224">
        <v>0.63554406144682196</v>
      </c>
      <c r="D6224">
        <v>0</v>
      </c>
      <c r="E6224">
        <v>5</v>
      </c>
      <c r="F6224">
        <v>1.5707963267949001</v>
      </c>
      <c r="G6224" t="s">
        <v>85</v>
      </c>
      <c r="H6224" t="s">
        <v>81</v>
      </c>
      <c r="I6224">
        <v>0</v>
      </c>
      <c r="J6224">
        <v>599</v>
      </c>
      <c r="K6224">
        <v>0</v>
      </c>
    </row>
    <row r="6225" spans="1:11" x14ac:dyDescent="0.25">
      <c r="A6225" t="s">
        <v>83</v>
      </c>
    </row>
    <row r="6226" spans="1:11" x14ac:dyDescent="0.25">
      <c r="A6226">
        <v>82.208700062338593</v>
      </c>
      <c r="B6226">
        <v>35.9628760539754</v>
      </c>
      <c r="C6226">
        <v>2000</v>
      </c>
    </row>
    <row r="6227" spans="1:11" x14ac:dyDescent="0.25">
      <c r="A6227">
        <v>81.759302546746696</v>
      </c>
      <c r="B6227">
        <v>35.513478538383502</v>
      </c>
      <c r="C6227">
        <v>2000</v>
      </c>
    </row>
    <row r="6228" spans="1:11" x14ac:dyDescent="0.25">
      <c r="A6228">
        <v>81.759302546746696</v>
      </c>
      <c r="B6228">
        <v>35.513478538383502</v>
      </c>
      <c r="C6228">
        <v>2001</v>
      </c>
    </row>
    <row r="6229" spans="1:11" x14ac:dyDescent="0.25">
      <c r="A6229">
        <v>82.208700062338593</v>
      </c>
      <c r="B6229">
        <v>35.9628760539754</v>
      </c>
      <c r="C6229">
        <v>2001</v>
      </c>
    </row>
    <row r="6230" spans="1:11" x14ac:dyDescent="0.25">
      <c r="A6230">
        <v>82.208700062338593</v>
      </c>
      <c r="B6230">
        <v>35.9628760539754</v>
      </c>
      <c r="C6230">
        <v>2000</v>
      </c>
    </row>
    <row r="6231" spans="1:11" x14ac:dyDescent="0.25">
      <c r="A6231" t="s">
        <v>84</v>
      </c>
    </row>
    <row r="6232" spans="1:11" x14ac:dyDescent="0.25">
      <c r="A6232">
        <v>334</v>
      </c>
      <c r="B6232">
        <v>0</v>
      </c>
      <c r="C6232">
        <v>0</v>
      </c>
      <c r="D6232">
        <v>0.63554406144680797</v>
      </c>
      <c r="E6232">
        <v>4</v>
      </c>
      <c r="F6232">
        <v>1.5707963267949001</v>
      </c>
      <c r="G6232" t="s">
        <v>81</v>
      </c>
      <c r="H6232" t="s">
        <v>85</v>
      </c>
      <c r="I6232">
        <v>354</v>
      </c>
      <c r="J6232">
        <v>0</v>
      </c>
      <c r="K6232">
        <v>0</v>
      </c>
    </row>
    <row r="6233" spans="1:11" x14ac:dyDescent="0.25">
      <c r="A6233" t="s">
        <v>83</v>
      </c>
    </row>
    <row r="6234" spans="1:11" x14ac:dyDescent="0.25">
      <c r="A6234">
        <v>71.171765749422704</v>
      </c>
      <c r="B6234">
        <v>146.369891064879</v>
      </c>
      <c r="C6234">
        <v>2000</v>
      </c>
    </row>
    <row r="6235" spans="1:11" x14ac:dyDescent="0.25">
      <c r="A6235">
        <v>71.171765749422704</v>
      </c>
      <c r="B6235">
        <v>146.369891064879</v>
      </c>
      <c r="C6235">
        <v>2001</v>
      </c>
    </row>
    <row r="6236" spans="1:11" x14ac:dyDescent="0.25">
      <c r="A6236">
        <v>71.621163265014602</v>
      </c>
      <c r="B6236">
        <v>146.81928858047101</v>
      </c>
      <c r="C6236">
        <v>2001</v>
      </c>
    </row>
    <row r="6237" spans="1:11" x14ac:dyDescent="0.25">
      <c r="A6237">
        <v>71.621163265014602</v>
      </c>
      <c r="B6237">
        <v>146.81928858047101</v>
      </c>
      <c r="C6237">
        <v>2000</v>
      </c>
    </row>
    <row r="6238" spans="1:11" x14ac:dyDescent="0.25">
      <c r="A6238" t="s">
        <v>84</v>
      </c>
    </row>
    <row r="6239" spans="1:11" x14ac:dyDescent="0.25">
      <c r="A6239">
        <v>325</v>
      </c>
      <c r="B6239">
        <v>0</v>
      </c>
      <c r="C6239">
        <v>0</v>
      </c>
      <c r="D6239">
        <v>0.63554406144680797</v>
      </c>
      <c r="E6239">
        <v>4</v>
      </c>
      <c r="F6239">
        <v>1.5707963267949001</v>
      </c>
      <c r="G6239" t="s">
        <v>81</v>
      </c>
      <c r="H6239" t="s">
        <v>85</v>
      </c>
      <c r="I6239">
        <v>110</v>
      </c>
      <c r="J6239">
        <v>0</v>
      </c>
      <c r="K6239">
        <v>0</v>
      </c>
    </row>
    <row r="6240" spans="1:11" x14ac:dyDescent="0.25">
      <c r="A6240" t="s">
        <v>83</v>
      </c>
    </row>
    <row r="6241" spans="1:11" x14ac:dyDescent="0.25">
      <c r="A6241">
        <v>81.440943994764694</v>
      </c>
      <c r="B6241">
        <v>139.833969094248</v>
      </c>
      <c r="C6241">
        <v>2000</v>
      </c>
    </row>
    <row r="6242" spans="1:11" x14ac:dyDescent="0.25">
      <c r="A6242">
        <v>81.440943994764694</v>
      </c>
      <c r="B6242">
        <v>139.833969094248</v>
      </c>
      <c r="C6242">
        <v>2001</v>
      </c>
    </row>
    <row r="6243" spans="1:11" x14ac:dyDescent="0.25">
      <c r="A6243">
        <v>81.890341510356606</v>
      </c>
      <c r="B6243">
        <v>140.28336660983899</v>
      </c>
      <c r="C6243">
        <v>2001</v>
      </c>
    </row>
    <row r="6244" spans="1:11" x14ac:dyDescent="0.25">
      <c r="A6244">
        <v>81.890341510356606</v>
      </c>
      <c r="B6244">
        <v>140.28336660983899</v>
      </c>
      <c r="C6244">
        <v>2000</v>
      </c>
    </row>
    <row r="6245" spans="1:11" x14ac:dyDescent="0.25">
      <c r="A6245" t="s">
        <v>84</v>
      </c>
    </row>
    <row r="6246" spans="1:11" x14ac:dyDescent="0.25">
      <c r="A6246">
        <v>259</v>
      </c>
      <c r="B6246">
        <v>0</v>
      </c>
      <c r="C6246">
        <v>0</v>
      </c>
      <c r="D6246">
        <v>0.63554406144680797</v>
      </c>
      <c r="E6246">
        <v>4</v>
      </c>
      <c r="F6246">
        <v>1.5707963267949001</v>
      </c>
      <c r="G6246" t="s">
        <v>81</v>
      </c>
      <c r="H6246" t="s">
        <v>85</v>
      </c>
      <c r="I6246">
        <v>663</v>
      </c>
      <c r="J6246">
        <v>0</v>
      </c>
      <c r="K6246">
        <v>0</v>
      </c>
    </row>
    <row r="6247" spans="1:11" x14ac:dyDescent="0.25">
      <c r="A6247" t="s">
        <v>83</v>
      </c>
    </row>
    <row r="6248" spans="1:11" x14ac:dyDescent="0.25">
      <c r="A6248">
        <v>118.923316916415</v>
      </c>
      <c r="B6248">
        <v>123.87124043836801</v>
      </c>
      <c r="C6248">
        <v>2000</v>
      </c>
    </row>
    <row r="6249" spans="1:11" x14ac:dyDescent="0.25">
      <c r="A6249">
        <v>118.923316916415</v>
      </c>
      <c r="B6249">
        <v>123.87124043836801</v>
      </c>
      <c r="C6249">
        <v>2001</v>
      </c>
    </row>
    <row r="6250" spans="1:11" x14ac:dyDescent="0.25">
      <c r="A6250">
        <v>119.372714432007</v>
      </c>
      <c r="B6250">
        <v>124.32063795396</v>
      </c>
      <c r="C6250">
        <v>2001</v>
      </c>
    </row>
    <row r="6251" spans="1:11" x14ac:dyDescent="0.25">
      <c r="A6251">
        <v>119.372714432007</v>
      </c>
      <c r="B6251">
        <v>124.32063795396</v>
      </c>
      <c r="C6251">
        <v>2000</v>
      </c>
    </row>
    <row r="6252" spans="1:11" x14ac:dyDescent="0.25">
      <c r="A6252" t="s">
        <v>84</v>
      </c>
    </row>
    <row r="6253" spans="1:11" x14ac:dyDescent="0.25">
      <c r="A6253">
        <v>256</v>
      </c>
      <c r="B6253">
        <v>0</v>
      </c>
      <c r="C6253">
        <v>0</v>
      </c>
      <c r="D6253">
        <v>0.63554406144680797</v>
      </c>
      <c r="E6253">
        <v>4</v>
      </c>
      <c r="F6253">
        <v>1.5707963267949001</v>
      </c>
      <c r="G6253" t="s">
        <v>81</v>
      </c>
      <c r="H6253" t="s">
        <v>85</v>
      </c>
      <c r="I6253">
        <v>341</v>
      </c>
      <c r="J6253">
        <v>0</v>
      </c>
      <c r="K6253">
        <v>0</v>
      </c>
    </row>
    <row r="6254" spans="1:11" x14ac:dyDescent="0.25">
      <c r="A6254" t="s">
        <v>83</v>
      </c>
    </row>
    <row r="6255" spans="1:11" x14ac:dyDescent="0.25">
      <c r="A6255">
        <v>104.335735379409</v>
      </c>
      <c r="B6255">
        <v>139.44394747467899</v>
      </c>
      <c r="C6255">
        <v>2000</v>
      </c>
    </row>
    <row r="6256" spans="1:11" x14ac:dyDescent="0.25">
      <c r="A6256">
        <v>104.335735379409</v>
      </c>
      <c r="B6256">
        <v>139.44394747467899</v>
      </c>
      <c r="C6256">
        <v>2001</v>
      </c>
    </row>
    <row r="6257" spans="1:11" x14ac:dyDescent="0.25">
      <c r="A6257">
        <v>104.785132895001</v>
      </c>
      <c r="B6257">
        <v>139.893344990271</v>
      </c>
      <c r="C6257">
        <v>2001</v>
      </c>
    </row>
    <row r="6258" spans="1:11" x14ac:dyDescent="0.25">
      <c r="A6258">
        <v>104.785132895001</v>
      </c>
      <c r="B6258">
        <v>139.893344990271</v>
      </c>
      <c r="C6258">
        <v>2000</v>
      </c>
    </row>
    <row r="6259" spans="1:11" x14ac:dyDescent="0.25">
      <c r="A6259" t="s">
        <v>84</v>
      </c>
    </row>
    <row r="6260" spans="1:11" x14ac:dyDescent="0.25">
      <c r="A6260">
        <v>255</v>
      </c>
      <c r="B6260">
        <v>0</v>
      </c>
      <c r="C6260">
        <v>0</v>
      </c>
      <c r="D6260">
        <v>0.63554406144680797</v>
      </c>
      <c r="E6260">
        <v>4</v>
      </c>
      <c r="F6260">
        <v>1.5707963267949001</v>
      </c>
      <c r="G6260" t="s">
        <v>81</v>
      </c>
      <c r="H6260" t="s">
        <v>85</v>
      </c>
      <c r="I6260">
        <v>907</v>
      </c>
      <c r="J6260">
        <v>0</v>
      </c>
      <c r="K6260">
        <v>0</v>
      </c>
    </row>
    <row r="6261" spans="1:11" x14ac:dyDescent="0.25">
      <c r="A6261" t="s">
        <v>83</v>
      </c>
    </row>
    <row r="6262" spans="1:11" x14ac:dyDescent="0.25">
      <c r="A6262">
        <v>109.11658647661901</v>
      </c>
      <c r="B6262">
        <v>133.55260661735801</v>
      </c>
      <c r="C6262">
        <v>2000</v>
      </c>
    </row>
    <row r="6263" spans="1:11" x14ac:dyDescent="0.25">
      <c r="A6263">
        <v>109.11658647661901</v>
      </c>
      <c r="B6263">
        <v>133.55260661735801</v>
      </c>
      <c r="C6263">
        <v>2001</v>
      </c>
    </row>
    <row r="6264" spans="1:11" x14ac:dyDescent="0.25">
      <c r="A6264">
        <v>109.565983992211</v>
      </c>
      <c r="B6264">
        <v>134.00200413294999</v>
      </c>
      <c r="C6264">
        <v>2001</v>
      </c>
    </row>
    <row r="6265" spans="1:11" x14ac:dyDescent="0.25">
      <c r="A6265">
        <v>109.565983992211</v>
      </c>
      <c r="B6265">
        <v>134.00200413294999</v>
      </c>
      <c r="C6265">
        <v>2000</v>
      </c>
    </row>
    <row r="6266" spans="1:11" x14ac:dyDescent="0.25">
      <c r="A6266" t="s">
        <v>84</v>
      </c>
    </row>
    <row r="6267" spans="1:11" x14ac:dyDescent="0.25">
      <c r="A6267">
        <v>254</v>
      </c>
      <c r="B6267">
        <v>0</v>
      </c>
      <c r="C6267">
        <v>0</v>
      </c>
      <c r="D6267">
        <v>0.63554406144680797</v>
      </c>
      <c r="E6267">
        <v>4</v>
      </c>
      <c r="F6267">
        <v>1.5707963267949001</v>
      </c>
      <c r="G6267" t="s">
        <v>81</v>
      </c>
      <c r="H6267" t="s">
        <v>85</v>
      </c>
      <c r="I6267">
        <v>999</v>
      </c>
      <c r="J6267">
        <v>0</v>
      </c>
      <c r="K6267">
        <v>0</v>
      </c>
    </row>
    <row r="6268" spans="1:11" x14ac:dyDescent="0.25">
      <c r="A6268" t="s">
        <v>83</v>
      </c>
    </row>
    <row r="6269" spans="1:11" x14ac:dyDescent="0.25">
      <c r="A6269">
        <v>128.431641870845</v>
      </c>
      <c r="B6269">
        <v>142.340095325997</v>
      </c>
      <c r="C6269">
        <v>2000</v>
      </c>
    </row>
    <row r="6270" spans="1:11" x14ac:dyDescent="0.25">
      <c r="A6270">
        <v>128.431641870845</v>
      </c>
      <c r="B6270">
        <v>142.340095325997</v>
      </c>
      <c r="C6270">
        <v>2001</v>
      </c>
    </row>
    <row r="6271" spans="1:11" x14ac:dyDescent="0.25">
      <c r="A6271">
        <v>128.88103938643701</v>
      </c>
      <c r="B6271">
        <v>142.78949284158901</v>
      </c>
      <c r="C6271">
        <v>2001</v>
      </c>
    </row>
    <row r="6272" spans="1:11" x14ac:dyDescent="0.25">
      <c r="A6272">
        <v>128.88103938643701</v>
      </c>
      <c r="B6272">
        <v>142.78949284158901</v>
      </c>
      <c r="C6272">
        <v>2000</v>
      </c>
    </row>
    <row r="6273" spans="1:11" x14ac:dyDescent="0.25">
      <c r="A6273" t="s">
        <v>84</v>
      </c>
    </row>
    <row r="6274" spans="1:11" x14ac:dyDescent="0.25">
      <c r="A6274">
        <v>250</v>
      </c>
      <c r="B6274">
        <v>0</v>
      </c>
      <c r="C6274">
        <v>0.63554406144680797</v>
      </c>
      <c r="D6274">
        <v>0</v>
      </c>
      <c r="E6274">
        <v>5</v>
      </c>
      <c r="F6274">
        <v>1.5707963267949001</v>
      </c>
      <c r="G6274" t="s">
        <v>85</v>
      </c>
      <c r="H6274" t="s">
        <v>81</v>
      </c>
      <c r="I6274">
        <v>0</v>
      </c>
      <c r="J6274">
        <v>856</v>
      </c>
      <c r="K6274">
        <v>0</v>
      </c>
    </row>
    <row r="6275" spans="1:11" x14ac:dyDescent="0.25">
      <c r="A6275" t="s">
        <v>83</v>
      </c>
    </row>
    <row r="6276" spans="1:11" x14ac:dyDescent="0.25">
      <c r="A6276">
        <v>129.69095369553699</v>
      </c>
      <c r="B6276">
        <v>116.114860722383</v>
      </c>
      <c r="C6276">
        <v>2000</v>
      </c>
    </row>
    <row r="6277" spans="1:11" x14ac:dyDescent="0.25">
      <c r="A6277">
        <v>129.24155617994501</v>
      </c>
      <c r="B6277">
        <v>115.665463206791</v>
      </c>
      <c r="C6277">
        <v>2000</v>
      </c>
    </row>
    <row r="6278" spans="1:11" x14ac:dyDescent="0.25">
      <c r="A6278">
        <v>129.24155617994501</v>
      </c>
      <c r="B6278">
        <v>115.665463206791</v>
      </c>
      <c r="C6278">
        <v>2001</v>
      </c>
    </row>
    <row r="6279" spans="1:11" x14ac:dyDescent="0.25">
      <c r="A6279">
        <v>129.69095369553699</v>
      </c>
      <c r="B6279">
        <v>116.114860722383</v>
      </c>
      <c r="C6279">
        <v>2001</v>
      </c>
    </row>
    <row r="6280" spans="1:11" x14ac:dyDescent="0.25">
      <c r="A6280">
        <v>129.69095369553699</v>
      </c>
      <c r="B6280">
        <v>116.114860722383</v>
      </c>
      <c r="C6280">
        <v>2000</v>
      </c>
    </row>
    <row r="6281" spans="1:11" x14ac:dyDescent="0.25">
      <c r="A6281" t="s">
        <v>84</v>
      </c>
    </row>
    <row r="6282" spans="1:11" x14ac:dyDescent="0.25">
      <c r="A6282">
        <v>247</v>
      </c>
      <c r="B6282">
        <v>0</v>
      </c>
      <c r="C6282">
        <v>0</v>
      </c>
      <c r="D6282">
        <v>0.63554406144680797</v>
      </c>
      <c r="E6282">
        <v>4</v>
      </c>
      <c r="F6282">
        <v>1.5707963267949001</v>
      </c>
      <c r="G6282" t="s">
        <v>81</v>
      </c>
      <c r="H6282" t="s">
        <v>85</v>
      </c>
      <c r="I6282">
        <v>253</v>
      </c>
      <c r="J6282">
        <v>0</v>
      </c>
      <c r="K6282">
        <v>0</v>
      </c>
    </row>
    <row r="6283" spans="1:11" x14ac:dyDescent="0.25">
      <c r="A6283" t="s">
        <v>83</v>
      </c>
    </row>
    <row r="6284" spans="1:11" x14ac:dyDescent="0.25">
      <c r="A6284">
        <v>143.96498099386901</v>
      </c>
      <c r="B6284">
        <v>145.79359163567099</v>
      </c>
      <c r="C6284">
        <v>2000</v>
      </c>
    </row>
    <row r="6285" spans="1:11" x14ac:dyDescent="0.25">
      <c r="A6285">
        <v>143.96498099386901</v>
      </c>
      <c r="B6285">
        <v>145.79359163567099</v>
      </c>
      <c r="C6285">
        <v>2001</v>
      </c>
    </row>
    <row r="6286" spans="1:11" x14ac:dyDescent="0.25">
      <c r="A6286">
        <v>144.41437850946099</v>
      </c>
      <c r="B6286">
        <v>146.242989151263</v>
      </c>
      <c r="C6286">
        <v>2001</v>
      </c>
    </row>
    <row r="6287" spans="1:11" x14ac:dyDescent="0.25">
      <c r="A6287">
        <v>144.41437850946099</v>
      </c>
      <c r="B6287">
        <v>146.242989151263</v>
      </c>
      <c r="C6287">
        <v>2000</v>
      </c>
    </row>
    <row r="6288" spans="1:11" x14ac:dyDescent="0.25">
      <c r="A6288" t="s">
        <v>84</v>
      </c>
    </row>
    <row r="6289" spans="1:11" x14ac:dyDescent="0.25">
      <c r="A6289">
        <v>248</v>
      </c>
      <c r="B6289">
        <v>0</v>
      </c>
      <c r="C6289">
        <v>0</v>
      </c>
      <c r="D6289">
        <v>0.63554406144680797</v>
      </c>
      <c r="E6289">
        <v>4</v>
      </c>
      <c r="F6289">
        <v>1.5707963267949001</v>
      </c>
      <c r="G6289" t="s">
        <v>81</v>
      </c>
      <c r="H6289" t="s">
        <v>85</v>
      </c>
      <c r="I6289">
        <v>1036</v>
      </c>
      <c r="J6289">
        <v>0</v>
      </c>
      <c r="K6289">
        <v>0</v>
      </c>
    </row>
    <row r="6290" spans="1:11" x14ac:dyDescent="0.25">
      <c r="A6290" t="s">
        <v>83</v>
      </c>
    </row>
    <row r="6291" spans="1:11" x14ac:dyDescent="0.25">
      <c r="A6291">
        <v>130.29623280991601</v>
      </c>
      <c r="B6291">
        <v>144.86510698677299</v>
      </c>
      <c r="C6291">
        <v>2000</v>
      </c>
    </row>
    <row r="6292" spans="1:11" x14ac:dyDescent="0.25">
      <c r="A6292">
        <v>130.29623280991601</v>
      </c>
      <c r="B6292">
        <v>144.86510698677299</v>
      </c>
      <c r="C6292">
        <v>2001</v>
      </c>
    </row>
    <row r="6293" spans="1:11" x14ac:dyDescent="0.25">
      <c r="A6293">
        <v>130.74563032550799</v>
      </c>
      <c r="B6293">
        <v>145.314504502365</v>
      </c>
      <c r="C6293">
        <v>2001</v>
      </c>
    </row>
    <row r="6294" spans="1:11" x14ac:dyDescent="0.25">
      <c r="A6294">
        <v>130.74563032550799</v>
      </c>
      <c r="B6294">
        <v>145.314504502365</v>
      </c>
      <c r="C6294">
        <v>2000</v>
      </c>
    </row>
    <row r="6295" spans="1:11" x14ac:dyDescent="0.25">
      <c r="A6295" t="s">
        <v>84</v>
      </c>
    </row>
    <row r="6296" spans="1:11" x14ac:dyDescent="0.25">
      <c r="A6296">
        <v>246</v>
      </c>
      <c r="B6296">
        <v>0</v>
      </c>
      <c r="C6296">
        <v>0</v>
      </c>
      <c r="D6296">
        <v>0.63554406144680797</v>
      </c>
      <c r="E6296">
        <v>4</v>
      </c>
      <c r="F6296">
        <v>1.5707963267949001</v>
      </c>
      <c r="G6296" t="s">
        <v>81</v>
      </c>
      <c r="H6296" t="s">
        <v>85</v>
      </c>
      <c r="I6296">
        <v>675</v>
      </c>
      <c r="J6296">
        <v>0</v>
      </c>
      <c r="K6296">
        <v>0</v>
      </c>
    </row>
    <row r="6297" spans="1:11" x14ac:dyDescent="0.25">
      <c r="A6297" t="s">
        <v>83</v>
      </c>
    </row>
    <row r="6298" spans="1:11" x14ac:dyDescent="0.25">
      <c r="A6298">
        <v>125.360183348116</v>
      </c>
      <c r="B6298">
        <v>111.406377091262</v>
      </c>
      <c r="C6298">
        <v>2000</v>
      </c>
    </row>
    <row r="6299" spans="1:11" x14ac:dyDescent="0.25">
      <c r="A6299">
        <v>125.360183348116</v>
      </c>
      <c r="B6299">
        <v>111.406377091262</v>
      </c>
      <c r="C6299">
        <v>2001</v>
      </c>
    </row>
    <row r="6300" spans="1:11" x14ac:dyDescent="0.25">
      <c r="A6300">
        <v>125.80958086370801</v>
      </c>
      <c r="B6300">
        <v>111.855774606854</v>
      </c>
      <c r="C6300">
        <v>2001</v>
      </c>
    </row>
    <row r="6301" spans="1:11" x14ac:dyDescent="0.25">
      <c r="A6301">
        <v>125.80958086370801</v>
      </c>
      <c r="B6301">
        <v>111.855774606854</v>
      </c>
      <c r="C6301">
        <v>2000</v>
      </c>
    </row>
    <row r="6302" spans="1:11" x14ac:dyDescent="0.25">
      <c r="A6302" t="s">
        <v>84</v>
      </c>
    </row>
    <row r="6303" spans="1:11" x14ac:dyDescent="0.25">
      <c r="A6303">
        <v>566</v>
      </c>
      <c r="B6303">
        <v>0</v>
      </c>
      <c r="C6303">
        <v>0</v>
      </c>
      <c r="D6303">
        <v>0.63554406144680797</v>
      </c>
      <c r="E6303">
        <v>4</v>
      </c>
      <c r="F6303">
        <v>1.5707963267949001</v>
      </c>
      <c r="G6303" t="s">
        <v>81</v>
      </c>
      <c r="H6303" t="s">
        <v>85</v>
      </c>
      <c r="I6303">
        <v>933</v>
      </c>
      <c r="J6303">
        <v>0</v>
      </c>
      <c r="K6303">
        <v>0</v>
      </c>
    </row>
    <row r="6304" spans="1:11" x14ac:dyDescent="0.25">
      <c r="A6304" t="s">
        <v>83</v>
      </c>
    </row>
    <row r="6305" spans="1:11" x14ac:dyDescent="0.25">
      <c r="A6305">
        <v>143.776004257973</v>
      </c>
      <c r="B6305">
        <v>66.0513481316396</v>
      </c>
      <c r="C6305">
        <v>2000</v>
      </c>
    </row>
    <row r="6306" spans="1:11" x14ac:dyDescent="0.25">
      <c r="A6306">
        <v>143.776004257973</v>
      </c>
      <c r="B6306">
        <v>66.0513481316396</v>
      </c>
      <c r="C6306">
        <v>2001</v>
      </c>
    </row>
    <row r="6307" spans="1:11" x14ac:dyDescent="0.25">
      <c r="A6307">
        <v>144.22540177356501</v>
      </c>
      <c r="B6307">
        <v>66.500745647231398</v>
      </c>
      <c r="C6307">
        <v>2001</v>
      </c>
    </row>
    <row r="6308" spans="1:11" x14ac:dyDescent="0.25">
      <c r="A6308">
        <v>144.22540177356501</v>
      </c>
      <c r="B6308">
        <v>66.500745647231398</v>
      </c>
      <c r="C6308">
        <v>2000</v>
      </c>
    </row>
    <row r="6309" spans="1:11" x14ac:dyDescent="0.25">
      <c r="A6309" t="s">
        <v>84</v>
      </c>
    </row>
    <row r="6310" spans="1:11" x14ac:dyDescent="0.25">
      <c r="A6310">
        <v>488</v>
      </c>
      <c r="B6310">
        <v>0</v>
      </c>
      <c r="C6310">
        <v>0</v>
      </c>
      <c r="D6310">
        <v>0.63554406144680797</v>
      </c>
      <c r="E6310">
        <v>4</v>
      </c>
      <c r="F6310">
        <v>1.5707963267949001</v>
      </c>
      <c r="G6310" t="s">
        <v>81</v>
      </c>
      <c r="H6310" t="s">
        <v>85</v>
      </c>
      <c r="I6310">
        <v>813</v>
      </c>
      <c r="J6310">
        <v>0</v>
      </c>
      <c r="K6310">
        <v>0</v>
      </c>
    </row>
    <row r="6311" spans="1:11" x14ac:dyDescent="0.25">
      <c r="A6311" t="s">
        <v>83</v>
      </c>
    </row>
    <row r="6312" spans="1:11" x14ac:dyDescent="0.25">
      <c r="A6312">
        <v>136.71370442570799</v>
      </c>
      <c r="B6312">
        <v>44.935746756352401</v>
      </c>
      <c r="C6312">
        <v>2000</v>
      </c>
    </row>
    <row r="6313" spans="1:11" x14ac:dyDescent="0.25">
      <c r="A6313">
        <v>136.71370442570799</v>
      </c>
      <c r="B6313">
        <v>44.935746756352401</v>
      </c>
      <c r="C6313">
        <v>2001</v>
      </c>
    </row>
    <row r="6314" spans="1:11" x14ac:dyDescent="0.25">
      <c r="A6314">
        <v>137.1631019413</v>
      </c>
      <c r="B6314">
        <v>45.385144271944199</v>
      </c>
      <c r="C6314">
        <v>2001</v>
      </c>
    </row>
    <row r="6315" spans="1:11" x14ac:dyDescent="0.25">
      <c r="A6315">
        <v>137.1631019413</v>
      </c>
      <c r="B6315">
        <v>45.385144271944199</v>
      </c>
      <c r="C6315">
        <v>2000</v>
      </c>
    </row>
    <row r="6316" spans="1:11" x14ac:dyDescent="0.25">
      <c r="A6316" t="s">
        <v>84</v>
      </c>
    </row>
    <row r="6317" spans="1:11" x14ac:dyDescent="0.25">
      <c r="A6317">
        <v>577</v>
      </c>
      <c r="B6317">
        <v>0</v>
      </c>
      <c r="C6317">
        <v>0</v>
      </c>
      <c r="D6317">
        <v>0.63554406144680797</v>
      </c>
      <c r="E6317">
        <v>4</v>
      </c>
      <c r="F6317">
        <v>1.5707963267949001</v>
      </c>
      <c r="G6317" t="s">
        <v>81</v>
      </c>
      <c r="H6317" t="s">
        <v>85</v>
      </c>
      <c r="I6317">
        <v>893</v>
      </c>
      <c r="J6317">
        <v>0</v>
      </c>
      <c r="K6317">
        <v>0</v>
      </c>
    </row>
    <row r="6318" spans="1:11" x14ac:dyDescent="0.25">
      <c r="A6318" t="s">
        <v>83</v>
      </c>
    </row>
    <row r="6319" spans="1:11" x14ac:dyDescent="0.25">
      <c r="A6319">
        <v>135.34174634159601</v>
      </c>
      <c r="B6319">
        <v>65.408168356124406</v>
      </c>
      <c r="C6319">
        <v>2000</v>
      </c>
    </row>
    <row r="6320" spans="1:11" x14ac:dyDescent="0.25">
      <c r="A6320">
        <v>135.34174634159601</v>
      </c>
      <c r="B6320">
        <v>65.408168356124406</v>
      </c>
      <c r="C6320">
        <v>2001</v>
      </c>
    </row>
    <row r="6321" spans="1:11" x14ac:dyDescent="0.25">
      <c r="A6321">
        <v>135.79114385718799</v>
      </c>
      <c r="B6321">
        <v>65.857565871716304</v>
      </c>
      <c r="C6321">
        <v>2001</v>
      </c>
    </row>
    <row r="6322" spans="1:11" x14ac:dyDescent="0.25">
      <c r="A6322">
        <v>135.79114385718799</v>
      </c>
      <c r="B6322">
        <v>65.857565871716304</v>
      </c>
      <c r="C6322">
        <v>2000</v>
      </c>
    </row>
    <row r="6323" spans="1:11" x14ac:dyDescent="0.25">
      <c r="A6323" t="s">
        <v>84</v>
      </c>
    </row>
    <row r="6324" spans="1:11" x14ac:dyDescent="0.25">
      <c r="A6324">
        <v>580</v>
      </c>
      <c r="B6324">
        <v>0</v>
      </c>
      <c r="C6324">
        <v>0</v>
      </c>
      <c r="D6324">
        <v>0.63554406144680797</v>
      </c>
      <c r="E6324">
        <v>4</v>
      </c>
      <c r="F6324">
        <v>1.5707963267949001</v>
      </c>
      <c r="G6324" t="s">
        <v>81</v>
      </c>
      <c r="H6324" t="s">
        <v>85</v>
      </c>
      <c r="I6324">
        <v>799</v>
      </c>
      <c r="J6324">
        <v>0</v>
      </c>
      <c r="K6324">
        <v>0</v>
      </c>
    </row>
    <row r="6325" spans="1:11" x14ac:dyDescent="0.25">
      <c r="A6325" t="s">
        <v>83</v>
      </c>
    </row>
    <row r="6326" spans="1:11" x14ac:dyDescent="0.25">
      <c r="A6326">
        <v>144.29527980708301</v>
      </c>
      <c r="B6326">
        <v>82.814765911463098</v>
      </c>
      <c r="C6326">
        <v>2000</v>
      </c>
    </row>
    <row r="6327" spans="1:11" x14ac:dyDescent="0.25">
      <c r="A6327">
        <v>144.29527980708301</v>
      </c>
      <c r="B6327">
        <v>82.814765911463098</v>
      </c>
      <c r="C6327">
        <v>2001</v>
      </c>
    </row>
    <row r="6328" spans="1:11" x14ac:dyDescent="0.25">
      <c r="A6328">
        <v>144.74467732267499</v>
      </c>
      <c r="B6328">
        <v>83.264163427054896</v>
      </c>
      <c r="C6328">
        <v>2001</v>
      </c>
    </row>
    <row r="6329" spans="1:11" x14ac:dyDescent="0.25">
      <c r="A6329">
        <v>144.74467732267499</v>
      </c>
      <c r="B6329">
        <v>83.264163427054896</v>
      </c>
      <c r="C6329">
        <v>2000</v>
      </c>
    </row>
    <row r="6330" spans="1:11" x14ac:dyDescent="0.25">
      <c r="A6330" t="s">
        <v>84</v>
      </c>
    </row>
    <row r="6331" spans="1:11" x14ac:dyDescent="0.25">
      <c r="A6331">
        <v>249</v>
      </c>
      <c r="B6331">
        <v>0</v>
      </c>
      <c r="C6331">
        <v>0</v>
      </c>
      <c r="D6331">
        <v>0.63554406144680797</v>
      </c>
      <c r="E6331">
        <v>4</v>
      </c>
      <c r="F6331">
        <v>1.5707963267949001</v>
      </c>
      <c r="G6331" t="s">
        <v>81</v>
      </c>
      <c r="H6331" t="s">
        <v>85</v>
      </c>
      <c r="I6331">
        <v>598</v>
      </c>
      <c r="J6331">
        <v>0</v>
      </c>
      <c r="K6331">
        <v>0</v>
      </c>
    </row>
    <row r="6332" spans="1:11" x14ac:dyDescent="0.25">
      <c r="A6332" t="s">
        <v>83</v>
      </c>
    </row>
    <row r="6333" spans="1:11" x14ac:dyDescent="0.25">
      <c r="A6333">
        <v>147.03291462363299</v>
      </c>
      <c r="B6333">
        <v>113.65718570941</v>
      </c>
      <c r="C6333">
        <v>2000</v>
      </c>
    </row>
    <row r="6334" spans="1:11" x14ac:dyDescent="0.25">
      <c r="A6334">
        <v>147.03291462363299</v>
      </c>
      <c r="B6334">
        <v>113.65718570941</v>
      </c>
      <c r="C6334">
        <v>2001</v>
      </c>
    </row>
    <row r="6335" spans="1:11" x14ac:dyDescent="0.25">
      <c r="A6335">
        <v>147.482312139225</v>
      </c>
      <c r="B6335">
        <v>114.106583225002</v>
      </c>
      <c r="C6335">
        <v>2001</v>
      </c>
    </row>
    <row r="6336" spans="1:11" x14ac:dyDescent="0.25">
      <c r="A6336">
        <v>147.482312139225</v>
      </c>
      <c r="B6336">
        <v>114.106583225002</v>
      </c>
      <c r="C6336">
        <v>2000</v>
      </c>
    </row>
    <row r="6337" spans="1:11" x14ac:dyDescent="0.25">
      <c r="A6337" t="s">
        <v>84</v>
      </c>
    </row>
    <row r="6338" spans="1:11" x14ac:dyDescent="0.25">
      <c r="A6338">
        <v>569</v>
      </c>
      <c r="B6338">
        <v>0</v>
      </c>
      <c r="C6338">
        <v>0.63554406144680797</v>
      </c>
      <c r="D6338">
        <v>0</v>
      </c>
      <c r="E6338">
        <v>5</v>
      </c>
      <c r="F6338">
        <v>1.5707963267949001</v>
      </c>
      <c r="G6338" t="s">
        <v>85</v>
      </c>
      <c r="H6338" t="s">
        <v>81</v>
      </c>
      <c r="I6338">
        <v>0</v>
      </c>
      <c r="J6338">
        <v>782</v>
      </c>
      <c r="K6338">
        <v>0</v>
      </c>
    </row>
    <row r="6339" spans="1:11" x14ac:dyDescent="0.25">
      <c r="A6339" t="s">
        <v>83</v>
      </c>
    </row>
    <row r="6340" spans="1:11" x14ac:dyDescent="0.25">
      <c r="A6340">
        <v>109.01150500123001</v>
      </c>
      <c r="B6340">
        <v>90.958079190905195</v>
      </c>
      <c r="C6340">
        <v>2000</v>
      </c>
    </row>
    <row r="6341" spans="1:11" x14ac:dyDescent="0.25">
      <c r="A6341">
        <v>108.56210748563799</v>
      </c>
      <c r="B6341">
        <v>90.508681675313397</v>
      </c>
      <c r="C6341">
        <v>2000</v>
      </c>
    </row>
    <row r="6342" spans="1:11" x14ac:dyDescent="0.25">
      <c r="A6342">
        <v>108.56210748563799</v>
      </c>
      <c r="B6342">
        <v>90.508681675313397</v>
      </c>
      <c r="C6342">
        <v>2001</v>
      </c>
    </row>
    <row r="6343" spans="1:11" x14ac:dyDescent="0.25">
      <c r="A6343">
        <v>109.01150500123001</v>
      </c>
      <c r="B6343">
        <v>90.958079190905195</v>
      </c>
      <c r="C6343">
        <v>2001</v>
      </c>
    </row>
    <row r="6344" spans="1:11" x14ac:dyDescent="0.25">
      <c r="A6344">
        <v>109.01150500123001</v>
      </c>
      <c r="B6344">
        <v>90.958079190905195</v>
      </c>
      <c r="C6344">
        <v>2000</v>
      </c>
    </row>
    <row r="6345" spans="1:11" x14ac:dyDescent="0.25">
      <c r="A6345" t="s">
        <v>84</v>
      </c>
    </row>
    <row r="6346" spans="1:11" x14ac:dyDescent="0.25">
      <c r="A6346">
        <v>1047</v>
      </c>
      <c r="B6346">
        <v>0</v>
      </c>
      <c r="C6346">
        <v>1.79607313287704E-2</v>
      </c>
      <c r="D6346">
        <v>0.61171929457182705</v>
      </c>
      <c r="E6346">
        <v>6</v>
      </c>
      <c r="F6346">
        <v>1.5707963267949001</v>
      </c>
      <c r="G6346" t="s">
        <v>81</v>
      </c>
      <c r="H6346" t="s">
        <v>85</v>
      </c>
      <c r="I6346">
        <v>413</v>
      </c>
      <c r="J6346">
        <v>0</v>
      </c>
      <c r="K6346">
        <v>0.30378130008359799</v>
      </c>
    </row>
    <row r="6347" spans="1:11" x14ac:dyDescent="0.25">
      <c r="A6347" t="s">
        <v>83</v>
      </c>
    </row>
    <row r="6348" spans="1:11" x14ac:dyDescent="0.25">
      <c r="A6348">
        <v>1.2700154917643199E-2</v>
      </c>
      <c r="B6348">
        <v>146.37963332765699</v>
      </c>
      <c r="C6348">
        <v>2000</v>
      </c>
    </row>
    <row r="6349" spans="1:11" x14ac:dyDescent="0.25">
      <c r="A6349" s="1">
        <v>-2.1648186426798401E-17</v>
      </c>
      <c r="B6349">
        <v>146.36693317274</v>
      </c>
      <c r="C6349">
        <v>2000</v>
      </c>
    </row>
    <row r="6350" spans="1:11" x14ac:dyDescent="0.25">
      <c r="A6350" s="1">
        <v>2.1648186426798401E-17</v>
      </c>
      <c r="B6350">
        <v>146.36693317274</v>
      </c>
      <c r="C6350">
        <v>2001</v>
      </c>
    </row>
    <row r="6351" spans="1:11" x14ac:dyDescent="0.25">
      <c r="A6351">
        <v>1.2700154917643199E-2</v>
      </c>
      <c r="B6351">
        <v>146.37963332765699</v>
      </c>
      <c r="C6351">
        <v>2001</v>
      </c>
    </row>
    <row r="6352" spans="1:11" x14ac:dyDescent="0.25">
      <c r="A6352">
        <v>0.44525101629203301</v>
      </c>
      <c r="B6352">
        <v>146.812184189032</v>
      </c>
      <c r="C6352">
        <v>2001</v>
      </c>
    </row>
    <row r="6353" spans="1:11" x14ac:dyDescent="0.25">
      <c r="A6353">
        <v>0.44525101629203301</v>
      </c>
      <c r="B6353">
        <v>146.812184189032</v>
      </c>
      <c r="C6353">
        <v>2000</v>
      </c>
    </row>
    <row r="6354" spans="1:11" x14ac:dyDescent="0.25">
      <c r="A6354" t="s">
        <v>84</v>
      </c>
    </row>
    <row r="6355" spans="1:11" x14ac:dyDescent="0.25">
      <c r="A6355">
        <v>509</v>
      </c>
      <c r="B6355">
        <v>0</v>
      </c>
      <c r="C6355">
        <v>0.17604845644679301</v>
      </c>
      <c r="D6355">
        <v>0.413420132988009</v>
      </c>
      <c r="E6355">
        <v>6</v>
      </c>
      <c r="F6355">
        <v>1.01722196789785</v>
      </c>
      <c r="G6355" t="s">
        <v>82</v>
      </c>
      <c r="H6355" t="s">
        <v>82</v>
      </c>
      <c r="I6355">
        <v>0</v>
      </c>
      <c r="J6355">
        <v>0</v>
      </c>
      <c r="K6355">
        <v>0</v>
      </c>
    </row>
    <row r="6356" spans="1:11" x14ac:dyDescent="0.25">
      <c r="A6356" t="s">
        <v>83</v>
      </c>
    </row>
    <row r="6357" spans="1:11" x14ac:dyDescent="0.25">
      <c r="A6357">
        <v>149.40116934680299</v>
      </c>
      <c r="B6357">
        <v>0.25500260813730702</v>
      </c>
      <c r="C6357">
        <v>2000</v>
      </c>
    </row>
    <row r="6358" spans="1:11" x14ac:dyDescent="0.25">
      <c r="A6358">
        <v>149.14616673866499</v>
      </c>
      <c r="B6358">
        <v>0</v>
      </c>
      <c r="C6358">
        <v>2000</v>
      </c>
    </row>
    <row r="6359" spans="1:11" x14ac:dyDescent="0.25">
      <c r="A6359">
        <v>149.80169077533901</v>
      </c>
      <c r="B6359">
        <v>-0.21850801222441099</v>
      </c>
      <c r="C6359">
        <v>2001</v>
      </c>
    </row>
    <row r="6360" spans="1:11" x14ac:dyDescent="0.25">
      <c r="A6360">
        <v>149.92617583270999</v>
      </c>
      <c r="B6360">
        <v>-9.4022954853462307E-2</v>
      </c>
      <c r="C6360">
        <v>2001</v>
      </c>
    </row>
    <row r="6361" spans="1:11" x14ac:dyDescent="0.25">
      <c r="A6361">
        <v>150.21850801222399</v>
      </c>
      <c r="B6361">
        <v>0.198309224661395</v>
      </c>
      <c r="C6361">
        <v>2001</v>
      </c>
    </row>
    <row r="6362" spans="1:11" x14ac:dyDescent="0.25">
      <c r="A6362">
        <v>150</v>
      </c>
      <c r="B6362">
        <v>0.853833261334636</v>
      </c>
      <c r="C6362">
        <v>2000</v>
      </c>
    </row>
    <row r="6363" spans="1:11" x14ac:dyDescent="0.25">
      <c r="A6363" t="s">
        <v>84</v>
      </c>
    </row>
    <row r="6364" spans="1:11" x14ac:dyDescent="0.25">
      <c r="A6364">
        <v>984</v>
      </c>
      <c r="B6364">
        <v>0</v>
      </c>
      <c r="C6364">
        <v>0.32889252091759902</v>
      </c>
      <c r="D6364">
        <v>0.193924696515168</v>
      </c>
      <c r="E6364">
        <v>6</v>
      </c>
      <c r="F6364">
        <v>1.01722196789785</v>
      </c>
      <c r="G6364" t="s">
        <v>82</v>
      </c>
      <c r="H6364" t="s">
        <v>81</v>
      </c>
      <c r="I6364">
        <v>0</v>
      </c>
      <c r="J6364">
        <v>943</v>
      </c>
      <c r="K6364">
        <v>0.108390574953972</v>
      </c>
    </row>
    <row r="6365" spans="1:11" x14ac:dyDescent="0.25">
      <c r="A6365" t="s">
        <v>83</v>
      </c>
    </row>
    <row r="6366" spans="1:11" x14ac:dyDescent="0.25">
      <c r="A6366">
        <v>9.5103669122792403E-2</v>
      </c>
      <c r="B6366">
        <v>40.334412935434898</v>
      </c>
      <c r="C6366">
        <v>2000</v>
      </c>
    </row>
    <row r="6367" spans="1:11" x14ac:dyDescent="0.25">
      <c r="A6367">
        <v>0</v>
      </c>
      <c r="B6367">
        <v>40.239309266312098</v>
      </c>
      <c r="C6367">
        <v>2000</v>
      </c>
    </row>
    <row r="6368" spans="1:11" x14ac:dyDescent="0.25">
      <c r="A6368">
        <v>0</v>
      </c>
      <c r="B6368">
        <v>39.365277217414501</v>
      </c>
      <c r="C6368">
        <v>2001</v>
      </c>
    </row>
    <row r="6369" spans="1:11" x14ac:dyDescent="0.25">
      <c r="A6369">
        <v>0.37002059452195102</v>
      </c>
      <c r="B6369">
        <v>39.735297811936398</v>
      </c>
      <c r="C6369">
        <v>2001</v>
      </c>
    </row>
    <row r="6370" spans="1:11" x14ac:dyDescent="0.25">
      <c r="A6370">
        <v>0.58819561199220105</v>
      </c>
      <c r="B6370">
        <v>39.953472829406699</v>
      </c>
      <c r="C6370">
        <v>2001</v>
      </c>
    </row>
    <row r="6371" spans="1:11" x14ac:dyDescent="0.25">
      <c r="A6371">
        <v>0.15117958754338001</v>
      </c>
      <c r="B6371">
        <v>40.390488853855501</v>
      </c>
      <c r="C6371">
        <v>2000</v>
      </c>
    </row>
    <row r="6372" spans="1:11" x14ac:dyDescent="0.25">
      <c r="A6372" t="s">
        <v>84</v>
      </c>
    </row>
    <row r="6373" spans="1:11" x14ac:dyDescent="0.25">
      <c r="A6373">
        <v>499</v>
      </c>
      <c r="B6373">
        <v>0</v>
      </c>
      <c r="C6373">
        <v>0.486599969509314</v>
      </c>
      <c r="D6373">
        <v>2.9286577345686699E-2</v>
      </c>
      <c r="E6373">
        <v>6</v>
      </c>
      <c r="F6373">
        <v>1.5707963267949001</v>
      </c>
      <c r="G6373" t="s">
        <v>82</v>
      </c>
      <c r="H6373" t="s">
        <v>81</v>
      </c>
      <c r="I6373">
        <v>0</v>
      </c>
      <c r="J6373">
        <v>725</v>
      </c>
      <c r="K6373">
        <v>0</v>
      </c>
    </row>
    <row r="6374" spans="1:11" x14ac:dyDescent="0.25">
      <c r="A6374" t="s">
        <v>83</v>
      </c>
    </row>
    <row r="6375" spans="1:11" x14ac:dyDescent="0.25">
      <c r="A6375">
        <v>110.065857709882</v>
      </c>
      <c r="B6375">
        <v>0.344078138165196</v>
      </c>
      <c r="C6375">
        <v>2000</v>
      </c>
    </row>
    <row r="6376" spans="1:11" x14ac:dyDescent="0.25">
      <c r="A6376">
        <v>109.72177957171699</v>
      </c>
      <c r="B6376">
        <v>0</v>
      </c>
      <c r="C6376">
        <v>2000</v>
      </c>
    </row>
    <row r="6377" spans="1:11" x14ac:dyDescent="0.25">
      <c r="A6377">
        <v>109.72177957171699</v>
      </c>
      <c r="B6377">
        <v>0</v>
      </c>
      <c r="C6377">
        <v>2001</v>
      </c>
    </row>
    <row r="6378" spans="1:11" x14ac:dyDescent="0.25">
      <c r="A6378">
        <v>110.065857709882</v>
      </c>
      <c r="B6378">
        <v>0.344078138165196</v>
      </c>
      <c r="C6378">
        <v>2001</v>
      </c>
    </row>
    <row r="6379" spans="1:11" x14ac:dyDescent="0.25">
      <c r="A6379">
        <v>110.086566447321</v>
      </c>
      <c r="B6379">
        <v>0.36478687560407502</v>
      </c>
      <c r="C6379">
        <v>2001</v>
      </c>
    </row>
    <row r="6380" spans="1:11" x14ac:dyDescent="0.25">
      <c r="A6380">
        <v>110.086566447321</v>
      </c>
      <c r="B6380">
        <v>0.36478687560407502</v>
      </c>
      <c r="C6380">
        <v>2000</v>
      </c>
    </row>
    <row r="6381" spans="1:11" x14ac:dyDescent="0.25">
      <c r="A6381" t="s">
        <v>84</v>
      </c>
    </row>
    <row r="6382" spans="1:11" x14ac:dyDescent="0.25">
      <c r="A6382">
        <v>998</v>
      </c>
      <c r="B6382">
        <v>0</v>
      </c>
      <c r="C6382">
        <v>1.91509188185819E-2</v>
      </c>
      <c r="D6382">
        <v>0.44223626260054499</v>
      </c>
      <c r="E6382">
        <v>6</v>
      </c>
      <c r="F6382">
        <v>1.01722196789785</v>
      </c>
      <c r="G6382" t="s">
        <v>82</v>
      </c>
      <c r="H6382" t="s">
        <v>81</v>
      </c>
      <c r="I6382">
        <v>0</v>
      </c>
      <c r="J6382">
        <v>506</v>
      </c>
      <c r="K6382">
        <v>0.110025383747396</v>
      </c>
    </row>
    <row r="6383" spans="1:11" x14ac:dyDescent="0.25">
      <c r="A6383" t="s">
        <v>83</v>
      </c>
    </row>
    <row r="6384" spans="1:11" x14ac:dyDescent="0.25">
      <c r="A6384">
        <v>130.24132794444</v>
      </c>
      <c r="B6384">
        <v>4.4720751572618301E-3</v>
      </c>
      <c r="C6384">
        <v>2000</v>
      </c>
    </row>
    <row r="6385" spans="1:11" x14ac:dyDescent="0.25">
      <c r="A6385">
        <v>130.236855869283</v>
      </c>
      <c r="B6385">
        <v>0</v>
      </c>
      <c r="C6385">
        <v>2000</v>
      </c>
    </row>
    <row r="6386" spans="1:11" x14ac:dyDescent="0.25">
      <c r="A6386">
        <v>129.36282382038499</v>
      </c>
      <c r="B6386">
        <v>0</v>
      </c>
      <c r="C6386">
        <v>2001</v>
      </c>
    </row>
    <row r="6387" spans="1:11" x14ac:dyDescent="0.25">
      <c r="A6387">
        <v>129.385435234353</v>
      </c>
      <c r="B6387">
        <v>2.2611413967882299E-2</v>
      </c>
      <c r="C6387">
        <v>2001</v>
      </c>
    </row>
    <row r="6388" spans="1:11" x14ac:dyDescent="0.25">
      <c r="A6388">
        <v>129.907581837344</v>
      </c>
      <c r="B6388">
        <v>0.54475801695841797</v>
      </c>
      <c r="C6388">
        <v>2001</v>
      </c>
    </row>
    <row r="6389" spans="1:11" x14ac:dyDescent="0.25">
      <c r="A6389">
        <v>130.34459786179201</v>
      </c>
      <c r="B6389">
        <v>0.107741992509596</v>
      </c>
      <c r="C6389">
        <v>2000</v>
      </c>
    </row>
    <row r="6390" spans="1:11" x14ac:dyDescent="0.25">
      <c r="A6390" t="s">
        <v>84</v>
      </c>
    </row>
    <row r="6391" spans="1:11" x14ac:dyDescent="0.25">
      <c r="A6391">
        <v>973</v>
      </c>
      <c r="B6391">
        <v>0</v>
      </c>
      <c r="C6391">
        <v>0.26263171519981698</v>
      </c>
      <c r="D6391">
        <v>0.161169960371048</v>
      </c>
      <c r="E6391">
        <v>6</v>
      </c>
      <c r="F6391">
        <v>1.01722196789785</v>
      </c>
      <c r="G6391" t="s">
        <v>82</v>
      </c>
      <c r="H6391" t="s">
        <v>81</v>
      </c>
      <c r="I6391">
        <v>0</v>
      </c>
      <c r="J6391">
        <v>593</v>
      </c>
      <c r="K6391">
        <v>0.10773756861497499</v>
      </c>
    </row>
    <row r="6392" spans="1:11" x14ac:dyDescent="0.25">
      <c r="A6392" t="s">
        <v>83</v>
      </c>
    </row>
    <row r="6393" spans="1:11" x14ac:dyDescent="0.25">
      <c r="A6393">
        <v>80.597289025403995</v>
      </c>
      <c r="B6393">
        <v>5.0298314847571003E-2</v>
      </c>
      <c r="C6393">
        <v>2000</v>
      </c>
    </row>
    <row r="6394" spans="1:11" x14ac:dyDescent="0.25">
      <c r="A6394">
        <v>80.5469907105564</v>
      </c>
      <c r="B6394">
        <v>0</v>
      </c>
      <c r="C6394">
        <v>2000</v>
      </c>
    </row>
    <row r="6395" spans="1:11" x14ac:dyDescent="0.25">
      <c r="A6395">
        <v>79.672958661658697</v>
      </c>
      <c r="B6395">
        <v>0</v>
      </c>
      <c r="C6395">
        <v>2001</v>
      </c>
    </row>
    <row r="6396" spans="1:11" x14ac:dyDescent="0.25">
      <c r="A6396">
        <v>79.994077680356099</v>
      </c>
      <c r="B6396">
        <v>0.32111901869730702</v>
      </c>
      <c r="C6396">
        <v>2001</v>
      </c>
    </row>
    <row r="6397" spans="1:11" x14ac:dyDescent="0.25">
      <c r="A6397">
        <v>80.191139712557501</v>
      </c>
      <c r="B6397">
        <v>0.51818105089878097</v>
      </c>
      <c r="C6397">
        <v>2001</v>
      </c>
    </row>
    <row r="6398" spans="1:11" x14ac:dyDescent="0.25">
      <c r="A6398">
        <v>80.628155737006395</v>
      </c>
      <c r="B6398">
        <v>8.1165026449960001E-2</v>
      </c>
      <c r="C6398">
        <v>2000</v>
      </c>
    </row>
    <row r="6399" spans="1:11" x14ac:dyDescent="0.25">
      <c r="A6399" t="s">
        <v>84</v>
      </c>
    </row>
    <row r="6400" spans="1:11" x14ac:dyDescent="0.25">
      <c r="A6400">
        <v>253</v>
      </c>
      <c r="B6400">
        <v>0</v>
      </c>
      <c r="C6400">
        <v>0</v>
      </c>
      <c r="D6400">
        <v>0.37602328367768201</v>
      </c>
      <c r="E6400">
        <v>4</v>
      </c>
      <c r="F6400">
        <v>1.5707963267949001</v>
      </c>
      <c r="G6400" t="s">
        <v>81</v>
      </c>
      <c r="H6400" t="s">
        <v>81</v>
      </c>
      <c r="I6400">
        <v>741</v>
      </c>
      <c r="J6400">
        <v>247</v>
      </c>
      <c r="K6400">
        <v>0</v>
      </c>
    </row>
    <row r="6401" spans="1:11" x14ac:dyDescent="0.25">
      <c r="A6401" t="s">
        <v>83</v>
      </c>
    </row>
    <row r="6402" spans="1:11" x14ac:dyDescent="0.25">
      <c r="A6402">
        <v>142.877197623196</v>
      </c>
      <c r="B6402">
        <v>146.34959777879999</v>
      </c>
      <c r="C6402">
        <v>2000</v>
      </c>
    </row>
    <row r="6403" spans="1:11" x14ac:dyDescent="0.25">
      <c r="A6403">
        <v>142.877197623196</v>
      </c>
      <c r="B6403">
        <v>146.34959777879999</v>
      </c>
      <c r="C6403">
        <v>2001</v>
      </c>
    </row>
    <row r="6404" spans="1:11" x14ac:dyDescent="0.25">
      <c r="A6404">
        <v>143.143086236968</v>
      </c>
      <c r="B6404">
        <v>146.615486392572</v>
      </c>
      <c r="C6404">
        <v>2001</v>
      </c>
    </row>
    <row r="6405" spans="1:11" x14ac:dyDescent="0.25">
      <c r="A6405">
        <v>143.143086236968</v>
      </c>
      <c r="B6405">
        <v>146.615486392572</v>
      </c>
      <c r="C6405">
        <v>2000</v>
      </c>
    </row>
    <row r="6406" spans="1:11" x14ac:dyDescent="0.25">
      <c r="A6406" t="s">
        <v>84</v>
      </c>
    </row>
    <row r="6407" spans="1:11" x14ac:dyDescent="0.25">
      <c r="A6407">
        <v>929</v>
      </c>
      <c r="B6407">
        <v>0</v>
      </c>
      <c r="C6407">
        <v>0.25584228142426502</v>
      </c>
      <c r="D6407">
        <v>9.4078133471555206E-2</v>
      </c>
      <c r="E6407">
        <v>6</v>
      </c>
      <c r="F6407">
        <v>1.01722196789785</v>
      </c>
      <c r="G6407" t="s">
        <v>81</v>
      </c>
      <c r="H6407" t="s">
        <v>81</v>
      </c>
      <c r="I6407">
        <v>902</v>
      </c>
      <c r="J6407">
        <v>744</v>
      </c>
      <c r="K6407">
        <v>0.105643180430783</v>
      </c>
    </row>
    <row r="6408" spans="1:11" x14ac:dyDescent="0.25">
      <c r="A6408" t="s">
        <v>83</v>
      </c>
    </row>
    <row r="6409" spans="1:11" x14ac:dyDescent="0.25">
      <c r="A6409">
        <v>132.24158784851099</v>
      </c>
      <c r="B6409">
        <v>102.15370573297299</v>
      </c>
      <c r="C6409">
        <v>2000</v>
      </c>
    </row>
    <row r="6410" spans="1:11" x14ac:dyDescent="0.25">
      <c r="A6410">
        <v>132.06068003640101</v>
      </c>
      <c r="B6410">
        <v>101.972797920864</v>
      </c>
      <c r="C6410">
        <v>2000</v>
      </c>
    </row>
    <row r="6411" spans="1:11" x14ac:dyDescent="0.25">
      <c r="A6411">
        <v>131.623664011952</v>
      </c>
      <c r="B6411">
        <v>102.409813945312</v>
      </c>
      <c r="C6411">
        <v>2001</v>
      </c>
    </row>
    <row r="6412" spans="1:11" x14ac:dyDescent="0.25">
      <c r="A6412">
        <v>131.80457182406201</v>
      </c>
      <c r="B6412">
        <v>102.590721757422</v>
      </c>
      <c r="C6412">
        <v>2001</v>
      </c>
    </row>
    <row r="6413" spans="1:11" x14ac:dyDescent="0.25">
      <c r="A6413">
        <v>131.871095110201</v>
      </c>
      <c r="B6413">
        <v>102.65724504356101</v>
      </c>
      <c r="C6413">
        <v>2001</v>
      </c>
    </row>
    <row r="6414" spans="1:11" x14ac:dyDescent="0.25">
      <c r="A6414">
        <v>132.30811113465001</v>
      </c>
      <c r="B6414">
        <v>102.220229019112</v>
      </c>
      <c r="C6414">
        <v>2000</v>
      </c>
    </row>
    <row r="6415" spans="1:11" x14ac:dyDescent="0.25">
      <c r="A6415" t="s">
        <v>84</v>
      </c>
    </row>
    <row r="6416" spans="1:11" x14ac:dyDescent="0.25">
      <c r="A6416">
        <v>324</v>
      </c>
      <c r="B6416">
        <v>0</v>
      </c>
      <c r="C6416">
        <v>0</v>
      </c>
      <c r="D6416">
        <v>0.296597117436249</v>
      </c>
      <c r="E6416">
        <v>4</v>
      </c>
      <c r="F6416">
        <v>1.5707963267949001</v>
      </c>
      <c r="G6416" t="s">
        <v>81</v>
      </c>
      <c r="H6416" t="s">
        <v>81</v>
      </c>
      <c r="I6416">
        <v>969</v>
      </c>
      <c r="J6416">
        <v>326</v>
      </c>
      <c r="K6416">
        <v>0</v>
      </c>
    </row>
    <row r="6417" spans="1:11" x14ac:dyDescent="0.25">
      <c r="A6417" t="s">
        <v>83</v>
      </c>
    </row>
    <row r="6418" spans="1:11" x14ac:dyDescent="0.25">
      <c r="A6418">
        <v>91.436622578853999</v>
      </c>
      <c r="B6418">
        <v>129.17730764214801</v>
      </c>
      <c r="C6418">
        <v>2000</v>
      </c>
    </row>
    <row r="6419" spans="1:11" x14ac:dyDescent="0.25">
      <c r="A6419">
        <v>91.436622578853999</v>
      </c>
      <c r="B6419">
        <v>129.17730764214801</v>
      </c>
      <c r="C6419">
        <v>2001</v>
      </c>
    </row>
    <row r="6420" spans="1:11" x14ac:dyDescent="0.25">
      <c r="A6420">
        <v>91.646348411873603</v>
      </c>
      <c r="B6420">
        <v>129.38703347516699</v>
      </c>
      <c r="C6420">
        <v>2001</v>
      </c>
    </row>
    <row r="6421" spans="1:11" x14ac:dyDescent="0.25">
      <c r="A6421">
        <v>91.646348411873603</v>
      </c>
      <c r="B6421">
        <v>129.38703347516699</v>
      </c>
      <c r="C6421">
        <v>2000</v>
      </c>
    </row>
    <row r="6422" spans="1:11" x14ac:dyDescent="0.25">
      <c r="A6422" t="s">
        <v>84</v>
      </c>
    </row>
    <row r="6423" spans="1:11" x14ac:dyDescent="0.25">
      <c r="A6423">
        <v>987</v>
      </c>
      <c r="B6423">
        <v>0</v>
      </c>
      <c r="C6423">
        <v>7.2606754626614006E-2</v>
      </c>
      <c r="D6423">
        <v>0.16435939020634799</v>
      </c>
      <c r="E6423">
        <v>5</v>
      </c>
      <c r="F6423">
        <v>1.01722196789785</v>
      </c>
      <c r="G6423" t="s">
        <v>82</v>
      </c>
      <c r="H6423" t="s">
        <v>81</v>
      </c>
      <c r="I6423">
        <v>0</v>
      </c>
      <c r="J6423">
        <v>1016</v>
      </c>
      <c r="K6423">
        <v>0.108640479089613</v>
      </c>
    </row>
    <row r="6424" spans="1:11" x14ac:dyDescent="0.25">
      <c r="A6424" t="s">
        <v>83</v>
      </c>
    </row>
    <row r="6425" spans="1:11" x14ac:dyDescent="0.25">
      <c r="A6425">
        <v>0</v>
      </c>
      <c r="B6425">
        <v>19.753844695982298</v>
      </c>
      <c r="C6425">
        <v>2000.11658072348</v>
      </c>
    </row>
    <row r="6426" spans="1:11" x14ac:dyDescent="0.25">
      <c r="A6426">
        <v>0</v>
      </c>
      <c r="B6426">
        <v>18.981707935687599</v>
      </c>
      <c r="C6426">
        <v>2001</v>
      </c>
    </row>
    <row r="6427" spans="1:11" x14ac:dyDescent="0.25">
      <c r="A6427">
        <v>0.11829188581439801</v>
      </c>
      <c r="B6427">
        <v>19.099999821501999</v>
      </c>
      <c r="C6427">
        <v>2001</v>
      </c>
    </row>
    <row r="6428" spans="1:11" x14ac:dyDescent="0.25">
      <c r="A6428">
        <v>0.386068380147432</v>
      </c>
      <c r="B6428">
        <v>19.367776315834998</v>
      </c>
      <c r="C6428">
        <v>2001</v>
      </c>
    </row>
    <row r="6429" spans="1:11" x14ac:dyDescent="0.25">
      <c r="A6429">
        <v>0</v>
      </c>
      <c r="B6429">
        <v>19.753844695982298</v>
      </c>
      <c r="C6429">
        <v>2000.11658072348</v>
      </c>
    </row>
    <row r="6430" spans="1:11" x14ac:dyDescent="0.25">
      <c r="A6430" t="s">
        <v>84</v>
      </c>
    </row>
    <row r="6431" spans="1:11" x14ac:dyDescent="0.25">
      <c r="A6431">
        <v>408</v>
      </c>
      <c r="B6431">
        <v>0</v>
      </c>
      <c r="C6431">
        <v>0.13187659500228199</v>
      </c>
      <c r="D6431">
        <v>0</v>
      </c>
      <c r="E6431">
        <v>5</v>
      </c>
      <c r="F6431">
        <v>1.5707963267949001</v>
      </c>
      <c r="G6431" t="s">
        <v>81</v>
      </c>
      <c r="H6431" t="s">
        <v>81</v>
      </c>
      <c r="I6431">
        <v>899</v>
      </c>
      <c r="J6431">
        <v>1013</v>
      </c>
      <c r="K6431">
        <v>0</v>
      </c>
    </row>
    <row r="6432" spans="1:11" x14ac:dyDescent="0.25">
      <c r="A6432" t="s">
        <v>83</v>
      </c>
    </row>
    <row r="6433" spans="1:11" x14ac:dyDescent="0.25">
      <c r="A6433">
        <v>9.5341684690370094</v>
      </c>
      <c r="B6433">
        <v>133.45295715073701</v>
      </c>
      <c r="C6433">
        <v>2000</v>
      </c>
    </row>
    <row r="6434" spans="1:11" x14ac:dyDescent="0.25">
      <c r="A6434">
        <v>9.4409176344311003</v>
      </c>
      <c r="B6434">
        <v>133.359706316131</v>
      </c>
      <c r="C6434">
        <v>2000</v>
      </c>
    </row>
    <row r="6435" spans="1:11" x14ac:dyDescent="0.25">
      <c r="A6435">
        <v>9.4409176344311003</v>
      </c>
      <c r="B6435">
        <v>133.359706316131</v>
      </c>
      <c r="C6435">
        <v>2001</v>
      </c>
    </row>
    <row r="6436" spans="1:11" x14ac:dyDescent="0.25">
      <c r="A6436">
        <v>9.5341684690370094</v>
      </c>
      <c r="B6436">
        <v>133.45295715073701</v>
      </c>
      <c r="C6436">
        <v>2001</v>
      </c>
    </row>
    <row r="6437" spans="1:11" x14ac:dyDescent="0.25">
      <c r="A6437">
        <v>9.5341684690370094</v>
      </c>
      <c r="B6437">
        <v>133.45295715073701</v>
      </c>
      <c r="C6437">
        <v>2000</v>
      </c>
    </row>
    <row r="6438" spans="1:11" x14ac:dyDescent="0.25">
      <c r="A6438" t="s">
        <v>84</v>
      </c>
    </row>
    <row r="6439" spans="1:11" x14ac:dyDescent="0.25">
      <c r="A6439">
        <v>405</v>
      </c>
      <c r="B6439">
        <v>0</v>
      </c>
      <c r="C6439">
        <v>5.8324422430587199E-2</v>
      </c>
      <c r="D6439">
        <v>0</v>
      </c>
      <c r="E6439">
        <v>5</v>
      </c>
      <c r="F6439">
        <v>1.5707963267949001</v>
      </c>
      <c r="G6439" t="s">
        <v>81</v>
      </c>
      <c r="H6439" t="s">
        <v>81</v>
      </c>
      <c r="I6439">
        <v>403</v>
      </c>
      <c r="J6439">
        <v>432</v>
      </c>
      <c r="K6439">
        <v>0</v>
      </c>
    </row>
    <row r="6440" spans="1:11" x14ac:dyDescent="0.25">
      <c r="A6440" t="s">
        <v>83</v>
      </c>
    </row>
    <row r="6441" spans="1:11" x14ac:dyDescent="0.25">
      <c r="A6441">
        <v>12.8750405916362</v>
      </c>
      <c r="B6441">
        <v>100.242724164968</v>
      </c>
      <c r="C6441">
        <v>2000</v>
      </c>
    </row>
    <row r="6442" spans="1:11" x14ac:dyDescent="0.25">
      <c r="A6442">
        <v>12.8337989970268</v>
      </c>
      <c r="B6442">
        <v>100.201482570358</v>
      </c>
      <c r="C6442">
        <v>2000</v>
      </c>
    </row>
    <row r="6443" spans="1:11" x14ac:dyDescent="0.25">
      <c r="A6443">
        <v>12.8337989970268</v>
      </c>
      <c r="B6443">
        <v>100.201482570358</v>
      </c>
      <c r="C6443">
        <v>2001</v>
      </c>
    </row>
    <row r="6444" spans="1:11" x14ac:dyDescent="0.25">
      <c r="A6444">
        <v>12.8750405916362</v>
      </c>
      <c r="B6444">
        <v>100.242724164968</v>
      </c>
      <c r="C6444">
        <v>2001</v>
      </c>
    </row>
    <row r="6445" spans="1:11" x14ac:dyDescent="0.25">
      <c r="A6445">
        <v>12.8750405916362</v>
      </c>
      <c r="B6445">
        <v>100.242724164968</v>
      </c>
      <c r="C6445">
        <v>2000</v>
      </c>
    </row>
    <row r="6446" spans="1:11" x14ac:dyDescent="0.25">
      <c r="A6446" t="s">
        <v>84</v>
      </c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2023-06-20T00:17:55Z</dcterms:modified>
</cp:coreProperties>
</file>