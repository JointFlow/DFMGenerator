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ropbox\DFN\DFN_Git\Testing\Standalone\TestModelJ_CriticalIsotropicExtension_output\"/>
    </mc:Choice>
  </mc:AlternateContent>
  <xr:revisionPtr revIDLastSave="0" documentId="8_{BBB527C5-3C6D-46F1-99ED-C92E2A625B0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61" i="91" l="1"/>
  <c r="AX61" i="91"/>
  <c r="AY60" i="91"/>
  <c r="AX60" i="91"/>
  <c r="AY59" i="91"/>
  <c r="AX59" i="91"/>
  <c r="AY58" i="91"/>
  <c r="AX58" i="91"/>
  <c r="AL57" i="91"/>
  <c r="AK57" i="91"/>
  <c r="AL56" i="91"/>
  <c r="AK56" i="91"/>
  <c r="AY57" i="91"/>
  <c r="AX57" i="91"/>
  <c r="AY56" i="91"/>
  <c r="AX56" i="91"/>
  <c r="AY55" i="91"/>
  <c r="AX55" i="91"/>
  <c r="AY54" i="91"/>
  <c r="AX54" i="91"/>
  <c r="AL55" i="91"/>
  <c r="AK55" i="91"/>
  <c r="AL54" i="91"/>
  <c r="AK54" i="91"/>
  <c r="AY53" i="91"/>
  <c r="AX53" i="91"/>
  <c r="AY52" i="91"/>
  <c r="AX52" i="91"/>
  <c r="AL53" i="91"/>
  <c r="AK53" i="91"/>
  <c r="AL52" i="91"/>
  <c r="AK52" i="91"/>
  <c r="AY51" i="91"/>
  <c r="AX51" i="91"/>
  <c r="AY50" i="91"/>
  <c r="AX50" i="91"/>
  <c r="AL51" i="91"/>
  <c r="AK51" i="91"/>
  <c r="AL50" i="91"/>
  <c r="AK50" i="91"/>
  <c r="AY49" i="91"/>
  <c r="AX49" i="91"/>
  <c r="AY48" i="91"/>
  <c r="AX48" i="91"/>
  <c r="AY47" i="91"/>
  <c r="AX47" i="91"/>
  <c r="AY46" i="91"/>
  <c r="AX46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Y45" i="91"/>
  <c r="AX45" i="91"/>
  <c r="AY44" i="91"/>
  <c r="AX44" i="91"/>
  <c r="AY43" i="91"/>
  <c r="AX43" i="91"/>
  <c r="AY42" i="91"/>
  <c r="AX42" i="91"/>
  <c r="AY41" i="91"/>
  <c r="AX41" i="91"/>
  <c r="AY40" i="91"/>
  <c r="AX40" i="91"/>
  <c r="AL43" i="91"/>
  <c r="AK43" i="91"/>
  <c r="AL42" i="91"/>
  <c r="AK42" i="91"/>
  <c r="AL41" i="91"/>
  <c r="AK41" i="91"/>
  <c r="AL40" i="91"/>
  <c r="AK40" i="91"/>
  <c r="AY39" i="91"/>
  <c r="AX39" i="91"/>
  <c r="AY38" i="91"/>
  <c r="AX38" i="91"/>
  <c r="AY37" i="91"/>
  <c r="AX37" i="91"/>
  <c r="AY36" i="91"/>
  <c r="AX36" i="91"/>
  <c r="AY35" i="91"/>
  <c r="AX35" i="91"/>
  <c r="AY34" i="91"/>
  <c r="AX34" i="91"/>
  <c r="AY33" i="91"/>
  <c r="AX33" i="91"/>
  <c r="AY32" i="91"/>
  <c r="AX32" i="91"/>
  <c r="AY31" i="91"/>
  <c r="AX31" i="91"/>
  <c r="AY30" i="91"/>
  <c r="AX30" i="91"/>
  <c r="AY29" i="91"/>
  <c r="AX29" i="91"/>
  <c r="AY28" i="91"/>
  <c r="AX28" i="91"/>
  <c r="AY27" i="91"/>
  <c r="AX27" i="91"/>
  <c r="AY26" i="91"/>
  <c r="AX26" i="91"/>
  <c r="AY25" i="91"/>
  <c r="AX25" i="91"/>
  <c r="AY24" i="91"/>
  <c r="AX24" i="91"/>
  <c r="AY23" i="91"/>
  <c r="AX23" i="91"/>
  <c r="AY22" i="91"/>
  <c r="AX22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Y21" i="91"/>
  <c r="AX21" i="91"/>
  <c r="AY20" i="91"/>
  <c r="AX20" i="91"/>
  <c r="AL33" i="91"/>
  <c r="AK33" i="91"/>
  <c r="AL32" i="91"/>
  <c r="AK32" i="91"/>
  <c r="AL31" i="91"/>
  <c r="AK31" i="91"/>
  <c r="AL30" i="91"/>
  <c r="AK30" i="91"/>
  <c r="AY19" i="91"/>
  <c r="AX19" i="91"/>
  <c r="AY18" i="91"/>
  <c r="AX18" i="91"/>
  <c r="AL29" i="91"/>
  <c r="AK29" i="91"/>
  <c r="AL28" i="91"/>
  <c r="AK28" i="91"/>
  <c r="AY17" i="91"/>
  <c r="AX17" i="91"/>
  <c r="AY16" i="91"/>
  <c r="AX16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Y15" i="91"/>
  <c r="AX15" i="91"/>
  <c r="AY14" i="91"/>
  <c r="AX14" i="91"/>
  <c r="AY13" i="91"/>
  <c r="AX13" i="91"/>
  <c r="AY12" i="91"/>
  <c r="AX12" i="91"/>
  <c r="AL21" i="91"/>
  <c r="AK21" i="91"/>
  <c r="AL20" i="91"/>
  <c r="AK20" i="91"/>
  <c r="AL19" i="91"/>
  <c r="AK19" i="91"/>
  <c r="AL18" i="91"/>
  <c r="AK18" i="91"/>
  <c r="AY11" i="91"/>
  <c r="AX11" i="91"/>
  <c r="AY10" i="91"/>
  <c r="AX10" i="91"/>
  <c r="AY9" i="91"/>
  <c r="AX9" i="91"/>
  <c r="AY8" i="91"/>
  <c r="AX8" i="91"/>
  <c r="AL17" i="91"/>
  <c r="AK17" i="91"/>
  <c r="AL16" i="91"/>
  <c r="AK16" i="91"/>
  <c r="AY7" i="91"/>
  <c r="AX7" i="91"/>
  <c r="AY6" i="91"/>
  <c r="AX6" i="91"/>
  <c r="AY5" i="91"/>
  <c r="AX5" i="91"/>
  <c r="AY4" i="91"/>
  <c r="AX4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Y3" i="91"/>
  <c r="AX3" i="91"/>
  <c r="AY2" i="91"/>
  <c r="AZ2" i="91" s="1"/>
  <c r="AZ3" i="91" s="1"/>
  <c r="AZ4" i="91" s="1"/>
  <c r="AZ5" i="91" s="1"/>
  <c r="AZ6" i="91" s="1"/>
  <c r="AZ7" i="91" s="1"/>
  <c r="AZ8" i="91" s="1"/>
  <c r="AZ9" i="91" s="1"/>
  <c r="AZ10" i="91" s="1"/>
  <c r="AZ11" i="91" s="1"/>
  <c r="AZ12" i="91" s="1"/>
  <c r="AZ13" i="91" s="1"/>
  <c r="AZ14" i="91" s="1"/>
  <c r="AZ15" i="91" s="1"/>
  <c r="AZ16" i="91" s="1"/>
  <c r="AZ17" i="91" s="1"/>
  <c r="AZ18" i="91" s="1"/>
  <c r="AZ19" i="91" s="1"/>
  <c r="AZ20" i="91" s="1"/>
  <c r="AZ21" i="91" s="1"/>
  <c r="AZ22" i="91" s="1"/>
  <c r="AZ23" i="91" s="1"/>
  <c r="AZ24" i="91" s="1"/>
  <c r="AZ25" i="91" s="1"/>
  <c r="AZ26" i="91" s="1"/>
  <c r="AZ27" i="91" s="1"/>
  <c r="AZ28" i="91" s="1"/>
  <c r="AZ29" i="91" s="1"/>
  <c r="AZ30" i="91" s="1"/>
  <c r="AZ31" i="91" s="1"/>
  <c r="AZ32" i="91" s="1"/>
  <c r="AZ33" i="91" s="1"/>
  <c r="AZ34" i="91" s="1"/>
  <c r="AZ35" i="91" s="1"/>
  <c r="AZ36" i="91" s="1"/>
  <c r="AZ37" i="91" s="1"/>
  <c r="AZ38" i="91" s="1"/>
  <c r="AZ39" i="91" s="1"/>
  <c r="AZ40" i="91" s="1"/>
  <c r="AZ41" i="91" s="1"/>
  <c r="AZ42" i="91" s="1"/>
  <c r="AZ43" i="91" s="1"/>
  <c r="AZ44" i="91" s="1"/>
  <c r="AZ45" i="91" s="1"/>
  <c r="AZ46" i="91" s="1"/>
  <c r="AZ47" i="91" s="1"/>
  <c r="AZ48" i="91" s="1"/>
  <c r="AZ49" i="91" s="1"/>
  <c r="AZ50" i="91" s="1"/>
  <c r="AZ51" i="91" s="1"/>
  <c r="AZ52" i="91" s="1"/>
  <c r="AZ53" i="91" s="1"/>
  <c r="AZ54" i="91" s="1"/>
  <c r="AZ55" i="91" s="1"/>
  <c r="AZ56" i="91" s="1"/>
  <c r="AZ57" i="91" s="1"/>
  <c r="AZ58" i="91" s="1"/>
  <c r="AZ59" i="91" s="1"/>
  <c r="AZ60" i="91" s="1"/>
  <c r="AZ61" i="91" s="1"/>
  <c r="AX2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K2" i="91"/>
  <c r="A181" i="90"/>
  <c r="A170" i="90"/>
  <c r="C170" i="90" l="1"/>
  <c r="D170" i="90"/>
  <c r="E170" i="90"/>
  <c r="F170" i="90"/>
  <c r="G170" i="90"/>
  <c r="H170" i="90"/>
  <c r="I170" i="90"/>
  <c r="J170" i="90"/>
  <c r="K170" i="90"/>
  <c r="L170" i="90"/>
  <c r="M170" i="90"/>
  <c r="N170" i="90"/>
  <c r="O170" i="90"/>
  <c r="P170" i="90"/>
  <c r="Q170" i="90"/>
  <c r="R170" i="90"/>
  <c r="S170" i="90"/>
  <c r="T170" i="90"/>
  <c r="U170" i="90"/>
  <c r="V170" i="90"/>
  <c r="C181" i="90"/>
  <c r="D181" i="90"/>
  <c r="E181" i="90"/>
  <c r="F181" i="90"/>
  <c r="G181" i="90"/>
  <c r="H181" i="90"/>
  <c r="I181" i="90"/>
  <c r="J181" i="90"/>
  <c r="K181" i="90"/>
  <c r="L181" i="90"/>
  <c r="M181" i="90"/>
  <c r="N181" i="90"/>
  <c r="O181" i="90"/>
  <c r="P181" i="90"/>
  <c r="Q181" i="90"/>
  <c r="R181" i="90"/>
  <c r="S181" i="90"/>
  <c r="T181" i="90"/>
  <c r="U181" i="90"/>
  <c r="V181" i="90"/>
  <c r="B181" i="90"/>
  <c r="B170" i="90"/>
  <c r="AA17" i="91" l="1"/>
  <c r="AA9" i="91"/>
  <c r="V185" i="90"/>
  <c r="U185" i="90"/>
  <c r="T185" i="90"/>
  <c r="S185" i="90"/>
  <c r="R185" i="90"/>
  <c r="Q185" i="90"/>
  <c r="P185" i="90"/>
  <c r="O185" i="90"/>
  <c r="N185" i="90"/>
  <c r="M185" i="90"/>
  <c r="L185" i="90"/>
  <c r="K185" i="90"/>
  <c r="J185" i="90"/>
  <c r="I185" i="90"/>
  <c r="H185" i="90"/>
  <c r="G185" i="90"/>
  <c r="F185" i="90"/>
  <c r="E185" i="90"/>
  <c r="D185" i="90"/>
  <c r="C185" i="90"/>
  <c r="B185" i="90"/>
  <c r="V184" i="90"/>
  <c r="U184" i="90"/>
  <c r="T184" i="90"/>
  <c r="S184" i="90"/>
  <c r="R184" i="90"/>
  <c r="Q184" i="90"/>
  <c r="P184" i="90"/>
  <c r="O184" i="90"/>
  <c r="N184" i="90"/>
  <c r="M184" i="90"/>
  <c r="L184" i="90"/>
  <c r="K184" i="90"/>
  <c r="J184" i="90"/>
  <c r="I184" i="90"/>
  <c r="H184" i="90"/>
  <c r="G184" i="90"/>
  <c r="F184" i="90"/>
  <c r="E184" i="90"/>
  <c r="D184" i="90"/>
  <c r="C184" i="90"/>
  <c r="B184" i="90"/>
  <c r="V183" i="90"/>
  <c r="U183" i="90"/>
  <c r="T183" i="90"/>
  <c r="S183" i="90"/>
  <c r="R183" i="90"/>
  <c r="Q183" i="90"/>
  <c r="P183" i="90"/>
  <c r="O183" i="90"/>
  <c r="N183" i="90"/>
  <c r="M183" i="90"/>
  <c r="L183" i="90"/>
  <c r="K183" i="90"/>
  <c r="J183" i="90"/>
  <c r="I183" i="90"/>
  <c r="H183" i="90"/>
  <c r="G183" i="90"/>
  <c r="F183" i="90"/>
  <c r="E183" i="90"/>
  <c r="D183" i="90"/>
  <c r="C183" i="90"/>
  <c r="B183" i="90"/>
  <c r="V182" i="90"/>
  <c r="U182" i="90"/>
  <c r="T182" i="90"/>
  <c r="S182" i="90"/>
  <c r="R182" i="90"/>
  <c r="Q182" i="90"/>
  <c r="P182" i="90"/>
  <c r="O182" i="90"/>
  <c r="N182" i="90"/>
  <c r="M182" i="90"/>
  <c r="L182" i="90"/>
  <c r="K182" i="90"/>
  <c r="J182" i="90"/>
  <c r="I182" i="90"/>
  <c r="H182" i="90"/>
  <c r="G182" i="90"/>
  <c r="F182" i="90"/>
  <c r="E182" i="90"/>
  <c r="D182" i="90"/>
  <c r="C182" i="90"/>
  <c r="B182" i="90"/>
  <c r="V174" i="90"/>
  <c r="U174" i="90"/>
  <c r="T174" i="90"/>
  <c r="S174" i="90"/>
  <c r="R174" i="90"/>
  <c r="Q174" i="90"/>
  <c r="P174" i="90"/>
  <c r="O174" i="90"/>
  <c r="N174" i="90"/>
  <c r="M174" i="90"/>
  <c r="L174" i="90"/>
  <c r="K174" i="90"/>
  <c r="J174" i="90"/>
  <c r="I174" i="90"/>
  <c r="H174" i="90"/>
  <c r="G174" i="90"/>
  <c r="F174" i="90"/>
  <c r="E174" i="90"/>
  <c r="D174" i="90"/>
  <c r="C174" i="90"/>
  <c r="B174" i="90"/>
  <c r="V173" i="90"/>
  <c r="U173" i="90"/>
  <c r="T173" i="90"/>
  <c r="S173" i="90"/>
  <c r="R173" i="90"/>
  <c r="Q173" i="90"/>
  <c r="P173" i="90"/>
  <c r="O173" i="90"/>
  <c r="N173" i="90"/>
  <c r="M173" i="90"/>
  <c r="L173" i="90"/>
  <c r="K173" i="90"/>
  <c r="J173" i="90"/>
  <c r="I173" i="90"/>
  <c r="H173" i="90"/>
  <c r="G173" i="90"/>
  <c r="F173" i="90"/>
  <c r="E173" i="90"/>
  <c r="D173" i="90"/>
  <c r="C173" i="90"/>
  <c r="B173" i="90"/>
  <c r="V172" i="90"/>
  <c r="U172" i="90"/>
  <c r="T172" i="90"/>
  <c r="S172" i="90"/>
  <c r="R172" i="90"/>
  <c r="Q172" i="90"/>
  <c r="P172" i="90"/>
  <c r="O172" i="90"/>
  <c r="N172" i="90"/>
  <c r="M172" i="90"/>
  <c r="L172" i="90"/>
  <c r="K172" i="90"/>
  <c r="J172" i="90"/>
  <c r="I172" i="90"/>
  <c r="H172" i="90"/>
  <c r="G172" i="90"/>
  <c r="F172" i="90"/>
  <c r="E172" i="90"/>
  <c r="D172" i="90"/>
  <c r="C172" i="90"/>
  <c r="B172" i="90"/>
  <c r="V171" i="90"/>
  <c r="U171" i="90"/>
  <c r="T171" i="90"/>
  <c r="S171" i="90"/>
  <c r="R171" i="90"/>
  <c r="Q171" i="90"/>
  <c r="P171" i="90"/>
  <c r="O171" i="90"/>
  <c r="N171" i="90"/>
  <c r="M171" i="90"/>
  <c r="L171" i="90"/>
  <c r="K171" i="90"/>
  <c r="J171" i="90"/>
  <c r="I171" i="90"/>
  <c r="H171" i="90"/>
  <c r="G171" i="90"/>
  <c r="F171" i="90"/>
  <c r="E171" i="90"/>
  <c r="D171" i="90"/>
  <c r="C171" i="90"/>
  <c r="B171" i="90"/>
  <c r="E175" i="90" l="1"/>
  <c r="E176" i="90"/>
  <c r="E177" i="90"/>
  <c r="E178" i="90"/>
  <c r="I175" i="90"/>
  <c r="I177" i="90"/>
  <c r="I178" i="90"/>
  <c r="I176" i="90"/>
  <c r="M176" i="90"/>
  <c r="M177" i="90"/>
  <c r="M178" i="90"/>
  <c r="M175" i="90"/>
  <c r="Q175" i="90"/>
  <c r="Q176" i="90"/>
  <c r="Q178" i="90"/>
  <c r="Q177" i="90"/>
  <c r="U175" i="90"/>
  <c r="U176" i="90"/>
  <c r="U177" i="90"/>
  <c r="U178" i="90"/>
  <c r="C186" i="90"/>
  <c r="C187" i="90"/>
  <c r="C188" i="90"/>
  <c r="C189" i="90"/>
  <c r="G186" i="90"/>
  <c r="G187" i="90"/>
  <c r="G188" i="90"/>
  <c r="G189" i="90"/>
  <c r="K186" i="90"/>
  <c r="K187" i="90"/>
  <c r="K188" i="90"/>
  <c r="K189" i="90"/>
  <c r="O186" i="90"/>
  <c r="O187" i="90"/>
  <c r="O188" i="90"/>
  <c r="O189" i="90"/>
  <c r="S186" i="90"/>
  <c r="S187" i="90"/>
  <c r="S188" i="90"/>
  <c r="S189" i="90"/>
  <c r="B178" i="90"/>
  <c r="B176" i="90"/>
  <c r="B177" i="90"/>
  <c r="B175" i="90"/>
  <c r="F175" i="90"/>
  <c r="F176" i="90"/>
  <c r="F177" i="90"/>
  <c r="F178" i="90"/>
  <c r="J175" i="90"/>
  <c r="J176" i="90"/>
  <c r="J177" i="90"/>
  <c r="J178" i="90"/>
  <c r="N178" i="90"/>
  <c r="N176" i="90"/>
  <c r="N177" i="90"/>
  <c r="N175" i="90"/>
  <c r="R177" i="90"/>
  <c r="R178" i="90"/>
  <c r="R175" i="90"/>
  <c r="R176" i="90"/>
  <c r="V176" i="90"/>
  <c r="V177" i="90"/>
  <c r="V175" i="90"/>
  <c r="V178" i="90"/>
  <c r="D186" i="90"/>
  <c r="D187" i="90"/>
  <c r="D188" i="90"/>
  <c r="D189" i="90"/>
  <c r="H186" i="90"/>
  <c r="H187" i="90"/>
  <c r="H188" i="90"/>
  <c r="H189" i="90"/>
  <c r="L186" i="90"/>
  <c r="L187" i="90"/>
  <c r="L188" i="90"/>
  <c r="L189" i="90"/>
  <c r="P186" i="90"/>
  <c r="P187" i="90"/>
  <c r="P188" i="90"/>
  <c r="P189" i="90"/>
  <c r="T186" i="90"/>
  <c r="T187" i="90"/>
  <c r="T188" i="90"/>
  <c r="T189" i="90"/>
  <c r="C175" i="90"/>
  <c r="C176" i="90"/>
  <c r="C177" i="90"/>
  <c r="C178" i="90"/>
  <c r="G175" i="90"/>
  <c r="G176" i="90"/>
  <c r="G177" i="90"/>
  <c r="G178" i="90"/>
  <c r="K175" i="90"/>
  <c r="K176" i="90"/>
  <c r="K177" i="90"/>
  <c r="K178" i="90"/>
  <c r="O175" i="90"/>
  <c r="O176" i="90"/>
  <c r="O177" i="90"/>
  <c r="O178" i="90"/>
  <c r="S175" i="90"/>
  <c r="S176" i="90"/>
  <c r="S177" i="90"/>
  <c r="S178" i="90"/>
  <c r="E186" i="90"/>
  <c r="E187" i="90"/>
  <c r="E188" i="90"/>
  <c r="E189" i="90"/>
  <c r="I187" i="90"/>
  <c r="I188" i="90"/>
  <c r="I189" i="90"/>
  <c r="I186" i="90"/>
  <c r="M186" i="90"/>
  <c r="M187" i="90"/>
  <c r="M188" i="90"/>
  <c r="M189" i="90"/>
  <c r="Q187" i="90"/>
  <c r="Q188" i="90"/>
  <c r="Q189" i="90"/>
  <c r="Q186" i="90"/>
  <c r="U187" i="90"/>
  <c r="U188" i="90"/>
  <c r="U189" i="90"/>
  <c r="U186" i="90"/>
  <c r="D178" i="90"/>
  <c r="D175" i="90"/>
  <c r="D176" i="90"/>
  <c r="D177" i="90"/>
  <c r="H177" i="90"/>
  <c r="H178" i="90"/>
  <c r="H175" i="90"/>
  <c r="H176" i="90"/>
  <c r="L175" i="90"/>
  <c r="L176" i="90"/>
  <c r="L177" i="90"/>
  <c r="L178" i="90"/>
  <c r="P177" i="90"/>
  <c r="P178" i="90"/>
  <c r="P175" i="90"/>
  <c r="P176" i="90"/>
  <c r="T178" i="90"/>
  <c r="T175" i="90"/>
  <c r="T176" i="90"/>
  <c r="T177" i="90"/>
  <c r="B189" i="90"/>
  <c r="B188" i="90"/>
  <c r="B187" i="90"/>
  <c r="B186" i="90"/>
  <c r="F186" i="90"/>
  <c r="F187" i="90"/>
  <c r="F188" i="90"/>
  <c r="F189" i="90"/>
  <c r="J188" i="90"/>
  <c r="J189" i="90"/>
  <c r="J186" i="90"/>
  <c r="J187" i="90"/>
  <c r="N187" i="90"/>
  <c r="N186" i="90"/>
  <c r="N188" i="90"/>
  <c r="N189" i="90"/>
  <c r="R187" i="90"/>
  <c r="R188" i="90"/>
  <c r="R189" i="90"/>
  <c r="R186" i="90"/>
  <c r="V189" i="90"/>
  <c r="V186" i="90"/>
  <c r="V187" i="90"/>
  <c r="V188" i="90"/>
</calcChain>
</file>

<file path=xl/sharedStrings.xml><?xml version="1.0" encoding="utf-8"?>
<sst xmlns="http://schemas.openxmlformats.org/spreadsheetml/2006/main" count="4671" uniqueCount="92">
  <si>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</si>
  <si>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</si>
  <si>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</si>
  <si>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</si>
  <si>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</si>
  <si>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</si>
  <si>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</si>
  <si>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</si>
  <si>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</si>
  <si>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</si>
  <si>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</si>
  <si>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</si>
  <si>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</si>
  <si>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</si>
  <si>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</si>
  <si>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</si>
  <si>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</si>
  <si>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</si>
  <si>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</si>
  <si>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</si>
  <si>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</si>
  <si>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</si>
  <si>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</si>
  <si>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</si>
  <si>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</si>
  <si>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</si>
  <si>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</si>
  <si>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</si>
  <si>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</si>
  <si>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</si>
  <si>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</si>
  <si>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</si>
  <si>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</si>
  <si>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</si>
  <si>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</si>
  <si>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</si>
  <si>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</si>
  <si>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</si>
  <si>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</si>
  <si>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</si>
  <si>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</si>
  <si>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</si>
  <si>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</si>
  <si>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</si>
  <si>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</si>
  <si>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</si>
  <si>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</si>
  <si>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</si>
  <si>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</si>
  <si>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</si>
  <si>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</si>
  <si>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</si>
  <si>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</si>
  <si>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</si>
  <si>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</si>
  <si>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</si>
  <si>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</si>
  <si>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</si>
  <si>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</si>
  <si>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</si>
  <si>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</si>
  <si>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</si>
  <si>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</si>
  <si>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</si>
  <si>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</si>
  <si>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</si>
  <si>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</si>
  <si>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</si>
  <si>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HMin Dip 90deg</t>
  </si>
  <si>
    <t>FS HMin Dip 58deg</t>
  </si>
  <si>
    <t>FS HMax Dip 90deg</t>
  </si>
  <si>
    <t>FS HMax Dip 58deg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</si>
  <si>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</si>
  <si>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</si>
  <si>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</si>
  <si>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</si>
  <si>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</si>
  <si>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</si>
  <si>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</si>
  <si>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ResidualActivity</t>
  </si>
  <si>
    <t>Deactivated</t>
  </si>
  <si>
    <t>FS 0 Dip 90deg</t>
  </si>
  <si>
    <t>FS 0 Dip 58deg</t>
  </si>
  <si>
    <t>FS 1 Dip 90deg</t>
  </si>
  <si>
    <t>FS 1 Dip 58deg</t>
  </si>
  <si>
    <t>Intersection</t>
  </si>
  <si>
    <t>Start Points</t>
  </si>
  <si>
    <t>End Points</t>
  </si>
  <si>
    <t>OutOfBounds</t>
  </si>
  <si>
    <t>StressShadow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</si>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</sst>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Implicit_Fracs!$AG$4:$AG$111</c:f>
              <c:numCache>
                <c:formatCode>General</c:formatCode>
                <c:ptCount val="108"/>
                <c:pt idx="0">
                  <c:v>0</c:v>
                </c:pt>
                <c:pt idx="1">
                  <c:v>2.54647908947032E-3</c:v>
                </c:pt>
                <c:pt idx="2">
                  <c:v>5.0706242214135404E-3</c:v>
                </c:pt>
                <c:pt idx="3">
                  <c:v>7.5811993229786597E-3</c:v>
                </c:pt>
                <c:pt idx="4">
                  <c:v>1.00766389748556E-2</c:v>
                </c:pt>
                <c:pt idx="5">
                  <c:v>1.25553920879904E-2</c:v>
                </c:pt>
                <c:pt idx="6">
                  <c:v>1.5029668136232899E-2</c:v>
                </c:pt>
                <c:pt idx="7">
                  <c:v>1.7470626913127299E-2</c:v>
                </c:pt>
                <c:pt idx="8">
                  <c:v>1.98903509945467E-2</c:v>
                </c:pt>
                <c:pt idx="9">
                  <c:v>2.22872599195005E-2</c:v>
                </c:pt>
                <c:pt idx="10">
                  <c:v>2.4659736847121298E-2</c:v>
                </c:pt>
                <c:pt idx="11">
                  <c:v>2.7006120173031601E-2</c:v>
                </c:pt>
                <c:pt idx="12">
                  <c:v>2.9324839817092E-2</c:v>
                </c:pt>
                <c:pt idx="13">
                  <c:v>3.1614462998995799E-2</c:v>
                </c:pt>
                <c:pt idx="14">
                  <c:v>3.3873394651950398E-2</c:v>
                </c:pt>
                <c:pt idx="15">
                  <c:v>3.61000211890036E-2</c:v>
                </c:pt>
                <c:pt idx="16">
                  <c:v>3.8292711341317801E-2</c:v>
                </c:pt>
                <c:pt idx="17">
                  <c:v>4.0449814595340201E-2</c:v>
                </c:pt>
                <c:pt idx="18">
                  <c:v>4.2569659604920998E-2</c:v>
                </c:pt>
                <c:pt idx="19">
                  <c:v>4.4650552565990403E-2</c:v>
                </c:pt>
                <c:pt idx="20">
                  <c:v>4.6690775542605999E-2</c:v>
                </c:pt>
                <c:pt idx="21">
                  <c:v>4.8688584733780099E-2</c:v>
                </c:pt>
                <c:pt idx="22">
                  <c:v>5.0642208670709503E-2</c:v>
                </c:pt>
                <c:pt idx="23">
                  <c:v>5.2549846333953099E-2</c:v>
                </c:pt>
                <c:pt idx="24">
                  <c:v>5.4409665179823E-2</c:v>
                </c:pt>
                <c:pt idx="25">
                  <c:v>5.6219799064782E-2</c:v>
                </c:pt>
                <c:pt idx="26">
                  <c:v>5.79783460560108E-2</c:v>
                </c:pt>
                <c:pt idx="27">
                  <c:v>5.9683366115459102E-2</c:v>
                </c:pt>
                <c:pt idx="28">
                  <c:v>6.1332878643757603E-2</c:v>
                </c:pt>
                <c:pt idx="29">
                  <c:v>6.2924859869173205E-2</c:v>
                </c:pt>
                <c:pt idx="30">
                  <c:v>6.4457240065452601E-2</c:v>
                </c:pt>
                <c:pt idx="31">
                  <c:v>6.5927900580818294E-2</c:v>
                </c:pt>
                <c:pt idx="32">
                  <c:v>6.7334670658580398E-2</c:v>
                </c:pt>
                <c:pt idx="33">
                  <c:v>6.8675324027757501E-2</c:v>
                </c:pt>
                <c:pt idx="34">
                  <c:v>6.9947575239728305E-2</c:v>
                </c:pt>
                <c:pt idx="35">
                  <c:v>7.1149075724231806E-2</c:v>
                </c:pt>
                <c:pt idx="36">
                  <c:v>7.2277409534909701E-2</c:v>
                </c:pt>
                <c:pt idx="37">
                  <c:v>7.3330088751075898E-2</c:v>
                </c:pt>
                <c:pt idx="38">
                  <c:v>7.4304538839049694E-2</c:v>
                </c:pt>
                <c:pt idx="39">
                  <c:v>7.5198101391425604E-2</c:v>
                </c:pt>
                <c:pt idx="40">
                  <c:v>7.6008028377690495E-2</c:v>
                </c:pt>
                <c:pt idx="41">
                  <c:v>7.6731475653663297E-2</c:v>
                </c:pt>
                <c:pt idx="42">
                  <c:v>7.7365495878696594E-2</c:v>
                </c:pt>
                <c:pt idx="43">
                  <c:v>7.7907030770997004E-2</c:v>
                </c:pt>
                <c:pt idx="44">
                  <c:v>7.8352902621986797E-2</c:v>
                </c:pt>
                <c:pt idx="45">
                  <c:v>7.8699804979716598E-2</c:v>
                </c:pt>
                <c:pt idx="46">
                  <c:v>7.8944292398799298E-2</c:v>
                </c:pt>
                <c:pt idx="47">
                  <c:v>7.9082769139915604E-2</c:v>
                </c:pt>
                <c:pt idx="48">
                  <c:v>7.9111476685378199E-2</c:v>
                </c:pt>
                <c:pt idx="49">
                  <c:v>7.9026479918310105E-2</c:v>
                </c:pt>
                <c:pt idx="50">
                  <c:v>7.8823651791441907E-2</c:v>
                </c:pt>
                <c:pt idx="51">
                  <c:v>7.8498656287206703E-2</c:v>
                </c:pt>
                <c:pt idx="52">
                  <c:v>7.8046929443712901E-2</c:v>
                </c:pt>
                <c:pt idx="53">
                  <c:v>7.7463658191548601E-2</c:v>
                </c:pt>
                <c:pt idx="54">
                  <c:v>7.6743756715036998E-2</c:v>
                </c:pt>
                <c:pt idx="55">
                  <c:v>7.5881840020184596E-2</c:v>
                </c:pt>
                <c:pt idx="56">
                  <c:v>7.4872194363410097E-2</c:v>
                </c:pt>
                <c:pt idx="57">
                  <c:v>7.37087441761584E-2</c:v>
                </c:pt>
                <c:pt idx="58">
                  <c:v>7.2385015121264898E-2</c:v>
                </c:pt>
                <c:pt idx="59">
                  <c:v>7.08940929558496E-2</c:v>
                </c:pt>
                <c:pt idx="60">
                  <c:v>6.9228577984937797E-2</c:v>
                </c:pt>
                <c:pt idx="61">
                  <c:v>6.7380535126051494E-2</c:v>
                </c:pt>
                <c:pt idx="62">
                  <c:v>6.5341440066733703E-2</c:v>
                </c:pt>
                <c:pt idx="63">
                  <c:v>6.3102122859986301E-2</c:v>
                </c:pt>
                <c:pt idx="64">
                  <c:v>6.06527118837107E-2</c:v>
                </c:pt>
                <c:pt idx="65">
                  <c:v>5.7982583970530001E-2</c:v>
                </c:pt>
                <c:pt idx="66">
                  <c:v>5.5080331782787303E-2</c:v>
                </c:pt>
                <c:pt idx="67">
                  <c:v>5.1933769256526E-2</c:v>
                </c:pt>
                <c:pt idx="68">
                  <c:v>4.85300143040273E-2</c:v>
                </c:pt>
                <c:pt idx="69">
                  <c:v>4.48557233948556E-2</c:v>
                </c:pt>
                <c:pt idx="70">
                  <c:v>4.0897623030027197E-2</c:v>
                </c:pt>
                <c:pt idx="71">
                  <c:v>3.6643628001403798E-2</c:v>
                </c:pt>
                <c:pt idx="72">
                  <c:v>3.2085146961883498E-2</c:v>
                </c:pt>
                <c:pt idx="73">
                  <c:v>2.7221873291625901E-2</c:v>
                </c:pt>
                <c:pt idx="74">
                  <c:v>2.2072003631684298E-2</c:v>
                </c:pt>
                <c:pt idx="75">
                  <c:v>1.6694875550220201E-2</c:v>
                </c:pt>
                <c:pt idx="76">
                  <c:v>1.1243082153027301E-2</c:v>
                </c:pt>
                <c:pt idx="77">
                  <c:v>6.0825587819656303E-3</c:v>
                </c:pt>
                <c:pt idx="78">
                  <c:v>2.0140994005343198E-3</c:v>
                </c:pt>
                <c:pt idx="79">
                  <c:v>5.1461327269966604E-4</c:v>
                </c:pt>
                <c:pt idx="80">
                  <c:v>3.6943091977284802E-4</c:v>
                </c:pt>
                <c:pt idx="81">
                  <c:v>2.6216831098060099E-4</c:v>
                </c:pt>
                <c:pt idx="82">
                  <c:v>1.8807540291099399E-4</c:v>
                </c:pt>
                <c:pt idx="83">
                  <c:v>1.3461478965807501E-4</c:v>
                </c:pt>
                <c:pt idx="84" formatCode="0.00E+00">
                  <c:v>9.6545383369095805E-5</c:v>
                </c:pt>
                <c:pt idx="85" formatCode="0.00E+00">
                  <c:v>6.94005416527305E-5</c:v>
                </c:pt>
                <c:pt idx="86" formatCode="0.00E+00">
                  <c:v>4.9989757804634201E-5</c:v>
                </c:pt>
                <c:pt idx="87" formatCode="0.00E+00">
                  <c:v>3.6084390484633501E-5</c:v>
                </c:pt>
                <c:pt idx="88" formatCode="0.00E+00">
                  <c:v>2.6101921621280201E-5</c:v>
                </c:pt>
                <c:pt idx="89" formatCode="0.00E+00">
                  <c:v>1.8920516777627999E-5</c:v>
                </c:pt>
                <c:pt idx="90" formatCode="0.00E+00">
                  <c:v>1.3742451599653801E-5</c:v>
                </c:pt>
                <c:pt idx="91" formatCode="0.00E+00">
                  <c:v>1.00032412768556E-5</c:v>
                </c:pt>
                <c:pt idx="92" formatCode="0.00E+00">
                  <c:v>7.29572235617824E-6</c:v>
                </c:pt>
                <c:pt idx="93" formatCode="0.00E+00">
                  <c:v>5.3316852548984599E-6</c:v>
                </c:pt>
                <c:pt idx="94" formatCode="0.00E+00">
                  <c:v>3.9040803339517501E-6</c:v>
                </c:pt>
                <c:pt idx="95" formatCode="0.00E+00">
                  <c:v>2.8643121004369399E-6</c:v>
                </c:pt>
                <c:pt idx="96" formatCode="0.00E+00">
                  <c:v>2.1055162346335101E-6</c:v>
                </c:pt>
                <c:pt idx="97" formatCode="0.00E+00">
                  <c:v>1.55068248166495E-6</c:v>
                </c:pt>
                <c:pt idx="98" formatCode="0.00E+00">
                  <c:v>1.1442018542285E-6</c:v>
                </c:pt>
                <c:pt idx="99" formatCode="0.00E+00">
                  <c:v>8.4583851161598804E-7</c:v>
                </c:pt>
                <c:pt idx="100" formatCode="0.00E+00">
                  <c:v>6.2642198378722105E-7</c:v>
                </c:pt>
                <c:pt idx="101" formatCode="0.00E+00">
                  <c:v>4.6476249754020103E-7</c:v>
                </c:pt>
                <c:pt idx="102" formatCode="0.00E+00">
                  <c:v>3.45437657418048E-7</c:v>
                </c:pt>
                <c:pt idx="103" formatCode="0.00E+00">
                  <c:v>2.5720115361348998E-7</c:v>
                </c:pt>
                <c:pt idx="104" formatCode="0.00E+00">
                  <c:v>1.91836408550821E-7</c:v>
                </c:pt>
                <c:pt idx="105" formatCode="0.00E+00">
                  <c:v>1.4332912827354901E-7</c:v>
                </c:pt>
                <c:pt idx="106" formatCode="0.00E+00">
                  <c:v>1.07268879546754E-7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Implicit_Fracs!$AH$4:$AH$111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 formatCode="0.00E+00">
                  <c:v>1.6647414785558499E-5</c:v>
                </c:pt>
                <c:pt idx="3" formatCode="0.00E+00">
                  <c:v>4.6510008365440197E-5</c:v>
                </c:pt>
                <c:pt idx="4" formatCode="0.00E+00">
                  <c:v>9.1122490661679593E-5</c:v>
                </c:pt>
                <c:pt idx="5">
                  <c:v>1.52028747545354E-4</c:v>
                </c:pt>
                <c:pt idx="6">
                  <c:v>2.18176940817204E-4</c:v>
                </c:pt>
                <c:pt idx="7">
                  <c:v>3.16091393581922E-4</c:v>
                </c:pt>
                <c:pt idx="8">
                  <c:v>4.34839755029374E-4</c:v>
                </c:pt>
                <c:pt idx="9">
                  <c:v>5.75994942632275E-4</c:v>
                </c:pt>
                <c:pt idx="10">
                  <c:v>7.4116498209871604E-4</c:v>
                </c:pt>
                <c:pt idx="11">
                  <c:v>9.3200132187815803E-4</c:v>
                </c:pt>
                <c:pt idx="12">
                  <c:v>1.1500687194478899E-3</c:v>
                </c:pt>
                <c:pt idx="13">
                  <c:v>1.39679976497174E-3</c:v>
                </c:pt>
                <c:pt idx="14">
                  <c:v>1.67378183641323E-3</c:v>
                </c:pt>
                <c:pt idx="15">
                  <c:v>1.9826201434163001E-3</c:v>
                </c:pt>
                <c:pt idx="16">
                  <c:v>2.3249369670076802E-3</c:v>
                </c:pt>
                <c:pt idx="17">
                  <c:v>2.7023731942802201E-3</c:v>
                </c:pt>
                <c:pt idx="18">
                  <c:v>3.1165898747435301E-3</c:v>
                </c:pt>
                <c:pt idx="19">
                  <c:v>3.56926981052906E-3</c:v>
                </c:pt>
                <c:pt idx="20">
                  <c:v>4.0621191913870298E-3</c:v>
                </c:pt>
                <c:pt idx="21">
                  <c:v>4.5968692847570304E-3</c:v>
                </c:pt>
                <c:pt idx="22">
                  <c:v>5.1752781909286298E-3</c:v>
                </c:pt>
                <c:pt idx="23">
                  <c:v>5.7991326733163604E-3</c:v>
                </c:pt>
                <c:pt idx="24">
                  <c:v>6.4702500740981298E-3</c:v>
                </c:pt>
                <c:pt idx="25">
                  <c:v>7.19048032586683E-3</c:v>
                </c:pt>
                <c:pt idx="26">
                  <c:v>7.9617080705159209E-3</c:v>
                </c:pt>
                <c:pt idx="27">
                  <c:v>8.7858548972863399E-3</c:v>
                </c:pt>
                <c:pt idx="28">
                  <c:v>9.6648817127947696E-3</c:v>
                </c:pt>
                <c:pt idx="29">
                  <c:v>1.0600791256893401E-2</c:v>
                </c:pt>
                <c:pt idx="30">
                  <c:v>1.1595630779435999E-2</c:v>
                </c:pt>
                <c:pt idx="31">
                  <c:v>1.2651494894423699E-2</c:v>
                </c:pt>
                <c:pt idx="32">
                  <c:v>1.3770528629620801E-2</c:v>
                </c:pt>
                <c:pt idx="33">
                  <c:v>1.49549306915792E-2</c:v>
                </c:pt>
                <c:pt idx="34">
                  <c:v>1.6206956968114101E-2</c:v>
                </c:pt>
                <c:pt idx="35">
                  <c:v>1.7528924292682001E-2</c:v>
                </c:pt>
                <c:pt idx="36">
                  <c:v>1.89232144978209E-2</c:v>
                </c:pt>
                <c:pt idx="37">
                  <c:v>2.0392278787959E-2</c:v>
                </c:pt>
                <c:pt idx="38">
                  <c:v>2.1938651942724902E-2</c:v>
                </c:pt>
                <c:pt idx="39">
                  <c:v>2.3564949451748501E-2</c:v>
                </c:pt>
                <c:pt idx="40">
                  <c:v>2.5273872942521002E-2</c:v>
                </c:pt>
                <c:pt idx="41">
                  <c:v>2.70682163019152E-2</c:v>
                </c:pt>
                <c:pt idx="42">
                  <c:v>2.8950872339455501E-2</c:v>
                </c:pt>
                <c:pt idx="43">
                  <c:v>3.0924840053485499E-2</c:v>
                </c:pt>
                <c:pt idx="44">
                  <c:v>3.2993232569197901E-2</c:v>
                </c:pt>
                <c:pt idx="45">
                  <c:v>3.5159285826301699E-2</c:v>
                </c:pt>
                <c:pt idx="46">
                  <c:v>3.7426368104037003E-2</c:v>
                </c:pt>
                <c:pt idx="47">
                  <c:v>3.9797990482498997E-2</c:v>
                </c:pt>
                <c:pt idx="48">
                  <c:v>4.22778183516722E-2</c:v>
                </c:pt>
                <c:pt idx="49">
                  <c:v>4.4869684093484997E-2</c:v>
                </c:pt>
                <c:pt idx="50">
                  <c:v>4.7577601077165098E-2</c:v>
                </c:pt>
                <c:pt idx="51">
                  <c:v>5.0405779124241601E-2</c:v>
                </c:pt>
                <c:pt idx="52">
                  <c:v>5.3358641615844499E-2</c:v>
                </c:pt>
                <c:pt idx="53">
                  <c:v>5.6440844430635198E-2</c:v>
                </c:pt>
                <c:pt idx="54">
                  <c:v>5.9657296914671101E-2</c:v>
                </c:pt>
                <c:pt idx="55">
                  <c:v>6.3013185091590498E-2</c:v>
                </c:pt>
                <c:pt idx="56">
                  <c:v>6.6513997317219395E-2</c:v>
                </c:pt>
                <c:pt idx="57">
                  <c:v>7.01655525578182E-2</c:v>
                </c:pt>
                <c:pt idx="58">
                  <c:v>7.3974031410511898E-2</c:v>
                </c:pt>
                <c:pt idx="59">
                  <c:v>7.7946009862898902E-2</c:v>
                </c:pt>
                <c:pt idx="60">
                  <c:v>8.2088495563588798E-2</c:v>
                </c:pt>
                <c:pt idx="61">
                  <c:v>8.6408965975400001E-2</c:v>
                </c:pt>
                <c:pt idx="62">
                  <c:v>9.09154070851797E-2</c:v>
                </c:pt>
                <c:pt idx="63">
                  <c:v>9.5616350136591699E-2</c:v>
                </c:pt>
                <c:pt idx="64">
                  <c:v>0.100520901759394</c:v>
                </c:pt>
                <c:pt idx="65">
                  <c:v>0.105638759215345</c:v>
                </c:pt>
                <c:pt idx="66">
                  <c:v>0.11098019602286099</c:v>
                </c:pt>
                <c:pt idx="67">
                  <c:v>0.116555991607574</c:v>
                </c:pt>
                <c:pt idx="68">
                  <c:v>0.122377257276664</c:v>
                </c:pt>
                <c:pt idx="69">
                  <c:v>0.12845507052736699</c:v>
                </c:pt>
                <c:pt idx="70">
                  <c:v>0.134799751285127</c:v>
                </c:pt>
                <c:pt idx="71">
                  <c:v>0.14141945549617499</c:v>
                </c:pt>
                <c:pt idx="72">
                  <c:v>0.14831742934855099</c:v>
                </c:pt>
                <c:pt idx="73">
                  <c:v>0.155486538730784</c:v>
                </c:pt>
                <c:pt idx="74">
                  <c:v>0.16289801918748201</c:v>
                </c:pt>
                <c:pt idx="75">
                  <c:v>0.17047744823348401</c:v>
                </c:pt>
                <c:pt idx="76">
                  <c:v>0.178051881977211</c:v>
                </c:pt>
                <c:pt idx="77">
                  <c:v>0.18523761071116099</c:v>
                </c:pt>
                <c:pt idx="78">
                  <c:v>0.19129840941750201</c:v>
                </c:pt>
                <c:pt idx="79">
                  <c:v>0.19365818325216</c:v>
                </c:pt>
                <c:pt idx="80">
                  <c:v>0.19554201363722801</c:v>
                </c:pt>
                <c:pt idx="81">
                  <c:v>0.19740730516857599</c:v>
                </c:pt>
                <c:pt idx="82">
                  <c:v>0.19928075576214299</c:v>
                </c:pt>
                <c:pt idx="83">
                  <c:v>0.201154061282797</c:v>
                </c:pt>
                <c:pt idx="84">
                  <c:v>0.20302716766276599</c:v>
                </c:pt>
                <c:pt idx="85">
                  <c:v>0.20490037468050901</c:v>
                </c:pt>
                <c:pt idx="86">
                  <c:v>0.20677351672913699</c:v>
                </c:pt>
                <c:pt idx="87">
                  <c:v>0.20864657912788501</c:v>
                </c:pt>
                <c:pt idx="88">
                  <c:v>0.21051954142062901</c:v>
                </c:pt>
                <c:pt idx="89">
                  <c:v>0.21239238032553201</c:v>
                </c:pt>
                <c:pt idx="90">
                  <c:v>0.21426494989363801</c:v>
                </c:pt>
                <c:pt idx="91">
                  <c:v>0.21613746584507201</c:v>
                </c:pt>
                <c:pt idx="92">
                  <c:v>0.21800977918619899</c:v>
                </c:pt>
                <c:pt idx="93">
                  <c:v>0.21988186361525999</c:v>
                </c:pt>
                <c:pt idx="94">
                  <c:v>0.22175369187737901</c:v>
                </c:pt>
                <c:pt idx="95">
                  <c:v>0.22362523685424801</c:v>
                </c:pt>
                <c:pt idx="96">
                  <c:v>0.225496471667748</c:v>
                </c:pt>
                <c:pt idx="97">
                  <c:v>0.227367369758843</c:v>
                </c:pt>
                <c:pt idx="98">
                  <c:v>0.22923790494072999</c:v>
                </c:pt>
                <c:pt idx="99">
                  <c:v>0.23110805143397001</c:v>
                </c:pt>
                <c:pt idx="100">
                  <c:v>0.23297778388895701</c:v>
                </c:pt>
                <c:pt idx="101">
                  <c:v>0.234847077399472</c:v>
                </c:pt>
                <c:pt idx="102">
                  <c:v>0.236715907509982</c:v>
                </c:pt>
                <c:pt idx="103">
                  <c:v>0.23858425021851801</c:v>
                </c:pt>
                <c:pt idx="104">
                  <c:v>0.24045208197646301</c:v>
                </c:pt>
                <c:pt idx="105">
                  <c:v>0.24231937968616599</c:v>
                </c:pt>
                <c:pt idx="106">
                  <c:v>0.24418612069703499</c:v>
                </c:pt>
                <c:pt idx="107">
                  <c:v>0.24418622796591499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Implicit_Fracs!$AI$4:$AI$111</c:f>
              <c:numCache>
                <c:formatCode>General</c:formatCode>
                <c:ptCount val="108"/>
                <c:pt idx="0">
                  <c:v>1</c:v>
                </c:pt>
                <c:pt idx="1">
                  <c:v>0.99829869838329599</c:v>
                </c:pt>
                <c:pt idx="2">
                  <c:v>0.99490590320580197</c:v>
                </c:pt>
                <c:pt idx="3">
                  <c:v>0.991238739089634</c:v>
                </c:pt>
                <c:pt idx="4">
                  <c:v>0.987578101504473</c:v>
                </c:pt>
                <c:pt idx="5">
                  <c:v>0.98397994706278502</c:v>
                </c:pt>
                <c:pt idx="6">
                  <c:v>0.98044291876178702</c:v>
                </c:pt>
                <c:pt idx="7">
                  <c:v>0.97695747687100398</c:v>
                </c:pt>
                <c:pt idx="8">
                  <c:v>0.97351053930739695</c:v>
                </c:pt>
                <c:pt idx="9">
                  <c:v>0.970092753590444</c:v>
                </c:pt>
                <c:pt idx="10">
                  <c:v>0.966697448302268</c:v>
                </c:pt>
                <c:pt idx="11">
                  <c:v>0.96332001914237797</c:v>
                </c:pt>
                <c:pt idx="12">
                  <c:v>0.95995731329176903</c:v>
                </c:pt>
                <c:pt idx="13">
                  <c:v>0.956607161983831</c:v>
                </c:pt>
                <c:pt idx="14">
                  <c:v>0.95326806933049202</c:v>
                </c:pt>
                <c:pt idx="15">
                  <c:v>0.94993898546149602</c:v>
                </c:pt>
                <c:pt idx="16">
                  <c:v>0.94661916152244097</c:v>
                </c:pt>
                <c:pt idx="17">
                  <c:v>0.94330805444177401</c:v>
                </c:pt>
                <c:pt idx="18">
                  <c:v>0.940005264100366</c:v>
                </c:pt>
                <c:pt idx="19">
                  <c:v>0.93671049150153696</c:v>
                </c:pt>
                <c:pt idx="20">
                  <c:v>0.93342351056884998</c:v>
                </c:pt>
                <c:pt idx="21">
                  <c:v>0.93014414884730301</c:v>
                </c:pt>
                <c:pt idx="22">
                  <c:v>0.92687227408337503</c:v>
                </c:pt>
                <c:pt idx="23">
                  <c:v>0.92360778473903804</c:v>
                </c:pt>
                <c:pt idx="24">
                  <c:v>0.92035060317852802</c:v>
                </c:pt>
                <c:pt idx="25">
                  <c:v>0.91710067070094303</c:v>
                </c:pt>
                <c:pt idx="26">
                  <c:v>0.91385794386934105</c:v>
                </c:pt>
                <c:pt idx="27">
                  <c:v>0.91062239176631299</c:v>
                </c:pt>
                <c:pt idx="28">
                  <c:v>0.90739399392303799</c:v>
                </c:pt>
                <c:pt idx="29">
                  <c:v>0.90417273874637405</c:v>
                </c:pt>
                <c:pt idx="30">
                  <c:v>0.90095862232062796</c:v>
                </c:pt>
                <c:pt idx="31">
                  <c:v>0.89775164749618097</c:v>
                </c:pt>
                <c:pt idx="32">
                  <c:v>0.89455182320179105</c:v>
                </c:pt>
                <c:pt idx="33">
                  <c:v>0.89135916393474401</c:v>
                </c:pt>
                <c:pt idx="34">
                  <c:v>0.88817368939552799</c:v>
                </c:pt>
                <c:pt idx="35">
                  <c:v>0.88499542424274802</c:v>
                </c:pt>
                <c:pt idx="36">
                  <c:v>0.88182439795091105</c:v>
                </c:pt>
                <c:pt idx="37">
                  <c:v>0.87865516113383701</c:v>
                </c:pt>
                <c:pt idx="38">
                  <c:v>0.87548776876326395</c:v>
                </c:pt>
                <c:pt idx="39">
                  <c:v>0.87232240192673804</c:v>
                </c:pt>
                <c:pt idx="40">
                  <c:v>0.86915923665862105</c:v>
                </c:pt>
                <c:pt idx="41">
                  <c:v>0.86599844528285097</c:v>
                </c:pt>
                <c:pt idx="42">
                  <c:v>0.86284019770875897</c:v>
                </c:pt>
                <c:pt idx="43">
                  <c:v>0.859684662705131</c:v>
                </c:pt>
                <c:pt idx="44">
                  <c:v>0.85653200917723804</c:v>
                </c:pt>
                <c:pt idx="45">
                  <c:v>0.85338240747212002</c:v>
                </c:pt>
                <c:pt idx="46">
                  <c:v>0.85023603073894705</c:v>
                </c:pt>
                <c:pt idx="47">
                  <c:v>0.84709305637369603</c:v>
                </c:pt>
                <c:pt idx="48">
                  <c:v>0.843953667581268</c:v>
                </c:pt>
                <c:pt idx="49">
                  <c:v>0.84081805509322505</c:v>
                </c:pt>
                <c:pt idx="50">
                  <c:v>0.837686419086483</c:v>
                </c:pt>
                <c:pt idx="51">
                  <c:v>0.83455897135753698</c:v>
                </c:pt>
                <c:pt idx="52">
                  <c:v>0.83143593781923497</c:v>
                </c:pt>
                <c:pt idx="53">
                  <c:v>0.82831756140338897</c:v>
                </c:pt>
                <c:pt idx="54">
                  <c:v>0.82520410547421597</c:v>
                </c:pt>
                <c:pt idx="55">
                  <c:v>0.82209585788647599</c:v>
                </c:pt>
                <c:pt idx="56">
                  <c:v>0.81899313586091704</c:v>
                </c:pt>
                <c:pt idx="57">
                  <c:v>0.81589629190219204</c:v>
                </c:pt>
                <c:pt idx="58">
                  <c:v>0.81280572105632498</c:v>
                </c:pt>
                <c:pt idx="59">
                  <c:v>0.80972186990414996</c:v>
                </c:pt>
                <c:pt idx="60">
                  <c:v>0.80664524782650704</c:v>
                </c:pt>
                <c:pt idx="61">
                  <c:v>0.80357644127443895</c:v>
                </c:pt>
                <c:pt idx="62">
                  <c:v>0.80051613206205097</c:v>
                </c:pt>
                <c:pt idx="63">
                  <c:v>0.79746512111509904</c:v>
                </c:pt>
                <c:pt idx="64">
                  <c:v>0.79442435972554803</c:v>
                </c:pt>
                <c:pt idx="65">
                  <c:v>0.79139499129513402</c:v>
                </c:pt>
                <c:pt idx="66">
                  <c:v>0.78837840798699599</c:v>
                </c:pt>
                <c:pt idx="67">
                  <c:v>0.78537632895810305</c:v>
                </c:pt>
                <c:pt idx="68">
                  <c:v>0.78239091045048603</c:v>
                </c:pt>
                <c:pt idx="69">
                  <c:v>0.77942490389262598</c:v>
                </c:pt>
                <c:pt idx="70">
                  <c:v>0.77648188786812999</c:v>
                </c:pt>
                <c:pt idx="71">
                  <c:v>0.77356661591217102</c:v>
                </c:pt>
                <c:pt idx="72">
                  <c:v>0.77068554820046398</c:v>
                </c:pt>
                <c:pt idx="73">
                  <c:v>0.76784767315538305</c:v>
                </c:pt>
                <c:pt idx="74">
                  <c:v>0.76506575572558899</c:v>
                </c:pt>
                <c:pt idx="75">
                  <c:v>0.76235802228525096</c:v>
                </c:pt>
                <c:pt idx="76">
                  <c:v>0.75974907422179605</c:v>
                </c:pt>
                <c:pt idx="77">
                  <c:v>0.75726038641335702</c:v>
                </c:pt>
                <c:pt idx="78">
                  <c:v>0.75481346956710205</c:v>
                </c:pt>
                <c:pt idx="79">
                  <c:v>0.75375059765444496</c:v>
                </c:pt>
                <c:pt idx="80">
                  <c:v>0.75161438109744805</c:v>
                </c:pt>
                <c:pt idx="81">
                  <c:v>0.74945605465735299</c:v>
                </c:pt>
                <c:pt idx="82">
                  <c:v>0.74724903158336098</c:v>
                </c:pt>
                <c:pt idx="83">
                  <c:v>0.74501871181642698</c:v>
                </c:pt>
                <c:pt idx="84">
                  <c:v>0.74277157343267097</c:v>
                </c:pt>
                <c:pt idx="85">
                  <c:v>0.74051270878668596</c:v>
                </c:pt>
                <c:pt idx="86">
                  <c:v>0.73824621435148197</c:v>
                </c:pt>
                <c:pt idx="87">
                  <c:v>0.73597482940588799</c:v>
                </c:pt>
                <c:pt idx="88">
                  <c:v>0.73370051180717799</c:v>
                </c:pt>
                <c:pt idx="89">
                  <c:v>0.73142466110784099</c:v>
                </c:pt>
                <c:pt idx="90">
                  <c:v>0.72914842987944795</c:v>
                </c:pt>
                <c:pt idx="91">
                  <c:v>0.72687225017464796</c:v>
                </c:pt>
                <c:pt idx="92">
                  <c:v>0.72459680268535898</c:v>
                </c:pt>
                <c:pt idx="93">
                  <c:v>0.72232247521034298</c:v>
                </c:pt>
                <c:pt idx="94">
                  <c:v>0.72004955791399505</c:v>
                </c:pt>
                <c:pt idx="95">
                  <c:v>0.71777826965325597</c:v>
                </c:pt>
                <c:pt idx="96">
                  <c:v>0.71550877819287095</c:v>
                </c:pt>
                <c:pt idx="97">
                  <c:v>0.71324121454888401</c:v>
                </c:pt>
                <c:pt idx="98">
                  <c:v>0.71097568319527604</c:v>
                </c:pt>
                <c:pt idx="99">
                  <c:v>0.70871226934285503</c:v>
                </c:pt>
                <c:pt idx="100">
                  <c:v>0.70645104414188498</c:v>
                </c:pt>
                <c:pt idx="101">
                  <c:v>0.70419206840929904</c:v>
                </c:pt>
                <c:pt idx="102">
                  <c:v>0.70193539530529603</c:v>
                </c:pt>
                <c:pt idx="103">
                  <c:v>0.69968107226026899</c:v>
                </c:pt>
                <c:pt idx="104">
                  <c:v>0.69742914236573395</c:v>
                </c:pt>
                <c:pt idx="105">
                  <c:v>0.69517964538121002</c:v>
                </c:pt>
                <c:pt idx="106">
                  <c:v>0.692932618465399</c:v>
                </c:pt>
                <c:pt idx="107">
                  <c:v>0.692932618465399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Implicit_Fracs!$AD$4:$AD$111</c:f>
              <c:numCache>
                <c:formatCode>General</c:formatCode>
                <c:ptCount val="108"/>
                <c:pt idx="0">
                  <c:v>1.6E-2</c:v>
                </c:pt>
                <c:pt idx="1">
                  <c:v>1.8875923960716301E-2</c:v>
                </c:pt>
                <c:pt idx="2">
                  <c:v>1.9526414998067801E-2</c:v>
                </c:pt>
                <c:pt idx="3">
                  <c:v>1.9884498128117101E-2</c:v>
                </c:pt>
                <c:pt idx="4">
                  <c:v>2.0111969597620499E-2</c:v>
                </c:pt>
                <c:pt idx="5">
                  <c:v>2.0262690499705201E-2</c:v>
                </c:pt>
                <c:pt idx="6">
                  <c:v>2.0380122500060199E-2</c:v>
                </c:pt>
                <c:pt idx="7">
                  <c:v>2.0440599675253201E-2</c:v>
                </c:pt>
                <c:pt idx="8">
                  <c:v>2.0470994799968001E-2</c:v>
                </c:pt>
                <c:pt idx="9">
                  <c:v>2.0476646689351001E-2</c:v>
                </c:pt>
                <c:pt idx="10">
                  <c:v>2.0461223286486099E-2</c:v>
                </c:pt>
                <c:pt idx="11">
                  <c:v>2.0427343690373901E-2</c:v>
                </c:pt>
                <c:pt idx="12">
                  <c:v>2.0377033203331701E-2</c:v>
                </c:pt>
                <c:pt idx="13">
                  <c:v>2.03119416759878E-2</c:v>
                </c:pt>
                <c:pt idx="14">
                  <c:v>2.0233275483131401E-2</c:v>
                </c:pt>
                <c:pt idx="15">
                  <c:v>2.01419984194386E-2</c:v>
                </c:pt>
                <c:pt idx="16">
                  <c:v>2.0038894539676399E-2</c:v>
                </c:pt>
                <c:pt idx="17">
                  <c:v>1.9924611045002899E-2</c:v>
                </c:pt>
                <c:pt idx="18">
                  <c:v>1.97996890888083E-2</c:v>
                </c:pt>
                <c:pt idx="19">
                  <c:v>1.9664586378662901E-2</c:v>
                </c:pt>
                <c:pt idx="20">
                  <c:v>1.95196940716546E-2</c:v>
                </c:pt>
                <c:pt idx="21">
                  <c:v>1.9365349615372798E-2</c:v>
                </c:pt>
                <c:pt idx="22">
                  <c:v>1.9201846653828999E-2</c:v>
                </c:pt>
                <c:pt idx="23">
                  <c:v>1.9029442772693101E-2</c:v>
                </c:pt>
                <c:pt idx="24">
                  <c:v>1.8848365629820799E-2</c:v>
                </c:pt>
                <c:pt idx="25">
                  <c:v>1.8658817862650199E-2</c:v>
                </c:pt>
                <c:pt idx="26">
                  <c:v>1.84609810577041E-2</c:v>
                </c:pt>
                <c:pt idx="27">
                  <c:v>1.8255018992961398E-2</c:v>
                </c:pt>
                <c:pt idx="28">
                  <c:v>1.8041080310873699E-2</c:v>
                </c:pt>
                <c:pt idx="29">
                  <c:v>1.7819300741602598E-2</c:v>
                </c:pt>
                <c:pt idx="30">
                  <c:v>1.75898049681305E-2</c:v>
                </c:pt>
                <c:pt idx="31">
                  <c:v>1.7352708204275698E-2</c:v>
                </c:pt>
                <c:pt idx="32">
                  <c:v>1.71081175412338E-2</c:v>
                </c:pt>
                <c:pt idx="33">
                  <c:v>1.6856133106655902E-2</c:v>
                </c:pt>
                <c:pt idx="34">
                  <c:v>1.6596849071455502E-2</c:v>
                </c:pt>
                <c:pt idx="35">
                  <c:v>1.63303545327825E-2</c:v>
                </c:pt>
                <c:pt idx="36">
                  <c:v>1.60567342964308E-2</c:v>
                </c:pt>
                <c:pt idx="37">
                  <c:v>1.5776069577939301E-2</c:v>
                </c:pt>
                <c:pt idx="38">
                  <c:v>1.54884363835934E-2</c:v>
                </c:pt>
                <c:pt idx="39">
                  <c:v>1.5193908250150301E-2</c:v>
                </c:pt>
                <c:pt idx="40">
                  <c:v>1.4892556841332699E-2</c:v>
                </c:pt>
                <c:pt idx="41">
                  <c:v>1.4584452463615699E-2</c:v>
                </c:pt>
                <c:pt idx="42">
                  <c:v>1.4269664564194399E-2</c:v>
                </c:pt>
                <c:pt idx="43">
                  <c:v>1.3948262220558E-2</c:v>
                </c:pt>
                <c:pt idx="44">
                  <c:v>1.3620314630940499E-2</c:v>
                </c:pt>
                <c:pt idx="45">
                  <c:v>1.3285891615097601E-2</c:v>
                </c:pt>
                <c:pt idx="46">
                  <c:v>1.2945064135388699E-2</c:v>
                </c:pt>
                <c:pt idx="47">
                  <c:v>1.2597904849051199E-2</c:v>
                </c:pt>
                <c:pt idx="48">
                  <c:v>1.22444887039161E-2</c:v>
                </c:pt>
                <c:pt idx="49">
                  <c:v>1.18848935916949E-2</c:v>
                </c:pt>
                <c:pt idx="50">
                  <c:v>1.1519201075531201E-2</c:v>
                </c:pt>
                <c:pt idx="51">
                  <c:v>1.1147497211894701E-2</c:v>
                </c:pt>
                <c:pt idx="52">
                  <c:v>1.0769873491397601E-2</c:v>
                </c:pt>
                <c:pt idx="53">
                  <c:v>1.03864279290369E-2</c:v>
                </c:pt>
                <c:pt idx="54">
                  <c:v>9.9972663422338206E-3</c:v>
                </c:pt>
                <c:pt idx="55">
                  <c:v>9.6025038655228098E-3</c:v>
                </c:pt>
                <c:pt idx="56">
                  <c:v>9.2022667648045398E-3</c:v>
                </c:pt>
                <c:pt idx="57">
                  <c:v>8.7966946331402493E-3</c:v>
                </c:pt>
                <c:pt idx="58">
                  <c:v>8.3859430761559096E-3</c:v>
                </c:pt>
                <c:pt idx="59">
                  <c:v>7.9701870312238396E-3</c:v>
                </c:pt>
                <c:pt idx="60">
                  <c:v>7.5496249152382502E-3</c:v>
                </c:pt>
                <c:pt idx="61">
                  <c:v>7.1244838677585803E-3</c:v>
                </c:pt>
                <c:pt idx="62">
                  <c:v>6.6950264601607998E-3</c:v>
                </c:pt>
                <c:pt idx="63">
                  <c:v>6.26155939376316E-3</c:v>
                </c:pt>
                <c:pt idx="64">
                  <c:v>5.8244449373415497E-3</c:v>
                </c:pt>
                <c:pt idx="65">
                  <c:v>5.3841162006808699E-3</c:v>
                </c:pt>
                <c:pt idx="66">
                  <c:v>4.9410978790272904E-3</c:v>
                </c:pt>
                <c:pt idx="67">
                  <c:v>4.4960349593252697E-3</c:v>
                </c:pt>
                <c:pt idx="68">
                  <c:v>4.0497332745238696E-3</c:v>
                </c:pt>
                <c:pt idx="69">
                  <c:v>3.6032181278598998E-3</c:v>
                </c:pt>
                <c:pt idx="70">
                  <c:v>3.1578212287335398E-3</c:v>
                </c:pt>
                <c:pt idx="71">
                  <c:v>2.7153132977134598E-3</c:v>
                </c:pt>
                <c:pt idx="72">
                  <c:v>2.2781126267355598E-3</c:v>
                </c:pt>
                <c:pt idx="73">
                  <c:v>1.84962378009972E-3</c:v>
                </c:pt>
                <c:pt idx="74">
                  <c:v>1.4348044081539701E-3</c:v>
                </c:pt>
                <c:pt idx="75">
                  <c:v>1.0411310639564799E-3</c:v>
                </c:pt>
                <c:pt idx="76">
                  <c:v>6.8020378187738499E-4</c:v>
                </c:pt>
                <c:pt idx="77">
                  <c:v>3.6994703727261699E-4</c:v>
                </c:pt>
                <c:pt idx="78">
                  <c:v>1.35270734066889E-4</c:v>
                </c:pt>
                <c:pt idx="79">
                  <c:v>1.1746080670667601E-4</c:v>
                </c:pt>
                <c:pt idx="80" formatCode="0.00E+00">
                  <c:v>8.47334790110101E-5</c:v>
                </c:pt>
                <c:pt idx="81" formatCode="0.00E+00">
                  <c:v>6.0977638610064998E-5</c:v>
                </c:pt>
                <c:pt idx="82" formatCode="0.00E+00">
                  <c:v>4.3983440932987099E-5</c:v>
                </c:pt>
                <c:pt idx="83" formatCode="0.00E+00">
                  <c:v>3.1795416550397199E-5</c:v>
                </c:pt>
                <c:pt idx="84" formatCode="0.00E+00">
                  <c:v>2.30349542556129E-5</c:v>
                </c:pt>
                <c:pt idx="85" formatCode="0.00E+00">
                  <c:v>1.6724195073647598E-5</c:v>
                </c:pt>
                <c:pt idx="86" formatCode="0.00E+00">
                  <c:v>1.21681850940655E-5</c:v>
                </c:pt>
                <c:pt idx="87" formatCode="0.00E+00">
                  <c:v>8.8719083970941608E-6</c:v>
                </c:pt>
                <c:pt idx="88" formatCode="0.00E+00">
                  <c:v>6.4819691721794197E-6</c:v>
                </c:pt>
                <c:pt idx="89" formatCode="0.00E+00">
                  <c:v>4.7455187055879697E-6</c:v>
                </c:pt>
                <c:pt idx="90" formatCode="0.00E+00">
                  <c:v>3.4812525169334E-6</c:v>
                </c:pt>
                <c:pt idx="91" formatCode="0.00E+00">
                  <c:v>2.5588864328273099E-6</c:v>
                </c:pt>
                <c:pt idx="92" formatCode="0.00E+00">
                  <c:v>1.8845976147464901E-6</c:v>
                </c:pt>
                <c:pt idx="93" formatCode="0.00E+00">
                  <c:v>1.3906800339329E-6</c:v>
                </c:pt>
                <c:pt idx="94" formatCode="0.00E+00">
                  <c:v>1.0281718586397599E-6</c:v>
                </c:pt>
                <c:pt idx="95" formatCode="0.00E+00">
                  <c:v>7.6159352795130701E-7</c:v>
                </c:pt>
                <c:pt idx="96" formatCode="0.00E+00">
                  <c:v>5.6518303056524199E-7</c:v>
                </c:pt>
                <c:pt idx="97" formatCode="0.00E+00">
                  <c:v>4.2019684702814798E-7</c:v>
                </c:pt>
                <c:pt idx="98" formatCode="0.00E+00">
                  <c:v>3.1297086408311202E-7</c:v>
                </c:pt>
                <c:pt idx="99" formatCode="0.00E+00">
                  <c:v>2.3352440633479399E-7</c:v>
                </c:pt>
                <c:pt idx="100" formatCode="0.00E+00">
                  <c:v>1.74553218386789E-7</c:v>
                </c:pt>
                <c:pt idx="101" formatCode="0.00E+00">
                  <c:v>1.3070156580416999E-7</c:v>
                </c:pt>
                <c:pt idx="102" formatCode="0.00E+00">
                  <c:v>9.80350454270741E-8</c:v>
                </c:pt>
                <c:pt idx="103" formatCode="0.00E+00">
                  <c:v>7.3658012656041405E-8</c:v>
                </c:pt>
                <c:pt idx="104" formatCode="0.00E+00">
                  <c:v>5.5435416718059403E-8</c:v>
                </c:pt>
                <c:pt idx="105" formatCode="0.00E+00">
                  <c:v>4.1790162649019399E-8</c:v>
                </c:pt>
                <c:pt idx="106" formatCode="0.00E+00">
                  <c:v>3.1555213906445299E-8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Implicit_Fracs!$AE$4:$AE$111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 formatCode="0.00E+00">
                  <c:v>7.7730921542853098E-5</c:v>
                </c:pt>
                <c:pt idx="3">
                  <c:v>1.57900264671883E-4</c:v>
                </c:pt>
                <c:pt idx="4">
                  <c:v>2.3955027302425299E-4</c:v>
                </c:pt>
                <c:pt idx="5">
                  <c:v>3.2225100004427298E-4</c:v>
                </c:pt>
                <c:pt idx="6">
                  <c:v>4.0578649911471001E-4</c:v>
                </c:pt>
                <c:pt idx="7">
                  <c:v>4.8994085129517499E-4</c:v>
                </c:pt>
                <c:pt idx="8">
                  <c:v>5.7456958404738905E-4</c:v>
                </c:pt>
                <c:pt idx="9">
                  <c:v>6.5956763802109799E-4</c:v>
                </c:pt>
                <c:pt idx="10">
                  <c:v>7.4484850666636598E-4</c:v>
                </c:pt>
                <c:pt idx="11">
                  <c:v>8.3033835879559698E-4</c:v>
                </c:pt>
                <c:pt idx="12">
                  <c:v>9.1597253021601197E-4</c:v>
                </c:pt>
                <c:pt idx="13">
                  <c:v>1.0016933829719301E-3</c:v>
                </c:pt>
                <c:pt idx="14">
                  <c:v>1.08744851813524E-3</c:v>
                </c:pt>
                <c:pt idx="15">
                  <c:v>1.1731894910001E-3</c:v>
                </c:pt>
                <c:pt idx="16">
                  <c:v>1.2588709601371499E-3</c:v>
                </c:pt>
                <c:pt idx="17">
                  <c:v>1.3444500568120001E-3</c:v>
                </c:pt>
                <c:pt idx="18">
                  <c:v>1.42988590706431E-3</c:v>
                </c:pt>
                <c:pt idx="19">
                  <c:v>1.51513926288664E-3</c:v>
                </c:pt>
                <c:pt idx="20">
                  <c:v>1.6001722130186101E-3</c:v>
                </c:pt>
                <c:pt idx="21">
                  <c:v>1.68494795294004E-3</c:v>
                </c:pt>
                <c:pt idx="22">
                  <c:v>1.7694305996327599E-3</c:v>
                </c:pt>
                <c:pt idx="23">
                  <c:v>1.8535850407185701E-3</c:v>
                </c:pt>
                <c:pt idx="24">
                  <c:v>1.9373768103616699E-3</c:v>
                </c:pt>
                <c:pt idx="25">
                  <c:v>2.0207719862733501E-3</c:v>
                </c:pt>
                <c:pt idx="26">
                  <c:v>2.1037371035486098E-3</c:v>
                </c:pt>
                <c:pt idx="27">
                  <c:v>2.18623908207053E-3</c:v>
                </c:pt>
                <c:pt idx="28">
                  <c:v>2.2682451649612902E-3</c:v>
                </c:pt>
                <c:pt idx="29">
                  <c:v>2.3497228661097601E-3</c:v>
                </c:pt>
                <c:pt idx="30">
                  <c:v>2.4306399252228801E-3</c:v>
                </c:pt>
                <c:pt idx="31">
                  <c:v>2.51096426916579E-3</c:v>
                </c:pt>
                <c:pt idx="32">
                  <c:v>2.59066397860089E-3</c:v>
                </c:pt>
                <c:pt idx="33">
                  <c:v>2.6697072591277001E-3</c:v>
                </c:pt>
                <c:pt idx="34">
                  <c:v>2.7480624162752399E-3</c:v>
                </c:pt>
                <c:pt idx="35">
                  <c:v>2.82569783381925E-3</c:v>
                </c:pt>
                <c:pt idx="36">
                  <c:v>2.90258195499026E-3</c:v>
                </c:pt>
                <c:pt idx="37">
                  <c:v>2.9786832662188102E-3</c:v>
                </c:pt>
                <c:pt idx="38">
                  <c:v>3.0539707319932699E-3</c:v>
                </c:pt>
                <c:pt idx="39">
                  <c:v>3.12841331252355E-3</c:v>
                </c:pt>
                <c:pt idx="40">
                  <c:v>3.2019799420809499E-3</c:v>
                </c:pt>
                <c:pt idx="41">
                  <c:v>3.2746395200843898E-3</c:v>
                </c:pt>
                <c:pt idx="42">
                  <c:v>3.3463609035975701E-3</c:v>
                </c:pt>
                <c:pt idx="43">
                  <c:v>3.4171129011423599E-3</c:v>
                </c:pt>
                <c:pt idx="44">
                  <c:v>3.4868642677565701E-3</c:v>
                </c:pt>
                <c:pt idx="45">
                  <c:v>3.5555837012422502E-3</c:v>
                </c:pt>
                <c:pt idx="46">
                  <c:v>3.62323983956547E-3</c:v>
                </c:pt>
                <c:pt idx="47">
                  <c:v>3.68980125938428E-3</c:v>
                </c:pt>
                <c:pt idx="48">
                  <c:v>3.75523647569097E-3</c:v>
                </c:pt>
                <c:pt idx="49">
                  <c:v>3.81951394256675E-3</c:v>
                </c:pt>
                <c:pt idx="50">
                  <c:v>3.8826020550519801E-3</c:v>
                </c:pt>
                <c:pt idx="51">
                  <c:v>3.9444691521404503E-3</c:v>
                </c:pt>
                <c:pt idx="52">
                  <c:v>4.0050835209043999E-3</c:v>
                </c:pt>
                <c:pt idx="53">
                  <c:v>4.0644134017503303E-3</c:v>
                </c:pt>
                <c:pt idx="54">
                  <c:v>4.1224269947885001E-3</c:v>
                </c:pt>
                <c:pt idx="55">
                  <c:v>4.1790924672672402E-3</c:v>
                </c:pt>
                <c:pt idx="56">
                  <c:v>4.2343779619716101E-3</c:v>
                </c:pt>
                <c:pt idx="57">
                  <c:v>4.2882516063991799E-3</c:v>
                </c:pt>
                <c:pt idx="58">
                  <c:v>4.3406815223895698E-3</c:v>
                </c:pt>
                <c:pt idx="59">
                  <c:v>4.3916358356723799E-3</c:v>
                </c:pt>
                <c:pt idx="60">
                  <c:v>4.4410826844620502E-3</c:v>
                </c:pt>
                <c:pt idx="61">
                  <c:v>4.4889902257060502E-3</c:v>
                </c:pt>
                <c:pt idx="62">
                  <c:v>4.5353266367651399E-3</c:v>
                </c:pt>
                <c:pt idx="63">
                  <c:v>4.5800601089920302E-3</c:v>
                </c:pt>
                <c:pt idx="64">
                  <c:v>4.6231588275621001E-3</c:v>
                </c:pt>
                <c:pt idx="65">
                  <c:v>4.6645909284672802E-3</c:v>
                </c:pt>
                <c:pt idx="66">
                  <c:v>4.7043244178861798E-3</c:v>
                </c:pt>
                <c:pt idx="67">
                  <c:v>4.74232702953675E-3</c:v>
                </c:pt>
                <c:pt idx="68">
                  <c:v>4.7785659791044401E-3</c:v>
                </c:pt>
                <c:pt idx="69">
                  <c:v>4.8130075458409898E-3</c:v>
                </c:pt>
                <c:pt idx="70">
                  <c:v>4.84561635939599E-3</c:v>
                </c:pt>
                <c:pt idx="71">
                  <c:v>4.8763541747229699E-3</c:v>
                </c:pt>
                <c:pt idx="72">
                  <c:v>4.9051777415113802E-3</c:v>
                </c:pt>
                <c:pt idx="73">
                  <c:v>4.9320350511792002E-3</c:v>
                </c:pt>
                <c:pt idx="74">
                  <c:v>4.9568586985763302E-3</c:v>
                </c:pt>
                <c:pt idx="75">
                  <c:v>4.9795545106601797E-3</c:v>
                </c:pt>
                <c:pt idx="76">
                  <c:v>4.9999854186273604E-3</c:v>
                </c:pt>
                <c:pt idx="77">
                  <c:v>5.0179734198449602E-3</c:v>
                </c:pt>
                <c:pt idx="78">
                  <c:v>5.0335182893241799E-3</c:v>
                </c:pt>
                <c:pt idx="79">
                  <c:v>5.0560184038920897E-3</c:v>
                </c:pt>
                <c:pt idx="80">
                  <c:v>5.0739997150392397E-3</c:v>
                </c:pt>
                <c:pt idx="81">
                  <c:v>5.0918601988938703E-3</c:v>
                </c:pt>
                <c:pt idx="82">
                  <c:v>5.1097320053896996E-3</c:v>
                </c:pt>
                <c:pt idx="83">
                  <c:v>5.1276386449616799E-3</c:v>
                </c:pt>
                <c:pt idx="84">
                  <c:v>5.1455992825433002E-3</c:v>
                </c:pt>
                <c:pt idx="85">
                  <c:v>5.16362718670347E-3</c:v>
                </c:pt>
                <c:pt idx="86">
                  <c:v>5.18173214532292E-3</c:v>
                </c:pt>
                <c:pt idx="87">
                  <c:v>5.1999214424463102E-3</c:v>
                </c:pt>
                <c:pt idx="88">
                  <c:v>5.2182005473414396E-3</c:v>
                </c:pt>
                <c:pt idx="89">
                  <c:v>5.2365736449071802E-3</c:v>
                </c:pt>
                <c:pt idx="90">
                  <c:v>5.2550440025732701E-3</c:v>
                </c:pt>
                <c:pt idx="91">
                  <c:v>5.2736142336006799E-3</c:v>
                </c:pt>
                <c:pt idx="92">
                  <c:v>5.2922864724146302E-3</c:v>
                </c:pt>
                <c:pt idx="93">
                  <c:v>5.31106253867382E-3</c:v>
                </c:pt>
                <c:pt idx="94">
                  <c:v>5.3299440060514298E-3</c:v>
                </c:pt>
                <c:pt idx="95">
                  <c:v>5.34893228075783E-3</c:v>
                </c:pt>
                <c:pt idx="96">
                  <c:v>5.3680286515329001E-3</c:v>
                </c:pt>
                <c:pt idx="97">
                  <c:v>5.3872343258865403E-3</c:v>
                </c:pt>
                <c:pt idx="98">
                  <c:v>5.4065504563707099E-3</c:v>
                </c:pt>
                <c:pt idx="99">
                  <c:v>5.4259781596726203E-3</c:v>
                </c:pt>
                <c:pt idx="100">
                  <c:v>5.4455185305272999E-3</c:v>
                </c:pt>
                <c:pt idx="101">
                  <c:v>5.4651726518838203E-3</c:v>
                </c:pt>
                <c:pt idx="102">
                  <c:v>5.4849416023570801E-3</c:v>
                </c:pt>
                <c:pt idx="103">
                  <c:v>5.5048264617089402E-3</c:v>
                </c:pt>
                <c:pt idx="104">
                  <c:v>5.52482831489609E-3</c:v>
                </c:pt>
                <c:pt idx="105">
                  <c:v>5.5449482550733696E-3</c:v>
                </c:pt>
                <c:pt idx="106">
                  <c:v>5.5651873858347202E-3</c:v>
                </c:pt>
                <c:pt idx="107">
                  <c:v>5.5651873858347202E-3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Implicit_Fracs!$AF$4:$AF$111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 formatCode="0.00E+00">
                  <c:v>6.4734663456229404E-6</c:v>
                </c:pt>
                <c:pt idx="3" formatCode="0.00E+00">
                  <c:v>1.9418799104471199E-5</c:v>
                </c:pt>
                <c:pt idx="4" formatCode="0.00E+00">
                  <c:v>3.8859623371863401E-5</c:v>
                </c:pt>
                <c:pt idx="5" formatCode="0.00E+00">
                  <c:v>6.4831278993774199E-5</c:v>
                </c:pt>
                <c:pt idx="6" formatCode="0.00E+00">
                  <c:v>7.8765480409164105E-5</c:v>
                </c:pt>
                <c:pt idx="7">
                  <c:v>1.17592476872291E-4</c:v>
                </c:pt>
                <c:pt idx="8">
                  <c:v>1.6299263468160901E-4</c:v>
                </c:pt>
                <c:pt idx="9">
                  <c:v>2.1502544443319501E-4</c:v>
                </c:pt>
                <c:pt idx="10">
                  <c:v>2.7376268591948E-4</c:v>
                </c:pt>
                <c:pt idx="11">
                  <c:v>3.3928899952116498E-4</c:v>
                </c:pt>
                <c:pt idx="12">
                  <c:v>4.11601835112376E-4</c:v>
                </c:pt>
                <c:pt idx="13">
                  <c:v>4.9060690070704496E-4</c:v>
                </c:pt>
                <c:pt idx="14">
                  <c:v>5.7632159648702695E-4</c:v>
                </c:pt>
                <c:pt idx="15">
                  <c:v>6.6876494364768101E-4</c:v>
                </c:pt>
                <c:pt idx="16">
                  <c:v>7.6795591592610098E-4</c:v>
                </c:pt>
                <c:pt idx="17">
                  <c:v>8.7391342584218804E-4</c:v>
                </c:pt>
                <c:pt idx="18">
                  <c:v>9.8665631099049706E-4</c:v>
                </c:pt>
                <c:pt idx="19">
                  <c:v>1.10620332024212E-3</c:v>
                </c:pt>
                <c:pt idx="20">
                  <c:v>1.23257309963353E-3</c:v>
                </c:pt>
                <c:pt idx="21">
                  <c:v>1.36578417770874E-3</c:v>
                </c:pt>
                <c:pt idx="22">
                  <c:v>1.50585495009342E-3</c:v>
                </c:pt>
                <c:pt idx="23">
                  <c:v>1.65280366309326E-3</c:v>
                </c:pt>
                <c:pt idx="24">
                  <c:v>1.80664839611845E-3</c:v>
                </c:pt>
                <c:pt idx="25">
                  <c:v>1.9674070427372001E-3</c:v>
                </c:pt>
                <c:pt idx="26">
                  <c:v>2.13509729015693E-3</c:v>
                </c:pt>
                <c:pt idx="27">
                  <c:v>2.3097365969159001E-3</c:v>
                </c:pt>
                <c:pt idx="28">
                  <c:v>2.4913421685520401E-3</c:v>
                </c:pt>
                <c:pt idx="29">
                  <c:v>2.6799309309883598E-3</c:v>
                </c:pt>
                <c:pt idx="30">
                  <c:v>2.8755195013439598E-3</c:v>
                </c:pt>
                <c:pt idx="31">
                  <c:v>3.07812415583998E-3</c:v>
                </c:pt>
                <c:pt idx="32">
                  <c:v>3.2877607944243798E-3</c:v>
                </c:pt>
                <c:pt idx="33">
                  <c:v>3.5044449016845302E-3</c:v>
                </c:pt>
                <c:pt idx="34">
                  <c:v>3.7281915035514502E-3</c:v>
                </c:pt>
                <c:pt idx="35">
                  <c:v>3.95901511922357E-3</c:v>
                </c:pt>
                <c:pt idx="36">
                  <c:v>4.1969297076422402E-3</c:v>
                </c:pt>
                <c:pt idx="37">
                  <c:v>4.4419486077483701E-3</c:v>
                </c:pt>
                <c:pt idx="38">
                  <c:v>4.6940860268643502E-3</c:v>
                </c:pt>
                <c:pt idx="39">
                  <c:v>4.9533555466919404E-3</c:v>
                </c:pt>
                <c:pt idx="40">
                  <c:v>5.2197700030586196E-3</c:v>
                </c:pt>
                <c:pt idx="41">
                  <c:v>5.4933413900528603E-3</c:v>
                </c:pt>
                <c:pt idx="42">
                  <c:v>5.7740807513646302E-3</c:v>
                </c:pt>
                <c:pt idx="43">
                  <c:v>6.0619980566916096E-3</c:v>
                </c:pt>
                <c:pt idx="44">
                  <c:v>6.3571020606550998E-3</c:v>
                </c:pt>
                <c:pt idx="45">
                  <c:v>6.6594001411478696E-3</c:v>
                </c:pt>
                <c:pt idx="46">
                  <c:v>6.9688981133866597E-3</c:v>
                </c:pt>
                <c:pt idx="47">
                  <c:v>7.2856000151418797E-3</c:v>
                </c:pt>
                <c:pt idx="48">
                  <c:v>7.6095078575950303E-3</c:v>
                </c:pt>
                <c:pt idx="49">
                  <c:v>7.9406213350055304E-3</c:v>
                </c:pt>
                <c:pt idx="50">
                  <c:v>8.2789374847294095E-3</c:v>
                </c:pt>
                <c:pt idx="51">
                  <c:v>8.6244502870543496E-3</c:v>
                </c:pt>
                <c:pt idx="52">
                  <c:v>8.97715019161161E-3</c:v>
                </c:pt>
                <c:pt idx="53">
                  <c:v>9.3370235536199206E-3</c:v>
                </c:pt>
                <c:pt idx="54">
                  <c:v>9.7040519585981193E-3</c:v>
                </c:pt>
                <c:pt idx="55">
                  <c:v>1.0078211408063399E-2</c:v>
                </c:pt>
                <c:pt idx="56">
                  <c:v>1.04594713305383E-2</c:v>
                </c:pt>
                <c:pt idx="57">
                  <c:v>1.08477933710874E-2</c:v>
                </c:pt>
                <c:pt idx="58">
                  <c:v>1.1243129897399401E-2</c:v>
                </c:pt>
                <c:pt idx="59">
                  <c:v>1.1645422139363801E-2</c:v>
                </c:pt>
                <c:pt idx="60">
                  <c:v>1.2054597849464201E-2</c:v>
                </c:pt>
                <c:pt idx="61">
                  <c:v>1.24705683291195E-2</c:v>
                </c:pt>
                <c:pt idx="62">
                  <c:v>1.28932246050088E-2</c:v>
                </c:pt>
                <c:pt idx="63">
                  <c:v>1.3322432449523299E-2</c:v>
                </c:pt>
                <c:pt idx="64">
                  <c:v>1.37580258047696E-2</c:v>
                </c:pt>
                <c:pt idx="65">
                  <c:v>1.41997979636503E-2</c:v>
                </c:pt>
                <c:pt idx="66">
                  <c:v>1.4647489540136499E-2</c:v>
                </c:pt>
                <c:pt idx="67">
                  <c:v>1.5100771747325501E-2</c:v>
                </c:pt>
                <c:pt idx="68">
                  <c:v>1.55592226609007E-2</c:v>
                </c:pt>
                <c:pt idx="69">
                  <c:v>1.6022292731361101E-2</c:v>
                </c:pt>
                <c:pt idx="70">
                  <c:v>1.6489253363759102E-2</c:v>
                </c:pt>
                <c:pt idx="71">
                  <c:v>1.6959118041756701E-2</c:v>
                </c:pt>
                <c:pt idx="72">
                  <c:v>1.74305175808055E-2</c:v>
                </c:pt>
                <c:pt idx="73">
                  <c:v>1.79014966124737E-2</c:v>
                </c:pt>
                <c:pt idx="74">
                  <c:v>1.8369172683655399E-2</c:v>
                </c:pt>
                <c:pt idx="75">
                  <c:v>1.8829162016072001E-2</c:v>
                </c:pt>
                <c:pt idx="76">
                  <c:v>1.9274683722984801E-2</c:v>
                </c:pt>
                <c:pt idx="77">
                  <c:v>1.9695809106679198E-2</c:v>
                </c:pt>
                <c:pt idx="78">
                  <c:v>2.0084142979879201E-2</c:v>
                </c:pt>
                <c:pt idx="79">
                  <c:v>2.0600262743516399E-2</c:v>
                </c:pt>
                <c:pt idx="80">
                  <c:v>2.1014360865492E-2</c:v>
                </c:pt>
                <c:pt idx="81">
                  <c:v>2.1430347906822699E-2</c:v>
                </c:pt>
                <c:pt idx="82">
                  <c:v>2.1850602523280999E-2</c:v>
                </c:pt>
                <c:pt idx="83">
                  <c:v>2.2275162343053101E-2</c:v>
                </c:pt>
                <c:pt idx="84">
                  <c:v>2.2704109866926701E-2</c:v>
                </c:pt>
                <c:pt idx="85">
                  <c:v>2.3137488808188899E-2</c:v>
                </c:pt>
                <c:pt idx="86">
                  <c:v>2.3575332030880001E-2</c:v>
                </c:pt>
                <c:pt idx="87">
                  <c:v>2.4017664244597E-2</c:v>
                </c:pt>
                <c:pt idx="88">
                  <c:v>2.44645035328367E-2</c:v>
                </c:pt>
                <c:pt idx="89">
                  <c:v>2.4915863485389201E-2</c:v>
                </c:pt>
                <c:pt idx="90">
                  <c:v>2.5371754450725099E-2</c:v>
                </c:pt>
                <c:pt idx="91">
                  <c:v>2.58321845287738E-2</c:v>
                </c:pt>
                <c:pt idx="92">
                  <c:v>2.6297159704770999E-2</c:v>
                </c:pt>
                <c:pt idx="93">
                  <c:v>2.6766685237887101E-2</c:v>
                </c:pt>
                <c:pt idx="94">
                  <c:v>2.7240765231005101E-2</c:v>
                </c:pt>
                <c:pt idx="95">
                  <c:v>2.7719403084902301E-2</c:v>
                </c:pt>
                <c:pt idx="96">
                  <c:v>2.8202601659849801E-2</c:v>
                </c:pt>
                <c:pt idx="97">
                  <c:v>2.8690363393901401E-2</c:v>
                </c:pt>
                <c:pt idx="98">
                  <c:v>2.9182690388281599E-2</c:v>
                </c:pt>
                <c:pt idx="99">
                  <c:v>2.96795844693339E-2</c:v>
                </c:pt>
                <c:pt idx="100">
                  <c:v>3.0181047233725101E-2</c:v>
                </c:pt>
                <c:pt idx="101">
                  <c:v>3.0687080081659299E-2</c:v>
                </c:pt>
                <c:pt idx="102">
                  <c:v>3.1197684241485401E-2</c:v>
                </c:pt>
                <c:pt idx="103">
                  <c:v>3.1712860788109899E-2</c:v>
                </c:pt>
                <c:pt idx="104">
                  <c:v>3.2232610656940199E-2</c:v>
                </c:pt>
                <c:pt idx="105">
                  <c:v>3.2756934654590203E-2</c:v>
                </c:pt>
                <c:pt idx="106">
                  <c:v>3.3285833467236202E-2</c:v>
                </c:pt>
                <c:pt idx="107">
                  <c:v>3.3285833467236202E-2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Implicit_Fracs!$S$4:$S$111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Implicit_Fracs!$T$4:$T$111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Implicit_Fracs!$U$4:$U$111</c:f>
              <c:numCache>
                <c:formatCode>General</c:formatCode>
                <c:ptCount val="108"/>
                <c:pt idx="0">
                  <c:v>1</c:v>
                </c:pt>
                <c:pt idx="1">
                  <c:v>1</c:v>
                </c:pt>
                <c:pt idx="2">
                  <c:v>0.99829892641900497</c:v>
                </c:pt>
                <c:pt idx="3">
                  <c:v>0.99631747069029197</c:v>
                </c:pt>
                <c:pt idx="4">
                  <c:v>0.99433649569944704</c:v>
                </c:pt>
                <c:pt idx="5">
                  <c:v>0.992411942881957</c:v>
                </c:pt>
                <c:pt idx="6">
                  <c:v>0.99054320671788998</c:v>
                </c:pt>
                <c:pt idx="7">
                  <c:v>0.98871921626222703</c:v>
                </c:pt>
                <c:pt idx="8">
                  <c:v>0.98692764025153401</c:v>
                </c:pt>
                <c:pt idx="9">
                  <c:v>0.98515911439175197</c:v>
                </c:pt>
                <c:pt idx="10">
                  <c:v>0.98340695479828799</c:v>
                </c:pt>
                <c:pt idx="11">
                  <c:v>0.98166654395847397</c:v>
                </c:pt>
                <c:pt idx="12">
                  <c:v>0.97993471905699003</c:v>
                </c:pt>
                <c:pt idx="13">
                  <c:v>0.97820930467714795</c:v>
                </c:pt>
                <c:pt idx="14">
                  <c:v>0.97648879350720197</c:v>
                </c:pt>
                <c:pt idx="15">
                  <c:v>0.97477212390127399</c:v>
                </c:pt>
                <c:pt idx="16">
                  <c:v>0.97305853493912398</c:v>
                </c:pt>
                <c:pt idx="17">
                  <c:v>0.97134747118630704</c:v>
                </c:pt>
                <c:pt idx="18">
                  <c:v>0.96963851985454697</c:v>
                </c:pt>
                <c:pt idx="19">
                  <c:v>0.96793136896014398</c:v>
                </c:pt>
                <c:pt idx="20">
                  <c:v>0.96622577910780905</c:v>
                </c:pt>
                <c:pt idx="21">
                  <c:v>0.96452156417551305</c:v>
                </c:pt>
                <c:pt idx="22">
                  <c:v>0.96281857787576697</c:v>
                </c:pt>
                <c:pt idx="23">
                  <c:v>0.96111670424834095</c:v>
                </c:pt>
                <c:pt idx="24">
                  <c:v>0.95941585082303904</c:v>
                </c:pt>
                <c:pt idx="25">
                  <c:v>0.95771594362540602</c:v>
                </c:pt>
                <c:pt idx="26">
                  <c:v>0.95601692347577705</c:v>
                </c:pt>
                <c:pt idx="27">
                  <c:v>0.95431874321133003</c:v>
                </c:pt>
                <c:pt idx="28">
                  <c:v>0.95262136557778399</c:v>
                </c:pt>
                <c:pt idx="29">
                  <c:v>0.95092476161487705</c:v>
                </c:pt>
                <c:pt idx="30">
                  <c:v>0.94922890941177596</c:v>
                </c:pt>
                <c:pt idx="31">
                  <c:v>0.94753379314400998</c:v>
                </c:pt>
                <c:pt idx="32">
                  <c:v>0.94583940232808905</c:v>
                </c:pt>
                <c:pt idx="33">
                  <c:v>0.94414573124723</c:v>
                </c:pt>
                <c:pt idx="34">
                  <c:v>0.94245277851392795</c:v>
                </c:pt>
                <c:pt idx="35">
                  <c:v>0.94076054674411502</c:v>
                </c:pt>
                <c:pt idx="36">
                  <c:v>0.93906904232424704</c:v>
                </c:pt>
                <c:pt idx="37">
                  <c:v>0.93737279163273501</c:v>
                </c:pt>
                <c:pt idx="38">
                  <c:v>0.93567182272375105</c:v>
                </c:pt>
                <c:pt idx="39">
                  <c:v>0.93396628825413797</c:v>
                </c:pt>
                <c:pt idx="40">
                  <c:v>0.93225633419874399</c:v>
                </c:pt>
                <c:pt idx="41">
                  <c:v>0.93054210102492996</c:v>
                </c:pt>
                <c:pt idx="42">
                  <c:v>0.92882372479667796</c:v>
                </c:pt>
                <c:pt idx="43">
                  <c:v>0.92710133822950802</c:v>
                </c:pt>
                <c:pt idx="44">
                  <c:v>0.92537507171621303</c:v>
                </c:pt>
                <c:pt idx="45">
                  <c:v>0.92364505434299105</c:v>
                </c:pt>
                <c:pt idx="46">
                  <c:v>0.92191141491586104</c:v>
                </c:pt>
                <c:pt idx="47">
                  <c:v>0.92017428301818804</c:v>
                </c:pt>
                <c:pt idx="48">
                  <c:v>0.91843379012206305</c:v>
                </c:pt>
                <c:pt idx="49">
                  <c:v>0.91669007077901199</c:v>
                </c:pt>
                <c:pt idx="50">
                  <c:v>0.91494326391951697</c:v>
                </c:pt>
                <c:pt idx="51">
                  <c:v>0.91319351429622897</c:v>
                </c:pt>
                <c:pt idx="52">
                  <c:v>0.91144097411304703</c:v>
                </c:pt>
                <c:pt idx="53">
                  <c:v>0.90968580489198203</c:v>
                </c:pt>
                <c:pt idx="54">
                  <c:v>0.907928179642712</c:v>
                </c:pt>
                <c:pt idx="55">
                  <c:v>0.906168285417148</c:v>
                </c:pt>
                <c:pt idx="56">
                  <c:v>0.90440632635474005</c:v>
                </c:pt>
                <c:pt idx="57">
                  <c:v>0.90264252735602302</c:v>
                </c:pt>
                <c:pt idx="58">
                  <c:v>0.900877138565507</c:v>
                </c:pt>
                <c:pt idx="59">
                  <c:v>0.89911044090515102</c:v>
                </c:pt>
                <c:pt idx="60">
                  <c:v>0.89734275298420896</c:v>
                </c:pt>
                <c:pt idx="61">
                  <c:v>0.89557443983089502</c:v>
                </c:pt>
                <c:pt idx="62">
                  <c:v>0.89380592406382597</c:v>
                </c:pt>
                <c:pt idx="63">
                  <c:v>0.89203770037305496</c:v>
                </c:pt>
                <c:pt idx="64">
                  <c:v>0.89027035455484005</c:v>
                </c:pt>
                <c:pt idx="65">
                  <c:v>0.88850458891002004</c:v>
                </c:pt>
                <c:pt idx="66">
                  <c:v>0.88674125668705694</c:v>
                </c:pt>
                <c:pt idx="67">
                  <c:v>0.88498140961835303</c:v>
                </c:pt>
                <c:pt idx="68">
                  <c:v>0.88322636478725602</c:v>
                </c:pt>
                <c:pt idx="69">
                  <c:v>0.88147780063135395</c:v>
                </c:pt>
                <c:pt idx="70">
                  <c:v>0.87973789779060396</c:v>
                </c:pt>
                <c:pt idx="71">
                  <c:v>0.87800955032019401</c:v>
                </c:pt>
                <c:pt idx="72">
                  <c:v>0.87629668874501498</c:v>
                </c:pt>
                <c:pt idx="73">
                  <c:v>0.87460477981717299</c:v>
                </c:pt>
                <c:pt idx="74">
                  <c:v>0.87294158758549001</c:v>
                </c:pt>
                <c:pt idx="75">
                  <c:v>0.87131820711405095</c:v>
                </c:pt>
                <c:pt idx="76">
                  <c:v>0.869749656561147</c:v>
                </c:pt>
                <c:pt idx="77">
                  <c:v>0.86824924981207596</c:v>
                </c:pt>
                <c:pt idx="78">
                  <c:v>0.86677047736538404</c:v>
                </c:pt>
                <c:pt idx="79">
                  <c:v>0.87027298969575795</c:v>
                </c:pt>
                <c:pt idx="80">
                  <c:v>0.864827506899428</c:v>
                </c:pt>
                <c:pt idx="81">
                  <c:v>0.867872286860223</c:v>
                </c:pt>
                <c:pt idx="82">
                  <c:v>0.86592456846063703</c:v>
                </c:pt>
                <c:pt idx="83">
                  <c:v>0.86543996349435004</c:v>
                </c:pt>
                <c:pt idx="84">
                  <c:v>0.86399936382959297</c:v>
                </c:pt>
                <c:pt idx="85">
                  <c:v>0.86294554616709795</c:v>
                </c:pt>
                <c:pt idx="86">
                  <c:v>0.86168518343348399</c:v>
                </c:pt>
                <c:pt idx="87">
                  <c:v>0.86048470304596403</c:v>
                </c:pt>
                <c:pt idx="88">
                  <c:v>0.85925416668088195</c:v>
                </c:pt>
                <c:pt idx="89">
                  <c:v>0.85802423788263804</c:v>
                </c:pt>
                <c:pt idx="90">
                  <c:v>0.85678873821783996</c:v>
                </c:pt>
                <c:pt idx="91">
                  <c:v>0.85555013571361904</c:v>
                </c:pt>
                <c:pt idx="92">
                  <c:v>0.85430901022766903</c:v>
                </c:pt>
                <c:pt idx="93">
                  <c:v>0.85306598668965705</c:v>
                </c:pt>
                <c:pt idx="94">
                  <c:v>0.85182152733463301</c:v>
                </c:pt>
                <c:pt idx="95">
                  <c:v>0.85057599815264395</c:v>
                </c:pt>
                <c:pt idx="96">
                  <c:v>0.849329687042363</c:v>
                </c:pt>
                <c:pt idx="97">
                  <c:v>0.84808282196602602</c:v>
                </c:pt>
                <c:pt idx="98">
                  <c:v>0.84683558442394102</c:v>
                </c:pt>
                <c:pt idx="99">
                  <c:v>0.84558811986352</c:v>
                </c:pt>
                <c:pt idx="100">
                  <c:v>0.84434054569268502</c:v>
                </c:pt>
                <c:pt idx="101">
                  <c:v>0.84309295746012003</c:v>
                </c:pt>
                <c:pt idx="102">
                  <c:v>0.84184543362789299</c:v>
                </c:pt>
                <c:pt idx="103">
                  <c:v>0.840598039262338</c:v>
                </c:pt>
                <c:pt idx="104">
                  <c:v>0.83935082889287305</c:v>
                </c:pt>
                <c:pt idx="105">
                  <c:v>0.83810384873015098</c:v>
                </c:pt>
                <c:pt idx="106">
                  <c:v>0.83685713839039999</c:v>
                </c:pt>
                <c:pt idx="107">
                  <c:v>0.83685928302608004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Implicit_Fracs!$P$4:$P$111</c:f>
              <c:numCache>
                <c:formatCode>General</c:formatCode>
                <c:ptCount val="108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Implicit_Fracs!$Q$4:$Q$111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Implicit_Fracs!$R$4:$R$111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Implicit_Fracs!$AU$4:$AU$111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Implicit_Fracs!$AV$4:$AV$111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Implicit_Fracs!$AW$4:$AW$111</c:f>
              <c:numCache>
                <c:formatCode>General</c:formatCode>
                <c:ptCount val="108"/>
                <c:pt idx="0">
                  <c:v>1</c:v>
                </c:pt>
                <c:pt idx="1">
                  <c:v>1</c:v>
                </c:pt>
                <c:pt idx="2">
                  <c:v>0.99829892641900597</c:v>
                </c:pt>
                <c:pt idx="3">
                  <c:v>0.99631747069029097</c:v>
                </c:pt>
                <c:pt idx="4">
                  <c:v>0.99433649569944704</c:v>
                </c:pt>
                <c:pt idx="5">
                  <c:v>0.992411942881957</c:v>
                </c:pt>
                <c:pt idx="6">
                  <c:v>0.99054320671788998</c:v>
                </c:pt>
                <c:pt idx="7">
                  <c:v>0.98871921626222703</c:v>
                </c:pt>
                <c:pt idx="8">
                  <c:v>0.98692764025153401</c:v>
                </c:pt>
                <c:pt idx="9">
                  <c:v>0.98515911439175197</c:v>
                </c:pt>
                <c:pt idx="10">
                  <c:v>0.98340695479828799</c:v>
                </c:pt>
                <c:pt idx="11">
                  <c:v>0.98166654395847397</c:v>
                </c:pt>
                <c:pt idx="12">
                  <c:v>0.97993471905699003</c:v>
                </c:pt>
                <c:pt idx="13">
                  <c:v>0.97820930467714895</c:v>
                </c:pt>
                <c:pt idx="14">
                  <c:v>0.97648879350720097</c:v>
                </c:pt>
                <c:pt idx="15">
                  <c:v>0.97477212390127399</c:v>
                </c:pt>
                <c:pt idx="16">
                  <c:v>0.97305853493912398</c:v>
                </c:pt>
                <c:pt idx="17">
                  <c:v>0.97134747118630804</c:v>
                </c:pt>
                <c:pt idx="18">
                  <c:v>0.96963851985454697</c:v>
                </c:pt>
                <c:pt idx="19">
                  <c:v>0.96793136896014298</c:v>
                </c:pt>
                <c:pt idx="20">
                  <c:v>0.96622577910781005</c:v>
                </c:pt>
                <c:pt idx="21">
                  <c:v>0.96452156417551305</c:v>
                </c:pt>
                <c:pt idx="22">
                  <c:v>0.96281857787576797</c:v>
                </c:pt>
                <c:pt idx="23">
                  <c:v>0.96111670424834095</c:v>
                </c:pt>
                <c:pt idx="24">
                  <c:v>0.95941585082303904</c:v>
                </c:pt>
                <c:pt idx="25">
                  <c:v>0.95771594362540602</c:v>
                </c:pt>
                <c:pt idx="26">
                  <c:v>0.95601692347577705</c:v>
                </c:pt>
                <c:pt idx="27">
                  <c:v>0.95431874321133003</c:v>
                </c:pt>
                <c:pt idx="28">
                  <c:v>0.95262136557778399</c:v>
                </c:pt>
                <c:pt idx="29">
                  <c:v>0.95092476161487705</c:v>
                </c:pt>
                <c:pt idx="30">
                  <c:v>0.94922890941177696</c:v>
                </c:pt>
                <c:pt idx="31">
                  <c:v>0.94753379314400998</c:v>
                </c:pt>
                <c:pt idx="32">
                  <c:v>0.94583940232809005</c:v>
                </c:pt>
                <c:pt idx="33">
                  <c:v>0.94414573124723</c:v>
                </c:pt>
                <c:pt idx="34">
                  <c:v>0.94245277851392895</c:v>
                </c:pt>
                <c:pt idx="35">
                  <c:v>0.94076054674411502</c:v>
                </c:pt>
                <c:pt idx="36">
                  <c:v>0.93906904232424804</c:v>
                </c:pt>
                <c:pt idx="37">
                  <c:v>0.93737279163273501</c:v>
                </c:pt>
                <c:pt idx="38">
                  <c:v>0.93567182272375105</c:v>
                </c:pt>
                <c:pt idx="39">
                  <c:v>0.93396628825413797</c:v>
                </c:pt>
                <c:pt idx="40">
                  <c:v>0.93225633419874498</c:v>
                </c:pt>
                <c:pt idx="41">
                  <c:v>0.93054210102492996</c:v>
                </c:pt>
                <c:pt idx="42">
                  <c:v>0.92882372479667796</c:v>
                </c:pt>
                <c:pt idx="43">
                  <c:v>0.92710133822950802</c:v>
                </c:pt>
                <c:pt idx="44">
                  <c:v>0.92537507171621303</c:v>
                </c:pt>
                <c:pt idx="45">
                  <c:v>0.92364505434299105</c:v>
                </c:pt>
                <c:pt idx="46">
                  <c:v>0.92191141491586204</c:v>
                </c:pt>
                <c:pt idx="47">
                  <c:v>0.92017428301818904</c:v>
                </c:pt>
                <c:pt idx="48">
                  <c:v>0.91843379012206405</c:v>
                </c:pt>
                <c:pt idx="49">
                  <c:v>0.91669007077901299</c:v>
                </c:pt>
                <c:pt idx="50">
                  <c:v>0.91494326391951797</c:v>
                </c:pt>
                <c:pt idx="51">
                  <c:v>0.91319351429622997</c:v>
                </c:pt>
                <c:pt idx="52">
                  <c:v>0.91144097411304803</c:v>
                </c:pt>
                <c:pt idx="53">
                  <c:v>0.90968580489198303</c:v>
                </c:pt>
                <c:pt idx="54">
                  <c:v>0.907928179642713</c:v>
                </c:pt>
                <c:pt idx="55">
                  <c:v>0.906168285417149</c:v>
                </c:pt>
                <c:pt idx="56">
                  <c:v>0.90440632635474005</c:v>
                </c:pt>
                <c:pt idx="57">
                  <c:v>0.90264252735602402</c:v>
                </c:pt>
                <c:pt idx="58">
                  <c:v>0.900877138565508</c:v>
                </c:pt>
                <c:pt idx="59">
                  <c:v>0.89911044090515202</c:v>
                </c:pt>
                <c:pt idx="60">
                  <c:v>0.89734275298420996</c:v>
                </c:pt>
                <c:pt idx="61">
                  <c:v>0.89557443983089602</c:v>
                </c:pt>
                <c:pt idx="62">
                  <c:v>0.89380592406382697</c:v>
                </c:pt>
                <c:pt idx="63">
                  <c:v>0.89203770037305596</c:v>
                </c:pt>
                <c:pt idx="64">
                  <c:v>0.89027035455484105</c:v>
                </c:pt>
                <c:pt idx="65">
                  <c:v>0.88850458891002104</c:v>
                </c:pt>
                <c:pt idx="66">
                  <c:v>0.88674125668705805</c:v>
                </c:pt>
                <c:pt idx="67">
                  <c:v>0.88498140961835403</c:v>
                </c:pt>
                <c:pt idx="68">
                  <c:v>0.88322636478725702</c:v>
                </c:pt>
                <c:pt idx="69">
                  <c:v>0.88147780063135595</c:v>
                </c:pt>
                <c:pt idx="70">
                  <c:v>0.87973789779060496</c:v>
                </c:pt>
                <c:pt idx="71">
                  <c:v>0.87800955032019501</c:v>
                </c:pt>
                <c:pt idx="72">
                  <c:v>0.87629668874501698</c:v>
                </c:pt>
                <c:pt idx="73">
                  <c:v>0.87460477981717499</c:v>
                </c:pt>
                <c:pt idx="74">
                  <c:v>0.87294158758549101</c:v>
                </c:pt>
                <c:pt idx="75">
                  <c:v>0.87131820711405294</c:v>
                </c:pt>
                <c:pt idx="76">
                  <c:v>0.869749656561149</c:v>
                </c:pt>
                <c:pt idx="77">
                  <c:v>0.86824924981207796</c:v>
                </c:pt>
                <c:pt idx="78">
                  <c:v>0.86677047736538504</c:v>
                </c:pt>
                <c:pt idx="79">
                  <c:v>0.87027298969575895</c:v>
                </c:pt>
                <c:pt idx="80">
                  <c:v>0.864827506899429</c:v>
                </c:pt>
                <c:pt idx="81">
                  <c:v>0.86786365241782204</c:v>
                </c:pt>
                <c:pt idx="82">
                  <c:v>0.86593809598093097</c:v>
                </c:pt>
                <c:pt idx="83">
                  <c:v>0.86543205300278603</c:v>
                </c:pt>
                <c:pt idx="84">
                  <c:v>0.86399613478858195</c:v>
                </c:pt>
                <c:pt idx="85">
                  <c:v>0.86293925828695806</c:v>
                </c:pt>
                <c:pt idx="86">
                  <c:v>0.86167982224392103</c:v>
                </c:pt>
                <c:pt idx="87">
                  <c:v>0.860478920911251</c:v>
                </c:pt>
                <c:pt idx="88">
                  <c:v>0.85924843669654405</c:v>
                </c:pt>
                <c:pt idx="89">
                  <c:v>0.85801843507189801</c:v>
                </c:pt>
                <c:pt idx="90">
                  <c:v>0.85678279966902005</c:v>
                </c:pt>
                <c:pt idx="91">
                  <c:v>0.85554416883672502</c:v>
                </c:pt>
                <c:pt idx="92">
                  <c:v>0.85430299794655795</c:v>
                </c:pt>
                <c:pt idx="93">
                  <c:v>0.85305993276009695</c:v>
                </c:pt>
                <c:pt idx="94">
                  <c:v>0.85181543244220603</c:v>
                </c:pt>
                <c:pt idx="95">
                  <c:v>0.85056986316649397</c:v>
                </c:pt>
                <c:pt idx="96">
                  <c:v>0.84932351267776895</c:v>
                </c:pt>
                <c:pt idx="97">
                  <c:v>0.84807660884484704</c:v>
                </c:pt>
                <c:pt idx="98">
                  <c:v>0.84682933309105901</c:v>
                </c:pt>
                <c:pt idx="99">
                  <c:v>0.84558183080257299</c:v>
                </c:pt>
                <c:pt idx="100">
                  <c:v>0.84433421933844799</c:v>
                </c:pt>
                <c:pt idx="101">
                  <c:v>0.84308659420840903</c:v>
                </c:pt>
                <c:pt idx="102">
                  <c:v>0.84183903384347003</c:v>
                </c:pt>
                <c:pt idx="103">
                  <c:v>0.84059160328522597</c:v>
                </c:pt>
                <c:pt idx="104">
                  <c:v>0.83934435704339505</c:v>
                </c:pt>
                <c:pt idx="105">
                  <c:v>0.83809734131294999</c:v>
                </c:pt>
                <c:pt idx="106">
                  <c:v>0.83685059569764897</c:v>
                </c:pt>
                <c:pt idx="107">
                  <c:v>0.83685273908757796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Implicit_Fracs!$AR$4:$AR$111</c:f>
              <c:numCache>
                <c:formatCode>General</c:formatCode>
                <c:ptCount val="108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Implicit_Fracs!$AS$4:$AS$111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Implicit_Fracs!$AT$4:$AT$111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Implicit_Fracs!$BI$4:$BI$111</c:f>
              <c:numCache>
                <c:formatCode>General</c:formatCode>
                <c:ptCount val="108"/>
                <c:pt idx="0">
                  <c:v>0</c:v>
                </c:pt>
                <c:pt idx="1">
                  <c:v>2.5464790894702801E-3</c:v>
                </c:pt>
                <c:pt idx="2">
                  <c:v>5.0706242214134901E-3</c:v>
                </c:pt>
                <c:pt idx="3">
                  <c:v>7.5811993229786103E-3</c:v>
                </c:pt>
                <c:pt idx="4">
                  <c:v>1.0076638974855501E-2</c:v>
                </c:pt>
                <c:pt idx="5">
                  <c:v>1.2555392087990299E-2</c:v>
                </c:pt>
                <c:pt idx="6">
                  <c:v>1.5029668136232801E-2</c:v>
                </c:pt>
                <c:pt idx="7">
                  <c:v>1.7470626913127198E-2</c:v>
                </c:pt>
                <c:pt idx="8">
                  <c:v>1.98903509945467E-2</c:v>
                </c:pt>
                <c:pt idx="9">
                  <c:v>2.22872599195005E-2</c:v>
                </c:pt>
                <c:pt idx="10">
                  <c:v>2.4659736847121399E-2</c:v>
                </c:pt>
                <c:pt idx="11">
                  <c:v>2.7006120173031702E-2</c:v>
                </c:pt>
                <c:pt idx="12">
                  <c:v>2.9324839817092101E-2</c:v>
                </c:pt>
                <c:pt idx="13">
                  <c:v>3.1614462998995903E-2</c:v>
                </c:pt>
                <c:pt idx="14">
                  <c:v>3.3873394651950502E-2</c:v>
                </c:pt>
                <c:pt idx="15">
                  <c:v>3.6100021189003698E-2</c:v>
                </c:pt>
                <c:pt idx="16">
                  <c:v>3.8292711341317898E-2</c:v>
                </c:pt>
                <c:pt idx="17">
                  <c:v>4.0449814595340298E-2</c:v>
                </c:pt>
                <c:pt idx="18">
                  <c:v>4.2569659604921102E-2</c:v>
                </c:pt>
                <c:pt idx="19">
                  <c:v>4.4650552565990501E-2</c:v>
                </c:pt>
                <c:pt idx="20">
                  <c:v>4.6690775542605603E-2</c:v>
                </c:pt>
                <c:pt idx="21">
                  <c:v>4.86885847337796E-2</c:v>
                </c:pt>
                <c:pt idx="22">
                  <c:v>5.06422086707091E-2</c:v>
                </c:pt>
                <c:pt idx="23">
                  <c:v>5.2549846333952703E-2</c:v>
                </c:pt>
                <c:pt idx="24">
                  <c:v>5.4409665179822597E-2</c:v>
                </c:pt>
                <c:pt idx="25">
                  <c:v>5.6219799064781598E-2</c:v>
                </c:pt>
                <c:pt idx="26">
                  <c:v>5.7978346056010502E-2</c:v>
                </c:pt>
                <c:pt idx="27">
                  <c:v>5.9683366115458797E-2</c:v>
                </c:pt>
                <c:pt idx="28">
                  <c:v>6.1332878643757201E-2</c:v>
                </c:pt>
                <c:pt idx="29">
                  <c:v>6.2924859869172803E-2</c:v>
                </c:pt>
                <c:pt idx="30">
                  <c:v>6.4457240065452198E-2</c:v>
                </c:pt>
                <c:pt idx="31">
                  <c:v>6.5927900580818002E-2</c:v>
                </c:pt>
                <c:pt idx="32">
                  <c:v>6.7334670658580106E-2</c:v>
                </c:pt>
                <c:pt idx="33">
                  <c:v>6.8675324027757195E-2</c:v>
                </c:pt>
                <c:pt idx="34">
                  <c:v>6.9947575239727999E-2</c:v>
                </c:pt>
                <c:pt idx="35">
                  <c:v>7.1149075724231403E-2</c:v>
                </c:pt>
                <c:pt idx="36">
                  <c:v>7.2277409534909298E-2</c:v>
                </c:pt>
                <c:pt idx="37">
                  <c:v>7.3330088751075495E-2</c:v>
                </c:pt>
                <c:pt idx="38">
                  <c:v>7.4304538839049403E-2</c:v>
                </c:pt>
                <c:pt idx="39">
                  <c:v>7.5198101391425298E-2</c:v>
                </c:pt>
                <c:pt idx="40">
                  <c:v>7.6008028377690107E-2</c:v>
                </c:pt>
                <c:pt idx="41">
                  <c:v>7.6731475653662895E-2</c:v>
                </c:pt>
                <c:pt idx="42">
                  <c:v>7.7365495878696205E-2</c:v>
                </c:pt>
                <c:pt idx="43">
                  <c:v>7.7907030770996699E-2</c:v>
                </c:pt>
                <c:pt idx="44">
                  <c:v>7.8352902621986506E-2</c:v>
                </c:pt>
                <c:pt idx="45">
                  <c:v>7.8699804979716306E-2</c:v>
                </c:pt>
                <c:pt idx="46">
                  <c:v>7.8944292398798799E-2</c:v>
                </c:pt>
                <c:pt idx="47">
                  <c:v>7.9082769139915202E-2</c:v>
                </c:pt>
                <c:pt idx="48">
                  <c:v>7.9111476685377699E-2</c:v>
                </c:pt>
                <c:pt idx="49">
                  <c:v>7.9026479918309606E-2</c:v>
                </c:pt>
                <c:pt idx="50">
                  <c:v>7.8823651791441393E-2</c:v>
                </c:pt>
                <c:pt idx="51">
                  <c:v>7.8498656287206398E-2</c:v>
                </c:pt>
                <c:pt idx="52">
                  <c:v>7.8046929443712498E-2</c:v>
                </c:pt>
                <c:pt idx="53">
                  <c:v>7.7463658191548199E-2</c:v>
                </c:pt>
                <c:pt idx="54">
                  <c:v>7.6743756715036596E-2</c:v>
                </c:pt>
                <c:pt idx="55">
                  <c:v>7.5881840020184194E-2</c:v>
                </c:pt>
                <c:pt idx="56">
                  <c:v>7.4872194363409694E-2</c:v>
                </c:pt>
                <c:pt idx="57">
                  <c:v>7.3708744176157803E-2</c:v>
                </c:pt>
                <c:pt idx="58">
                  <c:v>7.2385015121264398E-2</c:v>
                </c:pt>
                <c:pt idx="59">
                  <c:v>7.08940929558491E-2</c:v>
                </c:pt>
                <c:pt idx="60">
                  <c:v>6.9228577984937395E-2</c:v>
                </c:pt>
                <c:pt idx="61">
                  <c:v>6.7380535126051105E-2</c:v>
                </c:pt>
                <c:pt idx="62">
                  <c:v>6.53414400667333E-2</c:v>
                </c:pt>
                <c:pt idx="63">
                  <c:v>6.3102122859985899E-2</c:v>
                </c:pt>
                <c:pt idx="64">
                  <c:v>6.0652711883710297E-2</c:v>
                </c:pt>
                <c:pt idx="65">
                  <c:v>5.7982583970529501E-2</c:v>
                </c:pt>
                <c:pt idx="66">
                  <c:v>5.5080331782786901E-2</c:v>
                </c:pt>
                <c:pt idx="67">
                  <c:v>5.1933769256525597E-2</c:v>
                </c:pt>
                <c:pt idx="68">
                  <c:v>4.8530014304026897E-2</c:v>
                </c:pt>
                <c:pt idx="69">
                  <c:v>4.48557233948551E-2</c:v>
                </c:pt>
                <c:pt idx="70">
                  <c:v>4.0897623030026801E-2</c:v>
                </c:pt>
                <c:pt idx="71">
                  <c:v>3.6643628001403299E-2</c:v>
                </c:pt>
                <c:pt idx="72">
                  <c:v>3.2085146961883103E-2</c:v>
                </c:pt>
                <c:pt idx="73">
                  <c:v>2.7221873291625499E-2</c:v>
                </c:pt>
                <c:pt idx="74">
                  <c:v>2.2072003631683799E-2</c:v>
                </c:pt>
                <c:pt idx="75">
                  <c:v>1.6694875550219802E-2</c:v>
                </c:pt>
                <c:pt idx="76">
                  <c:v>1.1243082153027001E-2</c:v>
                </c:pt>
                <c:pt idx="77">
                  <c:v>6.08255878196541E-3</c:v>
                </c:pt>
                <c:pt idx="78">
                  <c:v>2.01409940053423E-3</c:v>
                </c:pt>
                <c:pt idx="79">
                  <c:v>5.1461327269965997E-4</c:v>
                </c:pt>
                <c:pt idx="80">
                  <c:v>3.6943091977284401E-4</c:v>
                </c:pt>
                <c:pt idx="81">
                  <c:v>2.6330800860835803E-4</c:v>
                </c:pt>
                <c:pt idx="82">
                  <c:v>1.8809039004687601E-4</c:v>
                </c:pt>
                <c:pt idx="83">
                  <c:v>1.3462419082819099E-4</c:v>
                </c:pt>
                <c:pt idx="84" formatCode="0.00E+00">
                  <c:v>9.65600586870132E-5</c:v>
                </c:pt>
                <c:pt idx="85" formatCode="0.00E+00">
                  <c:v>6.94054471462424E-5</c:v>
                </c:pt>
                <c:pt idx="86" formatCode="0.00E+00">
                  <c:v>4.99932752760276E-5</c:v>
                </c:pt>
                <c:pt idx="87" formatCode="0.00E+00">
                  <c:v>3.6086920293344602E-5</c:v>
                </c:pt>
                <c:pt idx="88" formatCode="0.00E+00">
                  <c:v>2.6103744883287701E-5</c:v>
                </c:pt>
                <c:pt idx="89" formatCode="0.00E+00">
                  <c:v>1.89218335403219E-5</c:v>
                </c:pt>
                <c:pt idx="90" formatCode="0.00E+00">
                  <c:v>1.3744291095327301E-5</c:v>
                </c:pt>
                <c:pt idx="91" formatCode="0.00E+00">
                  <c:v>1.00039418448823E-5</c:v>
                </c:pt>
                <c:pt idx="92" formatCode="0.00E+00">
                  <c:v>7.2962313393079896E-6</c:v>
                </c:pt>
                <c:pt idx="93" formatCode="0.00E+00">
                  <c:v>5.3320558141633598E-6</c:v>
                </c:pt>
                <c:pt idx="94" formatCode="0.00E+00">
                  <c:v>3.9043506427753296E-6</c:v>
                </c:pt>
                <c:pt idx="95" formatCode="0.00E+00">
                  <c:v>2.86450966104248E-6</c:v>
                </c:pt>
                <c:pt idx="96" formatCode="0.00E+00">
                  <c:v>2.1056609009286501E-6</c:v>
                </c:pt>
                <c:pt idx="97" formatCode="0.00E+00">
                  <c:v>1.5507886147026799E-6</c:v>
                </c:pt>
                <c:pt idx="98" formatCode="0.00E+00">
                  <c:v>1.14427986228682E-6</c:v>
                </c:pt>
                <c:pt idx="99" formatCode="0.00E+00">
                  <c:v>8.4589595281457703E-7</c:v>
                </c:pt>
                <c:pt idx="100" formatCode="0.00E+00">
                  <c:v>6.2646435708867603E-7</c:v>
                </c:pt>
                <c:pt idx="101" formatCode="0.00E+00">
                  <c:v>4.6479381133188898E-7</c:v>
                </c:pt>
                <c:pt idx="102" formatCode="0.00E+00">
                  <c:v>3.45460839020835E-7</c:v>
                </c:pt>
                <c:pt idx="103" formatCode="0.00E+00">
                  <c:v>2.5721834479601202E-7</c:v>
                </c:pt>
                <c:pt idx="104" formatCode="0.00E+00">
                  <c:v>1.91849179192528E-7</c:v>
                </c:pt>
                <c:pt idx="105" formatCode="0.00E+00">
                  <c:v>1.4333863114166901E-7</c:v>
                </c:pt>
                <c:pt idx="106" formatCode="0.00E+00">
                  <c:v>1.0727596262725201E-7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Implicit_Fracs!$BJ$4:$BJ$111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 formatCode="0.00E+00">
                  <c:v>1.66474147855588E-5</c:v>
                </c:pt>
                <c:pt idx="3" formatCode="0.00E+00">
                  <c:v>4.6510008365440197E-5</c:v>
                </c:pt>
                <c:pt idx="4" formatCode="0.00E+00">
                  <c:v>9.1122490661677195E-5</c:v>
                </c:pt>
                <c:pt idx="5">
                  <c:v>1.52028747545352E-4</c:v>
                </c:pt>
                <c:pt idx="6">
                  <c:v>2.1817694081719999E-4</c:v>
                </c:pt>
                <c:pt idx="7">
                  <c:v>3.1609139358191598E-4</c:v>
                </c:pt>
                <c:pt idx="8">
                  <c:v>4.34839755029374E-4</c:v>
                </c:pt>
                <c:pt idx="9">
                  <c:v>5.7599494263227196E-4</c:v>
                </c:pt>
                <c:pt idx="10">
                  <c:v>7.4116498209871398E-4</c:v>
                </c:pt>
                <c:pt idx="11">
                  <c:v>9.3200132187815597E-4</c:v>
                </c:pt>
                <c:pt idx="12">
                  <c:v>1.1500687194478899E-3</c:v>
                </c:pt>
                <c:pt idx="13">
                  <c:v>1.39679976497175E-3</c:v>
                </c:pt>
                <c:pt idx="14">
                  <c:v>1.6737818364132399E-3</c:v>
                </c:pt>
                <c:pt idx="15">
                  <c:v>1.9826201434163201E-3</c:v>
                </c:pt>
                <c:pt idx="16">
                  <c:v>2.3249369670077001E-3</c:v>
                </c:pt>
                <c:pt idx="17">
                  <c:v>2.70237319428023E-3</c:v>
                </c:pt>
                <c:pt idx="18">
                  <c:v>3.1165898747435401E-3</c:v>
                </c:pt>
                <c:pt idx="19">
                  <c:v>3.56926981052907E-3</c:v>
                </c:pt>
                <c:pt idx="20">
                  <c:v>4.0621191913869301E-3</c:v>
                </c:pt>
                <c:pt idx="21">
                  <c:v>4.5968692847569098E-3</c:v>
                </c:pt>
                <c:pt idx="22">
                  <c:v>5.1752781909285102E-3</c:v>
                </c:pt>
                <c:pt idx="23">
                  <c:v>5.7991326733162398E-3</c:v>
                </c:pt>
                <c:pt idx="24">
                  <c:v>6.4702500740980102E-3</c:v>
                </c:pt>
                <c:pt idx="25">
                  <c:v>7.1904803258666999E-3</c:v>
                </c:pt>
                <c:pt idx="26">
                  <c:v>7.9617080705158098E-3</c:v>
                </c:pt>
                <c:pt idx="27">
                  <c:v>8.7858548972862306E-3</c:v>
                </c:pt>
                <c:pt idx="28">
                  <c:v>9.6648817127945996E-3</c:v>
                </c:pt>
                <c:pt idx="29">
                  <c:v>1.0600791256893199E-2</c:v>
                </c:pt>
                <c:pt idx="30">
                  <c:v>1.15956307794359E-2</c:v>
                </c:pt>
                <c:pt idx="31">
                  <c:v>1.26514948944236E-2</c:v>
                </c:pt>
                <c:pt idx="32">
                  <c:v>1.3770528629620599E-2</c:v>
                </c:pt>
                <c:pt idx="33">
                  <c:v>1.49549306915791E-2</c:v>
                </c:pt>
                <c:pt idx="34">
                  <c:v>1.6206956968114E-2</c:v>
                </c:pt>
                <c:pt idx="35">
                  <c:v>1.75289242926818E-2</c:v>
                </c:pt>
                <c:pt idx="36">
                  <c:v>1.8923214497820699E-2</c:v>
                </c:pt>
                <c:pt idx="37">
                  <c:v>2.0392278787958799E-2</c:v>
                </c:pt>
                <c:pt idx="38">
                  <c:v>2.1938651942724801E-2</c:v>
                </c:pt>
                <c:pt idx="39">
                  <c:v>2.3564949451748401E-2</c:v>
                </c:pt>
                <c:pt idx="40">
                  <c:v>2.5273872942520901E-2</c:v>
                </c:pt>
                <c:pt idx="41">
                  <c:v>2.70682163019151E-2</c:v>
                </c:pt>
                <c:pt idx="42">
                  <c:v>2.8950872339455501E-2</c:v>
                </c:pt>
                <c:pt idx="43">
                  <c:v>3.0924840053485399E-2</c:v>
                </c:pt>
                <c:pt idx="44">
                  <c:v>3.2993232569197797E-2</c:v>
                </c:pt>
                <c:pt idx="45">
                  <c:v>3.5159285826301699E-2</c:v>
                </c:pt>
                <c:pt idx="46">
                  <c:v>3.7426368104035899E-2</c:v>
                </c:pt>
                <c:pt idx="47">
                  <c:v>3.9797990482497901E-2</c:v>
                </c:pt>
                <c:pt idx="48">
                  <c:v>4.2277818351671E-2</c:v>
                </c:pt>
                <c:pt idx="49">
                  <c:v>4.4869684093483901E-2</c:v>
                </c:pt>
                <c:pt idx="50">
                  <c:v>4.7577601077163897E-2</c:v>
                </c:pt>
                <c:pt idx="51">
                  <c:v>5.04057791242404E-2</c:v>
                </c:pt>
                <c:pt idx="52">
                  <c:v>5.3358641615843402E-2</c:v>
                </c:pt>
                <c:pt idx="53">
                  <c:v>5.6440844430634102E-2</c:v>
                </c:pt>
                <c:pt idx="54">
                  <c:v>5.9657296914669998E-2</c:v>
                </c:pt>
                <c:pt idx="55">
                  <c:v>6.3013185091589499E-2</c:v>
                </c:pt>
                <c:pt idx="56">
                  <c:v>6.6513997317218299E-2</c:v>
                </c:pt>
                <c:pt idx="57">
                  <c:v>7.0165552557817298E-2</c:v>
                </c:pt>
                <c:pt idx="58">
                  <c:v>7.3974031410510802E-2</c:v>
                </c:pt>
                <c:pt idx="59">
                  <c:v>7.7946009862897805E-2</c:v>
                </c:pt>
                <c:pt idx="60">
                  <c:v>8.2088495563587799E-2</c:v>
                </c:pt>
                <c:pt idx="61">
                  <c:v>8.6408965975398905E-2</c:v>
                </c:pt>
                <c:pt idx="62">
                  <c:v>9.0915407085178604E-2</c:v>
                </c:pt>
                <c:pt idx="63">
                  <c:v>9.56163501365907E-2</c:v>
                </c:pt>
                <c:pt idx="64">
                  <c:v>0.100520901759393</c:v>
                </c:pt>
                <c:pt idx="65">
                  <c:v>0.10563875921534401</c:v>
                </c:pt>
                <c:pt idx="66">
                  <c:v>0.11098019602285999</c:v>
                </c:pt>
                <c:pt idx="67">
                  <c:v>0.116555991607573</c:v>
                </c:pt>
                <c:pt idx="68">
                  <c:v>0.122377257276663</c:v>
                </c:pt>
                <c:pt idx="69">
                  <c:v>0.12845507052736599</c:v>
                </c:pt>
                <c:pt idx="70">
                  <c:v>0.134799751285126</c:v>
                </c:pt>
                <c:pt idx="71">
                  <c:v>0.14141945549617399</c:v>
                </c:pt>
                <c:pt idx="72">
                  <c:v>0.14831742934855</c:v>
                </c:pt>
                <c:pt idx="73">
                  <c:v>0.155486538730783</c:v>
                </c:pt>
                <c:pt idx="74">
                  <c:v>0.16289801918748001</c:v>
                </c:pt>
                <c:pt idx="75">
                  <c:v>0.17047744823348299</c:v>
                </c:pt>
                <c:pt idx="76">
                  <c:v>0.178051881977209</c:v>
                </c:pt>
                <c:pt idx="77">
                  <c:v>0.18523761071115899</c:v>
                </c:pt>
                <c:pt idx="78">
                  <c:v>0.19129840941750001</c:v>
                </c:pt>
                <c:pt idx="79">
                  <c:v>0.193658183252158</c:v>
                </c:pt>
                <c:pt idx="80">
                  <c:v>0.19554201363722601</c:v>
                </c:pt>
                <c:pt idx="81">
                  <c:v>0.19741541396069101</c:v>
                </c:pt>
                <c:pt idx="82">
                  <c:v>0.199288931185123</c:v>
                </c:pt>
                <c:pt idx="83">
                  <c:v>0.20116229499778901</c:v>
                </c:pt>
                <c:pt idx="84">
                  <c:v>0.20303561373642801</c:v>
                </c:pt>
                <c:pt idx="85">
                  <c:v>0.20490887954501399</c:v>
                </c:pt>
                <c:pt idx="86">
                  <c:v>0.20678208001159901</c:v>
                </c:pt>
                <c:pt idx="87">
                  <c:v>0.208655200507564</c:v>
                </c:pt>
                <c:pt idx="88">
                  <c:v>0.21052822057485601</c:v>
                </c:pt>
                <c:pt idx="89">
                  <c:v>0.212401116929781</c:v>
                </c:pt>
                <c:pt idx="90">
                  <c:v>0.21427386442847601</c:v>
                </c:pt>
                <c:pt idx="91">
                  <c:v>0.21614643796179001</c:v>
                </c:pt>
                <c:pt idx="92">
                  <c:v>0.21801880854498101</c:v>
                </c:pt>
                <c:pt idx="93">
                  <c:v>0.219890949880339</c:v>
                </c:pt>
                <c:pt idx="94">
                  <c:v>0.22176283471144001</c:v>
                </c:pt>
                <c:pt idx="95">
                  <c:v>0.22363443591848001</c:v>
                </c:pt>
                <c:pt idx="96">
                  <c:v>0.225505726621891</c:v>
                </c:pt>
                <c:pt idx="97">
                  <c:v>0.22737668026122801</c:v>
                </c:pt>
                <c:pt idx="98">
                  <c:v>0.22924727064832201</c:v>
                </c:pt>
                <c:pt idx="99">
                  <c:v>0.23111747200240501</c:v>
                </c:pt>
                <c:pt idx="100">
                  <c:v>0.23298725897257699</c:v>
                </c:pt>
                <c:pt idx="101">
                  <c:v>0.23485660665136299</c:v>
                </c:pt>
                <c:pt idx="102">
                  <c:v>0.23672549058200801</c:v>
                </c:pt>
                <c:pt idx="103">
                  <c:v>0.23859388676135099</c:v>
                </c:pt>
                <c:pt idx="104">
                  <c:v>0.24046177163961899</c:v>
                </c:pt>
                <c:pt idx="105">
                  <c:v>0.24232912211803001</c:v>
                </c:pt>
                <c:pt idx="106">
                  <c:v>0.2441959155449</c:v>
                </c:pt>
                <c:pt idx="107">
                  <c:v>0.244196022820863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Implicit_Fracs!$BK$4:$BK$111</c:f>
              <c:numCache>
                <c:formatCode>General</c:formatCode>
                <c:ptCount val="108"/>
                <c:pt idx="0">
                  <c:v>1</c:v>
                </c:pt>
                <c:pt idx="1">
                  <c:v>0.99829869838329599</c:v>
                </c:pt>
                <c:pt idx="2">
                  <c:v>0.99490590320580197</c:v>
                </c:pt>
                <c:pt idx="3">
                  <c:v>0.991238739089634</c:v>
                </c:pt>
                <c:pt idx="4">
                  <c:v>0.987578101504473</c:v>
                </c:pt>
                <c:pt idx="5">
                  <c:v>0.98397994706278502</c:v>
                </c:pt>
                <c:pt idx="6">
                  <c:v>0.98044291876178802</c:v>
                </c:pt>
                <c:pt idx="7">
                  <c:v>0.97695747687100398</c:v>
                </c:pt>
                <c:pt idx="8">
                  <c:v>0.97351053930739695</c:v>
                </c:pt>
                <c:pt idx="9">
                  <c:v>0.970092753590444</c:v>
                </c:pt>
                <c:pt idx="10">
                  <c:v>0.966697448302267</c:v>
                </c:pt>
                <c:pt idx="11">
                  <c:v>0.96332001914237797</c:v>
                </c:pt>
                <c:pt idx="12">
                  <c:v>0.95995731329176903</c:v>
                </c:pt>
                <c:pt idx="13">
                  <c:v>0.956607161983831</c:v>
                </c:pt>
                <c:pt idx="14">
                  <c:v>0.95326806933049202</c:v>
                </c:pt>
                <c:pt idx="15">
                  <c:v>0.94993898546149602</c:v>
                </c:pt>
                <c:pt idx="16">
                  <c:v>0.94661916152244097</c:v>
                </c:pt>
                <c:pt idx="17">
                  <c:v>0.94330805444177401</c:v>
                </c:pt>
                <c:pt idx="18">
                  <c:v>0.940005264100366</c:v>
                </c:pt>
                <c:pt idx="19">
                  <c:v>0.93671049150153696</c:v>
                </c:pt>
                <c:pt idx="20">
                  <c:v>0.93342351056885098</c:v>
                </c:pt>
                <c:pt idx="21">
                  <c:v>0.93014414884730401</c:v>
                </c:pt>
                <c:pt idx="22">
                  <c:v>0.92687227408337602</c:v>
                </c:pt>
                <c:pt idx="23">
                  <c:v>0.92360778473903904</c:v>
                </c:pt>
                <c:pt idx="24">
                  <c:v>0.92035060317852901</c:v>
                </c:pt>
                <c:pt idx="25">
                  <c:v>0.91710067070094403</c:v>
                </c:pt>
                <c:pt idx="26">
                  <c:v>0.91385794386934105</c:v>
                </c:pt>
                <c:pt idx="27">
                  <c:v>0.91062239176631399</c:v>
                </c:pt>
                <c:pt idx="28">
                  <c:v>0.90739399392303899</c:v>
                </c:pt>
                <c:pt idx="29">
                  <c:v>0.90417273874637505</c:v>
                </c:pt>
                <c:pt idx="30">
                  <c:v>0.90095862232062796</c:v>
                </c:pt>
                <c:pt idx="31">
                  <c:v>0.89775164749618197</c:v>
                </c:pt>
                <c:pt idx="32">
                  <c:v>0.89455182320179205</c:v>
                </c:pt>
                <c:pt idx="33">
                  <c:v>0.89135916393474501</c:v>
                </c:pt>
                <c:pt idx="34">
                  <c:v>0.88817368939552899</c:v>
                </c:pt>
                <c:pt idx="35">
                  <c:v>0.88499542424274802</c:v>
                </c:pt>
                <c:pt idx="36">
                  <c:v>0.88182439795091105</c:v>
                </c:pt>
                <c:pt idx="37">
                  <c:v>0.87865516113383801</c:v>
                </c:pt>
                <c:pt idx="38">
                  <c:v>0.87548776876326495</c:v>
                </c:pt>
                <c:pt idx="39">
                  <c:v>0.87232240192673804</c:v>
                </c:pt>
                <c:pt idx="40">
                  <c:v>0.86915923665862205</c:v>
                </c:pt>
                <c:pt idx="41">
                  <c:v>0.86599844528285197</c:v>
                </c:pt>
                <c:pt idx="42">
                  <c:v>0.86284019770875997</c:v>
                </c:pt>
                <c:pt idx="43">
                  <c:v>0.859684662705132</c:v>
                </c:pt>
                <c:pt idx="44">
                  <c:v>0.85653200917723804</c:v>
                </c:pt>
                <c:pt idx="45">
                  <c:v>0.85338240747212102</c:v>
                </c:pt>
                <c:pt idx="46">
                  <c:v>0.85023603073894904</c:v>
                </c:pt>
                <c:pt idx="47">
                  <c:v>0.84709305637369803</c:v>
                </c:pt>
                <c:pt idx="48">
                  <c:v>0.84395366758127</c:v>
                </c:pt>
                <c:pt idx="49">
                  <c:v>0.84081805509322705</c:v>
                </c:pt>
                <c:pt idx="50">
                  <c:v>0.837686419086485</c:v>
                </c:pt>
                <c:pt idx="51">
                  <c:v>0.83455897135753898</c:v>
                </c:pt>
                <c:pt idx="52">
                  <c:v>0.83143593781923697</c:v>
                </c:pt>
                <c:pt idx="53">
                  <c:v>0.82831756140339097</c:v>
                </c:pt>
                <c:pt idx="54">
                  <c:v>0.82520410547421796</c:v>
                </c:pt>
                <c:pt idx="55">
                  <c:v>0.82209585788647799</c:v>
                </c:pt>
                <c:pt idx="56">
                  <c:v>0.81899313586091904</c:v>
                </c:pt>
                <c:pt idx="57">
                  <c:v>0.81589629190219404</c:v>
                </c:pt>
                <c:pt idx="58">
                  <c:v>0.81280572105632698</c:v>
                </c:pt>
                <c:pt idx="59">
                  <c:v>0.80972186990415196</c:v>
                </c:pt>
                <c:pt idx="60">
                  <c:v>0.80664524782650804</c:v>
                </c:pt>
                <c:pt idx="61">
                  <c:v>0.80357644127444094</c:v>
                </c:pt>
                <c:pt idx="62">
                  <c:v>0.80051613206205297</c:v>
                </c:pt>
                <c:pt idx="63">
                  <c:v>0.79746512111510104</c:v>
                </c:pt>
                <c:pt idx="64">
                  <c:v>0.79442435972555003</c:v>
                </c:pt>
                <c:pt idx="65">
                  <c:v>0.79139499129513602</c:v>
                </c:pt>
                <c:pt idx="66">
                  <c:v>0.78837840798699799</c:v>
                </c:pt>
                <c:pt idx="67">
                  <c:v>0.78537632895810505</c:v>
                </c:pt>
                <c:pt idx="68">
                  <c:v>0.78239091045048803</c:v>
                </c:pt>
                <c:pt idx="69">
                  <c:v>0.77942490389262797</c:v>
                </c:pt>
                <c:pt idx="70">
                  <c:v>0.77648188786813199</c:v>
                </c:pt>
                <c:pt idx="71">
                  <c:v>0.77356661591217302</c:v>
                </c:pt>
                <c:pt idx="72">
                  <c:v>0.77068554820046598</c:v>
                </c:pt>
                <c:pt idx="73">
                  <c:v>0.76784767315538505</c:v>
                </c:pt>
                <c:pt idx="74">
                  <c:v>0.76506575572559199</c:v>
                </c:pt>
                <c:pt idx="75">
                  <c:v>0.76235802228525296</c:v>
                </c:pt>
                <c:pt idx="76">
                  <c:v>0.75974907422179905</c:v>
                </c:pt>
                <c:pt idx="77">
                  <c:v>0.75726038641336002</c:v>
                </c:pt>
                <c:pt idx="78">
                  <c:v>0.75481346956710504</c:v>
                </c:pt>
                <c:pt idx="79">
                  <c:v>0.75375059765444796</c:v>
                </c:pt>
                <c:pt idx="80">
                  <c:v>0.75161438109745105</c:v>
                </c:pt>
                <c:pt idx="81">
                  <c:v>0.74944481751027003</c:v>
                </c:pt>
                <c:pt idx="82">
                  <c:v>0.747239086647699</c:v>
                </c:pt>
                <c:pt idx="83">
                  <c:v>0.74500871009917202</c:v>
                </c:pt>
                <c:pt idx="84">
                  <c:v>0.74276131526762001</c:v>
                </c:pt>
                <c:pt idx="85">
                  <c:v>0.74050239879696</c:v>
                </c:pt>
                <c:pt idx="86">
                  <c:v>0.73823584299514</c:v>
                </c:pt>
                <c:pt idx="87">
                  <c:v>0.73596439674047598</c:v>
                </c:pt>
                <c:pt idx="88">
                  <c:v>0.73369001803072897</c:v>
                </c:pt>
                <c:pt idx="89">
                  <c:v>0.731414106514091</c:v>
                </c:pt>
                <c:pt idx="90">
                  <c:v>0.72913766800721203</c:v>
                </c:pt>
                <c:pt idx="91">
                  <c:v>0.72686142847908497</c:v>
                </c:pt>
                <c:pt idx="92">
                  <c:v>0.72458592057080595</c:v>
                </c:pt>
                <c:pt idx="93">
                  <c:v>0.72231153315343299</c:v>
                </c:pt>
                <c:pt idx="94">
                  <c:v>0.72003855640987002</c:v>
                </c:pt>
                <c:pt idx="95">
                  <c:v>0.71776720921049997</c:v>
                </c:pt>
                <c:pt idx="96">
                  <c:v>0.71549765932995202</c:v>
                </c:pt>
                <c:pt idx="97">
                  <c:v>0.71323003779160399</c:v>
                </c:pt>
                <c:pt idx="98">
                  <c:v>0.71096444907493905</c:v>
                </c:pt>
                <c:pt idx="99">
                  <c:v>0.70870097839493895</c:v>
                </c:pt>
                <c:pt idx="100">
                  <c:v>0.70643969690507902</c:v>
                </c:pt>
                <c:pt idx="101">
                  <c:v>0.70418066542479696</c:v>
                </c:pt>
                <c:pt idx="102">
                  <c:v>0.70192393711627399</c:v>
                </c:pt>
                <c:pt idx="103">
                  <c:v>0.699669559411501</c:v>
                </c:pt>
                <c:pt idx="104">
                  <c:v>0.69741757540329297</c:v>
                </c:pt>
                <c:pt idx="105">
                  <c:v>0.69516802485224904</c:v>
                </c:pt>
                <c:pt idx="106">
                  <c:v>0.69292094491797396</c:v>
                </c:pt>
                <c:pt idx="107">
                  <c:v>0.69292094491797396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Implicit_Fracs!$BF$4:$BF$111</c:f>
              <c:numCache>
                <c:formatCode>General</c:formatCode>
                <c:ptCount val="108"/>
                <c:pt idx="0">
                  <c:v>1.6E-2</c:v>
                </c:pt>
                <c:pt idx="1">
                  <c:v>1.8875923960716301E-2</c:v>
                </c:pt>
                <c:pt idx="2">
                  <c:v>1.9526414998067801E-2</c:v>
                </c:pt>
                <c:pt idx="3">
                  <c:v>1.9884498128117101E-2</c:v>
                </c:pt>
                <c:pt idx="4">
                  <c:v>2.0111969597620499E-2</c:v>
                </c:pt>
                <c:pt idx="5">
                  <c:v>2.0262690499705201E-2</c:v>
                </c:pt>
                <c:pt idx="6">
                  <c:v>2.0380122500060199E-2</c:v>
                </c:pt>
                <c:pt idx="7">
                  <c:v>2.0440599675253201E-2</c:v>
                </c:pt>
                <c:pt idx="8">
                  <c:v>2.0470994799968001E-2</c:v>
                </c:pt>
                <c:pt idx="9">
                  <c:v>2.0476646689351001E-2</c:v>
                </c:pt>
                <c:pt idx="10">
                  <c:v>2.0461223286486099E-2</c:v>
                </c:pt>
                <c:pt idx="11">
                  <c:v>2.0427343690373901E-2</c:v>
                </c:pt>
                <c:pt idx="12">
                  <c:v>2.0377033203331701E-2</c:v>
                </c:pt>
                <c:pt idx="13">
                  <c:v>2.03119416759878E-2</c:v>
                </c:pt>
                <c:pt idx="14">
                  <c:v>2.0233275483131401E-2</c:v>
                </c:pt>
                <c:pt idx="15">
                  <c:v>2.01419984194386E-2</c:v>
                </c:pt>
                <c:pt idx="16">
                  <c:v>2.0038894539676399E-2</c:v>
                </c:pt>
                <c:pt idx="17">
                  <c:v>1.9924611045002899E-2</c:v>
                </c:pt>
                <c:pt idx="18">
                  <c:v>1.97996890888084E-2</c:v>
                </c:pt>
                <c:pt idx="19">
                  <c:v>1.9664586378662901E-2</c:v>
                </c:pt>
                <c:pt idx="20">
                  <c:v>1.95196940716547E-2</c:v>
                </c:pt>
                <c:pt idx="21">
                  <c:v>1.9365349615372798E-2</c:v>
                </c:pt>
                <c:pt idx="22">
                  <c:v>1.9201846653828999E-2</c:v>
                </c:pt>
                <c:pt idx="23">
                  <c:v>1.9029442772693101E-2</c:v>
                </c:pt>
                <c:pt idx="24">
                  <c:v>1.8848365629820899E-2</c:v>
                </c:pt>
                <c:pt idx="25">
                  <c:v>1.8658817862650199E-2</c:v>
                </c:pt>
                <c:pt idx="26">
                  <c:v>1.84609810577041E-2</c:v>
                </c:pt>
                <c:pt idx="27">
                  <c:v>1.8255018992961398E-2</c:v>
                </c:pt>
                <c:pt idx="28">
                  <c:v>1.80410803108738E-2</c:v>
                </c:pt>
                <c:pt idx="29">
                  <c:v>1.7819300741602699E-2</c:v>
                </c:pt>
                <c:pt idx="30">
                  <c:v>1.75898049681305E-2</c:v>
                </c:pt>
                <c:pt idx="31">
                  <c:v>1.7352708204275799E-2</c:v>
                </c:pt>
                <c:pt idx="32">
                  <c:v>1.71081175412338E-2</c:v>
                </c:pt>
                <c:pt idx="33">
                  <c:v>1.6856133106655999E-2</c:v>
                </c:pt>
                <c:pt idx="34">
                  <c:v>1.6596849071455502E-2</c:v>
                </c:pt>
                <c:pt idx="35">
                  <c:v>1.63303545327825E-2</c:v>
                </c:pt>
                <c:pt idx="36">
                  <c:v>1.60567342964308E-2</c:v>
                </c:pt>
                <c:pt idx="37">
                  <c:v>1.5776069577939301E-2</c:v>
                </c:pt>
                <c:pt idx="38">
                  <c:v>1.54884363835934E-2</c:v>
                </c:pt>
                <c:pt idx="39">
                  <c:v>1.5193908250150301E-2</c:v>
                </c:pt>
                <c:pt idx="40">
                  <c:v>1.4892556841332699E-2</c:v>
                </c:pt>
                <c:pt idx="41">
                  <c:v>1.4584452463615699E-2</c:v>
                </c:pt>
                <c:pt idx="42">
                  <c:v>1.4269664564194399E-2</c:v>
                </c:pt>
                <c:pt idx="43">
                  <c:v>1.39482622205579E-2</c:v>
                </c:pt>
                <c:pt idx="44">
                  <c:v>1.3620314630940499E-2</c:v>
                </c:pt>
                <c:pt idx="45">
                  <c:v>1.32858916150975E-2</c:v>
                </c:pt>
                <c:pt idx="46">
                  <c:v>1.2945064135388901E-2</c:v>
                </c:pt>
                <c:pt idx="47">
                  <c:v>1.25979048490514E-2</c:v>
                </c:pt>
                <c:pt idx="48">
                  <c:v>1.2244488703916199E-2</c:v>
                </c:pt>
                <c:pt idx="49">
                  <c:v>1.18848935916951E-2</c:v>
                </c:pt>
                <c:pt idx="50">
                  <c:v>1.15192010755313E-2</c:v>
                </c:pt>
                <c:pt idx="51">
                  <c:v>1.11474972118948E-2</c:v>
                </c:pt>
                <c:pt idx="52">
                  <c:v>1.07698734913977E-2</c:v>
                </c:pt>
                <c:pt idx="53">
                  <c:v>1.0386427929037E-2</c:v>
                </c:pt>
                <c:pt idx="54">
                  <c:v>9.9972663422339108E-3</c:v>
                </c:pt>
                <c:pt idx="55">
                  <c:v>9.6025038655228896E-3</c:v>
                </c:pt>
                <c:pt idx="56">
                  <c:v>9.2022667648046091E-3</c:v>
                </c:pt>
                <c:pt idx="57">
                  <c:v>8.79669463314031E-3</c:v>
                </c:pt>
                <c:pt idx="58">
                  <c:v>8.3859430761559703E-3</c:v>
                </c:pt>
                <c:pt idx="59">
                  <c:v>7.9701870312239003E-3</c:v>
                </c:pt>
                <c:pt idx="60">
                  <c:v>7.5496249152382996E-3</c:v>
                </c:pt>
                <c:pt idx="61">
                  <c:v>7.1244838677586202E-3</c:v>
                </c:pt>
                <c:pt idx="62">
                  <c:v>6.6950264601608397E-3</c:v>
                </c:pt>
                <c:pt idx="63">
                  <c:v>6.2615593937631903E-3</c:v>
                </c:pt>
                <c:pt idx="64">
                  <c:v>5.8244449373415904E-3</c:v>
                </c:pt>
                <c:pt idx="65">
                  <c:v>5.3841162006808803E-3</c:v>
                </c:pt>
                <c:pt idx="66">
                  <c:v>4.9410978790272999E-3</c:v>
                </c:pt>
                <c:pt idx="67">
                  <c:v>4.4960349593252801E-3</c:v>
                </c:pt>
                <c:pt idx="68">
                  <c:v>4.04973327452388E-3</c:v>
                </c:pt>
                <c:pt idx="69">
                  <c:v>3.6032181278598898E-3</c:v>
                </c:pt>
                <c:pt idx="70">
                  <c:v>3.1578212287335398E-3</c:v>
                </c:pt>
                <c:pt idx="71">
                  <c:v>2.7153132977134598E-3</c:v>
                </c:pt>
                <c:pt idx="72">
                  <c:v>2.2781126267355399E-3</c:v>
                </c:pt>
                <c:pt idx="73">
                  <c:v>1.84962378009971E-3</c:v>
                </c:pt>
                <c:pt idx="74">
                  <c:v>1.4348044081539499E-3</c:v>
                </c:pt>
                <c:pt idx="75">
                  <c:v>1.0411310639564699E-3</c:v>
                </c:pt>
                <c:pt idx="76">
                  <c:v>6.8020378187737198E-4</c:v>
                </c:pt>
                <c:pt idx="77">
                  <c:v>3.6994703727260799E-4</c:v>
                </c:pt>
                <c:pt idx="78">
                  <c:v>1.35270734066886E-4</c:v>
                </c:pt>
                <c:pt idx="79">
                  <c:v>1.1746080670667601E-4</c:v>
                </c:pt>
                <c:pt idx="80" formatCode="0.00E+00">
                  <c:v>8.4733479011009897E-5</c:v>
                </c:pt>
                <c:pt idx="81" formatCode="0.00E+00">
                  <c:v>6.0977638610064802E-5</c:v>
                </c:pt>
                <c:pt idx="82" formatCode="0.00E+00">
                  <c:v>4.3984721951942501E-5</c:v>
                </c:pt>
                <c:pt idx="83" formatCode="0.00E+00">
                  <c:v>3.1796224469641298E-5</c:v>
                </c:pt>
                <c:pt idx="84" formatCode="0.00E+00">
                  <c:v>2.3035534787287098E-5</c:v>
                </c:pt>
                <c:pt idx="85" formatCode="0.00E+00">
                  <c:v>1.6724621310317601E-5</c:v>
                </c:pt>
                <c:pt idx="86" formatCode="0.00E+00">
                  <c:v>1.2168492366953199E-5</c:v>
                </c:pt>
                <c:pt idx="87" formatCode="0.00E+00">
                  <c:v>8.8721305539428403E-6</c:v>
                </c:pt>
                <c:pt idx="88" formatCode="0.00E+00">
                  <c:v>6.4821301062862496E-6</c:v>
                </c:pt>
                <c:pt idx="89" formatCode="0.00E+00">
                  <c:v>4.7456355155046496E-6</c:v>
                </c:pt>
                <c:pt idx="90" formatCode="0.00E+00">
                  <c:v>3.48133746321802E-6</c:v>
                </c:pt>
                <c:pt idx="91" formatCode="0.00E+00">
                  <c:v>2.55894918115116E-6</c:v>
                </c:pt>
                <c:pt idx="92" formatCode="0.00E+00">
                  <c:v>1.88464341400632E-6</c:v>
                </c:pt>
                <c:pt idx="93" formatCode="0.00E+00">
                  <c:v>1.39071352721874E-6</c:v>
                </c:pt>
                <c:pt idx="94" formatCode="0.00E+00">
                  <c:v>1.02819639705331E-6</c:v>
                </c:pt>
                <c:pt idx="95" formatCode="0.00E+00">
                  <c:v>7.61611537943534E-7</c:v>
                </c:pt>
                <c:pt idx="96" formatCode="0.00E+00">
                  <c:v>5.6519627238931501E-7</c:v>
                </c:pt>
                <c:pt idx="97" formatCode="0.00E+00">
                  <c:v>4.2020660003066098E-7</c:v>
                </c:pt>
                <c:pt idx="98" formatCode="0.00E+00">
                  <c:v>3.1297805980163901E-7</c:v>
                </c:pt>
                <c:pt idx="99" formatCode="0.00E+00">
                  <c:v>2.3352972428758699E-7</c:v>
                </c:pt>
                <c:pt idx="100" formatCode="0.00E+00">
                  <c:v>1.7455715514324701E-7</c:v>
                </c:pt>
                <c:pt idx="101" formatCode="0.00E+00">
                  <c:v>1.3070448488264601E-7</c:v>
                </c:pt>
                <c:pt idx="102" formatCode="0.00E+00">
                  <c:v>9.8037213408973194E-8</c:v>
                </c:pt>
                <c:pt idx="103" formatCode="0.00E+00">
                  <c:v>7.3659625371750904E-8</c:v>
                </c:pt>
                <c:pt idx="104" formatCode="0.00E+00">
                  <c:v>5.5436618268495501E-8</c:v>
                </c:pt>
                <c:pt idx="105" formatCode="0.00E+00">
                  <c:v>4.1791059247657997E-8</c:v>
                </c:pt>
                <c:pt idx="106" formatCode="0.00E+00">
                  <c:v>3.1555883969997502E-8</c:v>
                </c:pt>
                <c:pt idx="10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Implicit_Fracs!$BG$4:$BG$111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 formatCode="0.00E+00">
                  <c:v>7.7730921542855104E-5</c:v>
                </c:pt>
                <c:pt idx="3">
                  <c:v>1.5790026467188501E-4</c:v>
                </c:pt>
                <c:pt idx="4">
                  <c:v>2.3955027302425299E-4</c:v>
                </c:pt>
                <c:pt idx="5">
                  <c:v>3.2225100004427498E-4</c:v>
                </c:pt>
                <c:pt idx="6">
                  <c:v>4.0578649911471402E-4</c:v>
                </c:pt>
                <c:pt idx="7">
                  <c:v>4.89940851295179E-4</c:v>
                </c:pt>
                <c:pt idx="8">
                  <c:v>5.7456958404739804E-4</c:v>
                </c:pt>
                <c:pt idx="9">
                  <c:v>6.5956763802110698E-4</c:v>
                </c:pt>
                <c:pt idx="10">
                  <c:v>7.4484850666637497E-4</c:v>
                </c:pt>
                <c:pt idx="11">
                  <c:v>8.3033835879560501E-4</c:v>
                </c:pt>
                <c:pt idx="12">
                  <c:v>9.1597253021602303E-4</c:v>
                </c:pt>
                <c:pt idx="13">
                  <c:v>1.0016933829719401E-3</c:v>
                </c:pt>
                <c:pt idx="14">
                  <c:v>1.0874485181352599E-3</c:v>
                </c:pt>
                <c:pt idx="15">
                  <c:v>1.1731894910001199E-3</c:v>
                </c:pt>
                <c:pt idx="16">
                  <c:v>1.2588709601371599E-3</c:v>
                </c:pt>
                <c:pt idx="17">
                  <c:v>1.34445005681202E-3</c:v>
                </c:pt>
                <c:pt idx="18">
                  <c:v>1.42988590706433E-3</c:v>
                </c:pt>
                <c:pt idx="19">
                  <c:v>1.5151392628866599E-3</c:v>
                </c:pt>
                <c:pt idx="20">
                  <c:v>1.6001722130186101E-3</c:v>
                </c:pt>
                <c:pt idx="21">
                  <c:v>1.68494795294004E-3</c:v>
                </c:pt>
                <c:pt idx="22">
                  <c:v>1.7694305996327599E-3</c:v>
                </c:pt>
                <c:pt idx="23">
                  <c:v>1.8535850407185701E-3</c:v>
                </c:pt>
                <c:pt idx="24">
                  <c:v>1.9373768103616699E-3</c:v>
                </c:pt>
                <c:pt idx="25">
                  <c:v>2.0207719862733401E-3</c:v>
                </c:pt>
                <c:pt idx="26">
                  <c:v>2.1037371035486098E-3</c:v>
                </c:pt>
                <c:pt idx="27">
                  <c:v>2.1862390820705201E-3</c:v>
                </c:pt>
                <c:pt idx="28">
                  <c:v>2.2682451649612802E-3</c:v>
                </c:pt>
                <c:pt idx="29">
                  <c:v>2.3497228661097502E-3</c:v>
                </c:pt>
                <c:pt idx="30">
                  <c:v>2.4306399252228702E-3</c:v>
                </c:pt>
                <c:pt idx="31">
                  <c:v>2.51096426916578E-3</c:v>
                </c:pt>
                <c:pt idx="32">
                  <c:v>2.59066397860089E-3</c:v>
                </c:pt>
                <c:pt idx="33">
                  <c:v>2.6697072591276901E-3</c:v>
                </c:pt>
                <c:pt idx="34">
                  <c:v>2.7480624162752299E-3</c:v>
                </c:pt>
                <c:pt idx="35">
                  <c:v>2.8256978338192401E-3</c:v>
                </c:pt>
                <c:pt idx="36">
                  <c:v>2.90258195499026E-3</c:v>
                </c:pt>
                <c:pt idx="37">
                  <c:v>2.9786832662187998E-3</c:v>
                </c:pt>
                <c:pt idx="38">
                  <c:v>3.0539707319932599E-3</c:v>
                </c:pt>
                <c:pt idx="39">
                  <c:v>3.12841331252355E-3</c:v>
                </c:pt>
                <c:pt idx="40">
                  <c:v>3.2019799420809499E-3</c:v>
                </c:pt>
                <c:pt idx="41">
                  <c:v>3.2746395200843898E-3</c:v>
                </c:pt>
                <c:pt idx="42">
                  <c:v>3.3463609035975701E-3</c:v>
                </c:pt>
                <c:pt idx="43">
                  <c:v>3.4171129011423499E-3</c:v>
                </c:pt>
                <c:pt idx="44">
                  <c:v>3.4868642677565701E-3</c:v>
                </c:pt>
                <c:pt idx="45">
                  <c:v>3.5555837012422502E-3</c:v>
                </c:pt>
                <c:pt idx="46">
                  <c:v>3.6232398395654301E-3</c:v>
                </c:pt>
                <c:pt idx="47">
                  <c:v>3.6898012593842401E-3</c:v>
                </c:pt>
                <c:pt idx="48">
                  <c:v>3.7552364756909301E-3</c:v>
                </c:pt>
                <c:pt idx="49">
                  <c:v>3.8195139425667201E-3</c:v>
                </c:pt>
                <c:pt idx="50">
                  <c:v>3.8826020550519502E-3</c:v>
                </c:pt>
                <c:pt idx="51">
                  <c:v>3.94446915214042E-3</c:v>
                </c:pt>
                <c:pt idx="52">
                  <c:v>4.0050835209043704E-3</c:v>
                </c:pt>
                <c:pt idx="53">
                  <c:v>4.0644134017502999E-3</c:v>
                </c:pt>
                <c:pt idx="54">
                  <c:v>4.1224269947884697E-3</c:v>
                </c:pt>
                <c:pt idx="55">
                  <c:v>4.1790924672672099E-3</c:v>
                </c:pt>
                <c:pt idx="56">
                  <c:v>4.2343779619715798E-3</c:v>
                </c:pt>
                <c:pt idx="57">
                  <c:v>4.2882516063991504E-3</c:v>
                </c:pt>
                <c:pt idx="58">
                  <c:v>4.3406815223895404E-3</c:v>
                </c:pt>
                <c:pt idx="59">
                  <c:v>4.3916358356723504E-3</c:v>
                </c:pt>
                <c:pt idx="60">
                  <c:v>4.4410826844620199E-3</c:v>
                </c:pt>
                <c:pt idx="61">
                  <c:v>4.4889902257060198E-3</c:v>
                </c:pt>
                <c:pt idx="62">
                  <c:v>4.5353266367651104E-3</c:v>
                </c:pt>
                <c:pt idx="63">
                  <c:v>4.5800601089919998E-3</c:v>
                </c:pt>
                <c:pt idx="64">
                  <c:v>4.6231588275620697E-3</c:v>
                </c:pt>
                <c:pt idx="65">
                  <c:v>4.6645909284672498E-3</c:v>
                </c:pt>
                <c:pt idx="66">
                  <c:v>4.7043244178861503E-3</c:v>
                </c:pt>
                <c:pt idx="67">
                  <c:v>4.7423270295367196E-3</c:v>
                </c:pt>
                <c:pt idx="68">
                  <c:v>4.7785659791044098E-3</c:v>
                </c:pt>
                <c:pt idx="69">
                  <c:v>4.8130075458409603E-3</c:v>
                </c:pt>
                <c:pt idx="70">
                  <c:v>4.8456163593959597E-3</c:v>
                </c:pt>
                <c:pt idx="71">
                  <c:v>4.8763541747229404E-3</c:v>
                </c:pt>
                <c:pt idx="72">
                  <c:v>4.9051777415113499E-3</c:v>
                </c:pt>
                <c:pt idx="73">
                  <c:v>4.9320350511791698E-3</c:v>
                </c:pt>
                <c:pt idx="74">
                  <c:v>4.9568586985762999E-3</c:v>
                </c:pt>
                <c:pt idx="75">
                  <c:v>4.9795545106601502E-3</c:v>
                </c:pt>
                <c:pt idx="76">
                  <c:v>4.99998541862733E-3</c:v>
                </c:pt>
                <c:pt idx="77">
                  <c:v>5.0179734198449299E-3</c:v>
                </c:pt>
                <c:pt idx="78">
                  <c:v>5.0335182893241504E-3</c:v>
                </c:pt>
                <c:pt idx="79">
                  <c:v>5.0560184038920602E-3</c:v>
                </c:pt>
                <c:pt idx="80">
                  <c:v>5.0739997150392102E-3</c:v>
                </c:pt>
                <c:pt idx="81">
                  <c:v>5.0918601988938304E-3</c:v>
                </c:pt>
                <c:pt idx="82">
                  <c:v>5.1097327886839797E-3</c:v>
                </c:pt>
                <c:pt idx="83">
                  <c:v>5.1276401220584503E-3</c:v>
                </c:pt>
                <c:pt idx="84">
                  <c:v>5.1456014527532E-3</c:v>
                </c:pt>
                <c:pt idx="85">
                  <c:v>5.1636300643223103E-3</c:v>
                </c:pt>
                <c:pt idx="86">
                  <c:v>5.1817357310974298E-3</c:v>
                </c:pt>
                <c:pt idx="87">
                  <c:v>5.1999257381524699E-3</c:v>
                </c:pt>
                <c:pt idx="88">
                  <c:v>5.2182055550649403E-3</c:v>
                </c:pt>
                <c:pt idx="89">
                  <c:v>5.2365793669617803E-3</c:v>
                </c:pt>
                <c:pt idx="90">
                  <c:v>5.2550504414438899E-3</c:v>
                </c:pt>
                <c:pt idx="91">
                  <c:v>5.2736214018439401E-3</c:v>
                </c:pt>
                <c:pt idx="92">
                  <c:v>5.2922943727174302E-3</c:v>
                </c:pt>
                <c:pt idx="93">
                  <c:v>5.3110711738721204E-3</c:v>
                </c:pt>
                <c:pt idx="94">
                  <c:v>5.32995337904807E-3</c:v>
                </c:pt>
                <c:pt idx="95">
                  <c:v>5.34894239451185E-3</c:v>
                </c:pt>
                <c:pt idx="96">
                  <c:v>5.36803950905183E-3</c:v>
                </c:pt>
                <c:pt idx="97">
                  <c:v>5.3872459302209998E-3</c:v>
                </c:pt>
                <c:pt idx="98">
                  <c:v>5.4065628106105502E-3</c:v>
                </c:pt>
                <c:pt idx="99">
                  <c:v>5.4259912669442304E-3</c:v>
                </c:pt>
                <c:pt idx="100">
                  <c:v>5.4455323939917302E-3</c:v>
                </c:pt>
                <c:pt idx="101">
                  <c:v>5.4651872747355302E-3</c:v>
                </c:pt>
                <c:pt idx="102">
                  <c:v>5.4849569878230803E-3</c:v>
                </c:pt>
                <c:pt idx="103">
                  <c:v>5.5048426130482799E-3</c:v>
                </c:pt>
                <c:pt idx="104">
                  <c:v>5.5248452353995701E-3</c:v>
                </c:pt>
                <c:pt idx="105">
                  <c:v>5.5449659480633897E-3</c:v>
                </c:pt>
                <c:pt idx="106">
                  <c:v>5.5652058546652901E-3</c:v>
                </c:pt>
                <c:pt idx="107">
                  <c:v>5.5652058546652901E-3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Implicit_Fracs!$BH$4:$BH$111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 formatCode="0.00E+00">
                  <c:v>6.4734663456229302E-6</c:v>
                </c:pt>
                <c:pt idx="3" formatCode="0.00E+00">
                  <c:v>1.9418799104471199E-5</c:v>
                </c:pt>
                <c:pt idx="4" formatCode="0.00E+00">
                  <c:v>3.8859623371861097E-5</c:v>
                </c:pt>
                <c:pt idx="5" formatCode="0.00E+00">
                  <c:v>6.4831278993771895E-5</c:v>
                </c:pt>
                <c:pt idx="6" formatCode="0.00E+00">
                  <c:v>7.8765480409157302E-5</c:v>
                </c:pt>
                <c:pt idx="7">
                  <c:v>1.17592476872282E-4</c:v>
                </c:pt>
                <c:pt idx="8">
                  <c:v>1.6299263468160199E-4</c:v>
                </c:pt>
                <c:pt idx="9">
                  <c:v>2.1502544443318601E-4</c:v>
                </c:pt>
                <c:pt idx="10">
                  <c:v>2.73762685919471E-4</c:v>
                </c:pt>
                <c:pt idx="11">
                  <c:v>3.3928899952115598E-4</c:v>
                </c:pt>
                <c:pt idx="12">
                  <c:v>4.1160183511236901E-4</c:v>
                </c:pt>
                <c:pt idx="13">
                  <c:v>4.9060690070703802E-4</c:v>
                </c:pt>
                <c:pt idx="14">
                  <c:v>5.7632159648702001E-4</c:v>
                </c:pt>
                <c:pt idx="15">
                  <c:v>6.6876494364767397E-4</c:v>
                </c:pt>
                <c:pt idx="16">
                  <c:v>7.6795591592609199E-4</c:v>
                </c:pt>
                <c:pt idx="17">
                  <c:v>8.7391342584217601E-4</c:v>
                </c:pt>
                <c:pt idx="18">
                  <c:v>9.86656310990486E-4</c:v>
                </c:pt>
                <c:pt idx="19">
                  <c:v>1.10620332024211E-3</c:v>
                </c:pt>
                <c:pt idx="20">
                  <c:v>1.2325730996334901E-3</c:v>
                </c:pt>
                <c:pt idx="21">
                  <c:v>1.3657841777087001E-3</c:v>
                </c:pt>
                <c:pt idx="22">
                  <c:v>1.5058549500933801E-3</c:v>
                </c:pt>
                <c:pt idx="23">
                  <c:v>1.6528036630932201E-3</c:v>
                </c:pt>
                <c:pt idx="24">
                  <c:v>1.8066483961184101E-3</c:v>
                </c:pt>
                <c:pt idx="25">
                  <c:v>1.9674070427371602E-3</c:v>
                </c:pt>
                <c:pt idx="26">
                  <c:v>2.1350972901569001E-3</c:v>
                </c:pt>
                <c:pt idx="27">
                  <c:v>2.3097365969158598E-3</c:v>
                </c:pt>
                <c:pt idx="28">
                  <c:v>2.4913421685519902E-3</c:v>
                </c:pt>
                <c:pt idx="29">
                  <c:v>2.67993093098831E-3</c:v>
                </c:pt>
                <c:pt idx="30">
                  <c:v>2.8755195013439199E-3</c:v>
                </c:pt>
                <c:pt idx="31">
                  <c:v>3.0781241558399401E-3</c:v>
                </c:pt>
                <c:pt idx="32">
                  <c:v>3.2877607944243399E-3</c:v>
                </c:pt>
                <c:pt idx="33">
                  <c:v>3.5044449016844999E-3</c:v>
                </c:pt>
                <c:pt idx="34">
                  <c:v>3.7281915035514198E-3</c:v>
                </c:pt>
                <c:pt idx="35">
                  <c:v>3.9590151192235301E-3</c:v>
                </c:pt>
                <c:pt idx="36">
                  <c:v>4.1969297076422099E-3</c:v>
                </c:pt>
                <c:pt idx="37">
                  <c:v>4.4419486077483398E-3</c:v>
                </c:pt>
                <c:pt idx="38">
                  <c:v>4.6940860268643398E-3</c:v>
                </c:pt>
                <c:pt idx="39">
                  <c:v>4.95335554669193E-3</c:v>
                </c:pt>
                <c:pt idx="40">
                  <c:v>5.2197700030586101E-3</c:v>
                </c:pt>
                <c:pt idx="41">
                  <c:v>5.4933413900528499E-3</c:v>
                </c:pt>
                <c:pt idx="42">
                  <c:v>5.7740807513646302E-3</c:v>
                </c:pt>
                <c:pt idx="43">
                  <c:v>6.06199805669162E-3</c:v>
                </c:pt>
                <c:pt idx="44">
                  <c:v>6.3571020606551102E-3</c:v>
                </c:pt>
                <c:pt idx="45">
                  <c:v>6.6594001411478801E-3</c:v>
                </c:pt>
                <c:pt idx="46">
                  <c:v>6.9688981133865296E-3</c:v>
                </c:pt>
                <c:pt idx="47">
                  <c:v>7.28560001514176E-3</c:v>
                </c:pt>
                <c:pt idx="48">
                  <c:v>7.6095078575949002E-3</c:v>
                </c:pt>
                <c:pt idx="49">
                  <c:v>7.9406213350054107E-3</c:v>
                </c:pt>
                <c:pt idx="50">
                  <c:v>8.2789374847292898E-3</c:v>
                </c:pt>
                <c:pt idx="51">
                  <c:v>8.6244502870542403E-3</c:v>
                </c:pt>
                <c:pt idx="52">
                  <c:v>8.9771501916115094E-3</c:v>
                </c:pt>
                <c:pt idx="53">
                  <c:v>9.3370235536198304E-3</c:v>
                </c:pt>
                <c:pt idx="54">
                  <c:v>9.7040519585980395E-3</c:v>
                </c:pt>
                <c:pt idx="55">
                  <c:v>1.0078211408063399E-2</c:v>
                </c:pt>
                <c:pt idx="56">
                  <c:v>1.0459471330538201E-2</c:v>
                </c:pt>
                <c:pt idx="57">
                  <c:v>1.0847793371087299E-2</c:v>
                </c:pt>
                <c:pt idx="58">
                  <c:v>1.1243129897399401E-2</c:v>
                </c:pt>
                <c:pt idx="59">
                  <c:v>1.1645422139363801E-2</c:v>
                </c:pt>
                <c:pt idx="60">
                  <c:v>1.20545978494641E-2</c:v>
                </c:pt>
                <c:pt idx="61">
                  <c:v>1.24705683291195E-2</c:v>
                </c:pt>
                <c:pt idx="62">
                  <c:v>1.2893224605008699E-2</c:v>
                </c:pt>
                <c:pt idx="63">
                  <c:v>1.3322432449523299E-2</c:v>
                </c:pt>
                <c:pt idx="64">
                  <c:v>1.3758025804769499E-2</c:v>
                </c:pt>
                <c:pt idx="65">
                  <c:v>1.41997979636503E-2</c:v>
                </c:pt>
                <c:pt idx="66">
                  <c:v>1.4647489540136499E-2</c:v>
                </c:pt>
                <c:pt idx="67">
                  <c:v>1.5100771747325501E-2</c:v>
                </c:pt>
                <c:pt idx="68">
                  <c:v>1.55592226609007E-2</c:v>
                </c:pt>
                <c:pt idx="69">
                  <c:v>1.6022292731361101E-2</c:v>
                </c:pt>
                <c:pt idx="70">
                  <c:v>1.6489253363759102E-2</c:v>
                </c:pt>
                <c:pt idx="71">
                  <c:v>1.6959118041756701E-2</c:v>
                </c:pt>
                <c:pt idx="72">
                  <c:v>1.7430517580805601E-2</c:v>
                </c:pt>
                <c:pt idx="73">
                  <c:v>1.79014966124737E-2</c:v>
                </c:pt>
                <c:pt idx="74">
                  <c:v>1.83691726836555E-2</c:v>
                </c:pt>
                <c:pt idx="75">
                  <c:v>1.8829162016072001E-2</c:v>
                </c:pt>
                <c:pt idx="76">
                  <c:v>1.9274683722984801E-2</c:v>
                </c:pt>
                <c:pt idx="77">
                  <c:v>1.9695809106679198E-2</c:v>
                </c:pt>
                <c:pt idx="78">
                  <c:v>2.0084142979879201E-2</c:v>
                </c:pt>
                <c:pt idx="79">
                  <c:v>2.0600262743516399E-2</c:v>
                </c:pt>
                <c:pt idx="80">
                  <c:v>2.1014360865492E-2</c:v>
                </c:pt>
                <c:pt idx="81">
                  <c:v>2.1430347906822699E-2</c:v>
                </c:pt>
                <c:pt idx="82">
                  <c:v>2.1850595170834299E-2</c:v>
                </c:pt>
                <c:pt idx="83">
                  <c:v>2.2275148408137199E-2</c:v>
                </c:pt>
                <c:pt idx="84">
                  <c:v>2.2704089239251001E-2</c:v>
                </c:pt>
                <c:pt idx="85">
                  <c:v>2.31374612388782E-2</c:v>
                </c:pt>
                <c:pt idx="86">
                  <c:v>2.3575297405351001E-2</c:v>
                </c:pt>
                <c:pt idx="87">
                  <c:v>2.4017622439434699E-2</c:v>
                </c:pt>
                <c:pt idx="88">
                  <c:v>2.4464454422463498E-2</c:v>
                </c:pt>
                <c:pt idx="89">
                  <c:v>2.4915806942312001E-2</c:v>
                </c:pt>
                <c:pt idx="90">
                  <c:v>2.5371690345709901E-2</c:v>
                </c:pt>
                <c:pt idx="91">
                  <c:v>2.5832112624576901E-2</c:v>
                </c:pt>
                <c:pt idx="92">
                  <c:v>2.6297079867957499E-2</c:v>
                </c:pt>
                <c:pt idx="93">
                  <c:v>2.6766597332784001E-2</c:v>
                </c:pt>
                <c:pt idx="94">
                  <c:v>2.72406691205077E-2</c:v>
                </c:pt>
                <c:pt idx="95">
                  <c:v>2.7719298630509901E-2</c:v>
                </c:pt>
                <c:pt idx="96">
                  <c:v>2.8202488721691499E-2</c:v>
                </c:pt>
                <c:pt idx="97">
                  <c:v>2.8690241830755699E-2</c:v>
                </c:pt>
                <c:pt idx="98">
                  <c:v>2.9182560057590901E-2</c:v>
                </c:pt>
                <c:pt idx="99">
                  <c:v>2.9679445227215599E-2</c:v>
                </c:pt>
                <c:pt idx="100">
                  <c:v>3.0180898934980299E-2</c:v>
                </c:pt>
                <c:pt idx="101">
                  <c:v>3.0686922579779299E-2</c:v>
                </c:pt>
                <c:pt idx="102">
                  <c:v>3.11975173886575E-2</c:v>
                </c:pt>
                <c:pt idx="103">
                  <c:v>3.1712684435222099E-2</c:v>
                </c:pt>
                <c:pt idx="104">
                  <c:v>3.2232424653584703E-2</c:v>
                </c:pt>
                <c:pt idx="105">
                  <c:v>3.2756738849067303E-2</c:v>
                </c:pt>
                <c:pt idx="106">
                  <c:v>3.32856277065572E-2</c:v>
                </c:pt>
                <c:pt idx="107">
                  <c:v>3.32856277065572E-2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Implicit_Fracs!$A$174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Implicit_Fracs!$B$170:$V$170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Implicit_Fracs!$B$174:$V$174</c:f>
              <c:numCache>
                <c:formatCode>General</c:formatCode>
                <c:ptCount val="21"/>
                <c:pt idx="0">
                  <c:v>0.24418622796591499</c:v>
                </c:pt>
                <c:pt idx="1">
                  <c:v>0.24408884005886999</c:v>
                </c:pt>
                <c:pt idx="2">
                  <c:v>0.243678613012764</c:v>
                </c:pt>
                <c:pt idx="3">
                  <c:v>0.24276133411113199</c:v>
                </c:pt>
                <c:pt idx="4">
                  <c:v>0.241092050447551</c:v>
                </c:pt>
                <c:pt idx="5">
                  <c:v>0.23820634179142999</c:v>
                </c:pt>
                <c:pt idx="6">
                  <c:v>0.233579100005047</c:v>
                </c:pt>
                <c:pt idx="7">
                  <c:v>0.22646416296845501</c:v>
                </c:pt>
                <c:pt idx="8">
                  <c:v>0.21589174865365399</c:v>
                </c:pt>
                <c:pt idx="9">
                  <c:v>0.20074039783609801</c:v>
                </c:pt>
                <c:pt idx="10">
                  <c:v>0.180122480523046</c:v>
                </c:pt>
                <c:pt idx="11">
                  <c:v>0.15362039385082901</c:v>
                </c:pt>
                <c:pt idx="12">
                  <c:v>0.122138199687198</c:v>
                </c:pt>
                <c:pt idx="13">
                  <c:v>8.8425982044458798E-2</c:v>
                </c:pt>
                <c:pt idx="14">
                  <c:v>5.6890469948223998E-2</c:v>
                </c:pt>
                <c:pt idx="15">
                  <c:v>3.1747910207549301E-2</c:v>
                </c:pt>
                <c:pt idx="16">
                  <c:v>1.50172781164773E-2</c:v>
                </c:pt>
                <c:pt idx="17">
                  <c:v>5.6028039517499999E-3</c:v>
                </c:pt>
                <c:pt idx="18">
                  <c:v>1.3858699023653501E-3</c:v>
                </c:pt>
                <c:pt idx="19">
                  <c:v>1.7763210678421698E-5</c:v>
                </c:pt>
                <c:pt idx="20">
                  <c:v>2.2501083263645899E-6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26.716042650774</c:v>
                </c:pt>
                <c:pt idx="1">
                  <c:v>21.098366852538501</c:v>
                </c:pt>
                <c:pt idx="2">
                  <c:v>17.595285685762899</c:v>
                </c:pt>
                <c:pt idx="3">
                  <c:v>16.315734265919499</c:v>
                </c:pt>
                <c:pt idx="4">
                  <c:v>15.8364502319889</c:v>
                </c:pt>
                <c:pt idx="5">
                  <c:v>15.675664779292701</c:v>
                </c:pt>
                <c:pt idx="6">
                  <c:v>13.312061133722199</c:v>
                </c:pt>
                <c:pt idx="7">
                  <c:v>12.4966101974537</c:v>
                </c:pt>
                <c:pt idx="8">
                  <c:v>12.483416620429701</c:v>
                </c:pt>
                <c:pt idx="9">
                  <c:v>10.7314198221019</c:v>
                </c:pt>
                <c:pt idx="10">
                  <c:v>9.5923762817277805</c:v>
                </c:pt>
                <c:pt idx="11">
                  <c:v>9.2430392136230903</c:v>
                </c:pt>
                <c:pt idx="12">
                  <c:v>9.0698620935505101</c:v>
                </c:pt>
                <c:pt idx="13">
                  <c:v>8.7768327376378501</c:v>
                </c:pt>
                <c:pt idx="14">
                  <c:v>8.5990110348571793</c:v>
                </c:pt>
                <c:pt idx="15">
                  <c:v>8.5856537601319793</c:v>
                </c:pt>
                <c:pt idx="16">
                  <c:v>8.3164750753121108</c:v>
                </c:pt>
                <c:pt idx="17">
                  <c:v>8.0491854418779702</c:v>
                </c:pt>
                <c:pt idx="18">
                  <c:v>7.7139776108347498</c:v>
                </c:pt>
                <c:pt idx="19">
                  <c:v>7.5116402057895799</c:v>
                </c:pt>
                <c:pt idx="20">
                  <c:v>7.0306010519626598</c:v>
                </c:pt>
                <c:pt idx="21">
                  <c:v>6.9982911132430399</c:v>
                </c:pt>
                <c:pt idx="22">
                  <c:v>6.7996578234936198</c:v>
                </c:pt>
                <c:pt idx="23">
                  <c:v>6.6885830145959204</c:v>
                </c:pt>
                <c:pt idx="24">
                  <c:v>5.8314691612288803</c:v>
                </c:pt>
                <c:pt idx="25">
                  <c:v>5.62107862941878</c:v>
                </c:pt>
                <c:pt idx="26">
                  <c:v>5.1403128538808396</c:v>
                </c:pt>
                <c:pt idx="27">
                  <c:v>4.9316562368338603</c:v>
                </c:pt>
                <c:pt idx="28">
                  <c:v>4.4004410622680199</c:v>
                </c:pt>
                <c:pt idx="29">
                  <c:v>4.2130963613799803</c:v>
                </c:pt>
                <c:pt idx="30">
                  <c:v>4.2097937442072899</c:v>
                </c:pt>
                <c:pt idx="31">
                  <c:v>4.0498307806746503</c:v>
                </c:pt>
                <c:pt idx="32">
                  <c:v>4.0123821533024104</c:v>
                </c:pt>
                <c:pt idx="33">
                  <c:v>3.9324704443267402</c:v>
                </c:pt>
                <c:pt idx="34">
                  <c:v>3.4697904906469699</c:v>
                </c:pt>
                <c:pt idx="35">
                  <c:v>3.3911715045411102</c:v>
                </c:pt>
                <c:pt idx="36">
                  <c:v>3.3402235214659299</c:v>
                </c:pt>
                <c:pt idx="37">
                  <c:v>3.3079532765165398</c:v>
                </c:pt>
                <c:pt idx="38">
                  <c:v>3.2639338402130802</c:v>
                </c:pt>
                <c:pt idx="39">
                  <c:v>3.2139105688728602</c:v>
                </c:pt>
                <c:pt idx="40">
                  <c:v>3.19783240226631</c:v>
                </c:pt>
                <c:pt idx="41">
                  <c:v>3.1134214513555798</c:v>
                </c:pt>
                <c:pt idx="42">
                  <c:v>3.0262794669781199</c:v>
                </c:pt>
                <c:pt idx="43">
                  <c:v>2.9239197208578398</c:v>
                </c:pt>
                <c:pt idx="44">
                  <c:v>2.40565610820931</c:v>
                </c:pt>
                <c:pt idx="45">
                  <c:v>2.2810164601157501</c:v>
                </c:pt>
                <c:pt idx="46">
                  <c:v>1.49170642288183</c:v>
                </c:pt>
                <c:pt idx="47">
                  <c:v>1.1584109556998801</c:v>
                </c:pt>
                <c:pt idx="48">
                  <c:v>0.86703117916761097</c:v>
                </c:pt>
                <c:pt idx="49">
                  <c:v>0.72642599204205305</c:v>
                </c:pt>
                <c:pt idx="50">
                  <c:v>0.70958628456614303</c:v>
                </c:pt>
                <c:pt idx="51">
                  <c:v>0.67616287879189896</c:v>
                </c:pt>
                <c:pt idx="52">
                  <c:v>0.47164516458863698</c:v>
                </c:pt>
                <c:pt idx="53">
                  <c:v>0.471005322744389</c:v>
                </c:pt>
                <c:pt idx="54">
                  <c:v>0.25595744892635303</c:v>
                </c:pt>
                <c:pt idx="55">
                  <c:v>0.115710073200987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1.6697526656733751E-2</c:v>
                </c:pt>
                <c:pt idx="1">
                  <c:v>2.9884005939570316E-2</c:v>
                </c:pt>
                <c:pt idx="2">
                  <c:v>4.0881059493172126E-2</c:v>
                </c:pt>
                <c:pt idx="3">
                  <c:v>5.1078393409371814E-2</c:v>
                </c:pt>
                <c:pt idx="4">
                  <c:v>6.0976174804364874E-2</c:v>
                </c:pt>
                <c:pt idx="5">
                  <c:v>7.077346529142281E-2</c:v>
                </c:pt>
                <c:pt idx="6">
                  <c:v>7.909350349999919E-2</c:v>
                </c:pt>
                <c:pt idx="7">
                  <c:v>8.690388487340775E-2</c:v>
                </c:pt>
                <c:pt idx="8">
                  <c:v>9.4706020261176319E-2</c:v>
                </c:pt>
                <c:pt idx="9">
                  <c:v>0.10141315764999001</c:v>
                </c:pt>
                <c:pt idx="10">
                  <c:v>0.10740839282606987</c:v>
                </c:pt>
                <c:pt idx="11">
                  <c:v>0.1131852923345843</c:v>
                </c:pt>
                <c:pt idx="12">
                  <c:v>0.11885395614305337</c:v>
                </c:pt>
                <c:pt idx="13">
                  <c:v>0.12433947660407703</c:v>
                </c:pt>
                <c:pt idx="14">
                  <c:v>0.12971385850086276</c:v>
                </c:pt>
                <c:pt idx="15">
                  <c:v>0.13507989210094523</c:v>
                </c:pt>
                <c:pt idx="16">
                  <c:v>0.1402776890230153</c:v>
                </c:pt>
                <c:pt idx="17">
                  <c:v>0.14530842992418902</c:v>
                </c:pt>
                <c:pt idx="18">
                  <c:v>0.15012966593096075</c:v>
                </c:pt>
                <c:pt idx="19">
                  <c:v>0.15482444105957924</c:v>
                </c:pt>
                <c:pt idx="20">
                  <c:v>0.15921856671705589</c:v>
                </c:pt>
                <c:pt idx="21">
                  <c:v>0.16359249866283279</c:v>
                </c:pt>
                <c:pt idx="22">
                  <c:v>0.16784228480251631</c:v>
                </c:pt>
                <c:pt idx="23">
                  <c:v>0.17202264918663876</c:v>
                </c:pt>
                <c:pt idx="24">
                  <c:v>0.17566731741240682</c:v>
                </c:pt>
                <c:pt idx="25">
                  <c:v>0.17918049155579355</c:v>
                </c:pt>
                <c:pt idx="26">
                  <c:v>0.18239318708946908</c:v>
                </c:pt>
                <c:pt idx="27">
                  <c:v>0.18547547223749025</c:v>
                </c:pt>
                <c:pt idx="28">
                  <c:v>0.18822574790140775</c:v>
                </c:pt>
                <c:pt idx="29">
                  <c:v>0.19085893312727023</c:v>
                </c:pt>
                <c:pt idx="30">
                  <c:v>0.19349005421739979</c:v>
                </c:pt>
                <c:pt idx="31">
                  <c:v>0.19602119845532145</c:v>
                </c:pt>
                <c:pt idx="32">
                  <c:v>0.19852893730113547</c:v>
                </c:pt>
                <c:pt idx="33">
                  <c:v>0.20098673132883968</c:v>
                </c:pt>
                <c:pt idx="34">
                  <c:v>0.20315535038549404</c:v>
                </c:pt>
                <c:pt idx="35">
                  <c:v>0.20527483257583223</c:v>
                </c:pt>
                <c:pt idx="36">
                  <c:v>0.20736247227674845</c:v>
                </c:pt>
                <c:pt idx="37">
                  <c:v>0.2094299430745713</c:v>
                </c:pt>
                <c:pt idx="38">
                  <c:v>0.21146990172470448</c:v>
                </c:pt>
                <c:pt idx="39">
                  <c:v>0.21347859583025003</c:v>
                </c:pt>
                <c:pt idx="40">
                  <c:v>0.21547724108166647</c:v>
                </c:pt>
                <c:pt idx="41">
                  <c:v>0.21742312948876369</c:v>
                </c:pt>
                <c:pt idx="42">
                  <c:v>0.21931455415562501</c:v>
                </c:pt>
                <c:pt idx="43">
                  <c:v>0.22114200398116116</c:v>
                </c:pt>
                <c:pt idx="44">
                  <c:v>0.22264553904879197</c:v>
                </c:pt>
                <c:pt idx="45">
                  <c:v>0.22407117433636431</c:v>
                </c:pt>
                <c:pt idx="46">
                  <c:v>0.22500349085066546</c:v>
                </c:pt>
                <c:pt idx="47">
                  <c:v>0.22572749769797787</c:v>
                </c:pt>
                <c:pt idx="48">
                  <c:v>0.22626939218495762</c:v>
                </c:pt>
                <c:pt idx="49">
                  <c:v>0.2267234084299839</c:v>
                </c:pt>
                <c:pt idx="50">
                  <c:v>0.22716689985783772</c:v>
                </c:pt>
                <c:pt idx="51">
                  <c:v>0.22758950165708267</c:v>
                </c:pt>
                <c:pt idx="52">
                  <c:v>0.22788427988495055</c:v>
                </c:pt>
                <c:pt idx="53">
                  <c:v>0.2281786582116658</c:v>
                </c:pt>
                <c:pt idx="54">
                  <c:v>0.22833863161724477</c:v>
                </c:pt>
                <c:pt idx="55">
                  <c:v>0.22841095041299539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Implicit_Fracs!$A$172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Implicit_Fracs!$B$170:$V$170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Implicit_Fracs!$B$172:$V$172</c:f>
              <c:numCache>
                <c:formatCode>General</c:formatCode>
                <c:ptCount val="21"/>
                <c:pt idx="0">
                  <c:v>5.485102085307092E-2</c:v>
                </c:pt>
                <c:pt idx="1">
                  <c:v>3.7985139243792376E-2</c:v>
                </c:pt>
                <c:pt idx="2">
                  <c:v>3.6813172934434979E-2</c:v>
                </c:pt>
                <c:pt idx="3">
                  <c:v>3.53818425875147E-2</c:v>
                </c:pt>
                <c:pt idx="4">
                  <c:v>3.3696908231013518E-2</c:v>
                </c:pt>
                <c:pt idx="5">
                  <c:v>3.166375350320428E-2</c:v>
                </c:pt>
                <c:pt idx="6">
                  <c:v>2.928840375903884E-2</c:v>
                </c:pt>
                <c:pt idx="7">
                  <c:v>2.6543388382453809E-2</c:v>
                </c:pt>
                <c:pt idx="8">
                  <c:v>2.341078980891264E-2</c:v>
                </c:pt>
                <c:pt idx="9">
                  <c:v>1.990893720204184E-2</c:v>
                </c:pt>
                <c:pt idx="10">
                  <c:v>1.6123356742860879E-2</c:v>
                </c:pt>
                <c:pt idx="11">
                  <c:v>1.2239293443698472E-2</c:v>
                </c:pt>
                <c:pt idx="12">
                  <c:v>8.537946503847876E-3</c:v>
                </c:pt>
                <c:pt idx="13">
                  <c:v>5.3499334390897666E-3</c:v>
                </c:pt>
                <c:pt idx="14">
                  <c:v>2.9372148650436401E-3</c:v>
                </c:pt>
                <c:pt idx="15">
                  <c:v>1.3754619173403746E-3</c:v>
                </c:pt>
                <c:pt idx="16">
                  <c:v>5.2916371729294111E-4</c:v>
                </c:pt>
                <c:pt idx="17">
                  <c:v>1.4235013125781643E-4</c:v>
                </c:pt>
                <c:pt idx="18">
                  <c:v>8.834484967098759E-6</c:v>
                </c:pt>
                <c:pt idx="19">
                  <c:v>3.9549519323753789E-7</c:v>
                </c:pt>
                <c:pt idx="20">
                  <c:v>4.1626685462407986E-8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26.716042650774</c:v>
                </c:pt>
                <c:pt idx="1">
                  <c:v>21.098366852538501</c:v>
                </c:pt>
                <c:pt idx="2">
                  <c:v>17.595285685762899</c:v>
                </c:pt>
                <c:pt idx="3">
                  <c:v>16.315734265919499</c:v>
                </c:pt>
                <c:pt idx="4">
                  <c:v>15.8364502319889</c:v>
                </c:pt>
                <c:pt idx="5">
                  <c:v>15.675664779292701</c:v>
                </c:pt>
                <c:pt idx="6">
                  <c:v>13.312061133722199</c:v>
                </c:pt>
                <c:pt idx="7">
                  <c:v>12.4966101974537</c:v>
                </c:pt>
                <c:pt idx="8">
                  <c:v>12.483416620429701</c:v>
                </c:pt>
                <c:pt idx="9">
                  <c:v>10.7314198221019</c:v>
                </c:pt>
                <c:pt idx="10">
                  <c:v>9.5923762817277805</c:v>
                </c:pt>
                <c:pt idx="11">
                  <c:v>9.2430392136230903</c:v>
                </c:pt>
                <c:pt idx="12">
                  <c:v>9.0698620935505101</c:v>
                </c:pt>
                <c:pt idx="13">
                  <c:v>8.7768327376378501</c:v>
                </c:pt>
                <c:pt idx="14">
                  <c:v>8.5990110348571793</c:v>
                </c:pt>
                <c:pt idx="15">
                  <c:v>8.5856537601319793</c:v>
                </c:pt>
                <c:pt idx="16">
                  <c:v>8.3164750753121108</c:v>
                </c:pt>
                <c:pt idx="17">
                  <c:v>8.0491854418779702</c:v>
                </c:pt>
                <c:pt idx="18">
                  <c:v>7.7139776108347498</c:v>
                </c:pt>
                <c:pt idx="19">
                  <c:v>7.5116402057895799</c:v>
                </c:pt>
                <c:pt idx="20">
                  <c:v>7.0306010519626598</c:v>
                </c:pt>
                <c:pt idx="21">
                  <c:v>6.9982911132430399</c:v>
                </c:pt>
                <c:pt idx="22">
                  <c:v>6.7996578234936198</c:v>
                </c:pt>
                <c:pt idx="23">
                  <c:v>6.6885830145959204</c:v>
                </c:pt>
                <c:pt idx="24">
                  <c:v>5.8314691612288803</c:v>
                </c:pt>
                <c:pt idx="25">
                  <c:v>5.62107862941878</c:v>
                </c:pt>
                <c:pt idx="26">
                  <c:v>5.1403128538808396</c:v>
                </c:pt>
                <c:pt idx="27">
                  <c:v>4.9316562368338603</c:v>
                </c:pt>
                <c:pt idx="28">
                  <c:v>4.4004410622680199</c:v>
                </c:pt>
                <c:pt idx="29">
                  <c:v>4.2130963613799803</c:v>
                </c:pt>
                <c:pt idx="30">
                  <c:v>4.2097937442072899</c:v>
                </c:pt>
                <c:pt idx="31">
                  <c:v>4.0498307806746503</c:v>
                </c:pt>
                <c:pt idx="32">
                  <c:v>4.0123821533024104</c:v>
                </c:pt>
                <c:pt idx="33">
                  <c:v>3.9324704443267402</c:v>
                </c:pt>
                <c:pt idx="34">
                  <c:v>3.4697904906469699</c:v>
                </c:pt>
                <c:pt idx="35">
                  <c:v>3.3911715045411102</c:v>
                </c:pt>
                <c:pt idx="36">
                  <c:v>3.3402235214659299</c:v>
                </c:pt>
                <c:pt idx="37">
                  <c:v>3.3079532765165398</c:v>
                </c:pt>
                <c:pt idx="38">
                  <c:v>3.2639338402130802</c:v>
                </c:pt>
                <c:pt idx="39">
                  <c:v>3.2139105688728602</c:v>
                </c:pt>
                <c:pt idx="40">
                  <c:v>3.19783240226631</c:v>
                </c:pt>
                <c:pt idx="41">
                  <c:v>3.1134214513555798</c:v>
                </c:pt>
                <c:pt idx="42">
                  <c:v>3.0262794669781199</c:v>
                </c:pt>
                <c:pt idx="43">
                  <c:v>2.9239197208578398</c:v>
                </c:pt>
                <c:pt idx="44">
                  <c:v>2.40565610820931</c:v>
                </c:pt>
                <c:pt idx="45">
                  <c:v>2.2810164601157501</c:v>
                </c:pt>
                <c:pt idx="46">
                  <c:v>1.49170642288183</c:v>
                </c:pt>
                <c:pt idx="47">
                  <c:v>1.1584109556998801</c:v>
                </c:pt>
                <c:pt idx="48">
                  <c:v>0.86703117916761097</c:v>
                </c:pt>
                <c:pt idx="49">
                  <c:v>0.72642599204205305</c:v>
                </c:pt>
                <c:pt idx="50">
                  <c:v>0.70958628456614303</c:v>
                </c:pt>
                <c:pt idx="51">
                  <c:v>0.67616287879189896</c:v>
                </c:pt>
                <c:pt idx="52">
                  <c:v>0.47164516458863698</c:v>
                </c:pt>
                <c:pt idx="53">
                  <c:v>0.471005322744389</c:v>
                </c:pt>
                <c:pt idx="54">
                  <c:v>0.25595744892635303</c:v>
                </c:pt>
                <c:pt idx="55">
                  <c:v>0.115710073200987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Implicit_Fracs!$A$185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Implicit_Fracs!$B$181:$V$181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Implicit_Fracs!$B$185:$V$185</c:f>
              <c:numCache>
                <c:formatCode>General</c:formatCode>
                <c:ptCount val="21"/>
                <c:pt idx="0">
                  <c:v>0.244196022820863</c:v>
                </c:pt>
                <c:pt idx="1">
                  <c:v>0.244098676837913</c:v>
                </c:pt>
                <c:pt idx="2">
                  <c:v>0.24368843847834901</c:v>
                </c:pt>
                <c:pt idx="3">
                  <c:v>0.24277070481181801</c:v>
                </c:pt>
                <c:pt idx="4">
                  <c:v>0.24110077791374401</c:v>
                </c:pt>
                <c:pt idx="5">
                  <c:v>0.23821437492080599</c:v>
                </c:pt>
                <c:pt idx="6">
                  <c:v>0.233586397972839</c:v>
                </c:pt>
                <c:pt idx="7">
                  <c:v>0.22647069406451101</c:v>
                </c:pt>
                <c:pt idx="8">
                  <c:v>0.21589748985066201</c:v>
                </c:pt>
                <c:pt idx="9">
                  <c:v>0.20074533307436099</c:v>
                </c:pt>
                <c:pt idx="10">
                  <c:v>0.18012659986138799</c:v>
                </c:pt>
                <c:pt idx="11">
                  <c:v>0.15362369668484799</c:v>
                </c:pt>
                <c:pt idx="12">
                  <c:v>0.12214070472272601</c:v>
                </c:pt>
                <c:pt idx="13">
                  <c:v>8.8427742763792797E-2</c:v>
                </c:pt>
                <c:pt idx="14">
                  <c:v>5.6891587476064799E-2</c:v>
                </c:pt>
                <c:pt idx="15">
                  <c:v>3.1748530937906999E-2</c:v>
                </c:pt>
                <c:pt idx="16">
                  <c:v>1.5017568908402799E-2</c:v>
                </c:pt>
                <c:pt idx="17">
                  <c:v>5.6029140097040497E-3</c:v>
                </c:pt>
                <c:pt idx="18">
                  <c:v>1.3859019148665299E-3</c:v>
                </c:pt>
                <c:pt idx="19">
                  <c:v>1.7769961379630701E-5</c:v>
                </c:pt>
                <c:pt idx="20">
                  <c:v>2.2510719407790901E-6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  <c:pt idx="0">
                  <c:v>14.229028451086499</c:v>
                </c:pt>
                <c:pt idx="1">
                  <c:v>13.2195587616834</c:v>
                </c:pt>
                <c:pt idx="2">
                  <c:v>11.6462553979656</c:v>
                </c:pt>
                <c:pt idx="3">
                  <c:v>10.9666988088319</c:v>
                </c:pt>
                <c:pt idx="4">
                  <c:v>10.6647513444063</c:v>
                </c:pt>
                <c:pt idx="5">
                  <c:v>10.3165585797028</c:v>
                </c:pt>
                <c:pt idx="6">
                  <c:v>10.1263414558422</c:v>
                </c:pt>
                <c:pt idx="7">
                  <c:v>9.1514983988845096</c:v>
                </c:pt>
                <c:pt idx="8">
                  <c:v>8.8518374339188508</c:v>
                </c:pt>
                <c:pt idx="9">
                  <c:v>8.7017378701500796</c:v>
                </c:pt>
                <c:pt idx="10">
                  <c:v>8.6758083880715091</c:v>
                </c:pt>
                <c:pt idx="11">
                  <c:v>7.8032519113136498</c:v>
                </c:pt>
                <c:pt idx="12">
                  <c:v>7.7723583058936097</c:v>
                </c:pt>
                <c:pt idx="13">
                  <c:v>7.7385669235372996</c:v>
                </c:pt>
                <c:pt idx="14">
                  <c:v>7.7159769025710396</c:v>
                </c:pt>
                <c:pt idx="15">
                  <c:v>7.1566409061481204</c:v>
                </c:pt>
                <c:pt idx="16">
                  <c:v>7.0275537987841599</c:v>
                </c:pt>
                <c:pt idx="17">
                  <c:v>6.9323138963566802</c:v>
                </c:pt>
                <c:pt idx="18">
                  <c:v>6.9211841782554497</c:v>
                </c:pt>
                <c:pt idx="19">
                  <c:v>6.71048123293063</c:v>
                </c:pt>
                <c:pt idx="20">
                  <c:v>6.5673973578354596</c:v>
                </c:pt>
                <c:pt idx="21">
                  <c:v>6.09663572948641</c:v>
                </c:pt>
                <c:pt idx="22">
                  <c:v>5.9586624396569601</c:v>
                </c:pt>
                <c:pt idx="23">
                  <c:v>5.5967623179677402</c:v>
                </c:pt>
                <c:pt idx="24">
                  <c:v>5.4714312387728299</c:v>
                </c:pt>
                <c:pt idx="25">
                  <c:v>5.2225692447238803</c:v>
                </c:pt>
                <c:pt idx="26">
                  <c:v>4.9874595533233803</c:v>
                </c:pt>
                <c:pt idx="27">
                  <c:v>4.8341660157619897</c:v>
                </c:pt>
                <c:pt idx="28">
                  <c:v>4.4125603227085897</c:v>
                </c:pt>
                <c:pt idx="29">
                  <c:v>3.8983657536707099</c:v>
                </c:pt>
                <c:pt idx="30">
                  <c:v>3.86463464709936</c:v>
                </c:pt>
                <c:pt idx="31">
                  <c:v>3.8609851951221001</c:v>
                </c:pt>
                <c:pt idx="32">
                  <c:v>3.7012295702035898</c:v>
                </c:pt>
                <c:pt idx="33">
                  <c:v>3.2019483054430999</c:v>
                </c:pt>
                <c:pt idx="34">
                  <c:v>3.17796688033811</c:v>
                </c:pt>
                <c:pt idx="35">
                  <c:v>2.8880693645435298</c:v>
                </c:pt>
                <c:pt idx="36">
                  <c:v>2.7764418886309099</c:v>
                </c:pt>
                <c:pt idx="37">
                  <c:v>2.74986760916067</c:v>
                </c:pt>
                <c:pt idx="38">
                  <c:v>2.7436730431706402</c:v>
                </c:pt>
                <c:pt idx="39">
                  <c:v>2.6674487224602501</c:v>
                </c:pt>
                <c:pt idx="40">
                  <c:v>2.2441372674213702</c:v>
                </c:pt>
                <c:pt idx="41">
                  <c:v>1.8908000682645201</c:v>
                </c:pt>
                <c:pt idx="42">
                  <c:v>1.8049693283210599</c:v>
                </c:pt>
                <c:pt idx="43">
                  <c:v>1.6774853848106399</c:v>
                </c:pt>
                <c:pt idx="44">
                  <c:v>1.48960625859041</c:v>
                </c:pt>
                <c:pt idx="45">
                  <c:v>1.4763191847097701</c:v>
                </c:pt>
                <c:pt idx="46">
                  <c:v>1.18671024311867</c:v>
                </c:pt>
                <c:pt idx="47">
                  <c:v>1.0558318484039</c:v>
                </c:pt>
                <c:pt idx="48">
                  <c:v>1.0287192209942499</c:v>
                </c:pt>
                <c:pt idx="49">
                  <c:v>0.94626068198578395</c:v>
                </c:pt>
                <c:pt idx="50">
                  <c:v>0.91459509187287602</c:v>
                </c:pt>
                <c:pt idx="51">
                  <c:v>0.83543795965842804</c:v>
                </c:pt>
                <c:pt idx="52">
                  <c:v>0.71578203593621503</c:v>
                </c:pt>
                <c:pt idx="53">
                  <c:v>0.68258454385554002</c:v>
                </c:pt>
                <c:pt idx="54">
                  <c:v>0.61163465428455099</c:v>
                </c:pt>
                <c:pt idx="55">
                  <c:v>0.430989098151915</c:v>
                </c:pt>
                <c:pt idx="56">
                  <c:v>0.40251850291654601</c:v>
                </c:pt>
                <c:pt idx="57">
                  <c:v>0.31716693838420401</c:v>
                </c:pt>
                <c:pt idx="58">
                  <c:v>0.23992442554588</c:v>
                </c:pt>
                <c:pt idx="59">
                  <c:v>3.72220386705919E-2</c:v>
                </c:pt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  <c:pt idx="0">
                  <c:v>8.8931427819290629E-3</c:v>
                </c:pt>
                <c:pt idx="1">
                  <c:v>1.715536700798119E-2</c:v>
                </c:pt>
                <c:pt idx="2">
                  <c:v>2.4434276631709689E-2</c:v>
                </c:pt>
                <c:pt idx="3">
                  <c:v>3.1288463387229626E-2</c:v>
                </c:pt>
                <c:pt idx="4">
                  <c:v>3.7953932977483562E-2</c:v>
                </c:pt>
                <c:pt idx="5">
                  <c:v>4.4401782089797809E-2</c:v>
                </c:pt>
                <c:pt idx="6">
                  <c:v>5.0730745499699186E-2</c:v>
                </c:pt>
                <c:pt idx="7">
                  <c:v>5.6450431999002001E-2</c:v>
                </c:pt>
                <c:pt idx="8">
                  <c:v>6.1982830395201284E-2</c:v>
                </c:pt>
                <c:pt idx="9">
                  <c:v>6.7421416564045086E-2</c:v>
                </c:pt>
                <c:pt idx="10">
                  <c:v>7.2843796806589783E-2</c:v>
                </c:pt>
                <c:pt idx="11">
                  <c:v>7.772082925116082E-2</c:v>
                </c:pt>
                <c:pt idx="12">
                  <c:v>8.257855319234432E-2</c:v>
                </c:pt>
                <c:pt idx="13">
                  <c:v>8.7415157519555128E-2</c:v>
                </c:pt>
                <c:pt idx="14">
                  <c:v>9.223764308366203E-2</c:v>
                </c:pt>
                <c:pt idx="15">
                  <c:v>9.6710543650004602E-2</c:v>
                </c:pt>
                <c:pt idx="16">
                  <c:v>0.10110276477424471</c:v>
                </c:pt>
                <c:pt idx="17">
                  <c:v>0.10543546095946764</c:v>
                </c:pt>
                <c:pt idx="18">
                  <c:v>0.10976120107087729</c:v>
                </c:pt>
                <c:pt idx="19">
                  <c:v>0.11395525184145894</c:v>
                </c:pt>
                <c:pt idx="20">
                  <c:v>0.11805987519010611</c:v>
                </c:pt>
                <c:pt idx="21">
                  <c:v>0.12187027252103511</c:v>
                </c:pt>
                <c:pt idx="22">
                  <c:v>0.1255944365458207</c:v>
                </c:pt>
                <c:pt idx="23">
                  <c:v>0.12909241299455054</c:v>
                </c:pt>
                <c:pt idx="24">
                  <c:v>0.13251205751878356</c:v>
                </c:pt>
                <c:pt idx="25">
                  <c:v>0.13577616329673597</c:v>
                </c:pt>
                <c:pt idx="26">
                  <c:v>0.13889332551756309</c:v>
                </c:pt>
                <c:pt idx="27">
                  <c:v>0.14191467927741433</c:v>
                </c:pt>
                <c:pt idx="28">
                  <c:v>0.14467252947910719</c:v>
                </c:pt>
                <c:pt idx="29">
                  <c:v>0.1471090080751514</c:v>
                </c:pt>
                <c:pt idx="30">
                  <c:v>0.1495244047295885</c:v>
                </c:pt>
                <c:pt idx="31">
                  <c:v>0.1519375204765398</c:v>
                </c:pt>
                <c:pt idx="32">
                  <c:v>0.15425078895791705</c:v>
                </c:pt>
                <c:pt idx="33">
                  <c:v>0.156252006648819</c:v>
                </c:pt>
                <c:pt idx="34">
                  <c:v>0.1582382359490303</c:v>
                </c:pt>
                <c:pt idx="35">
                  <c:v>0.16004327930187001</c:v>
                </c:pt>
                <c:pt idx="36">
                  <c:v>0.16177855548226433</c:v>
                </c:pt>
                <c:pt idx="37">
                  <c:v>0.16349722273798975</c:v>
                </c:pt>
                <c:pt idx="38">
                  <c:v>0.1652120183899714</c:v>
                </c:pt>
                <c:pt idx="39">
                  <c:v>0.16687917384150905</c:v>
                </c:pt>
                <c:pt idx="40">
                  <c:v>0.16828175963364742</c:v>
                </c:pt>
                <c:pt idx="41">
                  <c:v>0.16946350967631274</c:v>
                </c:pt>
                <c:pt idx="42">
                  <c:v>0.17059161550651342</c:v>
                </c:pt>
                <c:pt idx="43">
                  <c:v>0.17164004387202006</c:v>
                </c:pt>
                <c:pt idx="44">
                  <c:v>0.17257104778363908</c:v>
                </c:pt>
                <c:pt idx="45">
                  <c:v>0.17349374727408268</c:v>
                </c:pt>
                <c:pt idx="46">
                  <c:v>0.17423544117603185</c:v>
                </c:pt>
                <c:pt idx="47">
                  <c:v>0.1748953360812843</c:v>
                </c:pt>
                <c:pt idx="48">
                  <c:v>0.17553828559440571</c:v>
                </c:pt>
                <c:pt idx="49">
                  <c:v>0.17612969852064683</c:v>
                </c:pt>
                <c:pt idx="50">
                  <c:v>0.17670132045306738</c:v>
                </c:pt>
                <c:pt idx="51">
                  <c:v>0.17722346917785389</c:v>
                </c:pt>
                <c:pt idx="52">
                  <c:v>0.17767083295031402</c:v>
                </c:pt>
                <c:pt idx="53">
                  <c:v>0.17809744829022373</c:v>
                </c:pt>
                <c:pt idx="54">
                  <c:v>0.17847971994915157</c:v>
                </c:pt>
                <c:pt idx="55">
                  <c:v>0.17874908813549653</c:v>
                </c:pt>
                <c:pt idx="56">
                  <c:v>0.17900066219981936</c:v>
                </c:pt>
                <c:pt idx="57">
                  <c:v>0.1791988915363095</c:v>
                </c:pt>
                <c:pt idx="58">
                  <c:v>0.17934884430227568</c:v>
                </c:pt>
                <c:pt idx="59">
                  <c:v>0.1793721080764448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Implicit_Fracs!$A$183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Implicit_Fracs!$B$181:$V$181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Implicit_Fracs!$B$183:$V$183</c:f>
              <c:numCache>
                <c:formatCode>General</c:formatCode>
                <c:ptCount val="21"/>
                <c:pt idx="0">
                  <c:v>5.4850833561222487E-2</c:v>
                </c:pt>
                <c:pt idx="1">
                  <c:v>3.7984985278114433E-2</c:v>
                </c:pt>
                <c:pt idx="2">
                  <c:v>3.6813059410136885E-2</c:v>
                </c:pt>
                <c:pt idx="3">
                  <c:v>3.5381771968324732E-2</c:v>
                </c:pt>
                <c:pt idx="4">
                  <c:v>3.3696890796898631E-2</c:v>
                </c:pt>
                <c:pt idx="5">
                  <c:v>3.1663785624134688E-2</c:v>
                </c:pt>
                <c:pt idx="6">
                  <c:v>2.9288480808791411E-2</c:v>
                </c:pt>
                <c:pt idx="7">
                  <c:v>2.6543502016469243E-2</c:v>
                </c:pt>
                <c:pt idx="8">
                  <c:v>2.3410928245463779E-2</c:v>
                </c:pt>
                <c:pt idx="9">
                  <c:v>1.9909086102651619E-2</c:v>
                </c:pt>
                <c:pt idx="10">
                  <c:v>1.6123500985994292E-2</c:v>
                </c:pt>
                <c:pt idx="11">
                  <c:v>1.2239419614876856E-2</c:v>
                </c:pt>
                <c:pt idx="12">
                  <c:v>8.538045493801551E-3</c:v>
                </c:pt>
                <c:pt idx="13">
                  <c:v>5.3500021864110719E-3</c:v>
                </c:pt>
                <c:pt idx="14">
                  <c:v>2.9372563371427582E-3</c:v>
                </c:pt>
                <c:pt idx="15">
                  <c:v>1.3754831222104332E-3</c:v>
                </c:pt>
                <c:pt idx="16">
                  <c:v>5.2917262964936439E-4</c:v>
                </c:pt>
                <c:pt idx="17">
                  <c:v>1.4235309715034941E-4</c:v>
                </c:pt>
                <c:pt idx="18">
                  <c:v>8.8352318202470155E-6</c:v>
                </c:pt>
                <c:pt idx="19">
                  <c:v>3.956299428538873E-7</c:v>
                </c:pt>
                <c:pt idx="20">
                  <c:v>4.164299725252893E-8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  <c:pt idx="0">
                  <c:v>14.229028451086499</c:v>
                </c:pt>
                <c:pt idx="1">
                  <c:v>13.2195587616834</c:v>
                </c:pt>
                <c:pt idx="2">
                  <c:v>11.6462553979656</c:v>
                </c:pt>
                <c:pt idx="3">
                  <c:v>10.9666988088319</c:v>
                </c:pt>
                <c:pt idx="4">
                  <c:v>10.6647513444063</c:v>
                </c:pt>
                <c:pt idx="5">
                  <c:v>10.3165585797028</c:v>
                </c:pt>
                <c:pt idx="6">
                  <c:v>10.1263414558422</c:v>
                </c:pt>
                <c:pt idx="7">
                  <c:v>9.1514983988845096</c:v>
                </c:pt>
                <c:pt idx="8">
                  <c:v>8.8518374339188508</c:v>
                </c:pt>
                <c:pt idx="9">
                  <c:v>8.7017378701500796</c:v>
                </c:pt>
                <c:pt idx="10">
                  <c:v>8.6758083880715091</c:v>
                </c:pt>
                <c:pt idx="11">
                  <c:v>7.8032519113136498</c:v>
                </c:pt>
                <c:pt idx="12">
                  <c:v>7.7723583058936097</c:v>
                </c:pt>
                <c:pt idx="13">
                  <c:v>7.7385669235372996</c:v>
                </c:pt>
                <c:pt idx="14">
                  <c:v>7.7159769025710396</c:v>
                </c:pt>
                <c:pt idx="15">
                  <c:v>7.1566409061481204</c:v>
                </c:pt>
                <c:pt idx="16">
                  <c:v>7.0275537987841599</c:v>
                </c:pt>
                <c:pt idx="17">
                  <c:v>6.9323138963566802</c:v>
                </c:pt>
                <c:pt idx="18">
                  <c:v>6.9211841782554497</c:v>
                </c:pt>
                <c:pt idx="19">
                  <c:v>6.71048123293063</c:v>
                </c:pt>
                <c:pt idx="20">
                  <c:v>6.5673973578354596</c:v>
                </c:pt>
                <c:pt idx="21">
                  <c:v>6.09663572948641</c:v>
                </c:pt>
                <c:pt idx="22">
                  <c:v>5.9586624396569601</c:v>
                </c:pt>
                <c:pt idx="23">
                  <c:v>5.5967623179677402</c:v>
                </c:pt>
                <c:pt idx="24">
                  <c:v>5.4714312387728299</c:v>
                </c:pt>
                <c:pt idx="25">
                  <c:v>5.2225692447238803</c:v>
                </c:pt>
                <c:pt idx="26">
                  <c:v>4.9874595533233803</c:v>
                </c:pt>
                <c:pt idx="27">
                  <c:v>4.8341660157619897</c:v>
                </c:pt>
                <c:pt idx="28">
                  <c:v>4.4125603227085897</c:v>
                </c:pt>
                <c:pt idx="29">
                  <c:v>3.8983657536707099</c:v>
                </c:pt>
                <c:pt idx="30">
                  <c:v>3.86463464709936</c:v>
                </c:pt>
                <c:pt idx="31">
                  <c:v>3.8609851951221001</c:v>
                </c:pt>
                <c:pt idx="32">
                  <c:v>3.7012295702035898</c:v>
                </c:pt>
                <c:pt idx="33">
                  <c:v>3.2019483054430999</c:v>
                </c:pt>
                <c:pt idx="34">
                  <c:v>3.17796688033811</c:v>
                </c:pt>
                <c:pt idx="35">
                  <c:v>2.8880693645435298</c:v>
                </c:pt>
                <c:pt idx="36">
                  <c:v>2.7764418886309099</c:v>
                </c:pt>
                <c:pt idx="37">
                  <c:v>2.74986760916067</c:v>
                </c:pt>
                <c:pt idx="38">
                  <c:v>2.7436730431706402</c:v>
                </c:pt>
                <c:pt idx="39">
                  <c:v>2.6674487224602501</c:v>
                </c:pt>
                <c:pt idx="40">
                  <c:v>2.2441372674213702</c:v>
                </c:pt>
                <c:pt idx="41">
                  <c:v>1.8908000682645201</c:v>
                </c:pt>
                <c:pt idx="42">
                  <c:v>1.8049693283210599</c:v>
                </c:pt>
                <c:pt idx="43">
                  <c:v>1.6774853848106399</c:v>
                </c:pt>
                <c:pt idx="44">
                  <c:v>1.48960625859041</c:v>
                </c:pt>
                <c:pt idx="45">
                  <c:v>1.4763191847097701</c:v>
                </c:pt>
                <c:pt idx="46">
                  <c:v>1.18671024311867</c:v>
                </c:pt>
                <c:pt idx="47">
                  <c:v>1.0558318484039</c:v>
                </c:pt>
                <c:pt idx="48">
                  <c:v>1.0287192209942499</c:v>
                </c:pt>
                <c:pt idx="49">
                  <c:v>0.94626068198578395</c:v>
                </c:pt>
                <c:pt idx="50">
                  <c:v>0.91459509187287602</c:v>
                </c:pt>
                <c:pt idx="51">
                  <c:v>0.83543795965842804</c:v>
                </c:pt>
                <c:pt idx="52">
                  <c:v>0.71578203593621503</c:v>
                </c:pt>
                <c:pt idx="53">
                  <c:v>0.68258454385554002</c:v>
                </c:pt>
                <c:pt idx="54">
                  <c:v>0.61163465428455099</c:v>
                </c:pt>
                <c:pt idx="55">
                  <c:v>0.430989098151915</c:v>
                </c:pt>
                <c:pt idx="56">
                  <c:v>0.40251850291654601</c:v>
                </c:pt>
                <c:pt idx="57">
                  <c:v>0.31716693838420401</c:v>
                </c:pt>
                <c:pt idx="58">
                  <c:v>0.23992442554588</c:v>
                </c:pt>
                <c:pt idx="59">
                  <c:v>3.72220386705919E-2</c:v>
                </c:pt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Implicit_Fracs!$A$175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Implicit_Fracs!$B$170:$V$170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Implicit_Fracs!$B$175:$V$175</c:f>
              <c:numCache>
                <c:formatCode>General</c:formatCode>
                <c:ptCount val="21"/>
                <c:pt idx="0">
                  <c:v>0.29169922001741955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Implicit_Fracs!$A$176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Implicit_Fracs!$B$170:$V$170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Implicit_Fracs!$B$176:$V$176</c:f>
              <c:numCache>
                <c:formatCode>General</c:formatCode>
                <c:ptCount val="21"/>
                <c:pt idx="0">
                  <c:v>0.39315927124859262</c:v>
                </c:pt>
                <c:pt idx="1">
                  <c:v>0.14357021277615326</c:v>
                </c:pt>
                <c:pt idx="2">
                  <c:v>0.14179523585619166</c:v>
                </c:pt>
                <c:pt idx="3">
                  <c:v>0.13942976140714677</c:v>
                </c:pt>
                <c:pt idx="4">
                  <c:v>0.13624294870505796</c:v>
                </c:pt>
                <c:pt idx="5">
                  <c:v>0.13219365779414924</c:v>
                </c:pt>
                <c:pt idx="6">
                  <c:v>0.12693782087602398</c:v>
                </c:pt>
                <c:pt idx="7">
                  <c:v>0.12024557381410513</c:v>
                </c:pt>
                <c:pt idx="8">
                  <c:v>0.111978348824644</c:v>
                </c:pt>
                <c:pt idx="9">
                  <c:v>0.10215175707062668</c:v>
                </c:pt>
                <c:pt idx="10">
                  <c:v>9.1039673250877071E-2</c:v>
                </c:pt>
                <c:pt idx="11">
                  <c:v>7.9287472905219397E-2</c:v>
                </c:pt>
                <c:pt idx="12">
                  <c:v>6.7800449470045085E-2</c:v>
                </c:pt>
                <c:pt idx="13">
                  <c:v>5.7612173694491148E-2</c:v>
                </c:pt>
                <c:pt idx="14">
                  <c:v>4.9603913578271798E-2</c:v>
                </c:pt>
                <c:pt idx="15">
                  <c:v>4.4075140277040799E-2</c:v>
                </c:pt>
                <c:pt idx="16">
                  <c:v>4.0712393015789036E-2</c:v>
                </c:pt>
                <c:pt idx="17">
                  <c:v>3.8575349545895893E-2</c:v>
                </c:pt>
                <c:pt idx="18">
                  <c:v>3.8832319253313631E-2</c:v>
                </c:pt>
                <c:pt idx="19">
                  <c:v>3.9858535946132187E-2</c:v>
                </c:pt>
                <c:pt idx="20">
                  <c:v>4.0060715757805246E-2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Implicit_Fracs!$A$186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Implicit_Fracs!$B$181:$V$181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Implicit_Fracs!$B$186:$V$186</c:f>
              <c:numCache>
                <c:formatCode>General</c:formatCode>
                <c:ptCount val="21"/>
                <c:pt idx="0">
                  <c:v>0.29170021604396201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Implicit_Fracs!$A$187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Implicit_Fracs!$B$181:$V$181</c:f>
              <c:numCache>
                <c:formatCode>General</c:formatCode>
                <c:ptCount val="21"/>
                <c:pt idx="0">
                  <c:v>0</c:v>
                </c:pt>
                <c:pt idx="1">
                  <c:v>0.21724642805272601</c:v>
                </c:pt>
                <c:pt idx="2">
                  <c:v>0.48168886660712001</c:v>
                </c:pt>
                <c:pt idx="3">
                  <c:v>0.803580480363007</c:v>
                </c:pt>
                <c:pt idx="4">
                  <c:v>1.19540189742749</c:v>
                </c:pt>
                <c:pt idx="5">
                  <c:v>1.67234511778379</c:v>
                </c:pt>
                <c:pt idx="6">
                  <c:v>2.25290254914646</c:v>
                </c:pt>
                <c:pt idx="7">
                  <c:v>2.9595840087521301</c:v>
                </c:pt>
                <c:pt idx="8">
                  <c:v>3.81978949122822</c:v>
                </c:pt>
                <c:pt idx="9">
                  <c:v>4.8668715421636204</c:v>
                </c:pt>
                <c:pt idx="10">
                  <c:v>6.1414284285428504</c:v>
                </c:pt>
                <c:pt idx="11">
                  <c:v>7.6928782458379796</c:v>
                </c:pt>
                <c:pt idx="12">
                  <c:v>9.5813749942435091</c:v>
                </c:pt>
                <c:pt idx="13">
                  <c:v>11.880140915629401</c:v>
                </c:pt>
                <c:pt idx="14">
                  <c:v>14.6783055223656</c:v>
                </c:pt>
                <c:pt idx="15">
                  <c:v>18.084361395018799</c:v>
                </c:pt>
                <c:pt idx="16">
                  <c:v>22.230370739754001</c:v>
                </c:pt>
                <c:pt idx="17">
                  <c:v>27.2770858053061</c:v>
                </c:pt>
                <c:pt idx="18">
                  <c:v>33.420181692249301</c:v>
                </c:pt>
                <c:pt idx="19">
                  <c:v>40.897843217816302</c:v>
                </c:pt>
                <c:pt idx="20">
                  <c:v>50</c:v>
                </c:pt>
              </c:numCache>
            </c:numRef>
          </c:xVal>
          <c:yVal>
            <c:numRef>
              <c:f>Implicit_Fracs!$B$187:$V$187</c:f>
              <c:numCache>
                <c:formatCode>General</c:formatCode>
                <c:ptCount val="21"/>
                <c:pt idx="0">
                  <c:v>0.39316095042739868</c:v>
                </c:pt>
                <c:pt idx="1">
                  <c:v>0.14357128097071212</c:v>
                </c:pt>
                <c:pt idx="2">
                  <c:v>0.14179617496162539</c:v>
                </c:pt>
                <c:pt idx="3">
                  <c:v>0.13943055592115711</c:v>
                </c:pt>
                <c:pt idx="4">
                  <c:v>0.1362435626550231</c:v>
                </c:pt>
                <c:pt idx="5">
                  <c:v>0.13219409057074424</c:v>
                </c:pt>
                <c:pt idx="6">
                  <c:v>0.12693807663502796</c:v>
                </c:pt>
                <c:pt idx="7">
                  <c:v>0.12024566992711004</c:v>
                </c:pt>
                <c:pt idx="8">
                  <c:v>0.11197831625818333</c:v>
                </c:pt>
                <c:pt idx="9">
                  <c:v>0.10215163855687745</c:v>
                </c:pt>
                <c:pt idx="10">
                  <c:v>9.1039517838059053E-2</c:v>
                </c:pt>
                <c:pt idx="11">
                  <c:v>7.9287327204756494E-2</c:v>
                </c:pt>
                <c:pt idx="12">
                  <c:v>6.7800349041107599E-2</c:v>
                </c:pt>
                <c:pt idx="13">
                  <c:v>5.761213688495103E-2</c:v>
                </c:pt>
                <c:pt idx="14">
                  <c:v>4.9603939923305591E-2</c:v>
                </c:pt>
                <c:pt idx="15">
                  <c:v>4.4075215979006543E-2</c:v>
                </c:pt>
                <c:pt idx="16">
                  <c:v>4.0712500360855122E-2</c:v>
                </c:pt>
                <c:pt idx="17">
                  <c:v>3.8575496490677805E-2</c:v>
                </c:pt>
                <c:pt idx="18">
                  <c:v>3.8832799297979566E-2</c:v>
                </c:pt>
                <c:pt idx="19">
                  <c:v>3.9859830931715717E-2</c:v>
                </c:pt>
                <c:pt idx="20">
                  <c:v>4.0061874582817555E-2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Implicit_Fracs!$F$4:$F$111</c:f>
              <c:numCache>
                <c:formatCode>General</c:formatCode>
                <c:ptCount val="108"/>
                <c:pt idx="0">
                  <c:v>-5.2367126805683798E-4</c:v>
                </c:pt>
                <c:pt idx="1">
                  <c:v>-8.9425709097921198E-4</c:v>
                </c:pt>
                <c:pt idx="2">
                  <c:v>-8.9680981884405402E-4</c:v>
                </c:pt>
                <c:pt idx="3">
                  <c:v>-8.9840472867512003E-4</c:v>
                </c:pt>
                <c:pt idx="4">
                  <c:v>-8.99571424546706E-4</c:v>
                </c:pt>
                <c:pt idx="5">
                  <c:v>-9.0049385393435198E-4</c:v>
                </c:pt>
                <c:pt idx="6">
                  <c:v>-9.0125810383614004E-4</c:v>
                </c:pt>
                <c:pt idx="7">
                  <c:v>-9.0191095301016104E-4</c:v>
                </c:pt>
                <c:pt idx="8">
                  <c:v>-9.0248193535470201E-4</c:v>
                </c:pt>
                <c:pt idx="9">
                  <c:v>-9.0298990652707702E-4</c:v>
                </c:pt>
                <c:pt idx="10">
                  <c:v>-9.0344790122883498E-4</c:v>
                </c:pt>
                <c:pt idx="11">
                  <c:v>-9.0386531046817201E-4</c:v>
                </c:pt>
                <c:pt idx="12">
                  <c:v>-9.0424912709035396E-4</c:v>
                </c:pt>
                <c:pt idx="13">
                  <c:v>-9.0460469901044202E-4</c:v>
                </c:pt>
                <c:pt idx="14">
                  <c:v>-9.0493620755162602E-4</c:v>
                </c:pt>
                <c:pt idx="15">
                  <c:v>-9.0524698619942601E-4</c:v>
                </c:pt>
                <c:pt idx="16">
                  <c:v>-9.0553973633760603E-4</c:v>
                </c:pt>
                <c:pt idx="17">
                  <c:v>-9.0581667846298397E-4</c:v>
                </c:pt>
                <c:pt idx="18">
                  <c:v>-9.0607966076030504E-4</c:v>
                </c:pt>
                <c:pt idx="19">
                  <c:v>-9.0633023870800703E-4</c:v>
                </c:pt>
                <c:pt idx="20">
                  <c:v>-9.0656973452992698E-4</c:v>
                </c:pt>
                <c:pt idx="21">
                  <c:v>-9.0679928232887601E-4</c:v>
                </c:pt>
                <c:pt idx="22">
                  <c:v>-9.0701986285704505E-4</c:v>
                </c:pt>
                <c:pt idx="23">
                  <c:v>-9.0723233065987503E-4</c:v>
                </c:pt>
                <c:pt idx="24">
                  <c:v>-9.0743743552273396E-4</c:v>
                </c:pt>
                <c:pt idx="25">
                  <c:v>-9.0763583960382305E-4</c:v>
                </c:pt>
                <c:pt idx="26">
                  <c:v>-9.0782813126059599E-4</c:v>
                </c:pt>
                <c:pt idx="27">
                  <c:v>-9.0801483631349498E-4</c:v>
                </c:pt>
                <c:pt idx="28">
                  <c:v>-9.0819642730337205E-4</c:v>
                </c:pt>
                <c:pt idx="29">
                  <c:v>-9.0837333116377302E-4</c:v>
                </c:pt>
                <c:pt idx="30">
                  <c:v>-9.0854593563050804E-4</c:v>
                </c:pt>
                <c:pt idx="31">
                  <c:v>-9.0871459463786599E-4</c:v>
                </c:pt>
                <c:pt idx="32">
                  <c:v>-9.0887963289637498E-4</c:v>
                </c:pt>
                <c:pt idx="33">
                  <c:v>-9.0904134980577395E-4</c:v>
                </c:pt>
                <c:pt idx="34">
                  <c:v>-9.0920002282564403E-4</c:v>
                </c:pt>
                <c:pt idx="35">
                  <c:v>-9.0935591040208503E-4</c:v>
                </c:pt>
                <c:pt idx="36">
                  <c:v>-9.0950925453036702E-4</c:v>
                </c:pt>
                <c:pt idx="37">
                  <c:v>-9.0966028301911104E-4</c:v>
                </c:pt>
                <c:pt idx="38">
                  <c:v>-9.0980921151044504E-4</c:v>
                </c:pt>
                <c:pt idx="39">
                  <c:v>-9.0995624532297695E-4</c:v>
                </c:pt>
                <c:pt idx="40">
                  <c:v>-9.1010158111557403E-4</c:v>
                </c:pt>
                <c:pt idx="41">
                  <c:v>-9.1024540842609097E-4</c:v>
                </c:pt>
                <c:pt idx="42">
                  <c:v>-9.1038791111590605E-4</c:v>
                </c:pt>
                <c:pt idx="43">
                  <c:v>-9.1052926874795302E-4</c:v>
                </c:pt>
                <c:pt idx="44">
                  <c:v>-9.1066965792437797E-4</c:v>
                </c:pt>
                <c:pt idx="45">
                  <c:v>-9.1080925360924304E-4</c:v>
                </c:pt>
                <c:pt idx="46">
                  <c:v>-9.1094823046194702E-4</c:v>
                </c:pt>
                <c:pt idx="47">
                  <c:v>-9.1108676420824299E-4</c:v>
                </c:pt>
                <c:pt idx="48">
                  <c:v>-9.1122503307801699E-4</c:v>
                </c:pt>
                <c:pt idx="49">
                  <c:v>-9.1136321934248102E-4</c:v>
                </c:pt>
                <c:pt idx="50">
                  <c:v>-9.1150151098847603E-4</c:v>
                </c:pt>
                <c:pt idx="51">
                  <c:v>-9.1164010357447703E-4</c:v>
                </c:pt>
                <c:pt idx="52">
                  <c:v>-9.1177920232221295E-4</c:v>
                </c:pt>
                <c:pt idx="53">
                  <c:v>-9.1191902451033503E-4</c:v>
                </c:pt>
                <c:pt idx="54">
                  <c:v>-9.1205980225337105E-4</c:v>
                </c:pt>
                <c:pt idx="55">
                  <c:v>-9.12201785771756E-4</c:v>
                </c:pt>
                <c:pt idx="56">
                  <c:v>-9.1234524728935995E-4</c:v>
                </c:pt>
                <c:pt idx="57">
                  <c:v>-9.1249048573670299E-4</c:v>
                </c:pt>
                <c:pt idx="58">
                  <c:v>-9.1263783249579604E-4</c:v>
                </c:pt>
                <c:pt idx="59">
                  <c:v>-9.1278765850315898E-4</c:v>
                </c:pt>
                <c:pt idx="60">
                  <c:v>-9.1294038314185396E-4</c:v>
                </c:pt>
                <c:pt idx="61">
                  <c:v>-9.1309648551770001E-4</c:v>
                </c:pt>
                <c:pt idx="62">
                  <c:v>-9.1325651895513504E-4</c:v>
                </c:pt>
                <c:pt idx="63">
                  <c:v>-9.1342112990626498E-4</c:v>
                </c:pt>
                <c:pt idx="64">
                  <c:v>-9.1359108301100405E-4</c:v>
                </c:pt>
                <c:pt idx="65">
                  <c:v>-9.1376729489299295E-4</c:v>
                </c:pt>
                <c:pt idx="66">
                  <c:v>-9.1395088062676104E-4</c:v>
                </c:pt>
                <c:pt idx="67">
                  <c:v>-9.1414321902813197E-4</c:v>
                </c:pt>
                <c:pt idx="68">
                  <c:v>-9.143460466751E-4</c:v>
                </c:pt>
                <c:pt idx="69">
                  <c:v>-9.1456159716235097E-4</c:v>
                </c:pt>
                <c:pt idx="70">
                  <c:v>-9.1479281416801403E-4</c:v>
                </c:pt>
                <c:pt idx="71">
                  <c:v>-9.1504369009902202E-4</c:v>
                </c:pt>
                <c:pt idx="72">
                  <c:v>-9.1531982916032498E-4</c:v>
                </c:pt>
                <c:pt idx="73">
                  <c:v>-9.1562943578698999E-4</c:v>
                </c:pt>
                <c:pt idx="74">
                  <c:v>-9.15985168992922E-4</c:v>
                </c:pt>
                <c:pt idx="75">
                  <c:v>-9.1640792274781397E-4</c:v>
                </c:pt>
                <c:pt idx="76">
                  <c:v>-9.1693540252102E-4</c:v>
                </c:pt>
                <c:pt idx="77">
                  <c:v>-9.17644588195765E-4</c:v>
                </c:pt>
                <c:pt idx="78">
                  <c:v>-9.1872443142597903E-4</c:v>
                </c:pt>
                <c:pt idx="79">
                  <c:v>-9.2082522343568305E-4</c:v>
                </c:pt>
                <c:pt idx="80">
                  <c:v>-9.2248100838736996E-4</c:v>
                </c:pt>
                <c:pt idx="81">
                  <c:v>-9.2412080701024905E-4</c:v>
                </c:pt>
                <c:pt idx="82">
                  <c:v>-9.2575444188087899E-4</c:v>
                </c:pt>
                <c:pt idx="83">
                  <c:v>-9.2738231908773099E-4</c:v>
                </c:pt>
                <c:pt idx="84">
                  <c:v>-9.2900492626552705E-4</c:v>
                </c:pt>
                <c:pt idx="85">
                  <c:v>-9.30622560596011E-4</c:v>
                </c:pt>
                <c:pt idx="86">
                  <c:v>-9.3223544912535204E-4</c:v>
                </c:pt>
                <c:pt idx="87">
                  <c:v>-9.3384376686803496E-4</c:v>
                </c:pt>
                <c:pt idx="88">
                  <c:v>-9.3544764967933404E-4</c:v>
                </c:pt>
                <c:pt idx="89">
                  <c:v>-9.3704720674823701E-4</c:v>
                </c:pt>
                <c:pt idx="90">
                  <c:v>-9.3864252839489799E-4</c:v>
                </c:pt>
                <c:pt idx="91">
                  <c:v>-9.4023369156475995E-4</c:v>
                </c:pt>
                <c:pt idx="92">
                  <c:v>-9.4182076294408302E-4</c:v>
                </c:pt>
                <c:pt idx="93">
                  <c:v>-9.4340380388253898E-4</c:v>
                </c:pt>
                <c:pt idx="94">
                  <c:v>-9.44982870036393E-4</c:v>
                </c:pt>
                <c:pt idx="95">
                  <c:v>-9.4655801348327495E-4</c:v>
                </c:pt>
                <c:pt idx="96">
                  <c:v>-9.4812928365686203E-4</c:v>
                </c:pt>
                <c:pt idx="97">
                  <c:v>-9.4969672801514902E-4</c:v>
                </c:pt>
                <c:pt idx="98">
                  <c:v>-9.5126039251403397E-4</c:v>
                </c:pt>
                <c:pt idx="99">
                  <c:v>-9.5282032194361104E-4</c:v>
                </c:pt>
                <c:pt idx="100">
                  <c:v>-9.5437656016744601E-4</c:v>
                </c:pt>
                <c:pt idx="101">
                  <c:v>-9.5592915029315401E-4</c:v>
                </c:pt>
                <c:pt idx="102">
                  <c:v>-9.5747813479427199E-4</c:v>
                </c:pt>
                <c:pt idx="103">
                  <c:v>-9.5902355559754099E-4</c:v>
                </c:pt>
                <c:pt idx="104">
                  <c:v>-9.6056545414558196E-4</c:v>
                </c:pt>
                <c:pt idx="105">
                  <c:v>-9.6210387144207102E-4</c:v>
                </c:pt>
                <c:pt idx="106">
                  <c:v>-9.6363884808443802E-4</c:v>
                </c:pt>
                <c:pt idx="107">
                  <c:v>-9.6517042428768095E-4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Implicit_Fracs!$C$4:$C$111</c:f>
              <c:numCache>
                <c:formatCode>General</c:formatCode>
                <c:ptCount val="108"/>
                <c:pt idx="0">
                  <c:v>5.2367126805683797E-2</c:v>
                </c:pt>
                <c:pt idx="1">
                  <c:v>8.9425709097921205E-2</c:v>
                </c:pt>
                <c:pt idx="2">
                  <c:v>8.9680981884405403E-2</c:v>
                </c:pt>
                <c:pt idx="3">
                  <c:v>8.9840472867511997E-2</c:v>
                </c:pt>
                <c:pt idx="4">
                  <c:v>8.9957142454670597E-2</c:v>
                </c:pt>
                <c:pt idx="5">
                  <c:v>9.0049385393435197E-2</c:v>
                </c:pt>
                <c:pt idx="6">
                  <c:v>9.0125810383614002E-2</c:v>
                </c:pt>
                <c:pt idx="7">
                  <c:v>9.01910953010161E-2</c:v>
                </c:pt>
                <c:pt idx="8">
                  <c:v>9.0248193535470297E-2</c:v>
                </c:pt>
                <c:pt idx="9">
                  <c:v>9.0298990652707703E-2</c:v>
                </c:pt>
                <c:pt idx="10">
                  <c:v>9.0344790122883503E-2</c:v>
                </c:pt>
                <c:pt idx="11">
                  <c:v>9.0386531046817306E-2</c:v>
                </c:pt>
                <c:pt idx="12">
                  <c:v>9.0424912709035396E-2</c:v>
                </c:pt>
                <c:pt idx="13">
                  <c:v>9.0460469901044199E-2</c:v>
                </c:pt>
                <c:pt idx="14">
                  <c:v>9.0493620755162596E-2</c:v>
                </c:pt>
                <c:pt idx="15">
                  <c:v>9.0524698619942598E-2</c:v>
                </c:pt>
                <c:pt idx="16">
                  <c:v>9.0553973633760595E-2</c:v>
                </c:pt>
                <c:pt idx="17">
                  <c:v>9.0581667846298397E-2</c:v>
                </c:pt>
                <c:pt idx="18">
                  <c:v>9.0607966076030499E-2</c:v>
                </c:pt>
                <c:pt idx="19">
                  <c:v>9.06330238708008E-2</c:v>
                </c:pt>
                <c:pt idx="20">
                  <c:v>9.0656973452992798E-2</c:v>
                </c:pt>
                <c:pt idx="21">
                  <c:v>9.0679928232887605E-2</c:v>
                </c:pt>
                <c:pt idx="22">
                  <c:v>9.07019862857045E-2</c:v>
                </c:pt>
                <c:pt idx="23">
                  <c:v>9.0723233065987605E-2</c:v>
                </c:pt>
                <c:pt idx="24">
                  <c:v>9.0743743552273395E-2</c:v>
                </c:pt>
                <c:pt idx="25">
                  <c:v>9.0763583960382296E-2</c:v>
                </c:pt>
                <c:pt idx="26">
                  <c:v>9.0782813126059597E-2</c:v>
                </c:pt>
                <c:pt idx="27">
                  <c:v>9.0801483631349503E-2</c:v>
                </c:pt>
                <c:pt idx="28">
                  <c:v>9.0819642730337199E-2</c:v>
                </c:pt>
                <c:pt idx="29">
                  <c:v>9.08373331163774E-2</c:v>
                </c:pt>
                <c:pt idx="30">
                  <c:v>9.0854593563050798E-2</c:v>
                </c:pt>
                <c:pt idx="31">
                  <c:v>9.0871459463786594E-2</c:v>
                </c:pt>
                <c:pt idx="32">
                  <c:v>9.0887963289637497E-2</c:v>
                </c:pt>
                <c:pt idx="33">
                  <c:v>9.0904134980577395E-2</c:v>
                </c:pt>
                <c:pt idx="34">
                  <c:v>9.0920002282564402E-2</c:v>
                </c:pt>
                <c:pt idx="35">
                  <c:v>9.0935591040208499E-2</c:v>
                </c:pt>
                <c:pt idx="36">
                  <c:v>9.0950925453036693E-2</c:v>
                </c:pt>
                <c:pt idx="37">
                  <c:v>9.0966028301911098E-2</c:v>
                </c:pt>
                <c:pt idx="38">
                  <c:v>9.0980921151044503E-2</c:v>
                </c:pt>
                <c:pt idx="39">
                  <c:v>9.0995624532297703E-2</c:v>
                </c:pt>
                <c:pt idx="40">
                  <c:v>9.1010158111557396E-2</c:v>
                </c:pt>
                <c:pt idx="41">
                  <c:v>9.1024540842609095E-2</c:v>
                </c:pt>
                <c:pt idx="42">
                  <c:v>9.1038791111590606E-2</c:v>
                </c:pt>
                <c:pt idx="43">
                  <c:v>9.1052926874795298E-2</c:v>
                </c:pt>
                <c:pt idx="44">
                  <c:v>9.1066965792437796E-2</c:v>
                </c:pt>
                <c:pt idx="45">
                  <c:v>9.1080925360924297E-2</c:v>
                </c:pt>
                <c:pt idx="46">
                  <c:v>9.1094823046194706E-2</c:v>
                </c:pt>
                <c:pt idx="47">
                  <c:v>9.1108676420824306E-2</c:v>
                </c:pt>
                <c:pt idx="48">
                  <c:v>9.1122503307801694E-2</c:v>
                </c:pt>
                <c:pt idx="49">
                  <c:v>9.1136321934248102E-2</c:v>
                </c:pt>
                <c:pt idx="50">
                  <c:v>9.1150151098847595E-2</c:v>
                </c:pt>
                <c:pt idx="51">
                  <c:v>9.11640103574477E-2</c:v>
                </c:pt>
                <c:pt idx="52">
                  <c:v>9.1177920232221196E-2</c:v>
                </c:pt>
                <c:pt idx="53">
                  <c:v>9.1191902451033396E-2</c:v>
                </c:pt>
                <c:pt idx="54">
                  <c:v>9.1205980225337102E-2</c:v>
                </c:pt>
                <c:pt idx="55">
                  <c:v>9.1220178577175598E-2</c:v>
                </c:pt>
                <c:pt idx="56">
                  <c:v>9.1234524728935895E-2</c:v>
                </c:pt>
                <c:pt idx="57">
                  <c:v>9.1249048573670305E-2</c:v>
                </c:pt>
                <c:pt idx="58">
                  <c:v>9.1263783249579594E-2</c:v>
                </c:pt>
                <c:pt idx="59">
                  <c:v>9.1278765850315899E-2</c:v>
                </c:pt>
                <c:pt idx="60">
                  <c:v>9.1294038314185394E-2</c:v>
                </c:pt>
                <c:pt idx="61">
                  <c:v>9.1309648551769998E-2</c:v>
                </c:pt>
                <c:pt idx="62">
                  <c:v>9.1325651895513504E-2</c:v>
                </c:pt>
                <c:pt idx="63">
                  <c:v>9.1342112990626501E-2</c:v>
                </c:pt>
                <c:pt idx="64">
                  <c:v>9.1359108301100403E-2</c:v>
                </c:pt>
                <c:pt idx="65">
                  <c:v>9.1376729489299299E-2</c:v>
                </c:pt>
                <c:pt idx="66">
                  <c:v>9.13950880626761E-2</c:v>
                </c:pt>
                <c:pt idx="67">
                  <c:v>9.1414321902813206E-2</c:v>
                </c:pt>
                <c:pt idx="68">
                  <c:v>9.1434604667509994E-2</c:v>
                </c:pt>
                <c:pt idx="69">
                  <c:v>9.1456159716235205E-2</c:v>
                </c:pt>
                <c:pt idx="70">
                  <c:v>9.1479281416801395E-2</c:v>
                </c:pt>
                <c:pt idx="71">
                  <c:v>9.1504369009902303E-2</c:v>
                </c:pt>
                <c:pt idx="72">
                  <c:v>9.1531982916032498E-2</c:v>
                </c:pt>
                <c:pt idx="73">
                  <c:v>9.1562943578698999E-2</c:v>
                </c:pt>
                <c:pt idx="74">
                  <c:v>9.1598516899292201E-2</c:v>
                </c:pt>
                <c:pt idx="75">
                  <c:v>9.1640792274781405E-2</c:v>
                </c:pt>
                <c:pt idx="76">
                  <c:v>9.1693540252101996E-2</c:v>
                </c:pt>
                <c:pt idx="77">
                  <c:v>9.1764458819576497E-2</c:v>
                </c:pt>
                <c:pt idx="78">
                  <c:v>9.1872443142597904E-2</c:v>
                </c:pt>
                <c:pt idx="79">
                  <c:v>9.2082522343568396E-2</c:v>
                </c:pt>
                <c:pt idx="80">
                  <c:v>9.2248100838737093E-2</c:v>
                </c:pt>
                <c:pt idx="81">
                  <c:v>9.2412080701024898E-2</c:v>
                </c:pt>
                <c:pt idx="82">
                  <c:v>9.2575444188087899E-2</c:v>
                </c:pt>
                <c:pt idx="83">
                  <c:v>9.2738231908773103E-2</c:v>
                </c:pt>
                <c:pt idx="84">
                  <c:v>9.29004926265527E-2</c:v>
                </c:pt>
                <c:pt idx="85">
                  <c:v>9.3062256059601098E-2</c:v>
                </c:pt>
                <c:pt idx="86">
                  <c:v>9.3223544912535206E-2</c:v>
                </c:pt>
                <c:pt idx="87">
                  <c:v>9.3384376686803494E-2</c:v>
                </c:pt>
                <c:pt idx="88">
                  <c:v>9.3544764967933403E-2</c:v>
                </c:pt>
                <c:pt idx="89">
                  <c:v>9.3704720674823702E-2</c:v>
                </c:pt>
                <c:pt idx="90">
                  <c:v>9.3864252839489806E-2</c:v>
                </c:pt>
                <c:pt idx="91">
                  <c:v>9.4023369156475994E-2</c:v>
                </c:pt>
                <c:pt idx="92">
                  <c:v>9.4182076294408307E-2</c:v>
                </c:pt>
                <c:pt idx="93">
                  <c:v>9.4340380388253903E-2</c:v>
                </c:pt>
                <c:pt idx="94">
                  <c:v>9.4498287003639297E-2</c:v>
                </c:pt>
                <c:pt idx="95">
                  <c:v>9.4655801348327503E-2</c:v>
                </c:pt>
                <c:pt idx="96">
                  <c:v>9.4812928365686194E-2</c:v>
                </c:pt>
                <c:pt idx="97">
                  <c:v>9.4969672801514901E-2</c:v>
                </c:pt>
                <c:pt idx="98">
                  <c:v>9.5126039251403394E-2</c:v>
                </c:pt>
                <c:pt idx="99">
                  <c:v>9.5282032194361099E-2</c:v>
                </c:pt>
                <c:pt idx="100">
                  <c:v>9.5437656016744601E-2</c:v>
                </c:pt>
                <c:pt idx="101">
                  <c:v>9.5592915029315398E-2</c:v>
                </c:pt>
                <c:pt idx="102">
                  <c:v>9.5747813479427193E-2</c:v>
                </c:pt>
                <c:pt idx="103">
                  <c:v>9.5902355559754099E-2</c:v>
                </c:pt>
                <c:pt idx="104">
                  <c:v>9.60565454145582E-2</c:v>
                </c:pt>
                <c:pt idx="105">
                  <c:v>9.6210387144207099E-2</c:v>
                </c:pt>
                <c:pt idx="106">
                  <c:v>9.6363884808443906E-2</c:v>
                </c:pt>
                <c:pt idx="107">
                  <c:v>9.6517042428768102E-2</c:v>
                </c:pt>
              </c:numCache>
            </c:numRef>
          </c:xVal>
          <c:yVal>
            <c:numRef>
              <c:f>Implicit_Fracs!$G$4:$G$111</c:f>
              <c:numCache>
                <c:formatCode>General</c:formatCode>
                <c:ptCount val="108"/>
                <c:pt idx="0">
                  <c:v>-5.2367126805683798E-4</c:v>
                </c:pt>
                <c:pt idx="1">
                  <c:v>-8.9425709097921198E-4</c:v>
                </c:pt>
                <c:pt idx="2">
                  <c:v>-8.9680981884405402E-4</c:v>
                </c:pt>
                <c:pt idx="3">
                  <c:v>-8.9840472867512003E-4</c:v>
                </c:pt>
                <c:pt idx="4">
                  <c:v>-8.99571424546706E-4</c:v>
                </c:pt>
                <c:pt idx="5">
                  <c:v>-9.0049385393435198E-4</c:v>
                </c:pt>
                <c:pt idx="6">
                  <c:v>-9.0125810383614004E-4</c:v>
                </c:pt>
                <c:pt idx="7">
                  <c:v>-9.0191095301016104E-4</c:v>
                </c:pt>
                <c:pt idx="8">
                  <c:v>-9.0248193535470201E-4</c:v>
                </c:pt>
                <c:pt idx="9">
                  <c:v>-9.0298990652707702E-4</c:v>
                </c:pt>
                <c:pt idx="10">
                  <c:v>-9.0344790122883498E-4</c:v>
                </c:pt>
                <c:pt idx="11">
                  <c:v>-9.0386531046817201E-4</c:v>
                </c:pt>
                <c:pt idx="12">
                  <c:v>-9.0424912709035396E-4</c:v>
                </c:pt>
                <c:pt idx="13">
                  <c:v>-9.0460469901044202E-4</c:v>
                </c:pt>
                <c:pt idx="14">
                  <c:v>-9.0493620755162602E-4</c:v>
                </c:pt>
                <c:pt idx="15">
                  <c:v>-9.0524698619942601E-4</c:v>
                </c:pt>
                <c:pt idx="16">
                  <c:v>-9.0553973633760603E-4</c:v>
                </c:pt>
                <c:pt idx="17">
                  <c:v>-9.0581667846298397E-4</c:v>
                </c:pt>
                <c:pt idx="18">
                  <c:v>-9.0607966076030504E-4</c:v>
                </c:pt>
                <c:pt idx="19">
                  <c:v>-9.0633023870800703E-4</c:v>
                </c:pt>
                <c:pt idx="20">
                  <c:v>-9.0656973452992698E-4</c:v>
                </c:pt>
                <c:pt idx="21">
                  <c:v>-9.0679928232887601E-4</c:v>
                </c:pt>
                <c:pt idx="22">
                  <c:v>-9.0701986285704505E-4</c:v>
                </c:pt>
                <c:pt idx="23">
                  <c:v>-9.0723233065987503E-4</c:v>
                </c:pt>
                <c:pt idx="24">
                  <c:v>-9.0743743552273396E-4</c:v>
                </c:pt>
                <c:pt idx="25">
                  <c:v>-9.0763583960382305E-4</c:v>
                </c:pt>
                <c:pt idx="26">
                  <c:v>-9.0782813126059599E-4</c:v>
                </c:pt>
                <c:pt idx="27">
                  <c:v>-9.0801483631349498E-4</c:v>
                </c:pt>
                <c:pt idx="28">
                  <c:v>-9.0819642730337205E-4</c:v>
                </c:pt>
                <c:pt idx="29">
                  <c:v>-9.0837333116377302E-4</c:v>
                </c:pt>
                <c:pt idx="30">
                  <c:v>-9.0854593563050804E-4</c:v>
                </c:pt>
                <c:pt idx="31">
                  <c:v>-9.0871459463786599E-4</c:v>
                </c:pt>
                <c:pt idx="32">
                  <c:v>-9.0887963289637498E-4</c:v>
                </c:pt>
                <c:pt idx="33">
                  <c:v>-9.0904134980577395E-4</c:v>
                </c:pt>
                <c:pt idx="34">
                  <c:v>-9.0920002282564403E-4</c:v>
                </c:pt>
                <c:pt idx="35">
                  <c:v>-9.0935591040208503E-4</c:v>
                </c:pt>
                <c:pt idx="36">
                  <c:v>-9.0950925453036702E-4</c:v>
                </c:pt>
                <c:pt idx="37">
                  <c:v>-9.0966028301911104E-4</c:v>
                </c:pt>
                <c:pt idx="38">
                  <c:v>-9.0980921151044504E-4</c:v>
                </c:pt>
                <c:pt idx="39">
                  <c:v>-9.0995624532297695E-4</c:v>
                </c:pt>
                <c:pt idx="40">
                  <c:v>-9.1010158111557403E-4</c:v>
                </c:pt>
                <c:pt idx="41">
                  <c:v>-9.1024540842609097E-4</c:v>
                </c:pt>
                <c:pt idx="42">
                  <c:v>-9.1038791111590605E-4</c:v>
                </c:pt>
                <c:pt idx="43">
                  <c:v>-9.1052926874795302E-4</c:v>
                </c:pt>
                <c:pt idx="44">
                  <c:v>-9.1066965792437797E-4</c:v>
                </c:pt>
                <c:pt idx="45">
                  <c:v>-9.1080925360924304E-4</c:v>
                </c:pt>
                <c:pt idx="46">
                  <c:v>-9.1094823046194702E-4</c:v>
                </c:pt>
                <c:pt idx="47">
                  <c:v>-9.1108676420824299E-4</c:v>
                </c:pt>
                <c:pt idx="48">
                  <c:v>-9.1122503307801699E-4</c:v>
                </c:pt>
                <c:pt idx="49">
                  <c:v>-9.1136321934248102E-4</c:v>
                </c:pt>
                <c:pt idx="50">
                  <c:v>-9.1150151098847603E-4</c:v>
                </c:pt>
                <c:pt idx="51">
                  <c:v>-9.1164010357447703E-4</c:v>
                </c:pt>
                <c:pt idx="52">
                  <c:v>-9.1177920232221295E-4</c:v>
                </c:pt>
                <c:pt idx="53">
                  <c:v>-9.1191902451033503E-4</c:v>
                </c:pt>
                <c:pt idx="54">
                  <c:v>-9.1205980225337105E-4</c:v>
                </c:pt>
                <c:pt idx="55">
                  <c:v>-9.12201785771756E-4</c:v>
                </c:pt>
                <c:pt idx="56">
                  <c:v>-9.1234524728935995E-4</c:v>
                </c:pt>
                <c:pt idx="57">
                  <c:v>-9.1249048573670299E-4</c:v>
                </c:pt>
                <c:pt idx="58">
                  <c:v>-9.1263783249579604E-4</c:v>
                </c:pt>
                <c:pt idx="59">
                  <c:v>-9.1278765850315898E-4</c:v>
                </c:pt>
                <c:pt idx="60">
                  <c:v>-9.1294038314185396E-4</c:v>
                </c:pt>
                <c:pt idx="61">
                  <c:v>-9.1309648551770001E-4</c:v>
                </c:pt>
                <c:pt idx="62">
                  <c:v>-9.1325651895513504E-4</c:v>
                </c:pt>
                <c:pt idx="63">
                  <c:v>-9.1342112990626498E-4</c:v>
                </c:pt>
                <c:pt idx="64">
                  <c:v>-9.1359108301100405E-4</c:v>
                </c:pt>
                <c:pt idx="65">
                  <c:v>-9.1376729489299295E-4</c:v>
                </c:pt>
                <c:pt idx="66">
                  <c:v>-9.1395088062676104E-4</c:v>
                </c:pt>
                <c:pt idx="67">
                  <c:v>-9.1414321902813197E-4</c:v>
                </c:pt>
                <c:pt idx="68">
                  <c:v>-9.143460466751E-4</c:v>
                </c:pt>
                <c:pt idx="69">
                  <c:v>-9.1456159716235097E-4</c:v>
                </c:pt>
                <c:pt idx="70">
                  <c:v>-9.1479281416801403E-4</c:v>
                </c:pt>
                <c:pt idx="71">
                  <c:v>-9.1504369009902202E-4</c:v>
                </c:pt>
                <c:pt idx="72">
                  <c:v>-9.1531982916032498E-4</c:v>
                </c:pt>
                <c:pt idx="73">
                  <c:v>-9.1562943578698999E-4</c:v>
                </c:pt>
                <c:pt idx="74">
                  <c:v>-9.15985168992922E-4</c:v>
                </c:pt>
                <c:pt idx="75">
                  <c:v>-9.1640792274781397E-4</c:v>
                </c:pt>
                <c:pt idx="76">
                  <c:v>-9.1693540252102E-4</c:v>
                </c:pt>
                <c:pt idx="77">
                  <c:v>-9.17644588195765E-4</c:v>
                </c:pt>
                <c:pt idx="78">
                  <c:v>-9.1872443142597903E-4</c:v>
                </c:pt>
                <c:pt idx="79">
                  <c:v>-9.2082522343568305E-4</c:v>
                </c:pt>
                <c:pt idx="80">
                  <c:v>-9.2248100838736996E-4</c:v>
                </c:pt>
                <c:pt idx="81">
                  <c:v>-9.2412080701024905E-4</c:v>
                </c:pt>
                <c:pt idx="82">
                  <c:v>-9.2575444188087899E-4</c:v>
                </c:pt>
                <c:pt idx="83">
                  <c:v>-9.2738231908773099E-4</c:v>
                </c:pt>
                <c:pt idx="84">
                  <c:v>-9.2900492626552705E-4</c:v>
                </c:pt>
                <c:pt idx="85">
                  <c:v>-9.30622560596011E-4</c:v>
                </c:pt>
                <c:pt idx="86">
                  <c:v>-9.3223544912535204E-4</c:v>
                </c:pt>
                <c:pt idx="87">
                  <c:v>-9.3384376686803496E-4</c:v>
                </c:pt>
                <c:pt idx="88">
                  <c:v>-9.3544764967933404E-4</c:v>
                </c:pt>
                <c:pt idx="89">
                  <c:v>-9.3704720674823701E-4</c:v>
                </c:pt>
                <c:pt idx="90">
                  <c:v>-9.3864252839489799E-4</c:v>
                </c:pt>
                <c:pt idx="91">
                  <c:v>-9.4023369156475995E-4</c:v>
                </c:pt>
                <c:pt idx="92">
                  <c:v>-9.4182076294408302E-4</c:v>
                </c:pt>
                <c:pt idx="93">
                  <c:v>-9.4340380388253898E-4</c:v>
                </c:pt>
                <c:pt idx="94">
                  <c:v>-9.44982870036393E-4</c:v>
                </c:pt>
                <c:pt idx="95">
                  <c:v>-9.4655801348327495E-4</c:v>
                </c:pt>
                <c:pt idx="96">
                  <c:v>-9.4812928365686203E-4</c:v>
                </c:pt>
                <c:pt idx="97">
                  <c:v>-9.4969672801514902E-4</c:v>
                </c:pt>
                <c:pt idx="98">
                  <c:v>-9.5126039251403397E-4</c:v>
                </c:pt>
                <c:pt idx="99">
                  <c:v>-9.5282032194361104E-4</c:v>
                </c:pt>
                <c:pt idx="100">
                  <c:v>-9.5437656016744601E-4</c:v>
                </c:pt>
                <c:pt idx="101">
                  <c:v>-9.5592915029315401E-4</c:v>
                </c:pt>
                <c:pt idx="102">
                  <c:v>-9.5747813479427199E-4</c:v>
                </c:pt>
                <c:pt idx="103">
                  <c:v>-9.5902355559754099E-4</c:v>
                </c:pt>
                <c:pt idx="104">
                  <c:v>-9.6056545414558196E-4</c:v>
                </c:pt>
                <c:pt idx="105">
                  <c:v>-9.6210387144207102E-4</c:v>
                </c:pt>
                <c:pt idx="106">
                  <c:v>-9.6363884808443802E-4</c:v>
                </c:pt>
                <c:pt idx="107">
                  <c:v>-9.6517042428768095E-4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Dip 90deg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Implicit_Fracs!$C$3:$C$111</c:f>
              <c:numCache>
                <c:formatCode>General</c:formatCode>
                <c:ptCount val="109"/>
                <c:pt idx="0">
                  <c:v>0</c:v>
                </c:pt>
                <c:pt idx="1">
                  <c:v>5.2367126805683797E-2</c:v>
                </c:pt>
                <c:pt idx="2">
                  <c:v>8.9425709097921205E-2</c:v>
                </c:pt>
                <c:pt idx="3">
                  <c:v>8.9680981884405403E-2</c:v>
                </c:pt>
                <c:pt idx="4">
                  <c:v>8.9840472867511997E-2</c:v>
                </c:pt>
                <c:pt idx="5">
                  <c:v>8.9957142454670597E-2</c:v>
                </c:pt>
                <c:pt idx="6">
                  <c:v>9.0049385393435197E-2</c:v>
                </c:pt>
                <c:pt idx="7">
                  <c:v>9.0125810383614002E-2</c:v>
                </c:pt>
                <c:pt idx="8">
                  <c:v>9.01910953010161E-2</c:v>
                </c:pt>
                <c:pt idx="9">
                  <c:v>9.0248193535470297E-2</c:v>
                </c:pt>
                <c:pt idx="10">
                  <c:v>9.0298990652707703E-2</c:v>
                </c:pt>
                <c:pt idx="11">
                  <c:v>9.0344790122883503E-2</c:v>
                </c:pt>
                <c:pt idx="12">
                  <c:v>9.0386531046817306E-2</c:v>
                </c:pt>
                <c:pt idx="13">
                  <c:v>9.0424912709035396E-2</c:v>
                </c:pt>
                <c:pt idx="14">
                  <c:v>9.0460469901044199E-2</c:v>
                </c:pt>
                <c:pt idx="15">
                  <c:v>9.0493620755162596E-2</c:v>
                </c:pt>
                <c:pt idx="16">
                  <c:v>9.0524698619942598E-2</c:v>
                </c:pt>
                <c:pt idx="17">
                  <c:v>9.0553973633760595E-2</c:v>
                </c:pt>
                <c:pt idx="18">
                  <c:v>9.0581667846298397E-2</c:v>
                </c:pt>
                <c:pt idx="19">
                  <c:v>9.0607966076030499E-2</c:v>
                </c:pt>
                <c:pt idx="20">
                  <c:v>9.06330238708008E-2</c:v>
                </c:pt>
                <c:pt idx="21">
                  <c:v>9.0656973452992798E-2</c:v>
                </c:pt>
                <c:pt idx="22">
                  <c:v>9.0679928232887605E-2</c:v>
                </c:pt>
                <c:pt idx="23">
                  <c:v>9.07019862857045E-2</c:v>
                </c:pt>
                <c:pt idx="24">
                  <c:v>9.0723233065987605E-2</c:v>
                </c:pt>
                <c:pt idx="25">
                  <c:v>9.0743743552273395E-2</c:v>
                </c:pt>
                <c:pt idx="26">
                  <c:v>9.0763583960382296E-2</c:v>
                </c:pt>
                <c:pt idx="27">
                  <c:v>9.0782813126059597E-2</c:v>
                </c:pt>
                <c:pt idx="28">
                  <c:v>9.0801483631349503E-2</c:v>
                </c:pt>
                <c:pt idx="29">
                  <c:v>9.0819642730337199E-2</c:v>
                </c:pt>
                <c:pt idx="30">
                  <c:v>9.08373331163774E-2</c:v>
                </c:pt>
                <c:pt idx="31">
                  <c:v>9.0854593563050798E-2</c:v>
                </c:pt>
                <c:pt idx="32">
                  <c:v>9.0871459463786594E-2</c:v>
                </c:pt>
                <c:pt idx="33">
                  <c:v>9.0887963289637497E-2</c:v>
                </c:pt>
                <c:pt idx="34">
                  <c:v>9.0904134980577395E-2</c:v>
                </c:pt>
                <c:pt idx="35">
                  <c:v>9.0920002282564402E-2</c:v>
                </c:pt>
                <c:pt idx="36">
                  <c:v>9.0935591040208499E-2</c:v>
                </c:pt>
                <c:pt idx="37">
                  <c:v>9.0950925453036693E-2</c:v>
                </c:pt>
                <c:pt idx="38">
                  <c:v>9.0966028301911098E-2</c:v>
                </c:pt>
                <c:pt idx="39">
                  <c:v>9.0980921151044503E-2</c:v>
                </c:pt>
                <c:pt idx="40">
                  <c:v>9.0995624532297703E-2</c:v>
                </c:pt>
                <c:pt idx="41">
                  <c:v>9.1010158111557396E-2</c:v>
                </c:pt>
                <c:pt idx="42">
                  <c:v>9.1024540842609095E-2</c:v>
                </c:pt>
                <c:pt idx="43">
                  <c:v>9.1038791111590606E-2</c:v>
                </c:pt>
                <c:pt idx="44">
                  <c:v>9.1052926874795298E-2</c:v>
                </c:pt>
                <c:pt idx="45">
                  <c:v>9.1066965792437796E-2</c:v>
                </c:pt>
                <c:pt idx="46">
                  <c:v>9.1080925360924297E-2</c:v>
                </c:pt>
                <c:pt idx="47">
                  <c:v>9.1094823046194706E-2</c:v>
                </c:pt>
                <c:pt idx="48">
                  <c:v>9.1108676420824306E-2</c:v>
                </c:pt>
                <c:pt idx="49">
                  <c:v>9.1122503307801694E-2</c:v>
                </c:pt>
                <c:pt idx="50">
                  <c:v>9.1136321934248102E-2</c:v>
                </c:pt>
                <c:pt idx="51">
                  <c:v>9.1150151098847595E-2</c:v>
                </c:pt>
                <c:pt idx="52">
                  <c:v>9.11640103574477E-2</c:v>
                </c:pt>
                <c:pt idx="53">
                  <c:v>9.1177920232221196E-2</c:v>
                </c:pt>
                <c:pt idx="54">
                  <c:v>9.1191902451033396E-2</c:v>
                </c:pt>
                <c:pt idx="55">
                  <c:v>9.1205980225337102E-2</c:v>
                </c:pt>
                <c:pt idx="56">
                  <c:v>9.1220178577175598E-2</c:v>
                </c:pt>
                <c:pt idx="57">
                  <c:v>9.1234524728935895E-2</c:v>
                </c:pt>
                <c:pt idx="58">
                  <c:v>9.1249048573670305E-2</c:v>
                </c:pt>
                <c:pt idx="59">
                  <c:v>9.1263783249579594E-2</c:v>
                </c:pt>
                <c:pt idx="60">
                  <c:v>9.1278765850315899E-2</c:v>
                </c:pt>
                <c:pt idx="61">
                  <c:v>9.1294038314185394E-2</c:v>
                </c:pt>
                <c:pt idx="62">
                  <c:v>9.1309648551769998E-2</c:v>
                </c:pt>
                <c:pt idx="63">
                  <c:v>9.1325651895513504E-2</c:v>
                </c:pt>
                <c:pt idx="64">
                  <c:v>9.1342112990626501E-2</c:v>
                </c:pt>
                <c:pt idx="65">
                  <c:v>9.1359108301100403E-2</c:v>
                </c:pt>
                <c:pt idx="66">
                  <c:v>9.1376729489299299E-2</c:v>
                </c:pt>
                <c:pt idx="67">
                  <c:v>9.13950880626761E-2</c:v>
                </c:pt>
                <c:pt idx="68">
                  <c:v>9.1414321902813206E-2</c:v>
                </c:pt>
                <c:pt idx="69">
                  <c:v>9.1434604667509994E-2</c:v>
                </c:pt>
                <c:pt idx="70">
                  <c:v>9.1456159716235205E-2</c:v>
                </c:pt>
                <c:pt idx="71">
                  <c:v>9.1479281416801395E-2</c:v>
                </c:pt>
                <c:pt idx="72">
                  <c:v>9.1504369009902303E-2</c:v>
                </c:pt>
                <c:pt idx="73">
                  <c:v>9.1531982916032498E-2</c:v>
                </c:pt>
                <c:pt idx="74">
                  <c:v>9.1562943578698999E-2</c:v>
                </c:pt>
                <c:pt idx="75">
                  <c:v>9.1598516899292201E-2</c:v>
                </c:pt>
                <c:pt idx="76">
                  <c:v>9.1640792274781405E-2</c:v>
                </c:pt>
                <c:pt idx="77">
                  <c:v>9.1693540252101996E-2</c:v>
                </c:pt>
                <c:pt idx="78">
                  <c:v>9.1764458819576497E-2</c:v>
                </c:pt>
                <c:pt idx="79">
                  <c:v>9.1872443142597904E-2</c:v>
                </c:pt>
                <c:pt idx="80">
                  <c:v>9.2082522343568396E-2</c:v>
                </c:pt>
                <c:pt idx="81">
                  <c:v>9.2248100838737093E-2</c:v>
                </c:pt>
                <c:pt idx="82">
                  <c:v>9.2412080701024898E-2</c:v>
                </c:pt>
                <c:pt idx="83">
                  <c:v>9.2575444188087899E-2</c:v>
                </c:pt>
                <c:pt idx="84">
                  <c:v>9.2738231908773103E-2</c:v>
                </c:pt>
                <c:pt idx="85">
                  <c:v>9.29004926265527E-2</c:v>
                </c:pt>
                <c:pt idx="86">
                  <c:v>9.3062256059601098E-2</c:v>
                </c:pt>
                <c:pt idx="87">
                  <c:v>9.3223544912535206E-2</c:v>
                </c:pt>
                <c:pt idx="88">
                  <c:v>9.3384376686803494E-2</c:v>
                </c:pt>
                <c:pt idx="89">
                  <c:v>9.3544764967933403E-2</c:v>
                </c:pt>
                <c:pt idx="90">
                  <c:v>9.3704720674823702E-2</c:v>
                </c:pt>
                <c:pt idx="91">
                  <c:v>9.3864252839489806E-2</c:v>
                </c:pt>
                <c:pt idx="92">
                  <c:v>9.4023369156475994E-2</c:v>
                </c:pt>
                <c:pt idx="93">
                  <c:v>9.4182076294408307E-2</c:v>
                </c:pt>
                <c:pt idx="94">
                  <c:v>9.4340380388253903E-2</c:v>
                </c:pt>
                <c:pt idx="95">
                  <c:v>9.4498287003639297E-2</c:v>
                </c:pt>
                <c:pt idx="96">
                  <c:v>9.4655801348327503E-2</c:v>
                </c:pt>
                <c:pt idx="97">
                  <c:v>9.4812928365686194E-2</c:v>
                </c:pt>
                <c:pt idx="98">
                  <c:v>9.4969672801514901E-2</c:v>
                </c:pt>
                <c:pt idx="99">
                  <c:v>9.5126039251403394E-2</c:v>
                </c:pt>
                <c:pt idx="100">
                  <c:v>9.5282032194361099E-2</c:v>
                </c:pt>
                <c:pt idx="101">
                  <c:v>9.5437656016744601E-2</c:v>
                </c:pt>
                <c:pt idx="102">
                  <c:v>9.5592915029315398E-2</c:v>
                </c:pt>
                <c:pt idx="103">
                  <c:v>9.5747813479427193E-2</c:v>
                </c:pt>
                <c:pt idx="104">
                  <c:v>9.5902355559754099E-2</c:v>
                </c:pt>
                <c:pt idx="105">
                  <c:v>9.60565454145582E-2</c:v>
                </c:pt>
                <c:pt idx="106">
                  <c:v>9.6210387144207099E-2</c:v>
                </c:pt>
                <c:pt idx="107">
                  <c:v>9.6363884808443906E-2</c:v>
                </c:pt>
                <c:pt idx="108">
                  <c:v>9.6517042428768102E-2</c:v>
                </c:pt>
              </c:numCache>
            </c:numRef>
          </c:xVal>
          <c:yVal>
            <c:numRef>
              <c:f>Implicit_Fracs!$I$3:$I$111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Dip 90deg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Implicit_Fracs!$C$3:$C$111</c:f>
              <c:numCache>
                <c:formatCode>General</c:formatCode>
                <c:ptCount val="109"/>
                <c:pt idx="0">
                  <c:v>0</c:v>
                </c:pt>
                <c:pt idx="1">
                  <c:v>5.2367126805683797E-2</c:v>
                </c:pt>
                <c:pt idx="2">
                  <c:v>8.9425709097921205E-2</c:v>
                </c:pt>
                <c:pt idx="3">
                  <c:v>8.9680981884405403E-2</c:v>
                </c:pt>
                <c:pt idx="4">
                  <c:v>8.9840472867511997E-2</c:v>
                </c:pt>
                <c:pt idx="5">
                  <c:v>8.9957142454670597E-2</c:v>
                </c:pt>
                <c:pt idx="6">
                  <c:v>9.0049385393435197E-2</c:v>
                </c:pt>
                <c:pt idx="7">
                  <c:v>9.0125810383614002E-2</c:v>
                </c:pt>
                <c:pt idx="8">
                  <c:v>9.01910953010161E-2</c:v>
                </c:pt>
                <c:pt idx="9">
                  <c:v>9.0248193535470297E-2</c:v>
                </c:pt>
                <c:pt idx="10">
                  <c:v>9.0298990652707703E-2</c:v>
                </c:pt>
                <c:pt idx="11">
                  <c:v>9.0344790122883503E-2</c:v>
                </c:pt>
                <c:pt idx="12">
                  <c:v>9.0386531046817306E-2</c:v>
                </c:pt>
                <c:pt idx="13">
                  <c:v>9.0424912709035396E-2</c:v>
                </c:pt>
                <c:pt idx="14">
                  <c:v>9.0460469901044199E-2</c:v>
                </c:pt>
                <c:pt idx="15">
                  <c:v>9.0493620755162596E-2</c:v>
                </c:pt>
                <c:pt idx="16">
                  <c:v>9.0524698619942598E-2</c:v>
                </c:pt>
                <c:pt idx="17">
                  <c:v>9.0553973633760595E-2</c:v>
                </c:pt>
                <c:pt idx="18">
                  <c:v>9.0581667846298397E-2</c:v>
                </c:pt>
                <c:pt idx="19">
                  <c:v>9.0607966076030499E-2</c:v>
                </c:pt>
                <c:pt idx="20">
                  <c:v>9.06330238708008E-2</c:v>
                </c:pt>
                <c:pt idx="21">
                  <c:v>9.0656973452992798E-2</c:v>
                </c:pt>
                <c:pt idx="22">
                  <c:v>9.0679928232887605E-2</c:v>
                </c:pt>
                <c:pt idx="23">
                  <c:v>9.07019862857045E-2</c:v>
                </c:pt>
                <c:pt idx="24">
                  <c:v>9.0723233065987605E-2</c:v>
                </c:pt>
                <c:pt idx="25">
                  <c:v>9.0743743552273395E-2</c:v>
                </c:pt>
                <c:pt idx="26">
                  <c:v>9.0763583960382296E-2</c:v>
                </c:pt>
                <c:pt idx="27">
                  <c:v>9.0782813126059597E-2</c:v>
                </c:pt>
                <c:pt idx="28">
                  <c:v>9.0801483631349503E-2</c:v>
                </c:pt>
                <c:pt idx="29">
                  <c:v>9.0819642730337199E-2</c:v>
                </c:pt>
                <c:pt idx="30">
                  <c:v>9.08373331163774E-2</c:v>
                </c:pt>
                <c:pt idx="31">
                  <c:v>9.0854593563050798E-2</c:v>
                </c:pt>
                <c:pt idx="32">
                  <c:v>9.0871459463786594E-2</c:v>
                </c:pt>
                <c:pt idx="33">
                  <c:v>9.0887963289637497E-2</c:v>
                </c:pt>
                <c:pt idx="34">
                  <c:v>9.0904134980577395E-2</c:v>
                </c:pt>
                <c:pt idx="35">
                  <c:v>9.0920002282564402E-2</c:v>
                </c:pt>
                <c:pt idx="36">
                  <c:v>9.0935591040208499E-2</c:v>
                </c:pt>
                <c:pt idx="37">
                  <c:v>9.0950925453036693E-2</c:v>
                </c:pt>
                <c:pt idx="38">
                  <c:v>9.0966028301911098E-2</c:v>
                </c:pt>
                <c:pt idx="39">
                  <c:v>9.0980921151044503E-2</c:v>
                </c:pt>
                <c:pt idx="40">
                  <c:v>9.0995624532297703E-2</c:v>
                </c:pt>
                <c:pt idx="41">
                  <c:v>9.1010158111557396E-2</c:v>
                </c:pt>
                <c:pt idx="42">
                  <c:v>9.1024540842609095E-2</c:v>
                </c:pt>
                <c:pt idx="43">
                  <c:v>9.1038791111590606E-2</c:v>
                </c:pt>
                <c:pt idx="44">
                  <c:v>9.1052926874795298E-2</c:v>
                </c:pt>
                <c:pt idx="45">
                  <c:v>9.1066965792437796E-2</c:v>
                </c:pt>
                <c:pt idx="46">
                  <c:v>9.1080925360924297E-2</c:v>
                </c:pt>
                <c:pt idx="47">
                  <c:v>9.1094823046194706E-2</c:v>
                </c:pt>
                <c:pt idx="48">
                  <c:v>9.1108676420824306E-2</c:v>
                </c:pt>
                <c:pt idx="49">
                  <c:v>9.1122503307801694E-2</c:v>
                </c:pt>
                <c:pt idx="50">
                  <c:v>9.1136321934248102E-2</c:v>
                </c:pt>
                <c:pt idx="51">
                  <c:v>9.1150151098847595E-2</c:v>
                </c:pt>
                <c:pt idx="52">
                  <c:v>9.11640103574477E-2</c:v>
                </c:pt>
                <c:pt idx="53">
                  <c:v>9.1177920232221196E-2</c:v>
                </c:pt>
                <c:pt idx="54">
                  <c:v>9.1191902451033396E-2</c:v>
                </c:pt>
                <c:pt idx="55">
                  <c:v>9.1205980225337102E-2</c:v>
                </c:pt>
                <c:pt idx="56">
                  <c:v>9.1220178577175598E-2</c:v>
                </c:pt>
                <c:pt idx="57">
                  <c:v>9.1234524728935895E-2</c:v>
                </c:pt>
                <c:pt idx="58">
                  <c:v>9.1249048573670305E-2</c:v>
                </c:pt>
                <c:pt idx="59">
                  <c:v>9.1263783249579594E-2</c:v>
                </c:pt>
                <c:pt idx="60">
                  <c:v>9.1278765850315899E-2</c:v>
                </c:pt>
                <c:pt idx="61">
                  <c:v>9.1294038314185394E-2</c:v>
                </c:pt>
                <c:pt idx="62">
                  <c:v>9.1309648551769998E-2</c:v>
                </c:pt>
                <c:pt idx="63">
                  <c:v>9.1325651895513504E-2</c:v>
                </c:pt>
                <c:pt idx="64">
                  <c:v>9.1342112990626501E-2</c:v>
                </c:pt>
                <c:pt idx="65">
                  <c:v>9.1359108301100403E-2</c:v>
                </c:pt>
                <c:pt idx="66">
                  <c:v>9.1376729489299299E-2</c:v>
                </c:pt>
                <c:pt idx="67">
                  <c:v>9.13950880626761E-2</c:v>
                </c:pt>
                <c:pt idx="68">
                  <c:v>9.1414321902813206E-2</c:v>
                </c:pt>
                <c:pt idx="69">
                  <c:v>9.1434604667509994E-2</c:v>
                </c:pt>
                <c:pt idx="70">
                  <c:v>9.1456159716235205E-2</c:v>
                </c:pt>
                <c:pt idx="71">
                  <c:v>9.1479281416801395E-2</c:v>
                </c:pt>
                <c:pt idx="72">
                  <c:v>9.1504369009902303E-2</c:v>
                </c:pt>
                <c:pt idx="73">
                  <c:v>9.1531982916032498E-2</c:v>
                </c:pt>
                <c:pt idx="74">
                  <c:v>9.1562943578698999E-2</c:v>
                </c:pt>
                <c:pt idx="75">
                  <c:v>9.1598516899292201E-2</c:v>
                </c:pt>
                <c:pt idx="76">
                  <c:v>9.1640792274781405E-2</c:v>
                </c:pt>
                <c:pt idx="77">
                  <c:v>9.1693540252101996E-2</c:v>
                </c:pt>
                <c:pt idx="78">
                  <c:v>9.1764458819576497E-2</c:v>
                </c:pt>
                <c:pt idx="79">
                  <c:v>9.1872443142597904E-2</c:v>
                </c:pt>
                <c:pt idx="80">
                  <c:v>9.2082522343568396E-2</c:v>
                </c:pt>
                <c:pt idx="81">
                  <c:v>9.2248100838737093E-2</c:v>
                </c:pt>
                <c:pt idx="82">
                  <c:v>9.2412080701024898E-2</c:v>
                </c:pt>
                <c:pt idx="83">
                  <c:v>9.2575444188087899E-2</c:v>
                </c:pt>
                <c:pt idx="84">
                  <c:v>9.2738231908773103E-2</c:v>
                </c:pt>
                <c:pt idx="85">
                  <c:v>9.29004926265527E-2</c:v>
                </c:pt>
                <c:pt idx="86">
                  <c:v>9.3062256059601098E-2</c:v>
                </c:pt>
                <c:pt idx="87">
                  <c:v>9.3223544912535206E-2</c:v>
                </c:pt>
                <c:pt idx="88">
                  <c:v>9.3384376686803494E-2</c:v>
                </c:pt>
                <c:pt idx="89">
                  <c:v>9.3544764967933403E-2</c:v>
                </c:pt>
                <c:pt idx="90">
                  <c:v>9.3704720674823702E-2</c:v>
                </c:pt>
                <c:pt idx="91">
                  <c:v>9.3864252839489806E-2</c:v>
                </c:pt>
                <c:pt idx="92">
                  <c:v>9.4023369156475994E-2</c:v>
                </c:pt>
                <c:pt idx="93">
                  <c:v>9.4182076294408307E-2</c:v>
                </c:pt>
                <c:pt idx="94">
                  <c:v>9.4340380388253903E-2</c:v>
                </c:pt>
                <c:pt idx="95">
                  <c:v>9.4498287003639297E-2</c:v>
                </c:pt>
                <c:pt idx="96">
                  <c:v>9.4655801348327503E-2</c:v>
                </c:pt>
                <c:pt idx="97">
                  <c:v>9.4812928365686194E-2</c:v>
                </c:pt>
                <c:pt idx="98">
                  <c:v>9.4969672801514901E-2</c:v>
                </c:pt>
                <c:pt idx="99">
                  <c:v>9.5126039251403394E-2</c:v>
                </c:pt>
                <c:pt idx="100">
                  <c:v>9.5282032194361099E-2</c:v>
                </c:pt>
                <c:pt idx="101">
                  <c:v>9.5437656016744601E-2</c:v>
                </c:pt>
                <c:pt idx="102">
                  <c:v>9.5592915029315398E-2</c:v>
                </c:pt>
                <c:pt idx="103">
                  <c:v>9.5747813479427193E-2</c:v>
                </c:pt>
                <c:pt idx="104">
                  <c:v>9.5902355559754099E-2</c:v>
                </c:pt>
                <c:pt idx="105">
                  <c:v>9.60565454145582E-2</c:v>
                </c:pt>
                <c:pt idx="106">
                  <c:v>9.6210387144207099E-2</c:v>
                </c:pt>
                <c:pt idx="107">
                  <c:v>9.6363884808443906E-2</c:v>
                </c:pt>
                <c:pt idx="108">
                  <c:v>9.6517042428768102E-2</c:v>
                </c:pt>
              </c:numCache>
            </c:numRef>
          </c:xVal>
          <c:yVal>
            <c:numRef>
              <c:f>Implicit_Fracs!$AK$3:$AK$111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Implicit_Fracs!$C$3:$C$111</c:f>
              <c:numCache>
                <c:formatCode>General</c:formatCode>
                <c:ptCount val="109"/>
                <c:pt idx="0">
                  <c:v>0</c:v>
                </c:pt>
                <c:pt idx="1">
                  <c:v>5.2367126805683797E-2</c:v>
                </c:pt>
                <c:pt idx="2">
                  <c:v>8.9425709097921205E-2</c:v>
                </c:pt>
                <c:pt idx="3">
                  <c:v>8.9680981884405403E-2</c:v>
                </c:pt>
                <c:pt idx="4">
                  <c:v>8.9840472867511997E-2</c:v>
                </c:pt>
                <c:pt idx="5">
                  <c:v>8.9957142454670597E-2</c:v>
                </c:pt>
                <c:pt idx="6">
                  <c:v>9.0049385393435197E-2</c:v>
                </c:pt>
                <c:pt idx="7">
                  <c:v>9.0125810383614002E-2</c:v>
                </c:pt>
                <c:pt idx="8">
                  <c:v>9.01910953010161E-2</c:v>
                </c:pt>
                <c:pt idx="9">
                  <c:v>9.0248193535470297E-2</c:v>
                </c:pt>
                <c:pt idx="10">
                  <c:v>9.0298990652707703E-2</c:v>
                </c:pt>
                <c:pt idx="11">
                  <c:v>9.0344790122883503E-2</c:v>
                </c:pt>
                <c:pt idx="12">
                  <c:v>9.0386531046817306E-2</c:v>
                </c:pt>
                <c:pt idx="13">
                  <c:v>9.0424912709035396E-2</c:v>
                </c:pt>
                <c:pt idx="14">
                  <c:v>9.0460469901044199E-2</c:v>
                </c:pt>
                <c:pt idx="15">
                  <c:v>9.0493620755162596E-2</c:v>
                </c:pt>
                <c:pt idx="16">
                  <c:v>9.0524698619942598E-2</c:v>
                </c:pt>
                <c:pt idx="17">
                  <c:v>9.0553973633760595E-2</c:v>
                </c:pt>
                <c:pt idx="18">
                  <c:v>9.0581667846298397E-2</c:v>
                </c:pt>
                <c:pt idx="19">
                  <c:v>9.0607966076030499E-2</c:v>
                </c:pt>
                <c:pt idx="20">
                  <c:v>9.06330238708008E-2</c:v>
                </c:pt>
                <c:pt idx="21">
                  <c:v>9.0656973452992798E-2</c:v>
                </c:pt>
                <c:pt idx="22">
                  <c:v>9.0679928232887605E-2</c:v>
                </c:pt>
                <c:pt idx="23">
                  <c:v>9.07019862857045E-2</c:v>
                </c:pt>
                <c:pt idx="24">
                  <c:v>9.0723233065987605E-2</c:v>
                </c:pt>
                <c:pt idx="25">
                  <c:v>9.0743743552273395E-2</c:v>
                </c:pt>
                <c:pt idx="26">
                  <c:v>9.0763583960382296E-2</c:v>
                </c:pt>
                <c:pt idx="27">
                  <c:v>9.0782813126059597E-2</c:v>
                </c:pt>
                <c:pt idx="28">
                  <c:v>9.0801483631349503E-2</c:v>
                </c:pt>
                <c:pt idx="29">
                  <c:v>9.0819642730337199E-2</c:v>
                </c:pt>
                <c:pt idx="30">
                  <c:v>9.08373331163774E-2</c:v>
                </c:pt>
                <c:pt idx="31">
                  <c:v>9.0854593563050798E-2</c:v>
                </c:pt>
                <c:pt idx="32">
                  <c:v>9.0871459463786594E-2</c:v>
                </c:pt>
                <c:pt idx="33">
                  <c:v>9.0887963289637497E-2</c:v>
                </c:pt>
                <c:pt idx="34">
                  <c:v>9.0904134980577395E-2</c:v>
                </c:pt>
                <c:pt idx="35">
                  <c:v>9.0920002282564402E-2</c:v>
                </c:pt>
                <c:pt idx="36">
                  <c:v>9.0935591040208499E-2</c:v>
                </c:pt>
                <c:pt idx="37">
                  <c:v>9.0950925453036693E-2</c:v>
                </c:pt>
                <c:pt idx="38">
                  <c:v>9.0966028301911098E-2</c:v>
                </c:pt>
                <c:pt idx="39">
                  <c:v>9.0980921151044503E-2</c:v>
                </c:pt>
                <c:pt idx="40">
                  <c:v>9.0995624532297703E-2</c:v>
                </c:pt>
                <c:pt idx="41">
                  <c:v>9.1010158111557396E-2</c:v>
                </c:pt>
                <c:pt idx="42">
                  <c:v>9.1024540842609095E-2</c:v>
                </c:pt>
                <c:pt idx="43">
                  <c:v>9.1038791111590606E-2</c:v>
                </c:pt>
                <c:pt idx="44">
                  <c:v>9.1052926874795298E-2</c:v>
                </c:pt>
                <c:pt idx="45">
                  <c:v>9.1066965792437796E-2</c:v>
                </c:pt>
                <c:pt idx="46">
                  <c:v>9.1080925360924297E-2</c:v>
                </c:pt>
                <c:pt idx="47">
                  <c:v>9.1094823046194706E-2</c:v>
                </c:pt>
                <c:pt idx="48">
                  <c:v>9.1108676420824306E-2</c:v>
                </c:pt>
                <c:pt idx="49">
                  <c:v>9.1122503307801694E-2</c:v>
                </c:pt>
                <c:pt idx="50">
                  <c:v>9.1136321934248102E-2</c:v>
                </c:pt>
                <c:pt idx="51">
                  <c:v>9.1150151098847595E-2</c:v>
                </c:pt>
                <c:pt idx="52">
                  <c:v>9.11640103574477E-2</c:v>
                </c:pt>
                <c:pt idx="53">
                  <c:v>9.1177920232221196E-2</c:v>
                </c:pt>
                <c:pt idx="54">
                  <c:v>9.1191902451033396E-2</c:v>
                </c:pt>
                <c:pt idx="55">
                  <c:v>9.1205980225337102E-2</c:v>
                </c:pt>
                <c:pt idx="56">
                  <c:v>9.1220178577175598E-2</c:v>
                </c:pt>
                <c:pt idx="57">
                  <c:v>9.1234524728935895E-2</c:v>
                </c:pt>
                <c:pt idx="58">
                  <c:v>9.1249048573670305E-2</c:v>
                </c:pt>
                <c:pt idx="59">
                  <c:v>9.1263783249579594E-2</c:v>
                </c:pt>
                <c:pt idx="60">
                  <c:v>9.1278765850315899E-2</c:v>
                </c:pt>
                <c:pt idx="61">
                  <c:v>9.1294038314185394E-2</c:v>
                </c:pt>
                <c:pt idx="62">
                  <c:v>9.1309648551769998E-2</c:v>
                </c:pt>
                <c:pt idx="63">
                  <c:v>9.1325651895513504E-2</c:v>
                </c:pt>
                <c:pt idx="64">
                  <c:v>9.1342112990626501E-2</c:v>
                </c:pt>
                <c:pt idx="65">
                  <c:v>9.1359108301100403E-2</c:v>
                </c:pt>
                <c:pt idx="66">
                  <c:v>9.1376729489299299E-2</c:v>
                </c:pt>
                <c:pt idx="67">
                  <c:v>9.13950880626761E-2</c:v>
                </c:pt>
                <c:pt idx="68">
                  <c:v>9.1414321902813206E-2</c:v>
                </c:pt>
                <c:pt idx="69">
                  <c:v>9.1434604667509994E-2</c:v>
                </c:pt>
                <c:pt idx="70">
                  <c:v>9.1456159716235205E-2</c:v>
                </c:pt>
                <c:pt idx="71">
                  <c:v>9.1479281416801395E-2</c:v>
                </c:pt>
                <c:pt idx="72">
                  <c:v>9.1504369009902303E-2</c:v>
                </c:pt>
                <c:pt idx="73">
                  <c:v>9.1531982916032498E-2</c:v>
                </c:pt>
                <c:pt idx="74">
                  <c:v>9.1562943578698999E-2</c:v>
                </c:pt>
                <c:pt idx="75">
                  <c:v>9.1598516899292201E-2</c:v>
                </c:pt>
                <c:pt idx="76">
                  <c:v>9.1640792274781405E-2</c:v>
                </c:pt>
                <c:pt idx="77">
                  <c:v>9.1693540252101996E-2</c:v>
                </c:pt>
                <c:pt idx="78">
                  <c:v>9.1764458819576497E-2</c:v>
                </c:pt>
                <c:pt idx="79">
                  <c:v>9.1872443142597904E-2</c:v>
                </c:pt>
                <c:pt idx="80">
                  <c:v>9.2082522343568396E-2</c:v>
                </c:pt>
                <c:pt idx="81">
                  <c:v>9.2248100838737093E-2</c:v>
                </c:pt>
                <c:pt idx="82">
                  <c:v>9.2412080701024898E-2</c:v>
                </c:pt>
                <c:pt idx="83">
                  <c:v>9.2575444188087899E-2</c:v>
                </c:pt>
                <c:pt idx="84">
                  <c:v>9.2738231908773103E-2</c:v>
                </c:pt>
                <c:pt idx="85">
                  <c:v>9.29004926265527E-2</c:v>
                </c:pt>
                <c:pt idx="86">
                  <c:v>9.3062256059601098E-2</c:v>
                </c:pt>
                <c:pt idx="87">
                  <c:v>9.3223544912535206E-2</c:v>
                </c:pt>
                <c:pt idx="88">
                  <c:v>9.3384376686803494E-2</c:v>
                </c:pt>
                <c:pt idx="89">
                  <c:v>9.3544764967933403E-2</c:v>
                </c:pt>
                <c:pt idx="90">
                  <c:v>9.3704720674823702E-2</c:v>
                </c:pt>
                <c:pt idx="91">
                  <c:v>9.3864252839489806E-2</c:v>
                </c:pt>
                <c:pt idx="92">
                  <c:v>9.4023369156475994E-2</c:v>
                </c:pt>
                <c:pt idx="93">
                  <c:v>9.4182076294408307E-2</c:v>
                </c:pt>
                <c:pt idx="94">
                  <c:v>9.4340380388253903E-2</c:v>
                </c:pt>
                <c:pt idx="95">
                  <c:v>9.4498287003639297E-2</c:v>
                </c:pt>
                <c:pt idx="96">
                  <c:v>9.4655801348327503E-2</c:v>
                </c:pt>
                <c:pt idx="97">
                  <c:v>9.4812928365686194E-2</c:v>
                </c:pt>
                <c:pt idx="98">
                  <c:v>9.4969672801514901E-2</c:v>
                </c:pt>
                <c:pt idx="99">
                  <c:v>9.5126039251403394E-2</c:v>
                </c:pt>
                <c:pt idx="100">
                  <c:v>9.5282032194361099E-2</c:v>
                </c:pt>
                <c:pt idx="101">
                  <c:v>9.5437656016744601E-2</c:v>
                </c:pt>
                <c:pt idx="102">
                  <c:v>9.5592915029315398E-2</c:v>
                </c:pt>
                <c:pt idx="103">
                  <c:v>9.5747813479427193E-2</c:v>
                </c:pt>
                <c:pt idx="104">
                  <c:v>9.5902355559754099E-2</c:v>
                </c:pt>
                <c:pt idx="105">
                  <c:v>9.60565454145582E-2</c:v>
                </c:pt>
                <c:pt idx="106">
                  <c:v>9.6210387144207099E-2</c:v>
                </c:pt>
                <c:pt idx="107">
                  <c:v>9.6363884808443906E-2</c:v>
                </c:pt>
                <c:pt idx="108">
                  <c:v>9.6517042428768102E-2</c:v>
                </c:pt>
              </c:numCache>
            </c:numRef>
          </c:xVal>
          <c:yVal>
            <c:numRef>
              <c:f>Implicit_Fracs!$W$3:$W$111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2950789.6976008299</c:v>
                </c:pt>
                <c:pt idx="3">
                  <c:v>2967349.5122513101</c:v>
                </c:pt>
                <c:pt idx="4">
                  <c:v>2977682.6546819299</c:v>
                </c:pt>
                <c:pt idx="5">
                  <c:v>2985235.4457893702</c:v>
                </c:pt>
                <c:pt idx="6">
                  <c:v>2991203.4555419302</c:v>
                </c:pt>
                <c:pt idx="7">
                  <c:v>2996145.7820816701</c:v>
                </c:pt>
                <c:pt idx="8">
                  <c:v>3000366.0781257502</c:v>
                </c:pt>
                <c:pt idx="9">
                  <c:v>3004055.9471425102</c:v>
                </c:pt>
                <c:pt idx="10">
                  <c:v>3007337.6808050699</c:v>
                </c:pt>
                <c:pt idx="11">
                  <c:v>3010295.7913577701</c:v>
                </c:pt>
                <c:pt idx="12">
                  <c:v>3012991.1498807902</c:v>
                </c:pt>
                <c:pt idx="13">
                  <c:v>3015469.07177753</c:v>
                </c:pt>
                <c:pt idx="14">
                  <c:v>3017764.20520656</c:v>
                </c:pt>
                <c:pt idx="15">
                  <c:v>3019903.6347349598</c:v>
                </c:pt>
                <c:pt idx="16">
                  <c:v>3021908.9490032699</c:v>
                </c:pt>
                <c:pt idx="17">
                  <c:v>3023797.6399125699</c:v>
                </c:pt>
                <c:pt idx="18">
                  <c:v>3025584.0831750599</c:v>
                </c:pt>
                <c:pt idx="19">
                  <c:v>3027280.2422496099</c:v>
                </c:pt>
                <c:pt idx="20">
                  <c:v>3028896.1843789201</c:v>
                </c:pt>
                <c:pt idx="21">
                  <c:v>3030440.4659237298</c:v>
                </c:pt>
                <c:pt idx="22">
                  <c:v>3031920.4248546101</c:v>
                </c:pt>
                <c:pt idx="23">
                  <c:v>3033342.4060549801</c:v>
                </c:pt>
                <c:pt idx="24">
                  <c:v>3034711.9371842402</c:v>
                </c:pt>
                <c:pt idx="25">
                  <c:v>3036033.8676126101</c:v>
                </c:pt>
                <c:pt idx="26">
                  <c:v>3037312.4793976601</c:v>
                </c:pt>
                <c:pt idx="27">
                  <c:v>3038551.5768331601</c:v>
                </c:pt>
                <c:pt idx="28">
                  <c:v>3039754.5593920401</c:v>
                </c:pt>
                <c:pt idx="29">
                  <c:v>3040924.4816696802</c:v>
                </c:pt>
                <c:pt idx="30">
                  <c:v>3042064.1030575498</c:v>
                </c:pt>
                <c:pt idx="31">
                  <c:v>3043175.92923625</c:v>
                </c:pt>
                <c:pt idx="32">
                  <c:v>3044262.2471042098</c:v>
                </c:pt>
                <c:pt idx="33">
                  <c:v>3045325.1544045</c:v>
                </c:pt>
                <c:pt idx="34">
                  <c:v>3046366.5850455901</c:v>
                </c:pt>
                <c:pt idx="35">
                  <c:v>3047388.33090882</c:v>
                </c:pt>
                <c:pt idx="36">
                  <c:v>3048392.0607802798</c:v>
                </c:pt>
                <c:pt idx="37">
                  <c:v>3049379.33692428</c:v>
                </c:pt>
                <c:pt idx="38">
                  <c:v>3050351.6297231298</c:v>
                </c:pt>
                <c:pt idx="39">
                  <c:v>3051310.3307354399</c:v>
                </c:pt>
                <c:pt idx="40">
                  <c:v>3052256.7646049201</c:v>
                </c:pt>
                <c:pt idx="41">
                  <c:v>3053192.1998078101</c:v>
                </c:pt>
                <c:pt idx="42">
                  <c:v>3054117.85858856</c:v>
                </c:pt>
                <c:pt idx="43">
                  <c:v>3055034.9262830401</c:v>
                </c:pt>
                <c:pt idx="44">
                  <c:v>3055944.5602082098</c:v>
                </c:pt>
                <c:pt idx="45">
                  <c:v>3056847.8982867799</c:v>
                </c:pt>
                <c:pt idx="46">
                  <c:v>3057746.0675706798</c:v>
                </c:pt>
                <c:pt idx="47">
                  <c:v>3058640.1928288802</c:v>
                </c:pt>
                <c:pt idx="48">
                  <c:v>3059531.4053723998</c:v>
                </c:pt>
                <c:pt idx="49">
                  <c:v>3060420.85230406</c:v>
                </c:pt>
                <c:pt idx="50">
                  <c:v>3061309.7064030101</c:v>
                </c:pt>
                <c:pt idx="51">
                  <c:v>3062199.1768859602</c:v>
                </c:pt>
                <c:pt idx="52">
                  <c:v>3063090.52133149</c:v>
                </c:pt>
                <c:pt idx="53">
                  <c:v>3063985.0591134699</c:v>
                </c:pt>
                <c:pt idx="54">
                  <c:v>3064884.1867698799</c:v>
                </c:pt>
                <c:pt idx="55">
                  <c:v>3065789.3958409401</c:v>
                </c:pt>
                <c:pt idx="56">
                  <c:v>3066702.2938552001</c:v>
                </c:pt>
                <c:pt idx="57">
                  <c:v>3067624.6293385299</c:v>
                </c:pt>
                <c:pt idx="58">
                  <c:v>3068558.32198876</c:v>
                </c:pt>
                <c:pt idx="59">
                  <c:v>3069505.4995289599</c:v>
                </c:pt>
                <c:pt idx="60">
                  <c:v>3070468.54326919</c:v>
                </c:pt>
                <c:pt idx="61">
                  <c:v>3071450.1451393799</c:v>
                </c:pt>
                <c:pt idx="62">
                  <c:v>3072453.3800093699</c:v>
                </c:pt>
                <c:pt idx="63">
                  <c:v>3073481.79865273</c:v>
                </c:pt>
                <c:pt idx="64">
                  <c:v>3074539.5490067001</c:v>
                </c:pt>
                <c:pt idx="65">
                  <c:v>3075631.53687006</c:v>
                </c:pt>
                <c:pt idx="66">
                  <c:v>3076763.6426089602</c:v>
                </c:pt>
                <c:pt idx="67">
                  <c:v>3077943.0190995098</c:v>
                </c:pt>
                <c:pt idx="68">
                  <c:v>3079178.5103433901</c:v>
                </c:pt>
                <c:pt idx="69">
                  <c:v>3080481.2542616501</c:v>
                </c:pt>
                <c:pt idx="70">
                  <c:v>3081865.5754467598</c:v>
                </c:pt>
                <c:pt idx="71">
                  <c:v>3083350.3510407601</c:v>
                </c:pt>
                <c:pt idx="72">
                  <c:v>3084961.1815023501</c:v>
                </c:pt>
                <c:pt idx="73">
                  <c:v>3086733.9996970999</c:v>
                </c:pt>
                <c:pt idx="74">
                  <c:v>3088721.4058803902</c:v>
                </c:pt>
                <c:pt idx="75">
                  <c:v>3091004.5512279202</c:v>
                </c:pt>
                <c:pt idx="76">
                  <c:v>3093717.36120525</c:v>
                </c:pt>
                <c:pt idx="77">
                  <c:v>3097101.4823509101</c:v>
                </c:pt>
                <c:pt idx="78">
                  <c:v>3101650.1634418499</c:v>
                </c:pt>
                <c:pt idx="79">
                  <c:v>3108573.7674373202</c:v>
                </c:pt>
                <c:pt idx="80">
                  <c:v>3122036.0908166301</c:v>
                </c:pt>
                <c:pt idx="81">
                  <c:v>3132635.5686745099</c:v>
                </c:pt>
                <c:pt idx="82">
                  <c:v>3143124.0198288499</c:v>
                </c:pt>
                <c:pt idx="83">
                  <c:v>3153564.4793495201</c:v>
                </c:pt>
                <c:pt idx="84">
                  <c:v>3163959.6441036998</c:v>
                </c:pt>
                <c:pt idx="85">
                  <c:v>3174312.7223041002</c:v>
                </c:pt>
                <c:pt idx="86">
                  <c:v>3184625.6974034002</c:v>
                </c:pt>
                <c:pt idx="87">
                  <c:v>3194900.0995489</c:v>
                </c:pt>
                <c:pt idx="88">
                  <c:v>3205137.1226753201</c:v>
                </c:pt>
                <c:pt idx="89">
                  <c:v>3215337.7077482301</c:v>
                </c:pt>
                <c:pt idx="90">
                  <c:v>3225502.6231861501</c:v>
                </c:pt>
                <c:pt idx="91">
                  <c:v>3235632.5150751299</c:v>
                </c:pt>
                <c:pt idx="92">
                  <c:v>3245727.9425251302</c:v>
                </c:pt>
                <c:pt idx="93">
                  <c:v>3255789.3977753301</c:v>
                </c:pt>
                <c:pt idx="94">
                  <c:v>3265817.33764872</c:v>
                </c:pt>
                <c:pt idx="95">
                  <c:v>3275812.1814393802</c:v>
                </c:pt>
                <c:pt idx="96">
                  <c:v>3285774.3244407801</c:v>
                </c:pt>
                <c:pt idx="97">
                  <c:v>3295704.1439515399</c:v>
                </c:pt>
                <c:pt idx="98">
                  <c:v>3305602.0035701799</c:v>
                </c:pt>
                <c:pt idx="99">
                  <c:v>3315468.25624078</c:v>
                </c:pt>
                <c:pt idx="100">
                  <c:v>3325303.2464185399</c:v>
                </c:pt>
                <c:pt idx="101">
                  <c:v>3335107.3116136598</c:v>
                </c:pt>
                <c:pt idx="102">
                  <c:v>3344880.78349549</c:v>
                </c:pt>
                <c:pt idx="103">
                  <c:v>3354623.9886849602</c:v>
                </c:pt>
                <c:pt idx="104">
                  <c:v>3364337.2493257402</c:v>
                </c:pt>
                <c:pt idx="105">
                  <c:v>3374020.88349819</c:v>
                </c:pt>
                <c:pt idx="106">
                  <c:v>3383675.20552136</c:v>
                </c:pt>
                <c:pt idx="107">
                  <c:v>3393300.52617535</c:v>
                </c:pt>
                <c:pt idx="108">
                  <c:v>3402897.1528667901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Implicit_Fracs!$C$3:$C$111</c:f>
              <c:numCache>
                <c:formatCode>General</c:formatCode>
                <c:ptCount val="109"/>
                <c:pt idx="0">
                  <c:v>0</c:v>
                </c:pt>
                <c:pt idx="1">
                  <c:v>5.2367126805683797E-2</c:v>
                </c:pt>
                <c:pt idx="2">
                  <c:v>8.9425709097921205E-2</c:v>
                </c:pt>
                <c:pt idx="3">
                  <c:v>8.9680981884405403E-2</c:v>
                </c:pt>
                <c:pt idx="4">
                  <c:v>8.9840472867511997E-2</c:v>
                </c:pt>
                <c:pt idx="5">
                  <c:v>8.9957142454670597E-2</c:v>
                </c:pt>
                <c:pt idx="6">
                  <c:v>9.0049385393435197E-2</c:v>
                </c:pt>
                <c:pt idx="7">
                  <c:v>9.0125810383614002E-2</c:v>
                </c:pt>
                <c:pt idx="8">
                  <c:v>9.01910953010161E-2</c:v>
                </c:pt>
                <c:pt idx="9">
                  <c:v>9.0248193535470297E-2</c:v>
                </c:pt>
                <c:pt idx="10">
                  <c:v>9.0298990652707703E-2</c:v>
                </c:pt>
                <c:pt idx="11">
                  <c:v>9.0344790122883503E-2</c:v>
                </c:pt>
                <c:pt idx="12">
                  <c:v>9.0386531046817306E-2</c:v>
                </c:pt>
                <c:pt idx="13">
                  <c:v>9.0424912709035396E-2</c:v>
                </c:pt>
                <c:pt idx="14">
                  <c:v>9.0460469901044199E-2</c:v>
                </c:pt>
                <c:pt idx="15">
                  <c:v>9.0493620755162596E-2</c:v>
                </c:pt>
                <c:pt idx="16">
                  <c:v>9.0524698619942598E-2</c:v>
                </c:pt>
                <c:pt idx="17">
                  <c:v>9.0553973633760595E-2</c:v>
                </c:pt>
                <c:pt idx="18">
                  <c:v>9.0581667846298397E-2</c:v>
                </c:pt>
                <c:pt idx="19">
                  <c:v>9.0607966076030499E-2</c:v>
                </c:pt>
                <c:pt idx="20">
                  <c:v>9.06330238708008E-2</c:v>
                </c:pt>
                <c:pt idx="21">
                  <c:v>9.0656973452992798E-2</c:v>
                </c:pt>
                <c:pt idx="22">
                  <c:v>9.0679928232887605E-2</c:v>
                </c:pt>
                <c:pt idx="23">
                  <c:v>9.07019862857045E-2</c:v>
                </c:pt>
                <c:pt idx="24">
                  <c:v>9.0723233065987605E-2</c:v>
                </c:pt>
                <c:pt idx="25">
                  <c:v>9.0743743552273395E-2</c:v>
                </c:pt>
                <c:pt idx="26">
                  <c:v>9.0763583960382296E-2</c:v>
                </c:pt>
                <c:pt idx="27">
                  <c:v>9.0782813126059597E-2</c:v>
                </c:pt>
                <c:pt idx="28">
                  <c:v>9.0801483631349503E-2</c:v>
                </c:pt>
                <c:pt idx="29">
                  <c:v>9.0819642730337199E-2</c:v>
                </c:pt>
                <c:pt idx="30">
                  <c:v>9.08373331163774E-2</c:v>
                </c:pt>
                <c:pt idx="31">
                  <c:v>9.0854593563050798E-2</c:v>
                </c:pt>
                <c:pt idx="32">
                  <c:v>9.0871459463786594E-2</c:v>
                </c:pt>
                <c:pt idx="33">
                  <c:v>9.0887963289637497E-2</c:v>
                </c:pt>
                <c:pt idx="34">
                  <c:v>9.0904134980577395E-2</c:v>
                </c:pt>
                <c:pt idx="35">
                  <c:v>9.0920002282564402E-2</c:v>
                </c:pt>
                <c:pt idx="36">
                  <c:v>9.0935591040208499E-2</c:v>
                </c:pt>
                <c:pt idx="37">
                  <c:v>9.0950925453036693E-2</c:v>
                </c:pt>
                <c:pt idx="38">
                  <c:v>9.0966028301911098E-2</c:v>
                </c:pt>
                <c:pt idx="39">
                  <c:v>9.0980921151044503E-2</c:v>
                </c:pt>
                <c:pt idx="40">
                  <c:v>9.0995624532297703E-2</c:v>
                </c:pt>
                <c:pt idx="41">
                  <c:v>9.1010158111557396E-2</c:v>
                </c:pt>
                <c:pt idx="42">
                  <c:v>9.1024540842609095E-2</c:v>
                </c:pt>
                <c:pt idx="43">
                  <c:v>9.1038791111590606E-2</c:v>
                </c:pt>
                <c:pt idx="44">
                  <c:v>9.1052926874795298E-2</c:v>
                </c:pt>
                <c:pt idx="45">
                  <c:v>9.1066965792437796E-2</c:v>
                </c:pt>
                <c:pt idx="46">
                  <c:v>9.1080925360924297E-2</c:v>
                </c:pt>
                <c:pt idx="47">
                  <c:v>9.1094823046194706E-2</c:v>
                </c:pt>
                <c:pt idx="48">
                  <c:v>9.1108676420824306E-2</c:v>
                </c:pt>
                <c:pt idx="49">
                  <c:v>9.1122503307801694E-2</c:v>
                </c:pt>
                <c:pt idx="50">
                  <c:v>9.1136321934248102E-2</c:v>
                </c:pt>
                <c:pt idx="51">
                  <c:v>9.1150151098847595E-2</c:v>
                </c:pt>
                <c:pt idx="52">
                  <c:v>9.11640103574477E-2</c:v>
                </c:pt>
                <c:pt idx="53">
                  <c:v>9.1177920232221196E-2</c:v>
                </c:pt>
                <c:pt idx="54">
                  <c:v>9.1191902451033396E-2</c:v>
                </c:pt>
                <c:pt idx="55">
                  <c:v>9.1205980225337102E-2</c:v>
                </c:pt>
                <c:pt idx="56">
                  <c:v>9.1220178577175598E-2</c:v>
                </c:pt>
                <c:pt idx="57">
                  <c:v>9.1234524728935895E-2</c:v>
                </c:pt>
                <c:pt idx="58">
                  <c:v>9.1249048573670305E-2</c:v>
                </c:pt>
                <c:pt idx="59">
                  <c:v>9.1263783249579594E-2</c:v>
                </c:pt>
                <c:pt idx="60">
                  <c:v>9.1278765850315899E-2</c:v>
                </c:pt>
                <c:pt idx="61">
                  <c:v>9.1294038314185394E-2</c:v>
                </c:pt>
                <c:pt idx="62">
                  <c:v>9.1309648551769998E-2</c:v>
                </c:pt>
                <c:pt idx="63">
                  <c:v>9.1325651895513504E-2</c:v>
                </c:pt>
                <c:pt idx="64">
                  <c:v>9.1342112990626501E-2</c:v>
                </c:pt>
                <c:pt idx="65">
                  <c:v>9.1359108301100403E-2</c:v>
                </c:pt>
                <c:pt idx="66">
                  <c:v>9.1376729489299299E-2</c:v>
                </c:pt>
                <c:pt idx="67">
                  <c:v>9.13950880626761E-2</c:v>
                </c:pt>
                <c:pt idx="68">
                  <c:v>9.1414321902813206E-2</c:v>
                </c:pt>
                <c:pt idx="69">
                  <c:v>9.1434604667509994E-2</c:v>
                </c:pt>
                <c:pt idx="70">
                  <c:v>9.1456159716235205E-2</c:v>
                </c:pt>
                <c:pt idx="71">
                  <c:v>9.1479281416801395E-2</c:v>
                </c:pt>
                <c:pt idx="72">
                  <c:v>9.1504369009902303E-2</c:v>
                </c:pt>
                <c:pt idx="73">
                  <c:v>9.1531982916032498E-2</c:v>
                </c:pt>
                <c:pt idx="74">
                  <c:v>9.1562943578698999E-2</c:v>
                </c:pt>
                <c:pt idx="75">
                  <c:v>9.1598516899292201E-2</c:v>
                </c:pt>
                <c:pt idx="76">
                  <c:v>9.1640792274781405E-2</c:v>
                </c:pt>
                <c:pt idx="77">
                  <c:v>9.1693540252101996E-2</c:v>
                </c:pt>
                <c:pt idx="78">
                  <c:v>9.1764458819576497E-2</c:v>
                </c:pt>
                <c:pt idx="79">
                  <c:v>9.1872443142597904E-2</c:v>
                </c:pt>
                <c:pt idx="80">
                  <c:v>9.2082522343568396E-2</c:v>
                </c:pt>
                <c:pt idx="81">
                  <c:v>9.2248100838737093E-2</c:v>
                </c:pt>
                <c:pt idx="82">
                  <c:v>9.2412080701024898E-2</c:v>
                </c:pt>
                <c:pt idx="83">
                  <c:v>9.2575444188087899E-2</c:v>
                </c:pt>
                <c:pt idx="84">
                  <c:v>9.2738231908773103E-2</c:v>
                </c:pt>
                <c:pt idx="85">
                  <c:v>9.29004926265527E-2</c:v>
                </c:pt>
                <c:pt idx="86">
                  <c:v>9.3062256059601098E-2</c:v>
                </c:pt>
                <c:pt idx="87">
                  <c:v>9.3223544912535206E-2</c:v>
                </c:pt>
                <c:pt idx="88">
                  <c:v>9.3384376686803494E-2</c:v>
                </c:pt>
                <c:pt idx="89">
                  <c:v>9.3544764967933403E-2</c:v>
                </c:pt>
                <c:pt idx="90">
                  <c:v>9.3704720674823702E-2</c:v>
                </c:pt>
                <c:pt idx="91">
                  <c:v>9.3864252839489806E-2</c:v>
                </c:pt>
                <c:pt idx="92">
                  <c:v>9.4023369156475994E-2</c:v>
                </c:pt>
                <c:pt idx="93">
                  <c:v>9.4182076294408307E-2</c:v>
                </c:pt>
                <c:pt idx="94">
                  <c:v>9.4340380388253903E-2</c:v>
                </c:pt>
                <c:pt idx="95">
                  <c:v>9.4498287003639297E-2</c:v>
                </c:pt>
                <c:pt idx="96">
                  <c:v>9.4655801348327503E-2</c:v>
                </c:pt>
                <c:pt idx="97">
                  <c:v>9.4812928365686194E-2</c:v>
                </c:pt>
                <c:pt idx="98">
                  <c:v>9.4969672801514901E-2</c:v>
                </c:pt>
                <c:pt idx="99">
                  <c:v>9.5126039251403394E-2</c:v>
                </c:pt>
                <c:pt idx="100">
                  <c:v>9.5282032194361099E-2</c:v>
                </c:pt>
                <c:pt idx="101">
                  <c:v>9.5437656016744601E-2</c:v>
                </c:pt>
                <c:pt idx="102">
                  <c:v>9.5592915029315398E-2</c:v>
                </c:pt>
                <c:pt idx="103">
                  <c:v>9.5747813479427193E-2</c:v>
                </c:pt>
                <c:pt idx="104">
                  <c:v>9.5902355559754099E-2</c:v>
                </c:pt>
                <c:pt idx="105">
                  <c:v>9.60565454145582E-2</c:v>
                </c:pt>
                <c:pt idx="106">
                  <c:v>9.6210387144207099E-2</c:v>
                </c:pt>
                <c:pt idx="107">
                  <c:v>9.6363884808443906E-2</c:v>
                </c:pt>
                <c:pt idx="108">
                  <c:v>9.6517042428768102E-2</c:v>
                </c:pt>
              </c:numCache>
            </c:numRef>
          </c:xVal>
          <c:yVal>
            <c:numRef>
              <c:f>Implicit_Fracs!$AY$3:$AY$111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2950789.6976008299</c:v>
                </c:pt>
                <c:pt idx="3">
                  <c:v>2967349.5122513101</c:v>
                </c:pt>
                <c:pt idx="4">
                  <c:v>2977682.6546819299</c:v>
                </c:pt>
                <c:pt idx="5">
                  <c:v>2985235.4457893702</c:v>
                </c:pt>
                <c:pt idx="6">
                  <c:v>2991203.4555419302</c:v>
                </c:pt>
                <c:pt idx="7">
                  <c:v>2996145.7820816701</c:v>
                </c:pt>
                <c:pt idx="8">
                  <c:v>3000366.0781257502</c:v>
                </c:pt>
                <c:pt idx="9">
                  <c:v>3004055.94714252</c:v>
                </c:pt>
                <c:pt idx="10">
                  <c:v>3007337.6808050699</c:v>
                </c:pt>
                <c:pt idx="11">
                  <c:v>3010295.7913577701</c:v>
                </c:pt>
                <c:pt idx="12">
                  <c:v>3012991.1498807902</c:v>
                </c:pt>
                <c:pt idx="13">
                  <c:v>3015469.07177753</c:v>
                </c:pt>
                <c:pt idx="14">
                  <c:v>3017764.20520656</c:v>
                </c:pt>
                <c:pt idx="15">
                  <c:v>3019903.6347349598</c:v>
                </c:pt>
                <c:pt idx="16">
                  <c:v>3021908.9490032699</c:v>
                </c:pt>
                <c:pt idx="17">
                  <c:v>3023797.6399125699</c:v>
                </c:pt>
                <c:pt idx="18">
                  <c:v>3025584.0831750599</c:v>
                </c:pt>
                <c:pt idx="19">
                  <c:v>3027280.2422496099</c:v>
                </c:pt>
                <c:pt idx="20">
                  <c:v>3028896.1843789201</c:v>
                </c:pt>
                <c:pt idx="21">
                  <c:v>3030440.4659237401</c:v>
                </c:pt>
                <c:pt idx="22">
                  <c:v>3031920.4248546101</c:v>
                </c:pt>
                <c:pt idx="23">
                  <c:v>3033342.4060549801</c:v>
                </c:pt>
                <c:pt idx="24">
                  <c:v>3034711.9371842402</c:v>
                </c:pt>
                <c:pt idx="25">
                  <c:v>3036033.8676126101</c:v>
                </c:pt>
                <c:pt idx="26">
                  <c:v>3037312.4793976601</c:v>
                </c:pt>
                <c:pt idx="27">
                  <c:v>3038551.5768331699</c:v>
                </c:pt>
                <c:pt idx="28">
                  <c:v>3039754.5593920401</c:v>
                </c:pt>
                <c:pt idx="29">
                  <c:v>3040924.4816696802</c:v>
                </c:pt>
                <c:pt idx="30">
                  <c:v>3042064.1030575498</c:v>
                </c:pt>
                <c:pt idx="31">
                  <c:v>3043175.92923625</c:v>
                </c:pt>
                <c:pt idx="32">
                  <c:v>3044262.2471042098</c:v>
                </c:pt>
                <c:pt idx="33">
                  <c:v>3045325.1544045</c:v>
                </c:pt>
                <c:pt idx="34">
                  <c:v>3046366.5850455901</c:v>
                </c:pt>
                <c:pt idx="35">
                  <c:v>3047388.33090882</c:v>
                </c:pt>
                <c:pt idx="36">
                  <c:v>3048392.0607802798</c:v>
                </c:pt>
                <c:pt idx="37">
                  <c:v>3049379.33692428</c:v>
                </c:pt>
                <c:pt idx="38">
                  <c:v>3050351.6297231298</c:v>
                </c:pt>
                <c:pt idx="39">
                  <c:v>3051310.3307354399</c:v>
                </c:pt>
                <c:pt idx="40">
                  <c:v>3052256.7646049201</c:v>
                </c:pt>
                <c:pt idx="41">
                  <c:v>3053192.1998078101</c:v>
                </c:pt>
                <c:pt idx="42">
                  <c:v>3054117.85858856</c:v>
                </c:pt>
                <c:pt idx="43">
                  <c:v>3055034.9262830401</c:v>
                </c:pt>
                <c:pt idx="44">
                  <c:v>3055944.5602082098</c:v>
                </c:pt>
                <c:pt idx="45">
                  <c:v>3056847.8982867799</c:v>
                </c:pt>
                <c:pt idx="46">
                  <c:v>3057746.0675706798</c:v>
                </c:pt>
                <c:pt idx="47">
                  <c:v>3058640.1928288802</c:v>
                </c:pt>
                <c:pt idx="48">
                  <c:v>3059531.4053723998</c:v>
                </c:pt>
                <c:pt idx="49">
                  <c:v>3060420.8523040498</c:v>
                </c:pt>
                <c:pt idx="50">
                  <c:v>3061309.7064030101</c:v>
                </c:pt>
                <c:pt idx="51">
                  <c:v>3062199.1768859602</c:v>
                </c:pt>
                <c:pt idx="52">
                  <c:v>3063090.52133149</c:v>
                </c:pt>
                <c:pt idx="53">
                  <c:v>3063985.0591134699</c:v>
                </c:pt>
                <c:pt idx="54">
                  <c:v>3064884.1867698799</c:v>
                </c:pt>
                <c:pt idx="55">
                  <c:v>3065789.3958409401</c:v>
                </c:pt>
                <c:pt idx="56">
                  <c:v>3066702.2938552001</c:v>
                </c:pt>
                <c:pt idx="57">
                  <c:v>3067624.6293385299</c:v>
                </c:pt>
                <c:pt idx="58">
                  <c:v>3068558.32198876</c:v>
                </c:pt>
                <c:pt idx="59">
                  <c:v>3069505.4995289599</c:v>
                </c:pt>
                <c:pt idx="60">
                  <c:v>3070468.54326919</c:v>
                </c:pt>
                <c:pt idx="61">
                  <c:v>3071450.1451393799</c:v>
                </c:pt>
                <c:pt idx="62">
                  <c:v>3072453.3800093699</c:v>
                </c:pt>
                <c:pt idx="63">
                  <c:v>3073481.79865273</c:v>
                </c:pt>
                <c:pt idx="64">
                  <c:v>3074539.5490067001</c:v>
                </c:pt>
                <c:pt idx="65">
                  <c:v>3075631.53687006</c:v>
                </c:pt>
                <c:pt idx="66">
                  <c:v>3076763.6426089602</c:v>
                </c:pt>
                <c:pt idx="67">
                  <c:v>3077943.0190995098</c:v>
                </c:pt>
                <c:pt idx="68">
                  <c:v>3079178.5103433901</c:v>
                </c:pt>
                <c:pt idx="69">
                  <c:v>3080481.2542616501</c:v>
                </c:pt>
                <c:pt idx="70">
                  <c:v>3081865.5754467598</c:v>
                </c:pt>
                <c:pt idx="71">
                  <c:v>3083350.3510407601</c:v>
                </c:pt>
                <c:pt idx="72">
                  <c:v>3084961.1815023501</c:v>
                </c:pt>
                <c:pt idx="73">
                  <c:v>3086733.9996970999</c:v>
                </c:pt>
                <c:pt idx="74">
                  <c:v>3088721.4058803902</c:v>
                </c:pt>
                <c:pt idx="75">
                  <c:v>3091004.5512279202</c:v>
                </c:pt>
                <c:pt idx="76">
                  <c:v>3093717.36120525</c:v>
                </c:pt>
                <c:pt idx="77">
                  <c:v>3097101.4823509101</c:v>
                </c:pt>
                <c:pt idx="78">
                  <c:v>3101650.1634418499</c:v>
                </c:pt>
                <c:pt idx="79">
                  <c:v>3108573.7674373202</c:v>
                </c:pt>
                <c:pt idx="80">
                  <c:v>3122036.0908166301</c:v>
                </c:pt>
                <c:pt idx="81">
                  <c:v>3132635.5686745099</c:v>
                </c:pt>
                <c:pt idx="82">
                  <c:v>3143124.0198288499</c:v>
                </c:pt>
                <c:pt idx="83">
                  <c:v>3153564.4793495201</c:v>
                </c:pt>
                <c:pt idx="84">
                  <c:v>3163959.6441036998</c:v>
                </c:pt>
                <c:pt idx="85">
                  <c:v>3174312.7223041002</c:v>
                </c:pt>
                <c:pt idx="86">
                  <c:v>3184625.6974034002</c:v>
                </c:pt>
                <c:pt idx="87">
                  <c:v>3194900.0995489</c:v>
                </c:pt>
                <c:pt idx="88">
                  <c:v>3205137.1226753201</c:v>
                </c:pt>
                <c:pt idx="89">
                  <c:v>3215337.7077482301</c:v>
                </c:pt>
                <c:pt idx="90">
                  <c:v>3225502.6231861501</c:v>
                </c:pt>
                <c:pt idx="91">
                  <c:v>3235632.5150751299</c:v>
                </c:pt>
                <c:pt idx="92">
                  <c:v>3245727.9425251302</c:v>
                </c:pt>
                <c:pt idx="93">
                  <c:v>3255789.3977753301</c:v>
                </c:pt>
                <c:pt idx="94">
                  <c:v>3265817.33764872</c:v>
                </c:pt>
                <c:pt idx="95">
                  <c:v>3275812.1814393802</c:v>
                </c:pt>
                <c:pt idx="96">
                  <c:v>3285774.3244407801</c:v>
                </c:pt>
                <c:pt idx="97">
                  <c:v>3295704.1439515399</c:v>
                </c:pt>
                <c:pt idx="98">
                  <c:v>3305602.0035701799</c:v>
                </c:pt>
                <c:pt idx="99">
                  <c:v>3315468.25624078</c:v>
                </c:pt>
                <c:pt idx="100">
                  <c:v>3325303.2464185399</c:v>
                </c:pt>
                <c:pt idx="101">
                  <c:v>3335107.3116136598</c:v>
                </c:pt>
                <c:pt idx="102">
                  <c:v>3344880.78349549</c:v>
                </c:pt>
                <c:pt idx="103">
                  <c:v>3354623.9886849602</c:v>
                </c:pt>
                <c:pt idx="104">
                  <c:v>3364337.2493257402</c:v>
                </c:pt>
                <c:pt idx="105">
                  <c:v>3374020.88349819</c:v>
                </c:pt>
                <c:pt idx="106">
                  <c:v>3383675.20552136</c:v>
                </c:pt>
                <c:pt idx="107">
                  <c:v>3393300.52617535</c:v>
                </c:pt>
                <c:pt idx="108">
                  <c:v>3402897.1528667901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Implicit_Fracs!$BL$5:$BL$111</c:f>
              <c:numCache>
                <c:formatCode>General</c:formatCode>
                <c:ptCount val="107"/>
                <c:pt idx="0">
                  <c:v>1.1539926601406499E-4</c:v>
                </c:pt>
                <c:pt idx="1">
                  <c:v>1.14987756374616E-4</c:v>
                </c:pt>
                <c:pt idx="2">
                  <c:v>1.1466599868717599E-4</c:v>
                </c:pt>
                <c:pt idx="3">
                  <c:v>1.14382936383485E-4</c:v>
                </c:pt>
                <c:pt idx="4">
                  <c:v>1.1412170728817401E-4</c:v>
                </c:pt>
                <c:pt idx="5">
                  <c:v>1.1387434297002499E-4</c:v>
                </c:pt>
                <c:pt idx="6">
                  <c:v>1.13636812452977E-4</c:v>
                </c:pt>
                <c:pt idx="7">
                  <c:v>1.13406543138354E-4</c:v>
                </c:pt>
                <c:pt idx="8">
                  <c:v>1.13181712198977E-4</c:v>
                </c:pt>
                <c:pt idx="9">
                  <c:v>1.12961240428908E-4</c:v>
                </c:pt>
                <c:pt idx="10">
                  <c:v>1.12744298817908E-4</c:v>
                </c:pt>
                <c:pt idx="11">
                  <c:v>1.12530344958601E-4</c:v>
                </c:pt>
                <c:pt idx="12">
                  <c:v>1.12318759236736E-4</c:v>
                </c:pt>
                <c:pt idx="13">
                  <c:v>1.12109321657007E-4</c:v>
                </c:pt>
                <c:pt idx="14">
                  <c:v>1.11901738605373E-4</c:v>
                </c:pt>
                <c:pt idx="15">
                  <c:v>1.1169569901046899E-4</c:v>
                </c:pt>
                <c:pt idx="16">
                  <c:v>1.11491007775478E-4</c:v>
                </c:pt>
                <c:pt idx="17">
                  <c:v>1.11287574687017E-4</c:v>
                </c:pt>
                <c:pt idx="18">
                  <c:v>1.11085262183027E-4</c:v>
                </c:pt>
                <c:pt idx="19">
                  <c:v>1.1088388189399001E-4</c:v>
                </c:pt>
                <c:pt idx="20">
                  <c:v>1.1068347541683001E-4</c:v>
                </c:pt>
                <c:pt idx="21">
                  <c:v>1.10483814169743E-4</c:v>
                </c:pt>
                <c:pt idx="22">
                  <c:v>1.1028489247603799E-4</c:v>
                </c:pt>
                <c:pt idx="23">
                  <c:v>1.10086711981246E-4</c:v>
                </c:pt>
                <c:pt idx="24">
                  <c:v>1.0988907559314699E-4</c:v>
                </c:pt>
                <c:pt idx="25">
                  <c:v>1.09692066486931E-4</c:v>
                </c:pt>
                <c:pt idx="26">
                  <c:v>1.0949550226182499E-4</c:v>
                </c:pt>
                <c:pt idx="27">
                  <c:v>1.0929947340555E-4</c:v>
                </c:pt>
                <c:pt idx="28">
                  <c:v>1.0910387435401201E-4</c:v>
                </c:pt>
                <c:pt idx="29">
                  <c:v>1.08908734037163E-4</c:v>
                </c:pt>
                <c:pt idx="30">
                  <c:v>1.08714018402907E-4</c:v>
                </c:pt>
                <c:pt idx="31">
                  <c:v>1.0851963335621E-4</c:v>
                </c:pt>
                <c:pt idx="32">
                  <c:v>1.08325551442482E-4</c:v>
                </c:pt>
                <c:pt idx="33">
                  <c:v>1.08131868771054E-4</c:v>
                </c:pt>
                <c:pt idx="34">
                  <c:v>1.0793843831777699E-4</c:v>
                </c:pt>
                <c:pt idx="35">
                  <c:v>1.07745355674128E-4</c:v>
                </c:pt>
                <c:pt idx="36">
                  <c:v>1.0755248056176299E-4</c:v>
                </c:pt>
                <c:pt idx="37">
                  <c:v>1.07359907297486E-4</c:v>
                </c:pt>
                <c:pt idx="38">
                  <c:v>1.0716761356073299E-4</c:v>
                </c:pt>
                <c:pt idx="39">
                  <c:v>1.06975523246595E-4</c:v>
                </c:pt>
                <c:pt idx="40">
                  <c:v>1.0678367149795699E-4</c:v>
                </c:pt>
                <c:pt idx="41">
                  <c:v>1.06592090842715E-4</c:v>
                </c:pt>
                <c:pt idx="42">
                  <c:v>1.06400657252418E-4</c:v>
                </c:pt>
                <c:pt idx="43">
                  <c:v>1.0620945460036201E-4</c:v>
                </c:pt>
                <c:pt idx="44">
                  <c:v>1.06018413582596E-4</c:v>
                </c:pt>
                <c:pt idx="45">
                  <c:v>1.0582761194005299E-4</c:v>
                </c:pt>
                <c:pt idx="46">
                  <c:v>1.0563698125541099E-4</c:v>
                </c:pt>
                <c:pt idx="47">
                  <c:v>1.05446457255659E-4</c:v>
                </c:pt>
                <c:pt idx="48">
                  <c:v>1.0525615527816399E-4</c:v>
                </c:pt>
                <c:pt idx="49">
                  <c:v>1.05066051741928E-4</c:v>
                </c:pt>
                <c:pt idx="50">
                  <c:v>1.04876041002744E-4</c:v>
                </c:pt>
                <c:pt idx="51">
                  <c:v>1.0468622494017701E-4</c:v>
                </c:pt>
                <c:pt idx="52">
                  <c:v>1.04496539746182E-4</c:v>
                </c:pt>
                <c:pt idx="53">
                  <c:v>1.04307037219754E-4</c:v>
                </c:pt>
                <c:pt idx="54">
                  <c:v>1.04117689857945E-4</c:v>
                </c:pt>
                <c:pt idx="55">
                  <c:v>1.03928470575798E-4</c:v>
                </c:pt>
                <c:pt idx="56">
                  <c:v>1.03739418189139E-4</c:v>
                </c:pt>
                <c:pt idx="57">
                  <c:v>1.0355053207282101E-4</c:v>
                </c:pt>
                <c:pt idx="58">
                  <c:v>1.0336180781499099E-4</c:v>
                </c:pt>
                <c:pt idx="59">
                  <c:v>1.03173209152557E-4</c:v>
                </c:pt>
                <c:pt idx="60">
                  <c:v>1.02984780939271E-4</c:v>
                </c:pt>
                <c:pt idx="61">
                  <c:v>1.0279653044824101E-4</c:v>
                </c:pt>
                <c:pt idx="62">
                  <c:v>1.02608480944013E-4</c:v>
                </c:pt>
                <c:pt idx="63">
                  <c:v>1.02420577996708E-4</c:v>
                </c:pt>
                <c:pt idx="64">
                  <c:v>1.02232912798459E-4</c:v>
                </c:pt>
                <c:pt idx="65">
                  <c:v>1.02045453262802E-4</c:v>
                </c:pt>
                <c:pt idx="66">
                  <c:v>1.01858248784736E-4</c:v>
                </c:pt>
                <c:pt idx="67">
                  <c:v>1.0167129101049401E-4</c:v>
                </c:pt>
                <c:pt idx="68">
                  <c:v>1.01484640442603E-4</c:v>
                </c:pt>
                <c:pt idx="69">
                  <c:v>1.01298341668072E-4</c:v>
                </c:pt>
                <c:pt idx="70">
                  <c:v>1.01112446659824E-4</c:v>
                </c:pt>
                <c:pt idx="71">
                  <c:v>1.00927014470262E-4</c:v>
                </c:pt>
                <c:pt idx="72">
                  <c:v>1.0074210734688499E-4</c:v>
                </c:pt>
                <c:pt idx="73">
                  <c:v>1.0055776199969E-4</c:v>
                </c:pt>
                <c:pt idx="74">
                  <c:v>1.00373858954377E-4</c:v>
                </c:pt>
                <c:pt idx="75">
                  <c:v>1.00350936290647E-4</c:v>
                </c:pt>
                <c:pt idx="76">
                  <c:v>1.00163309083673E-4</c:v>
                </c:pt>
                <c:pt idx="77" formatCode="0.00E+00">
                  <c:v>9.9956582852861098E-5</c:v>
                </c:pt>
                <c:pt idx="78" formatCode="0.00E+00">
                  <c:v>9.9772189853221597E-5</c:v>
                </c:pt>
                <c:pt idx="79" formatCode="0.00E+00">
                  <c:v>9.9564954065822301E-5</c:v>
                </c:pt>
                <c:pt idx="80" formatCode="0.00E+00">
                  <c:v>9.9342029084691305E-5</c:v>
                </c:pt>
                <c:pt idx="81" formatCode="0.00E+00">
                  <c:v>9.91333518848705E-5</c:v>
                </c:pt>
                <c:pt idx="82" formatCode="0.00E+00">
                  <c:v>9.891979981982E-5</c:v>
                </c:pt>
                <c:pt idx="83" formatCode="0.00E+00">
                  <c:v>9.8703233050272094E-5</c:v>
                </c:pt>
                <c:pt idx="84" formatCode="0.00E+00">
                  <c:v>9.8485085916344206E-5</c:v>
                </c:pt>
                <c:pt idx="85" formatCode="0.00E+00">
                  <c:v>9.8270974327634597E-5</c:v>
                </c:pt>
                <c:pt idx="86" formatCode="0.00E+00">
                  <c:v>9.80574857186892E-5</c:v>
                </c:pt>
                <c:pt idx="87" formatCode="0.00E+00">
                  <c:v>9.7845698723368101E-5</c:v>
                </c:pt>
                <c:pt idx="88" formatCode="0.00E+00">
                  <c:v>9.7635755730505406E-5</c:v>
                </c:pt>
                <c:pt idx="89" formatCode="0.00E+00">
                  <c:v>9.7426702232327001E-5</c:v>
                </c:pt>
                <c:pt idx="90" formatCode="0.00E+00">
                  <c:v>9.7218878959020303E-5</c:v>
                </c:pt>
                <c:pt idx="91" formatCode="0.00E+00">
                  <c:v>9.7012108966421497E-5</c:v>
                </c:pt>
                <c:pt idx="92" formatCode="0.00E+00">
                  <c:v>9.6805755385563405E-5</c:v>
                </c:pt>
                <c:pt idx="93" formatCode="0.00E+00">
                  <c:v>9.6599747615291995E-5</c:v>
                </c:pt>
                <c:pt idx="94" formatCode="0.00E+00">
                  <c:v>9.6394300608707007E-5</c:v>
                </c:pt>
                <c:pt idx="95" formatCode="0.00E+00">
                  <c:v>9.6189083708749795E-5</c:v>
                </c:pt>
                <c:pt idx="96" formatCode="0.00E+00">
                  <c:v>9.5984138523561201E-5</c:v>
                </c:pt>
                <c:pt idx="97" formatCode="0.00E+00">
                  <c:v>9.5779365935247401E-5</c:v>
                </c:pt>
                <c:pt idx="98" formatCode="0.00E+00">
                  <c:v>9.5574960376227494E-5</c:v>
                </c:pt>
                <c:pt idx="99" formatCode="0.00E+00">
                  <c:v>9.5370977034377695E-5</c:v>
                </c:pt>
                <c:pt idx="100" formatCode="0.00E+00">
                  <c:v>9.5167563523016206E-5</c:v>
                </c:pt>
                <c:pt idx="101" formatCode="0.00E+00">
                  <c:v>9.4964951816961898E-5</c:v>
                </c:pt>
                <c:pt idx="102" formatCode="0.00E+00">
                  <c:v>9.4763371058472103E-5</c:v>
                </c:pt>
                <c:pt idx="103" formatCode="0.00E+00">
                  <c:v>9.4563054740484493E-5</c:v>
                </c:pt>
                <c:pt idx="104" formatCode="0.00E+00">
                  <c:v>9.4364313369452694E-5</c:v>
                </c:pt>
                <c:pt idx="105" formatCode="0.00E+00">
                  <c:v>9.41673685435569E-5</c:v>
                </c:pt>
                <c:pt idx="106" formatCode="0.00E+00">
                  <c:v>9.4098650316000397E-5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Implicit_Fracs!$BM$5:$BM$111</c:f>
              <c:numCache>
                <c:formatCode>0.00E+00</c:formatCode>
                <c:ptCount val="107"/>
                <c:pt idx="0">
                  <c:v>2.5464790894703002E-6</c:v>
                </c:pt>
                <c:pt idx="1">
                  <c:v>5.0872716361990803E-6</c:v>
                </c:pt>
                <c:pt idx="2">
                  <c:v>7.6277093313440698E-6</c:v>
                </c:pt>
                <c:pt idx="3">
                  <c:v>1.01677614655172E-5</c:v>
                </c:pt>
                <c:pt idx="4">
                  <c:v>1.2707420835535699E-5</c:v>
                </c:pt>
                <c:pt idx="5">
                  <c:v>1.5247845077050099E-5</c:v>
                </c:pt>
                <c:pt idx="6">
                  <c:v>1.77867183067092E-5</c:v>
                </c:pt>
                <c:pt idx="7">
                  <c:v>2.03251907495761E-5</c:v>
                </c:pt>
                <c:pt idx="8">
                  <c:v>2.28632548621328E-5</c:v>
                </c:pt>
                <c:pt idx="9">
                  <c:v>2.5400901829220101E-5</c:v>
                </c:pt>
                <c:pt idx="10">
                  <c:v>2.7938121494909801E-5</c:v>
                </c:pt>
                <c:pt idx="11">
                  <c:v>3.047490853654E-5</c:v>
                </c:pt>
                <c:pt idx="12">
                  <c:v>3.30112627639676E-5</c:v>
                </c:pt>
                <c:pt idx="13">
                  <c:v>3.5547176488363702E-5</c:v>
                </c:pt>
                <c:pt idx="14">
                  <c:v>3.8082641332419997E-5</c:v>
                </c:pt>
                <c:pt idx="15">
                  <c:v>4.0617648308325502E-5</c:v>
                </c:pt>
                <c:pt idx="16">
                  <c:v>4.31521877896205E-5</c:v>
                </c:pt>
                <c:pt idx="17">
                  <c:v>4.5686249479664597E-5</c:v>
                </c:pt>
                <c:pt idx="18">
                  <c:v>4.8219822376519503E-5</c:v>
                </c:pt>
                <c:pt idx="19">
                  <c:v>5.0752894733992799E-5</c:v>
                </c:pt>
                <c:pt idx="20">
                  <c:v>5.3285454018536799E-5</c:v>
                </c:pt>
                <c:pt idx="21">
                  <c:v>5.5817486861637903E-5</c:v>
                </c:pt>
                <c:pt idx="22">
                  <c:v>5.8348979007269199E-5</c:v>
                </c:pt>
                <c:pt idx="23">
                  <c:v>6.08799152539208E-5</c:v>
                </c:pt>
                <c:pt idx="24">
                  <c:v>6.3410279390648601E-5</c:v>
                </c:pt>
                <c:pt idx="25">
                  <c:v>6.5940054126526498E-5</c:v>
                </c:pt>
                <c:pt idx="26">
                  <c:v>6.8469221012745199E-5</c:v>
                </c:pt>
                <c:pt idx="27">
                  <c:v>7.0997760356552106E-5</c:v>
                </c:pt>
                <c:pt idx="28">
                  <c:v>7.3525651126066298E-5</c:v>
                </c:pt>
                <c:pt idx="29">
                  <c:v>7.6052870844888398E-5</c:v>
                </c:pt>
                <c:pt idx="30">
                  <c:v>7.8579395475241796E-5</c:v>
                </c:pt>
                <c:pt idx="31">
                  <c:v>8.1105199288201003E-5</c:v>
                </c:pt>
                <c:pt idx="32">
                  <c:v>8.3630254719336495E-5</c:v>
                </c:pt>
                <c:pt idx="33">
                  <c:v>8.6154532207842198E-5</c:v>
                </c:pt>
                <c:pt idx="34">
                  <c:v>8.8678000016913493E-5</c:v>
                </c:pt>
                <c:pt idx="35">
                  <c:v>9.1200624032730296E-5</c:v>
                </c:pt>
                <c:pt idx="36">
                  <c:v>9.3722367539034602E-5</c:v>
                </c:pt>
                <c:pt idx="37">
                  <c:v>9.6243190781774405E-5</c:v>
                </c:pt>
                <c:pt idx="38">
                  <c:v>9.8763050843173899E-5</c:v>
                </c:pt>
                <c:pt idx="39" formatCode="General">
                  <c:v>1.0128190132021101E-4</c:v>
                </c:pt>
                <c:pt idx="40" formatCode="General">
                  <c:v>1.03799691955578E-4</c:v>
                </c:pt>
                <c:pt idx="41" formatCode="General">
                  <c:v>1.06316368218152E-4</c:v>
                </c:pt>
                <c:pt idx="42" formatCode="General">
                  <c:v>1.08831870824482E-4</c:v>
                </c:pt>
                <c:pt idx="43" formatCode="General">
                  <c:v>1.11346135191185E-4</c:v>
                </c:pt>
                <c:pt idx="44" formatCode="General">
                  <c:v>1.13859090806018E-4</c:v>
                </c:pt>
                <c:pt idx="45" formatCode="General">
                  <c:v>1.16370660502836E-4</c:v>
                </c:pt>
                <c:pt idx="46" formatCode="General">
                  <c:v>1.18880759622414E-4</c:v>
                </c:pt>
                <c:pt idx="47" formatCode="General">
                  <c:v>1.2138929503704999E-4</c:v>
                </c:pt>
                <c:pt idx="48" formatCode="General">
                  <c:v>1.2389616401179399E-4</c:v>
                </c:pt>
                <c:pt idx="49" formatCode="General">
                  <c:v>1.2640125286860599E-4</c:v>
                </c:pt>
                <c:pt idx="50" formatCode="General">
                  <c:v>1.28904435411448E-4</c:v>
                </c:pt>
                <c:pt idx="51" formatCode="General">
                  <c:v>1.31405571059557E-4</c:v>
                </c:pt>
                <c:pt idx="52" formatCode="General">
                  <c:v>1.3390450262218301E-4</c:v>
                </c:pt>
                <c:pt idx="53" formatCode="General">
                  <c:v>1.3640105362970701E-4</c:v>
                </c:pt>
                <c:pt idx="54" formatCode="General">
                  <c:v>1.3889502511177401E-4</c:v>
                </c:pt>
                <c:pt idx="55" formatCode="General">
                  <c:v>1.4138619168062899E-4</c:v>
                </c:pt>
                <c:pt idx="56" formatCode="General">
                  <c:v>1.4387429673397601E-4</c:v>
                </c:pt>
                <c:pt idx="57" formatCode="General">
                  <c:v>1.46359046531776E-4</c:v>
                </c:pt>
                <c:pt idx="58" formatCode="General">
                  <c:v>1.48840102818748E-4</c:v>
                </c:pt>
                <c:pt idx="59" formatCode="General">
                  <c:v>1.5131707354852601E-4</c:v>
                </c:pt>
                <c:pt idx="60" formatCode="General">
                  <c:v>1.5378950110145101E-4</c:v>
                </c:pt>
                <c:pt idx="61" formatCode="General">
                  <c:v>1.5625684715191301E-4</c:v>
                </c:pt>
                <c:pt idx="62" formatCode="General">
                  <c:v>1.5871847299657701E-4</c:v>
                </c:pt>
                <c:pt idx="63" formatCode="General">
                  <c:v>1.6117361364310399E-4</c:v>
                </c:pt>
                <c:pt idx="64" formatCode="General">
                  <c:v>1.63621343185874E-4</c:v>
                </c:pt>
                <c:pt idx="65" formatCode="General">
                  <c:v>1.66060527805648E-4</c:v>
                </c:pt>
                <c:pt idx="66" formatCode="General">
                  <c:v>1.6848976086409901E-4</c:v>
                </c:pt>
                <c:pt idx="67" formatCode="General">
                  <c:v>1.70907271580691E-4</c:v>
                </c:pt>
                <c:pt idx="68" formatCode="General">
                  <c:v>1.73310793922222E-4</c:v>
                </c:pt>
                <c:pt idx="69" formatCode="General">
                  <c:v>1.7569737431515301E-4</c:v>
                </c:pt>
                <c:pt idx="70" formatCode="General">
                  <c:v>1.78063083497578E-4</c:v>
                </c:pt>
                <c:pt idx="71" formatCode="General">
                  <c:v>1.80402576310434E-4</c:v>
                </c:pt>
                <c:pt idx="72" formatCode="General">
                  <c:v>1.8270841202240899E-4</c:v>
                </c:pt>
                <c:pt idx="73" formatCode="General">
                  <c:v>1.84970022819165E-4</c:v>
                </c:pt>
                <c:pt idx="74" formatCode="General">
                  <c:v>1.8717232378370299E-4</c:v>
                </c:pt>
                <c:pt idx="75" formatCode="General">
                  <c:v>1.89294964130237E-4</c:v>
                </c:pt>
                <c:pt idx="76" formatCode="General">
                  <c:v>1.91320169493126E-4</c:v>
                </c:pt>
                <c:pt idx="77" formatCode="General">
                  <c:v>1.93312508818035E-4</c:v>
                </c:pt>
                <c:pt idx="78" formatCode="General">
                  <c:v>1.94172796524858E-4</c:v>
                </c:pt>
                <c:pt idx="79" formatCode="General">
                  <c:v>1.9591144455699999E-4</c:v>
                </c:pt>
                <c:pt idx="80" formatCode="General">
                  <c:v>1.97674097724428E-4</c:v>
                </c:pt>
                <c:pt idx="81" formatCode="General">
                  <c:v>1.9947292637011201E-4</c:v>
                </c:pt>
                <c:pt idx="82" formatCode="General">
                  <c:v>2.01292797630536E-4</c:v>
                </c:pt>
                <c:pt idx="83" formatCode="General">
                  <c:v>2.0312794342062501E-4</c:v>
                </c:pt>
                <c:pt idx="84" formatCode="General">
                  <c:v>2.0497403010716101E-4</c:v>
                </c:pt>
                <c:pt idx="85" formatCode="General">
                  <c:v>2.06827789886908E-4</c:v>
                </c:pt>
                <c:pt idx="86" formatCode="General">
                  <c:v>2.0868697547311301E-4</c:v>
                </c:pt>
                <c:pt idx="87" formatCode="General">
                  <c:v>2.10549983830995E-4</c:v>
                </c:pt>
                <c:pt idx="88" formatCode="General">
                  <c:v>2.12415669802815E-4</c:v>
                </c:pt>
                <c:pt idx="89" formatCode="General">
                  <c:v>2.1428315053240399E-4</c:v>
                </c:pt>
                <c:pt idx="90" formatCode="General">
                  <c:v>2.16151955494992E-4</c:v>
                </c:pt>
                <c:pt idx="91" formatCode="General">
                  <c:v>2.1802158984243801E-4</c:v>
                </c:pt>
                <c:pt idx="92" formatCode="General">
                  <c:v>2.19891738618334E-4</c:v>
                </c:pt>
                <c:pt idx="93" formatCode="General">
                  <c:v>2.2176216750989801E-4</c:v>
                </c:pt>
                <c:pt idx="94" formatCode="General">
                  <c:v>2.23632700797245E-4</c:v>
                </c:pt>
                <c:pt idx="95" formatCode="General">
                  <c:v>2.2550320473338701E-4</c:v>
                </c:pt>
                <c:pt idx="96" formatCode="General">
                  <c:v>2.27373575745584E-4</c:v>
                </c:pt>
                <c:pt idx="97" formatCode="General">
                  <c:v>2.2924373203538401E-4</c:v>
                </c:pt>
                <c:pt idx="98" formatCode="General">
                  <c:v>2.3111360758542001E-4</c:v>
                </c:pt>
                <c:pt idx="99" formatCode="General">
                  <c:v>2.32983147873937E-4</c:v>
                </c:pt>
                <c:pt idx="100" formatCode="General">
                  <c:v>2.3485230680357199E-4</c:v>
                </c:pt>
                <c:pt idx="101" formatCode="General">
                  <c:v>2.3672104449524301E-4</c:v>
                </c:pt>
                <c:pt idx="102" formatCode="General">
                  <c:v>2.3858932569968401E-4</c:v>
                </c:pt>
                <c:pt idx="103" formatCode="General">
                  <c:v>2.40457118650835E-4</c:v>
                </c:pt>
                <c:pt idx="104" formatCode="General">
                  <c:v>2.4232439423597799E-4</c:v>
                </c:pt>
                <c:pt idx="105" formatCode="General">
                  <c:v>2.4419112539338903E-4</c:v>
                </c:pt>
                <c:pt idx="106" formatCode="General">
                  <c:v>2.4419112539338903E-4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Implicit_Fracs!$BN$5:$BN$111</c:f>
              <c:numCache>
                <c:formatCode>0.00E+00</c:formatCode>
                <c:ptCount val="107"/>
                <c:pt idx="0">
                  <c:v>4.26058730569446E-7</c:v>
                </c:pt>
                <c:pt idx="1">
                  <c:v>4.2341768389815099E-7</c:v>
                </c:pt>
                <c:pt idx="2">
                  <c:v>4.2158290257200298E-7</c:v>
                </c:pt>
                <c:pt idx="3">
                  <c:v>4.2009504761775298E-7</c:v>
                </c:pt>
                <c:pt idx="4">
                  <c:v>4.1880230749835599E-7</c:v>
                </c:pt>
                <c:pt idx="5">
                  <c:v>4.1763379579788901E-7</c:v>
                </c:pt>
                <c:pt idx="6">
                  <c:v>4.1655240491278303E-7</c:v>
                </c:pt>
                <c:pt idx="7">
                  <c:v>4.15535274476797E-7</c:v>
                </c:pt>
                <c:pt idx="8">
                  <c:v>4.1456642522092497E-7</c:v>
                </c:pt>
                <c:pt idx="9">
                  <c:v>4.1363605936431802E-7</c:v>
                </c:pt>
                <c:pt idx="10">
                  <c:v>4.1273678376933801E-7</c:v>
                </c:pt>
                <c:pt idx="11">
                  <c:v>4.1186361269608697E-7</c:v>
                </c:pt>
                <c:pt idx="12">
                  <c:v>4.1101135421325702E-7</c:v>
                </c:pt>
                <c:pt idx="13">
                  <c:v>4.1017774573415301E-7</c:v>
                </c:pt>
                <c:pt idx="14">
                  <c:v>4.0936018646475501E-7</c:v>
                </c:pt>
                <c:pt idx="15">
                  <c:v>4.0855607647004199E-7</c:v>
                </c:pt>
                <c:pt idx="16">
                  <c:v>4.0776369204577E-7</c:v>
                </c:pt>
                <c:pt idx="17">
                  <c:v>4.0698208975802002E-7</c:v>
                </c:pt>
                <c:pt idx="18">
                  <c:v>4.0621005954581902E-7</c:v>
                </c:pt>
                <c:pt idx="19">
                  <c:v>4.05446089937417E-7</c:v>
                </c:pt>
                <c:pt idx="20">
                  <c:v>4.0469026260642901E-7</c:v>
                </c:pt>
                <c:pt idx="21">
                  <c:v>4.0394085595296499E-7</c:v>
                </c:pt>
                <c:pt idx="22">
                  <c:v>4.0319768201823997E-7</c:v>
                </c:pt>
                <c:pt idx="23">
                  <c:v>4.0246062132041498E-7</c:v>
                </c:pt>
                <c:pt idx="24">
                  <c:v>4.0172822304330498E-7</c:v>
                </c:pt>
                <c:pt idx="25">
                  <c:v>4.0100094902980402E-7</c:v>
                </c:pt>
                <c:pt idx="26">
                  <c:v>4.0027747213671898E-7</c:v>
                </c:pt>
                <c:pt idx="27">
                  <c:v>3.9955832410775998E-7</c:v>
                </c:pt>
                <c:pt idx="28">
                  <c:v>3.9884271576821398E-7</c:v>
                </c:pt>
                <c:pt idx="29">
                  <c:v>3.98130776235893E-7</c:v>
                </c:pt>
                <c:pt idx="30">
                  <c:v>3.97422213478821E-7</c:v>
                </c:pt>
                <c:pt idx="31">
                  <c:v>3.96716333376345E-7</c:v>
                </c:pt>
                <c:pt idx="32">
                  <c:v>3.9601289765207999E-7</c:v>
                </c:pt>
                <c:pt idx="33">
                  <c:v>3.9531250904890499E-7</c:v>
                </c:pt>
                <c:pt idx="34">
                  <c:v>3.94614125432457E-7</c:v>
                </c:pt>
                <c:pt idx="35">
                  <c:v>3.9391835153254499E-7</c:v>
                </c:pt>
                <c:pt idx="36">
                  <c:v>3.9322419551835102E-7</c:v>
                </c:pt>
                <c:pt idx="37">
                  <c:v>3.9253225756797801E-7</c:v>
                </c:pt>
                <c:pt idx="38">
                  <c:v>3.9184234866130799E-7</c:v>
                </c:pt>
                <c:pt idx="39">
                  <c:v>3.9115391618301001E-7</c:v>
                </c:pt>
                <c:pt idx="40">
                  <c:v>3.9046716226794702E-7</c:v>
                </c:pt>
                <c:pt idx="41">
                  <c:v>3.8978227167357401E-7</c:v>
                </c:pt>
                <c:pt idx="42">
                  <c:v>3.8909836815420703E-7</c:v>
                </c:pt>
                <c:pt idx="43">
                  <c:v>3.8841598434479802E-7</c:v>
                </c:pt>
                <c:pt idx="44">
                  <c:v>3.8773461419521002E-7</c:v>
                </c:pt>
                <c:pt idx="45">
                  <c:v>3.8705474741286602E-7</c:v>
                </c:pt>
                <c:pt idx="46">
                  <c:v>3.8637588193998998E-7</c:v>
                </c:pt>
                <c:pt idx="47">
                  <c:v>3.8569754223542301E-7</c:v>
                </c:pt>
                <c:pt idx="48">
                  <c:v>3.8502046817442801E-7</c:v>
                </c:pt>
                <c:pt idx="49">
                  <c:v>3.8434445566575802E-7</c:v>
                </c:pt>
                <c:pt idx="50">
                  <c:v>3.8366874148428101E-7</c:v>
                </c:pt>
                <c:pt idx="51">
                  <c:v>3.82993965433505E-7</c:v>
                </c:pt>
                <c:pt idx="52">
                  <c:v>3.82319640110714E-7</c:v>
                </c:pt>
                <c:pt idx="53">
                  <c:v>3.8164605664089501E-7</c:v>
                </c:pt>
                <c:pt idx="54">
                  <c:v>3.8097296264866699E-7</c:v>
                </c:pt>
                <c:pt idx="55">
                  <c:v>3.8030010143288099E-7</c:v>
                </c:pt>
                <c:pt idx="56">
                  <c:v>3.7962765435431E-7</c:v>
                </c:pt>
                <c:pt idx="57">
                  <c:v>3.7895552513388199E-7</c:v>
                </c:pt>
                <c:pt idx="58">
                  <c:v>3.7828357933161698E-7</c:v>
                </c:pt>
                <c:pt idx="59">
                  <c:v>3.77611451438548E-7</c:v>
                </c:pt>
                <c:pt idx="60">
                  <c:v>3.7693930714757999E-7</c:v>
                </c:pt>
                <c:pt idx="61">
                  <c:v>3.76267034409113E-7</c:v>
                </c:pt>
                <c:pt idx="62">
                  <c:v>3.75594600869072E-7</c:v>
                </c:pt>
                <c:pt idx="63">
                  <c:v>3.74921411375186E-7</c:v>
                </c:pt>
                <c:pt idx="64">
                  <c:v>3.74247811504477E-7</c:v>
                </c:pt>
                <c:pt idx="65">
                  <c:v>3.7357325140020101E-7</c:v>
                </c:pt>
                <c:pt idx="66">
                  <c:v>3.7289765473107803E-7</c:v>
                </c:pt>
                <c:pt idx="67">
                  <c:v>3.7222044837904599E-7</c:v>
                </c:pt>
                <c:pt idx="68">
                  <c:v>3.7154138222153902E-7</c:v>
                </c:pt>
                <c:pt idx="69">
                  <c:v>3.7085989799946301E-7</c:v>
                </c:pt>
                <c:pt idx="70">
                  <c:v>3.7017520179895298E-7</c:v>
                </c:pt>
                <c:pt idx="71">
                  <c:v>3.6948612975560601E-7</c:v>
                </c:pt>
                <c:pt idx="72">
                  <c:v>3.6879091313998197E-7</c:v>
                </c:pt>
                <c:pt idx="73">
                  <c:v>3.6808665375490402E-7</c:v>
                </c:pt>
                <c:pt idx="74">
                  <c:v>3.6736794554288898E-7</c:v>
                </c:pt>
                <c:pt idx="75">
                  <c:v>3.6747572120683501E-7</c:v>
                </c:pt>
                <c:pt idx="76">
                  <c:v>3.6667635973771702E-7</c:v>
                </c:pt>
                <c:pt idx="77">
                  <c:v>3.6572518684660301E-7</c:v>
                </c:pt>
                <c:pt idx="78">
                  <c:v>3.6460725371918902E-7</c:v>
                </c:pt>
                <c:pt idx="79">
                  <c:v>3.6355392531583698E-7</c:v>
                </c:pt>
                <c:pt idx="80">
                  <c:v>3.6242953939683199E-7</c:v>
                </c:pt>
                <c:pt idx="81">
                  <c:v>3.6139418339733698E-7</c:v>
                </c:pt>
                <c:pt idx="82">
                  <c:v>3.6034625218940798E-7</c:v>
                </c:pt>
                <c:pt idx="83">
                  <c:v>3.5929645180250298E-7</c:v>
                </c:pt>
                <c:pt idx="84">
                  <c:v>3.5825331136069698E-7</c:v>
                </c:pt>
                <c:pt idx="85">
                  <c:v>3.5724720812403901E-7</c:v>
                </c:pt>
                <c:pt idx="86">
                  <c:v>3.5626032913608899E-7</c:v>
                </c:pt>
                <c:pt idx="87">
                  <c:v>3.55297988679163E-7</c:v>
                </c:pt>
                <c:pt idx="88">
                  <c:v>3.5435997068279803E-7</c:v>
                </c:pt>
                <c:pt idx="89">
                  <c:v>3.5343982552970399E-7</c:v>
                </c:pt>
                <c:pt idx="90">
                  <c:v>3.5253776190363998E-7</c:v>
                </c:pt>
                <c:pt idx="91">
                  <c:v>3.5165121687396602E-7</c:v>
                </c:pt>
                <c:pt idx="92">
                  <c:v>3.50775351028155E-7</c:v>
                </c:pt>
                <c:pt idx="93">
                  <c:v>3.49908557454956E-7</c:v>
                </c:pt>
                <c:pt idx="94">
                  <c:v>3.4905102133526402E-7</c:v>
                </c:pt>
                <c:pt idx="95">
                  <c:v>3.4820033647539497E-7</c:v>
                </c:pt>
                <c:pt idx="96">
                  <c:v>3.4735634976998699E-7</c:v>
                </c:pt>
                <c:pt idx="97">
                  <c:v>3.4651843682935701E-7</c:v>
                </c:pt>
                <c:pt idx="98">
                  <c:v>3.4568778490429198E-7</c:v>
                </c:pt>
                <c:pt idx="99">
                  <c:v>3.4486509401524102E-7</c:v>
                </c:pt>
                <c:pt idx="100">
                  <c:v>3.4405178868175198E-7</c:v>
                </c:pt>
                <c:pt idx="101">
                  <c:v>3.4324995468154198E-7</c:v>
                </c:pt>
                <c:pt idx="102">
                  <c:v>3.42461841595044E-7</c:v>
                </c:pt>
                <c:pt idx="103">
                  <c:v>3.4168984008352998E-7</c:v>
                </c:pt>
                <c:pt idx="104">
                  <c:v>3.4093677672511302E-7</c:v>
                </c:pt>
                <c:pt idx="105">
                  <c:v>3.40204922808402E-7</c:v>
                </c:pt>
                <c:pt idx="106">
                  <c:v>3.3990029658726301E-7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Implicit_Fracs!$BO$5:$BO$111</c:f>
              <c:numCache>
                <c:formatCode>0.00E+00</c:formatCode>
                <c:ptCount val="107"/>
                <c:pt idx="0">
                  <c:v>3.9999999999999498E-8</c:v>
                </c:pt>
                <c:pt idx="1">
                  <c:v>7.9910675995493701E-8</c:v>
                </c:pt>
                <c:pt idx="2">
                  <c:v>1.19815777995344E-7</c:v>
                </c:pt>
                <c:pt idx="3">
                  <c:v>1.59714823617612E-7</c:v>
                </c:pt>
                <c:pt idx="4">
                  <c:v>1.9960769971496499E-7</c:v>
                </c:pt>
                <c:pt idx="5">
                  <c:v>2.3951259038567901E-7</c:v>
                </c:pt>
                <c:pt idx="6">
                  <c:v>2.79393117819143E-7</c:v>
                </c:pt>
                <c:pt idx="7">
                  <c:v>3.1926734970839699E-7</c:v>
                </c:pt>
                <c:pt idx="8">
                  <c:v>3.5913516756013798E-7</c:v>
                </c:pt>
                <c:pt idx="9">
                  <c:v>3.98996432906167E-7</c:v>
                </c:pt>
                <c:pt idx="10">
                  <c:v>4.3885098621753899E-7</c:v>
                </c:pt>
                <c:pt idx="11">
                  <c:v>4.7869874388607403E-7</c:v>
                </c:pt>
                <c:pt idx="12">
                  <c:v>5.1853970292501399E-7</c:v>
                </c:pt>
                <c:pt idx="13">
                  <c:v>5.5837374255851601E-7</c:v>
                </c:pt>
                <c:pt idx="14">
                  <c:v>5.9820073119612799E-7</c:v>
                </c:pt>
                <c:pt idx="15">
                  <c:v>6.3802052765764697E-7</c:v>
                </c:pt>
                <c:pt idx="16">
                  <c:v>6.7783298073099503E-7</c:v>
                </c:pt>
                <c:pt idx="17">
                  <c:v>7.1763792867692402E-7</c:v>
                </c:pt>
                <c:pt idx="18">
                  <c:v>7.5743519867739198E-7</c:v>
                </c:pt>
                <c:pt idx="19">
                  <c:v>7.9722460622363901E-7</c:v>
                </c:pt>
                <c:pt idx="20">
                  <c:v>8.3700595443916E-7</c:v>
                </c:pt>
                <c:pt idx="21">
                  <c:v>8.7677903333183202E-7</c:v>
                </c:pt>
                <c:pt idx="22">
                  <c:v>9.1654361896851004E-7</c:v>
                </c:pt>
                <c:pt idx="23">
                  <c:v>9.5629947256443507E-7</c:v>
                </c:pt>
                <c:pt idx="24">
                  <c:v>9.9604633947869001E-7</c:v>
                </c:pt>
                <c:pt idx="25">
                  <c:v>1.03578394810604E-6</c:v>
                </c:pt>
                <c:pt idx="26">
                  <c:v>1.0755120086532799E-6</c:v>
                </c:pt>
                <c:pt idx="27">
                  <c:v>1.11523021178736E-6</c:v>
                </c:pt>
                <c:pt idx="28">
                  <c:v>1.1549382271402799E-6</c:v>
                </c:pt>
                <c:pt idx="29">
                  <c:v>1.19463570165357E-6</c:v>
                </c:pt>
                <c:pt idx="30">
                  <c:v>1.2343222577427301E-6</c:v>
                </c:pt>
                <c:pt idx="31">
                  <c:v>1.2739974912587401E-6</c:v>
                </c:pt>
                <c:pt idx="32">
                  <c:v>1.31366096922055E-6</c:v>
                </c:pt>
                <c:pt idx="33">
                  <c:v>1.35331222728811E-6</c:v>
                </c:pt>
                <c:pt idx="34">
                  <c:v>1.3929507669408501E-6</c:v>
                </c:pt>
                <c:pt idx="35">
                  <c:v>1.4325760523201501E-6</c:v>
                </c:pt>
                <c:pt idx="36">
                  <c:v>1.47218750668837E-6</c:v>
                </c:pt>
                <c:pt idx="37">
                  <c:v>1.51178450559032E-6</c:v>
                </c:pt>
                <c:pt idx="38">
                  <c:v>1.5513663748751501E-6</c:v>
                </c:pt>
                <c:pt idx="39">
                  <c:v>1.59093238564591E-6</c:v>
                </c:pt>
                <c:pt idx="40">
                  <c:v>1.63048174846264E-6</c:v>
                </c:pt>
                <c:pt idx="41">
                  <c:v>1.6700136067524701E-6</c:v>
                </c:pt>
                <c:pt idx="42">
                  <c:v>1.7095270292931399E-6</c:v>
                </c:pt>
                <c:pt idx="43">
                  <c:v>1.74902100161121E-6</c:v>
                </c:pt>
                <c:pt idx="44">
                  <c:v>1.788494416103E-6</c:v>
                </c:pt>
                <c:pt idx="45">
                  <c:v>1.8279460606455E-6</c:v>
                </c:pt>
                <c:pt idx="46">
                  <c:v>1.8673746054147499E-6</c:v>
                </c:pt>
                <c:pt idx="47">
                  <c:v>1.9067785875641901E-6</c:v>
                </c:pt>
                <c:pt idx="48">
                  <c:v>1.9461563933370499E-6</c:v>
                </c:pt>
                <c:pt idx="49">
                  <c:v>1.9855062370827898E-6</c:v>
                </c:pt>
                <c:pt idx="50">
                  <c:v>2.02482613651872E-6</c:v>
                </c:pt>
                <c:pt idx="51">
                  <c:v>2.0641138834073698E-6</c:v>
                </c:pt>
                <c:pt idx="52">
                  <c:v>2.1033670086022301E-6</c:v>
                </c:pt>
                <c:pt idx="53">
                  <c:v>2.1425827401249798E-6</c:v>
                </c:pt>
                <c:pt idx="54">
                  <c:v>2.1817579525566001E-6</c:v>
                </c:pt>
                <c:pt idx="55">
                  <c:v>2.2208891055145098E-6</c:v>
                </c:pt>
                <c:pt idx="56">
                  <c:v>2.2599721682992798E-6</c:v>
                </c:pt>
                <c:pt idx="57">
                  <c:v>2.2990025268531701E-6</c:v>
                </c:pt>
                <c:pt idx="58">
                  <c:v>2.3379748678746402E-6</c:v>
                </c:pt>
                <c:pt idx="59">
                  <c:v>2.3768830331137801E-6</c:v>
                </c:pt>
                <c:pt idx="60">
                  <c:v>2.4157198342977899E-6</c:v>
                </c:pt>
                <c:pt idx="61">
                  <c:v>2.4544768154277599E-6</c:v>
                </c:pt>
                <c:pt idx="62">
                  <c:v>2.4931439437751899E-6</c:v>
                </c:pt>
                <c:pt idx="63">
                  <c:v>2.5317092028684798E-6</c:v>
                </c:pt>
                <c:pt idx="64">
                  <c:v>2.5701580486161799E-6</c:v>
                </c:pt>
                <c:pt idx="65">
                  <c:v>2.6084726710273301E-6</c:v>
                </c:pt>
                <c:pt idx="66">
                  <c:v>2.6466309746787801E-6</c:v>
                </c:pt>
                <c:pt idx="67">
                  <c:v>2.6846051442148699E-6</c:v>
                </c:pt>
                <c:pt idx="68">
                  <c:v>2.7223595848693399E-6</c:v>
                </c:pt>
                <c:pt idx="69">
                  <c:v>2.75984790201751E-6</c:v>
                </c:pt>
                <c:pt idx="70">
                  <c:v>2.7970083749576899E-6</c:v>
                </c:pt>
                <c:pt idx="71">
                  <c:v>2.8337570421276598E-6</c:v>
                </c:pt>
                <c:pt idx="72">
                  <c:v>2.86997702479328E-6</c:v>
                </c:pt>
                <c:pt idx="73">
                  <c:v>2.9055023241151299E-6</c:v>
                </c:pt>
                <c:pt idx="74">
                  <c:v>2.9400959867710601E-6</c:v>
                </c:pt>
                <c:pt idx="75">
                  <c:v>2.9734383433654799E-6</c:v>
                </c:pt>
                <c:pt idx="76">
                  <c:v>3.0052501948157899E-6</c:v>
                </c:pt>
                <c:pt idx="77">
                  <c:v>3.03654578774876E-6</c:v>
                </c:pt>
                <c:pt idx="78">
                  <c:v>3.0500591554473998E-6</c:v>
                </c:pt>
                <c:pt idx="79">
                  <c:v>3.0773697748721701E-6</c:v>
                </c:pt>
                <c:pt idx="80">
                  <c:v>3.10505746608026E-6</c:v>
                </c:pt>
                <c:pt idx="81">
                  <c:v>3.1333134003720101E-6</c:v>
                </c:pt>
                <c:pt idx="82">
                  <c:v>3.1618998712831498E-6</c:v>
                </c:pt>
                <c:pt idx="83">
                  <c:v>3.1907262739451898E-6</c:v>
                </c:pt>
                <c:pt idx="84">
                  <c:v>3.2197245358067502E-6</c:v>
                </c:pt>
                <c:pt idx="85">
                  <c:v>3.2488433263346199E-6</c:v>
                </c:pt>
                <c:pt idx="86">
                  <c:v>3.2780473452310298E-6</c:v>
                </c:pt>
                <c:pt idx="87">
                  <c:v>3.3073114120845101E-6</c:v>
                </c:pt>
                <c:pt idx="88">
                  <c:v>3.3366175387993999E-6</c:v>
                </c:pt>
                <c:pt idx="89">
                  <c:v>3.3659518575033902E-6</c:v>
                </c:pt>
                <c:pt idx="90">
                  <c:v>3.3953069772106699E-6</c:v>
                </c:pt>
                <c:pt idx="91">
                  <c:v>3.4246751248648401E-6</c:v>
                </c:pt>
                <c:pt idx="92">
                  <c:v>3.4540513531422301E-6</c:v>
                </c:pt>
                <c:pt idx="93">
                  <c:v>3.4834319814662199E-6</c:v>
                </c:pt>
                <c:pt idx="94">
                  <c:v>3.5128142496353399E-6</c:v>
                </c:pt>
                <c:pt idx="95">
                  <c:v>3.5421960567568199E-6</c:v>
                </c:pt>
                <c:pt idx="96">
                  <c:v>3.5715757759138398E-6</c:v>
                </c:pt>
                <c:pt idx="97">
                  <c:v>3.6009521222193499E-6</c:v>
                </c:pt>
                <c:pt idx="98">
                  <c:v>3.6303240586749502E-6</c:v>
                </c:pt>
                <c:pt idx="99">
                  <c:v>3.65969072885493E-6</c:v>
                </c:pt>
                <c:pt idx="100">
                  <c:v>3.6890514086635901E-6</c:v>
                </c:pt>
                <c:pt idx="101">
                  <c:v>3.7184054716817898E-6</c:v>
                </c:pt>
                <c:pt idx="102">
                  <c:v>3.7477523642153398E-6</c:v>
                </c:pt>
                <c:pt idx="103">
                  <c:v>3.77709158728416E-6</c:v>
                </c:pt>
                <c:pt idx="104">
                  <c:v>3.8064226835867201E-6</c:v>
                </c:pt>
                <c:pt idx="105">
                  <c:v>3.8357452280384703E-6</c:v>
                </c:pt>
                <c:pt idx="106">
                  <c:v>3.8357452280384703E-6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Implicit_Fracs!$BP$5:$BP$111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Implicit_Fracs!$BQ$5:$BQ$111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Implicit_Fracs!$BR$5:$BR$111</c:f>
              <c:numCache>
                <c:formatCode>0.00E+00</c:formatCode>
                <c:ptCount val="107"/>
                <c:pt idx="0">
                  <c:v>7.0640071158246695E-5</c:v>
                </c:pt>
                <c:pt idx="1">
                  <c:v>7.0445050951715605E-5</c:v>
                </c:pt>
                <c:pt idx="2">
                  <c:v>7.0283024801201895E-5</c:v>
                </c:pt>
                <c:pt idx="3">
                  <c:v>7.0134940678705303E-5</c:v>
                </c:pt>
                <c:pt idx="4">
                  <c:v>6.9994669672396605E-5</c:v>
                </c:pt>
                <c:pt idx="5">
                  <c:v>6.9859296215315903E-5</c:v>
                </c:pt>
                <c:pt idx="6">
                  <c:v>6.9727416198225899E-5</c:v>
                </c:pt>
                <c:pt idx="7">
                  <c:v>6.9598117064443202E-5</c:v>
                </c:pt>
                <c:pt idx="8">
                  <c:v>6.9470718412398497E-5</c:v>
                </c:pt>
                <c:pt idx="9">
                  <c:v>6.9344851477475298E-5</c:v>
                </c:pt>
                <c:pt idx="10">
                  <c:v>6.9220221835886294E-5</c:v>
                </c:pt>
                <c:pt idx="11">
                  <c:v>6.90966523292083E-5</c:v>
                </c:pt>
                <c:pt idx="12">
                  <c:v>6.8973892651290903E-5</c:v>
                </c:pt>
                <c:pt idx="13">
                  <c:v>6.8851895501468696E-5</c:v>
                </c:pt>
                <c:pt idx="14">
                  <c:v>6.8730556906823799E-5</c:v>
                </c:pt>
                <c:pt idx="15">
                  <c:v>6.8609751618398305E-5</c:v>
                </c:pt>
                <c:pt idx="16">
                  <c:v>6.8489410702442298E-5</c:v>
                </c:pt>
                <c:pt idx="17">
                  <c:v>6.8369517297658494E-5</c:v>
                </c:pt>
                <c:pt idx="18">
                  <c:v>6.8250022657901805E-5</c:v>
                </c:pt>
                <c:pt idx="19">
                  <c:v>6.8130845283371997E-5</c:v>
                </c:pt>
                <c:pt idx="20">
                  <c:v>6.8012029274389606E-5</c:v>
                </c:pt>
                <c:pt idx="21">
                  <c:v>6.7893464346632795E-5</c:v>
                </c:pt>
                <c:pt idx="22">
                  <c:v>6.77751629826071E-5</c:v>
                </c:pt>
                <c:pt idx="23">
                  <c:v>6.7657139867563704E-5</c:v>
                </c:pt>
                <c:pt idx="24">
                  <c:v>6.7539296567334199E-5</c:v>
                </c:pt>
                <c:pt idx="25">
                  <c:v>6.7421690571637706E-5</c:v>
                </c:pt>
                <c:pt idx="26">
                  <c:v>6.7304229196243207E-5</c:v>
                </c:pt>
                <c:pt idx="27">
                  <c:v>6.7186971923205495E-5</c:v>
                </c:pt>
                <c:pt idx="28">
                  <c:v>6.7069867379502903E-5</c:v>
                </c:pt>
                <c:pt idx="29">
                  <c:v>6.6952938955181095E-5</c:v>
                </c:pt>
                <c:pt idx="30">
                  <c:v>6.6836174076917996E-5</c:v>
                </c:pt>
                <c:pt idx="31">
                  <c:v>6.6719525936599999E-5</c:v>
                </c:pt>
                <c:pt idx="32">
                  <c:v>6.6602984664094602E-5</c:v>
                </c:pt>
                <c:pt idx="33">
                  <c:v>6.6486609344614398E-5</c:v>
                </c:pt>
                <c:pt idx="34">
                  <c:v>6.6370322249236101E-5</c:v>
                </c:pt>
                <c:pt idx="35">
                  <c:v>6.6254181528464697E-5</c:v>
                </c:pt>
                <c:pt idx="36">
                  <c:v>6.6138112678182698E-5</c:v>
                </c:pt>
                <c:pt idx="37">
                  <c:v>6.6022172657786003E-5</c:v>
                </c:pt>
                <c:pt idx="38">
                  <c:v>6.5906352769828894E-5</c:v>
                </c:pt>
                <c:pt idx="39">
                  <c:v>6.5790613967569499E-5</c:v>
                </c:pt>
                <c:pt idx="40">
                  <c:v>6.5674979527197697E-5</c:v>
                </c:pt>
                <c:pt idx="41">
                  <c:v>6.5559471159241098E-5</c:v>
                </c:pt>
                <c:pt idx="42">
                  <c:v>6.5444022609910301E-5</c:v>
                </c:pt>
                <c:pt idx="43">
                  <c:v>6.5328684292069604E-5</c:v>
                </c:pt>
                <c:pt idx="44">
                  <c:v>6.5213420600534694E-5</c:v>
                </c:pt>
                <c:pt idx="45">
                  <c:v>6.5098278487107106E-5</c:v>
                </c:pt>
                <c:pt idx="46">
                  <c:v>6.4983222874293305E-5</c:v>
                </c:pt>
                <c:pt idx="47">
                  <c:v>6.4868221064870595E-5</c:v>
                </c:pt>
                <c:pt idx="48">
                  <c:v>6.4753341293022199E-5</c:v>
                </c:pt>
                <c:pt idx="49">
                  <c:v>6.4638573915768899E-5</c:v>
                </c:pt>
                <c:pt idx="50">
                  <c:v>6.4523863365691702E-5</c:v>
                </c:pt>
                <c:pt idx="51">
                  <c:v>6.4409270795350796E-5</c:v>
                </c:pt>
                <c:pt idx="52">
                  <c:v>6.4294764567847894E-5</c:v>
                </c:pt>
                <c:pt idx="53">
                  <c:v>6.4180378260569702E-5</c:v>
                </c:pt>
                <c:pt idx="54">
                  <c:v>6.4066101285351504E-5</c:v>
                </c:pt>
                <c:pt idx="55">
                  <c:v>6.3951923729268001E-5</c:v>
                </c:pt>
                <c:pt idx="56">
                  <c:v>6.3837873222110904E-5</c:v>
                </c:pt>
                <c:pt idx="57">
                  <c:v>6.3723955896288596E-5</c:v>
                </c:pt>
                <c:pt idx="58">
                  <c:v>6.3610176549884896E-5</c:v>
                </c:pt>
                <c:pt idx="59">
                  <c:v>6.3496523062725894E-5</c:v>
                </c:pt>
                <c:pt idx="60">
                  <c:v>6.3383030065926893E-5</c:v>
                </c:pt>
                <c:pt idx="61">
                  <c:v>6.3269712571508696E-5</c:v>
                </c:pt>
                <c:pt idx="62">
                  <c:v>6.3156596436830497E-5</c:v>
                </c:pt>
                <c:pt idx="63">
                  <c:v>6.3043666245231496E-5</c:v>
                </c:pt>
                <c:pt idx="64">
                  <c:v>6.2930991407429996E-5</c:v>
                </c:pt>
                <c:pt idx="65">
                  <c:v>6.2818576054119804E-5</c:v>
                </c:pt>
                <c:pt idx="66">
                  <c:v>6.27064753374469E-5</c:v>
                </c:pt>
                <c:pt idx="67">
                  <c:v>6.2594719081734997E-5</c:v>
                </c:pt>
                <c:pt idx="68">
                  <c:v>6.2483385630337495E-5</c:v>
                </c:pt>
                <c:pt idx="69">
                  <c:v>6.2372558375399701E-5</c:v>
                </c:pt>
                <c:pt idx="70">
                  <c:v>6.2262345367520194E-5</c:v>
                </c:pt>
                <c:pt idx="71">
                  <c:v>6.2152889830107503E-5</c:v>
                </c:pt>
                <c:pt idx="72">
                  <c:v>6.2044386359444794E-5</c:v>
                </c:pt>
                <c:pt idx="73">
                  <c:v>6.1937098273595303E-5</c:v>
                </c:pt>
                <c:pt idx="74">
                  <c:v>6.1831349555375705E-5</c:v>
                </c:pt>
                <c:pt idx="75">
                  <c:v>6.1818033434188601E-5</c:v>
                </c:pt>
                <c:pt idx="76">
                  <c:v>6.1715425378972594E-5</c:v>
                </c:pt>
                <c:pt idx="77">
                  <c:v>6.1608052816511104E-5</c:v>
                </c:pt>
                <c:pt idx="78">
                  <c:v>6.1534067581865706E-5</c:v>
                </c:pt>
                <c:pt idx="79">
                  <c:v>6.1436475596752599E-5</c:v>
                </c:pt>
                <c:pt idx="80">
                  <c:v>6.1329643300256606E-5</c:v>
                </c:pt>
                <c:pt idx="81">
                  <c:v>6.12305138674061E-5</c:v>
                </c:pt>
                <c:pt idx="82">
                  <c:v>6.1128399417375803E-5</c:v>
                </c:pt>
                <c:pt idx="83">
                  <c:v>6.1024376772739097E-5</c:v>
                </c:pt>
                <c:pt idx="84">
                  <c:v>6.09192751309853E-5</c:v>
                </c:pt>
                <c:pt idx="85">
                  <c:v>6.0816274317787298E-5</c:v>
                </c:pt>
                <c:pt idx="86">
                  <c:v>6.0713465594831298E-5</c:v>
                </c:pt>
                <c:pt idx="87">
                  <c:v>6.06114660039199E-5</c:v>
                </c:pt>
                <c:pt idx="88">
                  <c:v>6.0510363123211799E-5</c:v>
                </c:pt>
                <c:pt idx="89">
                  <c:v>6.0409624789750498E-5</c:v>
                </c:pt>
                <c:pt idx="90">
                  <c:v>6.0309446808746097E-5</c:v>
                </c:pt>
                <c:pt idx="91">
                  <c:v>6.02097331181491E-5</c:v>
                </c:pt>
                <c:pt idx="92">
                  <c:v>6.0110127221977499E-5</c:v>
                </c:pt>
                <c:pt idx="93">
                  <c:v>6.0010591421944597E-5</c:v>
                </c:pt>
                <c:pt idx="94">
                  <c:v>5.9911248867676998E-5</c:v>
                </c:pt>
                <c:pt idx="95">
                  <c:v>5.9811914546193699E-5</c:v>
                </c:pt>
                <c:pt idx="96">
                  <c:v>5.9712613343353801E-5</c:v>
                </c:pt>
                <c:pt idx="97">
                  <c:v>5.9613290557331802E-5</c:v>
                </c:pt>
                <c:pt idx="98">
                  <c:v>5.9514057206925598E-5</c:v>
                </c:pt>
                <c:pt idx="99">
                  <c:v>5.9414945656426901E-5</c:v>
                </c:pt>
                <c:pt idx="100">
                  <c:v>5.9316040496321898E-5</c:v>
                </c:pt>
                <c:pt idx="101">
                  <c:v>5.9217474055937597E-5</c:v>
                </c:pt>
                <c:pt idx="102">
                  <c:v>5.9119377154827701E-5</c:v>
                </c:pt>
                <c:pt idx="103">
                  <c:v>5.9021883169443302E-5</c:v>
                </c:pt>
                <c:pt idx="104">
                  <c:v>5.8925169152474297E-5</c:v>
                </c:pt>
                <c:pt idx="105">
                  <c:v>5.8829361984785898E-5</c:v>
                </c:pt>
                <c:pt idx="106">
                  <c:v>5.8814296978847699E-5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Implicit_Fracs!$C$5:$C$111</c:f>
              <c:numCache>
                <c:formatCode>General</c:formatCode>
                <c:ptCount val="107"/>
                <c:pt idx="0">
                  <c:v>8.9425709097921205E-2</c:v>
                </c:pt>
                <c:pt idx="1">
                  <c:v>8.9680981884405403E-2</c:v>
                </c:pt>
                <c:pt idx="2">
                  <c:v>8.9840472867511997E-2</c:v>
                </c:pt>
                <c:pt idx="3">
                  <c:v>8.9957142454670597E-2</c:v>
                </c:pt>
                <c:pt idx="4">
                  <c:v>9.0049385393435197E-2</c:v>
                </c:pt>
                <c:pt idx="5">
                  <c:v>9.0125810383614002E-2</c:v>
                </c:pt>
                <c:pt idx="6">
                  <c:v>9.01910953010161E-2</c:v>
                </c:pt>
                <c:pt idx="7">
                  <c:v>9.0248193535470297E-2</c:v>
                </c:pt>
                <c:pt idx="8">
                  <c:v>9.0298990652707703E-2</c:v>
                </c:pt>
                <c:pt idx="9">
                  <c:v>9.0344790122883503E-2</c:v>
                </c:pt>
                <c:pt idx="10">
                  <c:v>9.0386531046817306E-2</c:v>
                </c:pt>
                <c:pt idx="11">
                  <c:v>9.0424912709035396E-2</c:v>
                </c:pt>
                <c:pt idx="12">
                  <c:v>9.0460469901044199E-2</c:v>
                </c:pt>
                <c:pt idx="13">
                  <c:v>9.0493620755162596E-2</c:v>
                </c:pt>
                <c:pt idx="14">
                  <c:v>9.0524698619942598E-2</c:v>
                </c:pt>
                <c:pt idx="15">
                  <c:v>9.0553973633760595E-2</c:v>
                </c:pt>
                <c:pt idx="16">
                  <c:v>9.0581667846298397E-2</c:v>
                </c:pt>
                <c:pt idx="17">
                  <c:v>9.0607966076030499E-2</c:v>
                </c:pt>
                <c:pt idx="18">
                  <c:v>9.06330238708008E-2</c:v>
                </c:pt>
                <c:pt idx="19">
                  <c:v>9.0656973452992798E-2</c:v>
                </c:pt>
                <c:pt idx="20">
                  <c:v>9.0679928232887605E-2</c:v>
                </c:pt>
                <c:pt idx="21">
                  <c:v>9.07019862857045E-2</c:v>
                </c:pt>
                <c:pt idx="22">
                  <c:v>9.0723233065987605E-2</c:v>
                </c:pt>
                <c:pt idx="23">
                  <c:v>9.0743743552273395E-2</c:v>
                </c:pt>
                <c:pt idx="24">
                  <c:v>9.0763583960382296E-2</c:v>
                </c:pt>
                <c:pt idx="25">
                  <c:v>9.0782813126059597E-2</c:v>
                </c:pt>
                <c:pt idx="26">
                  <c:v>9.0801483631349503E-2</c:v>
                </c:pt>
                <c:pt idx="27">
                  <c:v>9.0819642730337199E-2</c:v>
                </c:pt>
                <c:pt idx="28">
                  <c:v>9.08373331163774E-2</c:v>
                </c:pt>
                <c:pt idx="29">
                  <c:v>9.0854593563050798E-2</c:v>
                </c:pt>
                <c:pt idx="30">
                  <c:v>9.0871459463786594E-2</c:v>
                </c:pt>
                <c:pt idx="31">
                  <c:v>9.0887963289637497E-2</c:v>
                </c:pt>
                <c:pt idx="32">
                  <c:v>9.0904134980577395E-2</c:v>
                </c:pt>
                <c:pt idx="33">
                  <c:v>9.0920002282564402E-2</c:v>
                </c:pt>
                <c:pt idx="34">
                  <c:v>9.0935591040208499E-2</c:v>
                </c:pt>
                <c:pt idx="35">
                  <c:v>9.0950925453036693E-2</c:v>
                </c:pt>
                <c:pt idx="36">
                  <c:v>9.0966028301911098E-2</c:v>
                </c:pt>
                <c:pt idx="37">
                  <c:v>9.0980921151044503E-2</c:v>
                </c:pt>
                <c:pt idx="38">
                  <c:v>9.0995624532297703E-2</c:v>
                </c:pt>
                <c:pt idx="39">
                  <c:v>9.1010158111557396E-2</c:v>
                </c:pt>
                <c:pt idx="40">
                  <c:v>9.1024540842609095E-2</c:v>
                </c:pt>
                <c:pt idx="41">
                  <c:v>9.1038791111590606E-2</c:v>
                </c:pt>
                <c:pt idx="42">
                  <c:v>9.1052926874795298E-2</c:v>
                </c:pt>
                <c:pt idx="43">
                  <c:v>9.1066965792437796E-2</c:v>
                </c:pt>
                <c:pt idx="44">
                  <c:v>9.1080925360924297E-2</c:v>
                </c:pt>
                <c:pt idx="45">
                  <c:v>9.1094823046194706E-2</c:v>
                </c:pt>
                <c:pt idx="46">
                  <c:v>9.1108676420824306E-2</c:v>
                </c:pt>
                <c:pt idx="47">
                  <c:v>9.1122503307801694E-2</c:v>
                </c:pt>
                <c:pt idx="48">
                  <c:v>9.1136321934248102E-2</c:v>
                </c:pt>
                <c:pt idx="49">
                  <c:v>9.1150151098847595E-2</c:v>
                </c:pt>
                <c:pt idx="50">
                  <c:v>9.11640103574477E-2</c:v>
                </c:pt>
                <c:pt idx="51">
                  <c:v>9.1177920232221196E-2</c:v>
                </c:pt>
                <c:pt idx="52">
                  <c:v>9.1191902451033396E-2</c:v>
                </c:pt>
                <c:pt idx="53">
                  <c:v>9.1205980225337102E-2</c:v>
                </c:pt>
                <c:pt idx="54">
                  <c:v>9.1220178577175598E-2</c:v>
                </c:pt>
                <c:pt idx="55">
                  <c:v>9.1234524728935895E-2</c:v>
                </c:pt>
                <c:pt idx="56">
                  <c:v>9.1249048573670305E-2</c:v>
                </c:pt>
                <c:pt idx="57">
                  <c:v>9.1263783249579594E-2</c:v>
                </c:pt>
                <c:pt idx="58">
                  <c:v>9.1278765850315899E-2</c:v>
                </c:pt>
                <c:pt idx="59">
                  <c:v>9.1294038314185394E-2</c:v>
                </c:pt>
                <c:pt idx="60">
                  <c:v>9.1309648551769998E-2</c:v>
                </c:pt>
                <c:pt idx="61">
                  <c:v>9.1325651895513504E-2</c:v>
                </c:pt>
                <c:pt idx="62">
                  <c:v>9.1342112990626501E-2</c:v>
                </c:pt>
                <c:pt idx="63">
                  <c:v>9.1359108301100403E-2</c:v>
                </c:pt>
                <c:pt idx="64">
                  <c:v>9.1376729489299299E-2</c:v>
                </c:pt>
                <c:pt idx="65">
                  <c:v>9.13950880626761E-2</c:v>
                </c:pt>
                <c:pt idx="66">
                  <c:v>9.1414321902813206E-2</c:v>
                </c:pt>
                <c:pt idx="67">
                  <c:v>9.1434604667509994E-2</c:v>
                </c:pt>
                <c:pt idx="68">
                  <c:v>9.1456159716235205E-2</c:v>
                </c:pt>
                <c:pt idx="69">
                  <c:v>9.1479281416801395E-2</c:v>
                </c:pt>
                <c:pt idx="70">
                  <c:v>9.1504369009902303E-2</c:v>
                </c:pt>
                <c:pt idx="71">
                  <c:v>9.1531982916032498E-2</c:v>
                </c:pt>
                <c:pt idx="72">
                  <c:v>9.1562943578698999E-2</c:v>
                </c:pt>
                <c:pt idx="73">
                  <c:v>9.1598516899292201E-2</c:v>
                </c:pt>
                <c:pt idx="74">
                  <c:v>9.1640792274781405E-2</c:v>
                </c:pt>
                <c:pt idx="75">
                  <c:v>9.1693540252101996E-2</c:v>
                </c:pt>
                <c:pt idx="76">
                  <c:v>9.1764458819576497E-2</c:v>
                </c:pt>
                <c:pt idx="77">
                  <c:v>9.1872443142597904E-2</c:v>
                </c:pt>
                <c:pt idx="78">
                  <c:v>9.2082522343568396E-2</c:v>
                </c:pt>
                <c:pt idx="79">
                  <c:v>9.2248100838737093E-2</c:v>
                </c:pt>
                <c:pt idx="80">
                  <c:v>9.2412080701024898E-2</c:v>
                </c:pt>
                <c:pt idx="81">
                  <c:v>9.2575444188087899E-2</c:v>
                </c:pt>
                <c:pt idx="82">
                  <c:v>9.2738231908773103E-2</c:v>
                </c:pt>
                <c:pt idx="83">
                  <c:v>9.29004926265527E-2</c:v>
                </c:pt>
                <c:pt idx="84">
                  <c:v>9.3062256059601098E-2</c:v>
                </c:pt>
                <c:pt idx="85">
                  <c:v>9.3223544912535206E-2</c:v>
                </c:pt>
                <c:pt idx="86">
                  <c:v>9.3384376686803494E-2</c:v>
                </c:pt>
                <c:pt idx="87">
                  <c:v>9.3544764967933403E-2</c:v>
                </c:pt>
                <c:pt idx="88">
                  <c:v>9.3704720674823702E-2</c:v>
                </c:pt>
                <c:pt idx="89">
                  <c:v>9.3864252839489806E-2</c:v>
                </c:pt>
                <c:pt idx="90">
                  <c:v>9.4023369156475994E-2</c:v>
                </c:pt>
                <c:pt idx="91">
                  <c:v>9.4182076294408307E-2</c:v>
                </c:pt>
                <c:pt idx="92">
                  <c:v>9.4340380388253903E-2</c:v>
                </c:pt>
                <c:pt idx="93">
                  <c:v>9.4498287003639297E-2</c:v>
                </c:pt>
                <c:pt idx="94">
                  <c:v>9.4655801348327503E-2</c:v>
                </c:pt>
                <c:pt idx="95">
                  <c:v>9.4812928365686194E-2</c:v>
                </c:pt>
                <c:pt idx="96">
                  <c:v>9.4969672801514901E-2</c:v>
                </c:pt>
                <c:pt idx="97">
                  <c:v>9.5126039251403394E-2</c:v>
                </c:pt>
                <c:pt idx="98">
                  <c:v>9.5282032194361099E-2</c:v>
                </c:pt>
                <c:pt idx="99">
                  <c:v>9.5437656016744601E-2</c:v>
                </c:pt>
                <c:pt idx="100">
                  <c:v>9.5592915029315398E-2</c:v>
                </c:pt>
                <c:pt idx="101">
                  <c:v>9.5747813479427193E-2</c:v>
                </c:pt>
                <c:pt idx="102">
                  <c:v>9.5902355559754099E-2</c:v>
                </c:pt>
                <c:pt idx="103">
                  <c:v>9.60565454145582E-2</c:v>
                </c:pt>
                <c:pt idx="104">
                  <c:v>9.6210387144207099E-2</c:v>
                </c:pt>
                <c:pt idx="105">
                  <c:v>9.6363884808443906E-2</c:v>
                </c:pt>
                <c:pt idx="106">
                  <c:v>9.6517042428768102E-2</c:v>
                </c:pt>
              </c:numCache>
            </c:numRef>
          </c:xVal>
          <c:yVal>
            <c:numRef>
              <c:f>Implicit_Fracs!$BS$5:$BS$111</c:f>
              <c:numCache>
                <c:formatCode>0.00E+00</c:formatCode>
                <c:ptCount val="107"/>
                <c:pt idx="0">
                  <c:v>1.4260958301192901E-6</c:v>
                </c:pt>
                <c:pt idx="1">
                  <c:v>2.8501120503733699E-6</c:v>
                </c:pt>
                <c:pt idx="2">
                  <c:v>4.2744113209163597E-6</c:v>
                </c:pt>
                <c:pt idx="3">
                  <c:v>5.6988134062789602E-6</c:v>
                </c:pt>
                <c:pt idx="4">
                  <c:v>7.1232354333758403E-6</c:v>
                </c:pt>
                <c:pt idx="5">
                  <c:v>8.5482796537104198E-6</c:v>
                </c:pt>
                <c:pt idx="6">
                  <c:v>9.9726159954817505E-6</c:v>
                </c:pt>
                <c:pt idx="7">
                  <c:v>1.1396868047775901E-5</c:v>
                </c:pt>
                <c:pt idx="8">
                  <c:v>1.28210151621661E-5</c:v>
                </c:pt>
                <c:pt idx="9">
                  <c:v>1.42450396957535E-5</c:v>
                </c:pt>
                <c:pt idx="10">
                  <c:v>1.56689258588486E-5</c:v>
                </c:pt>
                <c:pt idx="11">
                  <c:v>1.7092662470862199E-5</c:v>
                </c:pt>
                <c:pt idx="12">
                  <c:v>1.85162426539265E-5</c:v>
                </c:pt>
                <c:pt idx="13">
                  <c:v>1.9939656418150501E-5</c:v>
                </c:pt>
                <c:pt idx="14">
                  <c:v>2.1362894253512101E-5</c:v>
                </c:pt>
                <c:pt idx="15">
                  <c:v>2.27859470033645E-5</c:v>
                </c:pt>
                <c:pt idx="16">
                  <c:v>2.42088057211074E-5</c:v>
                </c:pt>
                <c:pt idx="17">
                  <c:v>2.5631461555159698E-5</c:v>
                </c:pt>
                <c:pt idx="18">
                  <c:v>2.7053905653752001E-5</c:v>
                </c:pt>
                <c:pt idx="19">
                  <c:v>2.8476129083675999E-5</c:v>
                </c:pt>
                <c:pt idx="20">
                  <c:v>2.9898122758814399E-5</c:v>
                </c:pt>
                <c:pt idx="21">
                  <c:v>3.1319877375391099E-5</c:v>
                </c:pt>
                <c:pt idx="22">
                  <c:v>3.2741383351626597E-5</c:v>
                </c:pt>
                <c:pt idx="23">
                  <c:v>3.4162630769995002E-5</c:v>
                </c:pt>
                <c:pt idx="24">
                  <c:v>3.5583609320623899E-5</c:v>
                </c:pt>
                <c:pt idx="25">
                  <c:v>3.70043082446253E-5</c:v>
                </c:pt>
                <c:pt idx="26">
                  <c:v>3.8424716276269698E-5</c:v>
                </c:pt>
                <c:pt idx="27">
                  <c:v>3.9844821583041298E-5</c:v>
                </c:pt>
                <c:pt idx="28">
                  <c:v>4.1264611702633103E-5</c:v>
                </c:pt>
                <c:pt idx="29">
                  <c:v>4.2684073475970703E-5</c:v>
                </c:pt>
                <c:pt idx="30">
                  <c:v>4.4103192975311303E-5</c:v>
                </c:pt>
                <c:pt idx="31">
                  <c:v>4.5521955426421999E-5</c:v>
                </c:pt>
                <c:pt idx="32">
                  <c:v>4.6940345123756499E-5</c:v>
                </c:pt>
                <c:pt idx="33">
                  <c:v>4.83583453374363E-5</c:v>
                </c:pt>
                <c:pt idx="34">
                  <c:v>4.9775938210704802E-5</c:v>
                </c:pt>
                <c:pt idx="35">
                  <c:v>5.1193104646318598E-5</c:v>
                </c:pt>
                <c:pt idx="36">
                  <c:v>5.2609824180154602E-5</c:v>
                </c:pt>
                <c:pt idx="37">
                  <c:v>5.4026074737882598E-5</c:v>
                </c:pt>
                <c:pt idx="38">
                  <c:v>5.5441832566422698E-5</c:v>
                </c:pt>
                <c:pt idx="39">
                  <c:v>5.6857072056427402E-5</c:v>
                </c:pt>
                <c:pt idx="40">
                  <c:v>5.82717655391034E-5</c:v>
                </c:pt>
                <c:pt idx="41">
                  <c:v>5.9685883055789897E-5</c:v>
                </c:pt>
                <c:pt idx="42">
                  <c:v>6.1099392095633094E-5</c:v>
                </c:pt>
                <c:pt idx="43">
                  <c:v>6.2512257295817898E-5</c:v>
                </c:pt>
                <c:pt idx="44">
                  <c:v>6.3924440097676299E-5</c:v>
                </c:pt>
                <c:pt idx="45">
                  <c:v>6.5335898350571094E-5</c:v>
                </c:pt>
                <c:pt idx="46">
                  <c:v>6.6746585853733596E-5</c:v>
                </c:pt>
                <c:pt idx="47">
                  <c:v>6.8156451823976104E-5</c:v>
                </c:pt>
                <c:pt idx="48">
                  <c:v>6.9565440274477604E-5</c:v>
                </c:pt>
                <c:pt idx="49">
                  <c:v>7.0973489286235402E-5</c:v>
                </c:pt>
                <c:pt idx="50">
                  <c:v>7.2380530149285496E-5</c:v>
                </c:pt>
                <c:pt idx="51">
                  <c:v>7.3786486344896404E-5</c:v>
                </c:pt>
                <c:pt idx="52">
                  <c:v>7.5191272332345198E-5</c:v>
                </c:pt>
                <c:pt idx="53">
                  <c:v>7.6594792093860302E-5</c:v>
                </c:pt>
                <c:pt idx="54">
                  <c:v>7.7996937378071204E-5</c:v>
                </c:pt>
                <c:pt idx="55">
                  <c:v>7.9397585564612694E-5</c:v>
                </c:pt>
                <c:pt idx="56">
                  <c:v>8.0796597048614206E-5</c:v>
                </c:pt>
                <c:pt idx="57">
                  <c:v>8.2193812011135703E-5</c:v>
                </c:pt>
                <c:pt idx="58">
                  <c:v>8.3589046396579099E-5</c:v>
                </c:pt>
                <c:pt idx="59">
                  <c:v>8.4982086854980897E-5</c:v>
                </c:pt>
                <c:pt idx="60">
                  <c:v>8.6372684317777797E-5</c:v>
                </c:pt>
                <c:pt idx="61">
                  <c:v>8.7760545747108705E-5</c:v>
                </c:pt>
                <c:pt idx="62">
                  <c:v>8.9145323411196005E-5</c:v>
                </c:pt>
                <c:pt idx="63">
                  <c:v>9.05266007600741E-5</c:v>
                </c:pt>
                <c:pt idx="64">
                  <c:v>9.1903873555906801E-5</c:v>
                </c:pt>
                <c:pt idx="65">
                  <c:v>9.3276524266566906E-5</c:v>
                </c:pt>
                <c:pt idx="66">
                  <c:v>9.4643786720089893E-5</c:v>
                </c:pt>
                <c:pt idx="67">
                  <c:v>9.6004696404483096E-5</c:v>
                </c:pt>
                <c:pt idx="68">
                  <c:v>9.7358019179023995E-5</c:v>
                </c:pt>
                <c:pt idx="69">
                  <c:v>9.87021468591969E-5</c:v>
                </c:pt>
                <c:pt idx="70" formatCode="General">
                  <c:v>1.00034941056176E-4</c:v>
                </c:pt>
                <c:pt idx="71" formatCode="General">
                  <c:v>1.0135349534812699E-4</c:v>
                </c:pt>
                <c:pt idx="72" formatCode="General">
                  <c:v>1.0265377003097799E-4</c:v>
                </c:pt>
                <c:pt idx="73" formatCode="General">
                  <c:v>1.03930043668632E-4</c:v>
                </c:pt>
                <c:pt idx="74" formatCode="General">
                  <c:v>1.05174195408763E-4</c:v>
                </c:pt>
                <c:pt idx="75" formatCode="General">
                  <c:v>1.06375427936813E-4</c:v>
                </c:pt>
                <c:pt idx="76" formatCode="General">
                  <c:v>1.07525051771109E-4</c:v>
                </c:pt>
                <c:pt idx="77" formatCode="General">
                  <c:v>1.08662547266345E-4</c:v>
                </c:pt>
                <c:pt idx="78" formatCode="General">
                  <c:v>1.09180854107631E-4</c:v>
                </c:pt>
                <c:pt idx="79" formatCode="General">
                  <c:v>1.10186091956129E-4</c:v>
                </c:pt>
                <c:pt idx="80" formatCode="General">
                  <c:v>1.1120505685099301E-4</c:v>
                </c:pt>
                <c:pt idx="81" formatCode="General">
                  <c:v>1.12244766878594E-4</c:v>
                </c:pt>
                <c:pt idx="82" formatCode="General">
                  <c:v>1.1329672382800699E-4</c:v>
                </c:pt>
                <c:pt idx="83" formatCode="General">
                  <c:v>1.14357694899606E-4</c:v>
                </c:pt>
                <c:pt idx="84" formatCode="General">
                  <c:v>1.15425248809023E-4</c:v>
                </c:pt>
                <c:pt idx="85" formatCode="General">
                  <c:v>1.16497551141774E-4</c:v>
                </c:pt>
                <c:pt idx="86" formatCode="General">
                  <c:v>1.1757333983976999E-4</c:v>
                </c:pt>
                <c:pt idx="87" formatCode="General">
                  <c:v>1.1865171406453299E-4</c:v>
                </c:pt>
                <c:pt idx="88" formatCode="General">
                  <c:v>1.1973202978637399E-4</c:v>
                </c:pt>
                <c:pt idx="89" formatCode="General">
                  <c:v>1.2081378995647299E-4</c:v>
                </c:pt>
                <c:pt idx="90" formatCode="General">
                  <c:v>1.21896729382879E-4</c:v>
                </c:pt>
                <c:pt idx="91" formatCode="General">
                  <c:v>1.2298056875353E-4</c:v>
                </c:pt>
                <c:pt idx="92" formatCode="General">
                  <c:v>1.2406512992579601E-4</c:v>
                </c:pt>
                <c:pt idx="93" formatCode="General">
                  <c:v>1.2515028002805899E-4</c:v>
                </c:pt>
                <c:pt idx="94" formatCode="General">
                  <c:v>1.26235919103489E-4</c:v>
                </c:pt>
                <c:pt idx="95" formatCode="General">
                  <c:v>1.2732197078129201E-4</c:v>
                </c:pt>
                <c:pt idx="96" formatCode="General">
                  <c:v>1.2840837565290599E-4</c:v>
                </c:pt>
                <c:pt idx="97" formatCode="General">
                  <c:v>1.2949508655525201E-4</c:v>
                </c:pt>
                <c:pt idx="98" formatCode="General">
                  <c:v>1.3058206520471599E-4</c:v>
                </c:pt>
                <c:pt idx="99" formatCode="General">
                  <c:v>1.3166927978978E-4</c:v>
                </c:pt>
                <c:pt idx="100" formatCode="General">
                  <c:v>1.327567032454E-4</c:v>
                </c:pt>
                <c:pt idx="101" formatCode="General">
                  <c:v>1.3384431201323501E-4</c:v>
                </c:pt>
                <c:pt idx="102" formatCode="General">
                  <c:v>1.34932085148792E-4</c:v>
                </c:pt>
                <c:pt idx="103" formatCode="General">
                  <c:v>1.36020003676824E-4</c:v>
                </c:pt>
                <c:pt idx="104" formatCode="General">
                  <c:v>1.3710805012471001E-4</c:v>
                </c:pt>
                <c:pt idx="105" formatCode="General">
                  <c:v>1.38196208183716E-4</c:v>
                </c:pt>
                <c:pt idx="106" formatCode="General">
                  <c:v>1.3822809353978001E-4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0.40564</cdr:x>
      <cdr:y>0.13599</cdr:y>
    </cdr:from>
    <cdr:to>
      <cdr:x>0.67522</cdr:x>
      <cdr:y>0.40368</cdr:y>
    </cdr:to>
    <cdr:sp macro="" textlink="">
      <cdr:nvSpPr>
        <cdr:cNvPr id="2" name="FracNo 191 StartRow 3">
          <a:extLst xmlns:a="http://schemas.openxmlformats.org/drawingml/2006/main">
            <a:ext uri="{FF2B5EF4-FFF2-40B4-BE49-F238E27FC236}">
              <a16:creationId xmlns:a16="http://schemas.microsoft.com/office/drawing/2014/main" id="{8660E990-E3A6-5716-9299-C462A284B578}"/>
            </a:ext>
          </a:extLst>
        </cdr:cNvPr>
        <cdr:cNvSpPr/>
      </cdr:nvSpPr>
      <cdr:spPr>
        <a:xfrm xmlns:a="http://schemas.openxmlformats.org/drawingml/2006/main">
          <a:off x="2967344" y="1036277"/>
          <a:ext cx="1972024" cy="2039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2024" h="2039748">
              <a:moveTo>
                <a:pt x="1748308" y="193895"/>
              </a:moveTo>
              <a:lnTo>
                <a:pt x="250837" y="1742793"/>
              </a:lnTo>
              <a:lnTo>
                <a:pt x="0" y="2002243"/>
              </a:lnTo>
              <a:lnTo>
                <a:pt x="0" y="2039747"/>
              </a:lnTo>
              <a:lnTo>
                <a:pt x="253432" y="1777612"/>
              </a:lnTo>
              <a:lnTo>
                <a:pt x="1773676" y="205160"/>
              </a:lnTo>
              <a:lnTo>
                <a:pt x="1866129" y="109531"/>
              </a:lnTo>
              <a:lnTo>
                <a:pt x="1972023" y="0"/>
              </a:lnTo>
              <a:lnTo>
                <a:pt x="1935765" y="0"/>
              </a:lnTo>
              <a:lnTo>
                <a:pt x="1839376" y="996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0.41026</cdr:x>
      <cdr:y>0.19194</cdr:y>
    </cdr:from>
    <cdr:to>
      <cdr:x>0.62812</cdr:x>
      <cdr:y>0.40827</cdr:y>
    </cdr:to>
    <cdr:sp macro="" textlink="">
      <cdr:nvSpPr>
        <cdr:cNvPr id="3" name="FracNo 194 StartRow 16">
          <a:extLst xmlns:a="http://schemas.openxmlformats.org/drawingml/2006/main">
            <a:ext uri="{FF2B5EF4-FFF2-40B4-BE49-F238E27FC236}">
              <a16:creationId xmlns:a16="http://schemas.microsoft.com/office/drawing/2014/main" id="{C7B2434A-19AB-01F7-CC92-95C68E5DC4B9}"/>
            </a:ext>
          </a:extLst>
        </cdr:cNvPr>
        <cdr:cNvSpPr/>
      </cdr:nvSpPr>
      <cdr:spPr>
        <a:xfrm xmlns:a="http://schemas.openxmlformats.org/drawingml/2006/main">
          <a:off x="3001138" y="1462558"/>
          <a:ext cx="1593691" cy="1648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3691" h="1648422">
              <a:moveTo>
                <a:pt x="693251" y="893858"/>
              </a:moveTo>
              <a:lnTo>
                <a:pt x="282234" y="1318990"/>
              </a:lnTo>
              <a:lnTo>
                <a:pt x="0" y="1610917"/>
              </a:lnTo>
              <a:lnTo>
                <a:pt x="0" y="1648421"/>
              </a:lnTo>
              <a:lnTo>
                <a:pt x="289622" y="1348852"/>
              </a:lnTo>
              <a:lnTo>
                <a:pt x="709945" y="914094"/>
              </a:lnTo>
              <a:lnTo>
                <a:pt x="1593690" y="0"/>
              </a:lnTo>
              <a:lnTo>
                <a:pt x="15574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0.40287</cdr:x>
      <cdr:y>0.18645</cdr:y>
    </cdr:from>
    <cdr:to>
      <cdr:x>0.61391</cdr:x>
      <cdr:y>0.40093</cdr:y>
    </cdr:to>
    <cdr:sp macro="" textlink="">
      <cdr:nvSpPr>
        <cdr:cNvPr id="4" name="FracNo 196 StartRow 27">
          <a:extLst xmlns:a="http://schemas.openxmlformats.org/drawingml/2006/main">
            <a:ext uri="{FF2B5EF4-FFF2-40B4-BE49-F238E27FC236}">
              <a16:creationId xmlns:a16="http://schemas.microsoft.com/office/drawing/2014/main" id="{3F0BBDA7-052E-DE04-24E7-6AE32FD6574C}"/>
            </a:ext>
          </a:extLst>
        </cdr:cNvPr>
        <cdr:cNvSpPr/>
      </cdr:nvSpPr>
      <cdr:spPr>
        <a:xfrm xmlns:a="http://schemas.openxmlformats.org/drawingml/2006/main">
          <a:off x="2947090" y="1420758"/>
          <a:ext cx="1543796" cy="1634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3796" h="1634317">
              <a:moveTo>
                <a:pt x="799655" y="769694"/>
              </a:moveTo>
              <a:lnTo>
                <a:pt x="229255" y="1359683"/>
              </a:lnTo>
              <a:lnTo>
                <a:pt x="0" y="1596812"/>
              </a:lnTo>
              <a:lnTo>
                <a:pt x="0" y="1634316"/>
              </a:lnTo>
              <a:lnTo>
                <a:pt x="234503" y="1391759"/>
              </a:lnTo>
              <a:lnTo>
                <a:pt x="802626" y="804126"/>
              </a:lnTo>
              <a:lnTo>
                <a:pt x="1543795" y="37504"/>
              </a:lnTo>
              <a:lnTo>
                <a:pt x="15437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0.13004</cdr:x>
      <cdr:y>0.55159</cdr:y>
    </cdr:from>
    <cdr:to>
      <cdr:x>0.30893</cdr:x>
      <cdr:y>0.73414</cdr:y>
    </cdr:to>
    <cdr:sp macro="" textlink="">
      <cdr:nvSpPr>
        <cdr:cNvPr id="5" name="FracNo 895 StartRow 38">
          <a:extLst xmlns:a="http://schemas.openxmlformats.org/drawingml/2006/main">
            <a:ext uri="{FF2B5EF4-FFF2-40B4-BE49-F238E27FC236}">
              <a16:creationId xmlns:a16="http://schemas.microsoft.com/office/drawing/2014/main" id="{A0B31556-D1DA-A225-586C-9F490E82354F}"/>
            </a:ext>
          </a:extLst>
        </cdr:cNvPr>
        <cdr:cNvSpPr/>
      </cdr:nvSpPr>
      <cdr:spPr>
        <a:xfrm xmlns:a="http://schemas.openxmlformats.org/drawingml/2006/main">
          <a:off x="951272" y="4203125"/>
          <a:ext cx="1308596" cy="1391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8596" h="1391038">
              <a:moveTo>
                <a:pt x="1038855" y="1074530"/>
              </a:moveTo>
              <a:lnTo>
                <a:pt x="702229" y="726344"/>
              </a:lnTo>
              <a:lnTo>
                <a:pt x="0" y="0"/>
              </a:lnTo>
              <a:lnTo>
                <a:pt x="0" y="37503"/>
              </a:lnTo>
              <a:lnTo>
                <a:pt x="690049" y="751250"/>
              </a:lnTo>
              <a:lnTo>
                <a:pt x="1033436" y="1106430"/>
              </a:lnTo>
              <a:lnTo>
                <a:pt x="1308595" y="1391037"/>
              </a:lnTo>
              <a:lnTo>
                <a:pt x="1308595" y="13535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0.10401</cdr:x>
      <cdr:y>0.57744</cdr:y>
    </cdr:from>
    <cdr:to>
      <cdr:x>0.26127</cdr:x>
      <cdr:y>0.7336</cdr:y>
    </cdr:to>
    <cdr:sp macro="" textlink="">
      <cdr:nvSpPr>
        <cdr:cNvPr id="6" name="FracNo 71 StartRow 49">
          <a:extLst xmlns:a="http://schemas.openxmlformats.org/drawingml/2006/main">
            <a:ext uri="{FF2B5EF4-FFF2-40B4-BE49-F238E27FC236}">
              <a16:creationId xmlns:a16="http://schemas.microsoft.com/office/drawing/2014/main" id="{5B0DCD8A-553B-2C13-7556-3A1703EFB1C7}"/>
            </a:ext>
          </a:extLst>
        </cdr:cNvPr>
        <cdr:cNvSpPr/>
      </cdr:nvSpPr>
      <cdr:spPr>
        <a:xfrm xmlns:a="http://schemas.openxmlformats.org/drawingml/2006/main">
          <a:off x="760826" y="4400112"/>
          <a:ext cx="1150434" cy="1189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0434" h="1189942">
              <a:moveTo>
                <a:pt x="525608" y="543658"/>
              </a:moveTo>
              <a:lnTo>
                <a:pt x="514565" y="532237"/>
              </a:lnTo>
              <a:lnTo>
                <a:pt x="0" y="0"/>
              </a:lnTo>
              <a:lnTo>
                <a:pt x="0" y="37504"/>
              </a:lnTo>
              <a:lnTo>
                <a:pt x="496818" y="551383"/>
              </a:lnTo>
              <a:lnTo>
                <a:pt x="507539" y="562473"/>
              </a:lnTo>
              <a:lnTo>
                <a:pt x="1114174" y="1189941"/>
              </a:lnTo>
              <a:lnTo>
                <a:pt x="1150433" y="11899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0.74789</cdr:x>
      <cdr:y>0.68709</cdr:y>
    </cdr:from>
    <cdr:to>
      <cdr:x>0.87966</cdr:x>
      <cdr:y>0.82286</cdr:y>
    </cdr:to>
    <cdr:sp macro="" textlink="">
      <cdr:nvSpPr>
        <cdr:cNvPr id="7" name="FracNo 147 StartRow 60">
          <a:extLst xmlns:a="http://schemas.openxmlformats.org/drawingml/2006/main">
            <a:ext uri="{FF2B5EF4-FFF2-40B4-BE49-F238E27FC236}">
              <a16:creationId xmlns:a16="http://schemas.microsoft.com/office/drawing/2014/main" id="{BB45B652-6043-D251-0668-EF2FD8CE9605}"/>
            </a:ext>
          </a:extLst>
        </cdr:cNvPr>
        <cdr:cNvSpPr/>
      </cdr:nvSpPr>
      <cdr:spPr>
        <a:xfrm xmlns:a="http://schemas.openxmlformats.org/drawingml/2006/main">
          <a:off x="5470956" y="5235620"/>
          <a:ext cx="963952" cy="10345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3952" h="1034560">
              <a:moveTo>
                <a:pt x="689588" y="750773"/>
              </a:moveTo>
              <a:lnTo>
                <a:pt x="0" y="37504"/>
              </a:lnTo>
              <a:lnTo>
                <a:pt x="0" y="0"/>
              </a:lnTo>
              <a:lnTo>
                <a:pt x="689588" y="713269"/>
              </a:lnTo>
              <a:lnTo>
                <a:pt x="963951" y="997055"/>
              </a:lnTo>
              <a:lnTo>
                <a:pt x="963951" y="10345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0.34347</cdr:x>
      <cdr:y>0.79691</cdr:y>
    </cdr:from>
    <cdr:to>
      <cdr:x>0.4776</cdr:x>
      <cdr:y>0.9301</cdr:y>
    </cdr:to>
    <cdr:sp macro="" textlink="">
      <cdr:nvSpPr>
        <cdr:cNvPr id="8" name="FracNo 31 StartRow 69">
          <a:extLst xmlns:a="http://schemas.openxmlformats.org/drawingml/2006/main">
            <a:ext uri="{FF2B5EF4-FFF2-40B4-BE49-F238E27FC236}">
              <a16:creationId xmlns:a16="http://schemas.microsoft.com/office/drawing/2014/main" id="{208F01FD-A00E-B9DB-EB3C-A799B8F0E764}"/>
            </a:ext>
          </a:extLst>
        </cdr:cNvPr>
        <cdr:cNvSpPr/>
      </cdr:nvSpPr>
      <cdr:spPr>
        <a:xfrm xmlns:a="http://schemas.openxmlformats.org/drawingml/2006/main">
          <a:off x="2512538" y="6072450"/>
          <a:ext cx="981218" cy="1014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1218" h="1014916">
              <a:moveTo>
                <a:pt x="186415" y="822097"/>
              </a:moveTo>
              <a:lnTo>
                <a:pt x="0" y="1014915"/>
              </a:lnTo>
              <a:lnTo>
                <a:pt x="36258" y="1014915"/>
              </a:lnTo>
              <a:lnTo>
                <a:pt x="206931" y="838381"/>
              </a:lnTo>
              <a:lnTo>
                <a:pt x="241989" y="802119"/>
              </a:lnTo>
              <a:lnTo>
                <a:pt x="981217" y="37504"/>
              </a:lnTo>
              <a:lnTo>
                <a:pt x="981217" y="0"/>
              </a:lnTo>
              <a:lnTo>
                <a:pt x="224708" y="7824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0.42348</cdr:x>
      <cdr:y>0.28576</cdr:y>
    </cdr:from>
    <cdr:to>
      <cdr:x>0.55512</cdr:x>
      <cdr:y>0.4214</cdr:y>
    </cdr:to>
    <cdr:sp macro="" textlink="">
      <cdr:nvSpPr>
        <cdr:cNvPr id="9" name="FracNo 193 StartRow 80">
          <a:extLst xmlns:a="http://schemas.openxmlformats.org/drawingml/2006/main">
            <a:ext uri="{FF2B5EF4-FFF2-40B4-BE49-F238E27FC236}">
              <a16:creationId xmlns:a16="http://schemas.microsoft.com/office/drawing/2014/main" id="{A06EC60D-B8E6-AFCA-5506-317AAA14B655}"/>
            </a:ext>
          </a:extLst>
        </cdr:cNvPr>
        <cdr:cNvSpPr/>
      </cdr:nvSpPr>
      <cdr:spPr>
        <a:xfrm xmlns:a="http://schemas.openxmlformats.org/drawingml/2006/main">
          <a:off x="3097876" y="2177511"/>
          <a:ext cx="962955" cy="1033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2955" h="1033528">
              <a:moveTo>
                <a:pt x="663574" y="309661"/>
              </a:moveTo>
              <a:lnTo>
                <a:pt x="377460" y="605601"/>
              </a:lnTo>
              <a:lnTo>
                <a:pt x="0" y="996024"/>
              </a:lnTo>
              <a:lnTo>
                <a:pt x="0" y="1033527"/>
              </a:lnTo>
              <a:lnTo>
                <a:pt x="387872" y="632335"/>
              </a:lnTo>
              <a:lnTo>
                <a:pt x="668898" y="341658"/>
              </a:lnTo>
              <a:lnTo>
                <a:pt x="962954" y="37504"/>
              </a:lnTo>
              <a:lnTo>
                <a:pt x="962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0.41307</cdr:x>
      <cdr:y>0.28035</cdr:y>
    </cdr:from>
    <cdr:to>
      <cdr:x>0.54967</cdr:x>
      <cdr:y>0.41106</cdr:y>
    </cdr:to>
    <cdr:sp macro="" textlink="">
      <cdr:nvSpPr>
        <cdr:cNvPr id="10" name="FracNo 1159 StartRow 91">
          <a:extLst xmlns:a="http://schemas.openxmlformats.org/drawingml/2006/main">
            <a:ext uri="{FF2B5EF4-FFF2-40B4-BE49-F238E27FC236}">
              <a16:creationId xmlns:a16="http://schemas.microsoft.com/office/drawing/2014/main" id="{58500657-47ED-D674-5DD8-56E8EB7280F3}"/>
            </a:ext>
          </a:extLst>
        </cdr:cNvPr>
        <cdr:cNvSpPr/>
      </cdr:nvSpPr>
      <cdr:spPr>
        <a:xfrm xmlns:a="http://schemas.openxmlformats.org/drawingml/2006/main">
          <a:off x="3021722" y="2136246"/>
          <a:ext cx="999213" cy="996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9213" h="996024">
              <a:moveTo>
                <a:pt x="494113" y="522445"/>
              </a:moveTo>
              <a:lnTo>
                <a:pt x="354542" y="666809"/>
              </a:lnTo>
              <a:lnTo>
                <a:pt x="36258" y="996023"/>
              </a:lnTo>
              <a:lnTo>
                <a:pt x="0" y="996023"/>
              </a:lnTo>
              <a:lnTo>
                <a:pt x="330999" y="653657"/>
              </a:lnTo>
              <a:lnTo>
                <a:pt x="467818" y="512139"/>
              </a:lnTo>
              <a:lnTo>
                <a:pt x="962953" y="0"/>
              </a:lnTo>
              <a:lnTo>
                <a:pt x="9992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0.65862</cdr:x>
      <cdr:y>0.08544</cdr:y>
    </cdr:from>
    <cdr:to>
      <cdr:x>0.78942</cdr:x>
      <cdr:y>0.21655</cdr:y>
    </cdr:to>
    <cdr:sp macro="" textlink="">
      <cdr:nvSpPr>
        <cdr:cNvPr id="11" name="FracNo 750 StartRow 102">
          <a:extLst xmlns:a="http://schemas.openxmlformats.org/drawingml/2006/main">
            <a:ext uri="{FF2B5EF4-FFF2-40B4-BE49-F238E27FC236}">
              <a16:creationId xmlns:a16="http://schemas.microsoft.com/office/drawing/2014/main" id="{38A53D74-D36B-59D6-79DC-A4D5E4114D62}"/>
            </a:ext>
          </a:extLst>
        </cdr:cNvPr>
        <cdr:cNvSpPr/>
      </cdr:nvSpPr>
      <cdr:spPr>
        <a:xfrm xmlns:a="http://schemas.openxmlformats.org/drawingml/2006/main">
          <a:off x="4817917" y="651036"/>
          <a:ext cx="956832" cy="999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6832" h="999067">
              <a:moveTo>
                <a:pt x="419501" y="443283"/>
              </a:moveTo>
              <a:lnTo>
                <a:pt x="0" y="9376"/>
              </a:lnTo>
              <a:lnTo>
                <a:pt x="27194" y="0"/>
              </a:lnTo>
              <a:lnTo>
                <a:pt x="434772" y="421575"/>
              </a:lnTo>
              <a:lnTo>
                <a:pt x="956831" y="961563"/>
              </a:lnTo>
              <a:lnTo>
                <a:pt x="956831" y="9990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0.64955</cdr:x>
      <cdr:y>0.09882</cdr:y>
    </cdr:from>
    <cdr:to>
      <cdr:x>0.77877</cdr:x>
      <cdr:y>0.22712</cdr:y>
    </cdr:to>
    <cdr:sp macro="" textlink="">
      <cdr:nvSpPr>
        <cdr:cNvPr id="12" name="FracNo 558 StartRow 111">
          <a:extLst xmlns:a="http://schemas.openxmlformats.org/drawingml/2006/main">
            <a:ext uri="{FF2B5EF4-FFF2-40B4-BE49-F238E27FC236}">
              <a16:creationId xmlns:a16="http://schemas.microsoft.com/office/drawing/2014/main" id="{F1B4B7DF-BDA5-1738-14DB-503065B5C27D}"/>
            </a:ext>
          </a:extLst>
        </cdr:cNvPr>
        <cdr:cNvSpPr/>
      </cdr:nvSpPr>
      <cdr:spPr>
        <a:xfrm xmlns:a="http://schemas.openxmlformats.org/drawingml/2006/main">
          <a:off x="4751623" y="753003"/>
          <a:ext cx="945221" cy="977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221" h="977681">
              <a:moveTo>
                <a:pt x="604281" y="625033"/>
              </a:moveTo>
              <a:lnTo>
                <a:pt x="69521" y="71908"/>
              </a:lnTo>
              <a:lnTo>
                <a:pt x="0" y="0"/>
              </a:lnTo>
              <a:lnTo>
                <a:pt x="0" y="37504"/>
              </a:lnTo>
              <a:lnTo>
                <a:pt x="67427" y="107246"/>
              </a:lnTo>
              <a:lnTo>
                <a:pt x="581324" y="638792"/>
              </a:lnTo>
              <a:lnTo>
                <a:pt x="908961" y="977680"/>
              </a:lnTo>
              <a:lnTo>
                <a:pt x="945220" y="9776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0.15104</cdr:x>
      <cdr:y>0.33937</cdr:y>
    </cdr:from>
    <cdr:to>
      <cdr:x>0.27642</cdr:x>
      <cdr:y>0.4688</cdr:y>
    </cdr:to>
    <cdr:sp macro="" textlink="">
      <cdr:nvSpPr>
        <cdr:cNvPr id="13" name="FracNo 796 StartRow 122">
          <a:extLst xmlns:a="http://schemas.openxmlformats.org/drawingml/2006/main">
            <a:ext uri="{FF2B5EF4-FFF2-40B4-BE49-F238E27FC236}">
              <a16:creationId xmlns:a16="http://schemas.microsoft.com/office/drawing/2014/main" id="{4C489448-07EC-5A18-F444-683D96256F99}"/>
            </a:ext>
          </a:extLst>
        </cdr:cNvPr>
        <cdr:cNvSpPr/>
      </cdr:nvSpPr>
      <cdr:spPr>
        <a:xfrm xmlns:a="http://schemas.openxmlformats.org/drawingml/2006/main">
          <a:off x="1104875" y="2586036"/>
          <a:ext cx="917197" cy="986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7197" h="986198">
              <a:moveTo>
                <a:pt x="394573" y="408123"/>
              </a:moveTo>
              <a:lnTo>
                <a:pt x="189618" y="196129"/>
              </a:lnTo>
              <a:lnTo>
                <a:pt x="0" y="0"/>
              </a:lnTo>
              <a:lnTo>
                <a:pt x="0" y="37503"/>
              </a:lnTo>
              <a:lnTo>
                <a:pt x="181036" y="224757"/>
              </a:lnTo>
              <a:lnTo>
                <a:pt x="388408" y="439250"/>
              </a:lnTo>
              <a:lnTo>
                <a:pt x="917196" y="986197"/>
              </a:lnTo>
              <a:lnTo>
                <a:pt x="917196" y="9486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0.34389</cdr:x>
      <cdr:y>0.24549</cdr:y>
    </cdr:from>
    <cdr:to>
      <cdr:x>0.46917</cdr:x>
      <cdr:y>0.36988</cdr:y>
    </cdr:to>
    <cdr:sp macro="" textlink="">
      <cdr:nvSpPr>
        <cdr:cNvPr id="14" name="FracNo 184 StartRow 133">
          <a:extLst xmlns:a="http://schemas.openxmlformats.org/drawingml/2006/main">
            <a:ext uri="{FF2B5EF4-FFF2-40B4-BE49-F238E27FC236}">
              <a16:creationId xmlns:a16="http://schemas.microsoft.com/office/drawing/2014/main" id="{6FB8D222-78DE-E4F6-85EA-0180FCAD78CF}"/>
            </a:ext>
          </a:extLst>
        </cdr:cNvPr>
        <cdr:cNvSpPr/>
      </cdr:nvSpPr>
      <cdr:spPr>
        <a:xfrm xmlns:a="http://schemas.openxmlformats.org/drawingml/2006/main">
          <a:off x="2515630" y="1870615"/>
          <a:ext cx="916415" cy="947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415" h="947886">
              <a:moveTo>
                <a:pt x="717122" y="168633"/>
              </a:moveTo>
              <a:lnTo>
                <a:pt x="221192" y="681594"/>
              </a:lnTo>
              <a:lnTo>
                <a:pt x="3037" y="907241"/>
              </a:lnTo>
              <a:lnTo>
                <a:pt x="0" y="910382"/>
              </a:lnTo>
              <a:lnTo>
                <a:pt x="0" y="947885"/>
              </a:lnTo>
              <a:lnTo>
                <a:pt x="3285" y="944487"/>
              </a:lnTo>
              <a:lnTo>
                <a:pt x="239321" y="700346"/>
              </a:lnTo>
              <a:lnTo>
                <a:pt x="748895" y="173272"/>
              </a:lnTo>
              <a:lnTo>
                <a:pt x="916414" y="0"/>
              </a:lnTo>
              <a:lnTo>
                <a:pt x="8801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0.49199</cdr:x>
      <cdr:y>0.36056</cdr:y>
    </cdr:from>
    <cdr:to>
      <cdr:x>0.61272</cdr:x>
      <cdr:y>0.48536</cdr:y>
    </cdr:to>
    <cdr:sp macro="" textlink="">
      <cdr:nvSpPr>
        <cdr:cNvPr id="15" name="FracNo 680 StartRow 146">
          <a:extLst xmlns:a="http://schemas.openxmlformats.org/drawingml/2006/main">
            <a:ext uri="{FF2B5EF4-FFF2-40B4-BE49-F238E27FC236}">
              <a16:creationId xmlns:a16="http://schemas.microsoft.com/office/drawing/2014/main" id="{D902D9A9-3C82-F17E-38F4-D05C28815836}"/>
            </a:ext>
          </a:extLst>
        </cdr:cNvPr>
        <cdr:cNvSpPr/>
      </cdr:nvSpPr>
      <cdr:spPr>
        <a:xfrm xmlns:a="http://schemas.openxmlformats.org/drawingml/2006/main">
          <a:off x="3599010" y="2747485"/>
          <a:ext cx="883159" cy="950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3159" h="950992">
              <a:moveTo>
                <a:pt x="99436" y="810636"/>
              </a:moveTo>
              <a:lnTo>
                <a:pt x="0" y="913487"/>
              </a:lnTo>
              <a:lnTo>
                <a:pt x="0" y="950991"/>
              </a:lnTo>
              <a:lnTo>
                <a:pt x="99515" y="848058"/>
              </a:lnTo>
              <a:lnTo>
                <a:pt x="854258" y="67396"/>
              </a:lnTo>
              <a:lnTo>
                <a:pt x="883158" y="37503"/>
              </a:lnTo>
              <a:lnTo>
                <a:pt x="883158" y="0"/>
              </a:lnTo>
              <a:lnTo>
                <a:pt x="853581" y="305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0.20938</cdr:x>
      <cdr:y>0.58938</cdr:y>
    </cdr:from>
    <cdr:to>
      <cdr:x>0.33205</cdr:x>
      <cdr:y>0.71118</cdr:y>
    </cdr:to>
    <cdr:sp macro="" textlink="">
      <cdr:nvSpPr>
        <cdr:cNvPr id="16" name="FracNo 772 StartRow 157">
          <a:extLst xmlns:a="http://schemas.openxmlformats.org/drawingml/2006/main">
            <a:ext uri="{FF2B5EF4-FFF2-40B4-BE49-F238E27FC236}">
              <a16:creationId xmlns:a16="http://schemas.microsoft.com/office/drawing/2014/main" id="{0A616327-67C0-6519-44B6-89F20818E321}"/>
            </a:ext>
          </a:extLst>
        </cdr:cNvPr>
        <cdr:cNvSpPr/>
      </cdr:nvSpPr>
      <cdr:spPr>
        <a:xfrm xmlns:a="http://schemas.openxmlformats.org/drawingml/2006/main">
          <a:off x="1531682" y="4491075"/>
          <a:ext cx="897325" cy="928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7325" h="928141">
              <a:moveTo>
                <a:pt x="699144" y="760658"/>
              </a:moveTo>
              <a:lnTo>
                <a:pt x="412435" y="464103"/>
              </a:lnTo>
              <a:lnTo>
                <a:pt x="0" y="37503"/>
              </a:lnTo>
              <a:lnTo>
                <a:pt x="0" y="0"/>
              </a:lnTo>
              <a:lnTo>
                <a:pt x="423062" y="437591"/>
              </a:lnTo>
              <a:lnTo>
                <a:pt x="726152" y="751089"/>
              </a:lnTo>
              <a:lnTo>
                <a:pt x="897324" y="928140"/>
              </a:lnTo>
              <a:lnTo>
                <a:pt x="861065" y="928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0.12933</cdr:x>
      <cdr:y>0.57869</cdr:y>
    </cdr:from>
    <cdr:to>
      <cdr:x>0.25169</cdr:x>
      <cdr:y>0.70018</cdr:y>
    </cdr:to>
    <cdr:sp macro="" textlink="">
      <cdr:nvSpPr>
        <cdr:cNvPr id="17" name="FracNo 970 StartRow 168">
          <a:extLst xmlns:a="http://schemas.openxmlformats.org/drawingml/2006/main">
            <a:ext uri="{FF2B5EF4-FFF2-40B4-BE49-F238E27FC236}">
              <a16:creationId xmlns:a16="http://schemas.microsoft.com/office/drawing/2014/main" id="{5101A286-524B-DFC7-D190-064A6E089053}"/>
            </a:ext>
          </a:extLst>
        </cdr:cNvPr>
        <cdr:cNvSpPr/>
      </cdr:nvSpPr>
      <cdr:spPr>
        <a:xfrm xmlns:a="http://schemas.openxmlformats.org/drawingml/2006/main">
          <a:off x="946089" y="4409591"/>
          <a:ext cx="895067" cy="925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5067" h="925805">
              <a:moveTo>
                <a:pt x="431792" y="484125"/>
              </a:moveTo>
              <a:lnTo>
                <a:pt x="0" y="37504"/>
              </a:lnTo>
              <a:lnTo>
                <a:pt x="0" y="0"/>
              </a:lnTo>
              <a:lnTo>
                <a:pt x="449944" y="465396"/>
              </a:lnTo>
              <a:lnTo>
                <a:pt x="506749" y="524152"/>
              </a:lnTo>
              <a:lnTo>
                <a:pt x="895066" y="925804"/>
              </a:lnTo>
              <a:lnTo>
                <a:pt x="858807" y="925804"/>
              </a:lnTo>
              <a:lnTo>
                <a:pt x="486306" y="5405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0.1079</cdr:x>
      <cdr:y>0.57358</cdr:y>
    </cdr:from>
    <cdr:to>
      <cdr:x>0.22887</cdr:x>
      <cdr:y>0.69123</cdr:y>
    </cdr:to>
    <cdr:sp macro="" textlink="">
      <cdr:nvSpPr>
        <cdr:cNvPr id="18" name="FracNo 73 StartRow 179">
          <a:extLst xmlns:a="http://schemas.openxmlformats.org/drawingml/2006/main">
            <a:ext uri="{FF2B5EF4-FFF2-40B4-BE49-F238E27FC236}">
              <a16:creationId xmlns:a16="http://schemas.microsoft.com/office/drawing/2014/main" id="{E8D4D6B9-2866-8A31-AE15-A8F81C8D1A95}"/>
            </a:ext>
          </a:extLst>
        </cdr:cNvPr>
        <cdr:cNvSpPr/>
      </cdr:nvSpPr>
      <cdr:spPr>
        <a:xfrm xmlns:a="http://schemas.openxmlformats.org/drawingml/2006/main">
          <a:off x="789317" y="4370643"/>
          <a:ext cx="884881" cy="896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4881" h="896518">
              <a:moveTo>
                <a:pt x="675655" y="698858"/>
              </a:moveTo>
              <a:lnTo>
                <a:pt x="559811" y="579036"/>
              </a:lnTo>
              <a:lnTo>
                <a:pt x="0" y="0"/>
              </a:lnTo>
              <a:lnTo>
                <a:pt x="36258" y="0"/>
              </a:lnTo>
              <a:lnTo>
                <a:pt x="581071" y="563522"/>
              </a:lnTo>
              <a:lnTo>
                <a:pt x="695733" y="682121"/>
              </a:lnTo>
              <a:lnTo>
                <a:pt x="884880" y="877765"/>
              </a:lnTo>
              <a:lnTo>
                <a:pt x="866751" y="8965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0.2931</cdr:x>
      <cdr:y>0.2556</cdr:y>
    </cdr:from>
    <cdr:to>
      <cdr:x>0.41319</cdr:x>
      <cdr:y>0.37239</cdr:y>
    </cdr:to>
    <cdr:sp macro="" textlink="">
      <cdr:nvSpPr>
        <cdr:cNvPr id="19" name="FracNo 278 StartRow 190">
          <a:extLst xmlns:a="http://schemas.openxmlformats.org/drawingml/2006/main">
            <a:ext uri="{FF2B5EF4-FFF2-40B4-BE49-F238E27FC236}">
              <a16:creationId xmlns:a16="http://schemas.microsoft.com/office/drawing/2014/main" id="{0B542382-672E-81C0-5E40-0814D6174F25}"/>
            </a:ext>
          </a:extLst>
        </cdr:cNvPr>
        <cdr:cNvSpPr/>
      </cdr:nvSpPr>
      <cdr:spPr>
        <a:xfrm xmlns:a="http://schemas.openxmlformats.org/drawingml/2006/main">
          <a:off x="2144049" y="1947662"/>
          <a:ext cx="878499" cy="889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499" h="889916">
              <a:moveTo>
                <a:pt x="245577" y="617152"/>
              </a:moveTo>
              <a:lnTo>
                <a:pt x="30669" y="839441"/>
              </a:lnTo>
              <a:lnTo>
                <a:pt x="0" y="871163"/>
              </a:lnTo>
              <a:lnTo>
                <a:pt x="18130" y="889915"/>
              </a:lnTo>
              <a:lnTo>
                <a:pt x="48798" y="858193"/>
              </a:lnTo>
              <a:lnTo>
                <a:pt x="267707" y="631767"/>
              </a:lnTo>
              <a:lnTo>
                <a:pt x="616085" y="271424"/>
              </a:lnTo>
              <a:lnTo>
                <a:pt x="878498" y="0"/>
              </a:lnTo>
              <a:lnTo>
                <a:pt x="842239" y="0"/>
              </a:lnTo>
              <a:lnTo>
                <a:pt x="587590" y="2633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0.70946</cdr:x>
      <cdr:y>0.33686</cdr:y>
    </cdr:from>
    <cdr:to>
      <cdr:x>0.82813</cdr:x>
      <cdr:y>0.45468</cdr:y>
    </cdr:to>
    <cdr:sp macro="" textlink="">
      <cdr:nvSpPr>
        <cdr:cNvPr id="20" name="FracNo 631 StartRow 203">
          <a:extLst xmlns:a="http://schemas.openxmlformats.org/drawingml/2006/main">
            <a:ext uri="{FF2B5EF4-FFF2-40B4-BE49-F238E27FC236}">
              <a16:creationId xmlns:a16="http://schemas.microsoft.com/office/drawing/2014/main" id="{93EDDABF-AB11-03D9-B235-2A6A1693F5BA}"/>
            </a:ext>
          </a:extLst>
        </cdr:cNvPr>
        <cdr:cNvSpPr/>
      </cdr:nvSpPr>
      <cdr:spPr>
        <a:xfrm xmlns:a="http://schemas.openxmlformats.org/drawingml/2006/main">
          <a:off x="5189875" y="2566844"/>
          <a:ext cx="868044" cy="897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044" h="897854">
              <a:moveTo>
                <a:pt x="272629" y="281991"/>
              </a:moveTo>
              <a:lnTo>
                <a:pt x="229626" y="237511"/>
              </a:lnTo>
              <a:lnTo>
                <a:pt x="0" y="0"/>
              </a:lnTo>
              <a:lnTo>
                <a:pt x="36259" y="0"/>
              </a:lnTo>
              <a:lnTo>
                <a:pt x="250656" y="221759"/>
              </a:lnTo>
              <a:lnTo>
                <a:pt x="292243" y="264775"/>
              </a:lnTo>
              <a:lnTo>
                <a:pt x="868043" y="860350"/>
              </a:lnTo>
              <a:lnTo>
                <a:pt x="868043" y="8978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0.70569</cdr:x>
      <cdr:y>0.3406</cdr:y>
    </cdr:from>
    <cdr:to>
      <cdr:x>0.82435</cdr:x>
      <cdr:y>0.45843</cdr:y>
    </cdr:to>
    <cdr:sp macro="" textlink="">
      <cdr:nvSpPr>
        <cdr:cNvPr id="21" name="FracNo 635 StartRow 214">
          <a:extLst xmlns:a="http://schemas.openxmlformats.org/drawingml/2006/main">
            <a:ext uri="{FF2B5EF4-FFF2-40B4-BE49-F238E27FC236}">
              <a16:creationId xmlns:a16="http://schemas.microsoft.com/office/drawing/2014/main" id="{D397CF5D-83BF-8EEA-2C70-20B7CABEAB63}"/>
            </a:ext>
          </a:extLst>
        </cdr:cNvPr>
        <cdr:cNvSpPr/>
      </cdr:nvSpPr>
      <cdr:spPr>
        <a:xfrm xmlns:a="http://schemas.openxmlformats.org/drawingml/2006/main">
          <a:off x="5162261" y="2595407"/>
          <a:ext cx="868044" cy="897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044" h="897854">
              <a:moveTo>
                <a:pt x="445586" y="460888"/>
              </a:moveTo>
              <a:lnTo>
                <a:pt x="198435" y="205249"/>
              </a:lnTo>
              <a:lnTo>
                <a:pt x="0" y="0"/>
              </a:lnTo>
              <a:lnTo>
                <a:pt x="36258" y="0"/>
              </a:lnTo>
              <a:lnTo>
                <a:pt x="226616" y="196895"/>
              </a:lnTo>
              <a:lnTo>
                <a:pt x="463366" y="441775"/>
              </a:lnTo>
              <a:lnTo>
                <a:pt x="868043" y="860350"/>
              </a:lnTo>
              <a:lnTo>
                <a:pt x="868043" y="8978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0.69845</cdr:x>
      <cdr:y>0.34779</cdr:y>
    </cdr:from>
    <cdr:to>
      <cdr:x>0.81711</cdr:x>
      <cdr:y>0.46562</cdr:y>
    </cdr:to>
    <cdr:sp macro="" textlink="">
      <cdr:nvSpPr>
        <cdr:cNvPr id="22" name="FracNo 636 StartRow 225">
          <a:extLst xmlns:a="http://schemas.openxmlformats.org/drawingml/2006/main">
            <a:ext uri="{FF2B5EF4-FFF2-40B4-BE49-F238E27FC236}">
              <a16:creationId xmlns:a16="http://schemas.microsoft.com/office/drawing/2014/main" id="{D3EDB707-9BD4-D8BD-E3B0-013366791234}"/>
            </a:ext>
          </a:extLst>
        </cdr:cNvPr>
        <cdr:cNvSpPr/>
      </cdr:nvSpPr>
      <cdr:spPr>
        <a:xfrm xmlns:a="http://schemas.openxmlformats.org/drawingml/2006/main">
          <a:off x="5109306" y="2650180"/>
          <a:ext cx="868044" cy="897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044" h="897854">
              <a:moveTo>
                <a:pt x="568590" y="588116"/>
              </a:moveTo>
              <a:lnTo>
                <a:pt x="143744" y="148680"/>
              </a:lnTo>
              <a:lnTo>
                <a:pt x="0" y="0"/>
              </a:lnTo>
              <a:lnTo>
                <a:pt x="36259" y="0"/>
              </a:lnTo>
              <a:lnTo>
                <a:pt x="175399" y="143918"/>
              </a:lnTo>
              <a:lnTo>
                <a:pt x="581677" y="564149"/>
              </a:lnTo>
              <a:lnTo>
                <a:pt x="868043" y="860350"/>
              </a:lnTo>
              <a:lnTo>
                <a:pt x="868043" y="8978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0.36822</cdr:x>
      <cdr:y>0.50094</cdr:y>
    </cdr:from>
    <cdr:to>
      <cdr:x>0.48624</cdr:x>
      <cdr:y>0.61812</cdr:y>
    </cdr:to>
    <cdr:sp macro="" textlink="">
      <cdr:nvSpPr>
        <cdr:cNvPr id="23" name="FracNo 758 StartRow 236">
          <a:extLst xmlns:a="http://schemas.openxmlformats.org/drawingml/2006/main">
            <a:ext uri="{FF2B5EF4-FFF2-40B4-BE49-F238E27FC236}">
              <a16:creationId xmlns:a16="http://schemas.microsoft.com/office/drawing/2014/main" id="{AAF55934-504B-BD7F-C69C-B908E43ACD11}"/>
            </a:ext>
          </a:extLst>
        </cdr:cNvPr>
        <cdr:cNvSpPr/>
      </cdr:nvSpPr>
      <cdr:spPr>
        <a:xfrm xmlns:a="http://schemas.openxmlformats.org/drawingml/2006/main">
          <a:off x="2693602" y="3817157"/>
          <a:ext cx="863305" cy="892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3305" h="892952">
              <a:moveTo>
                <a:pt x="641943" y="266467"/>
              </a:moveTo>
              <a:lnTo>
                <a:pt x="69913" y="858141"/>
              </a:lnTo>
              <a:lnTo>
                <a:pt x="36259" y="892951"/>
              </a:lnTo>
              <a:lnTo>
                <a:pt x="0" y="892951"/>
              </a:lnTo>
              <a:lnTo>
                <a:pt x="34655" y="857106"/>
              </a:lnTo>
              <a:lnTo>
                <a:pt x="632105" y="239138"/>
              </a:lnTo>
              <a:lnTo>
                <a:pt x="863304" y="0"/>
              </a:lnTo>
              <a:lnTo>
                <a:pt x="86330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0.37372</cdr:x>
      <cdr:y>0.5064</cdr:y>
    </cdr:from>
    <cdr:to>
      <cdr:x>0.49173</cdr:x>
      <cdr:y>0.62358</cdr:y>
    </cdr:to>
    <cdr:sp macro="" textlink="">
      <cdr:nvSpPr>
        <cdr:cNvPr id="24" name="FracNo 785 StartRow 247">
          <a:extLst xmlns:a="http://schemas.openxmlformats.org/drawingml/2006/main">
            <a:ext uri="{FF2B5EF4-FFF2-40B4-BE49-F238E27FC236}">
              <a16:creationId xmlns:a16="http://schemas.microsoft.com/office/drawing/2014/main" id="{B4C856B0-640F-78FE-E978-5AEB4A160517}"/>
            </a:ext>
          </a:extLst>
        </cdr:cNvPr>
        <cdr:cNvSpPr/>
      </cdr:nvSpPr>
      <cdr:spPr>
        <a:xfrm xmlns:a="http://schemas.openxmlformats.org/drawingml/2006/main">
          <a:off x="2733820" y="3858756"/>
          <a:ext cx="863305" cy="892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3305" h="892952">
              <a:moveTo>
                <a:pt x="468349" y="371014"/>
              </a:moveTo>
              <a:lnTo>
                <a:pt x="11838" y="843203"/>
              </a:lnTo>
              <a:lnTo>
                <a:pt x="0" y="855447"/>
              </a:lnTo>
              <a:lnTo>
                <a:pt x="0" y="892951"/>
              </a:lnTo>
              <a:lnTo>
                <a:pt x="12295" y="880234"/>
              </a:lnTo>
              <a:lnTo>
                <a:pt x="488855" y="387308"/>
              </a:lnTo>
              <a:lnTo>
                <a:pt x="863304" y="0"/>
              </a:lnTo>
              <a:lnTo>
                <a:pt x="8270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0.19137</cdr:x>
      <cdr:y>0.78645</cdr:y>
    </cdr:from>
    <cdr:to>
      <cdr:x>0.30696</cdr:x>
      <cdr:y>0.90123</cdr:y>
    </cdr:to>
    <cdr:sp macro="" textlink="">
      <cdr:nvSpPr>
        <cdr:cNvPr id="25" name="FracNo 36 StartRow 258">
          <a:extLst xmlns:a="http://schemas.openxmlformats.org/drawingml/2006/main">
            <a:ext uri="{FF2B5EF4-FFF2-40B4-BE49-F238E27FC236}">
              <a16:creationId xmlns:a16="http://schemas.microsoft.com/office/drawing/2014/main" id="{11B919CF-2C0C-5017-C54B-1D89AE199710}"/>
            </a:ext>
          </a:extLst>
        </cdr:cNvPr>
        <cdr:cNvSpPr/>
      </cdr:nvSpPr>
      <cdr:spPr>
        <a:xfrm xmlns:a="http://schemas.openxmlformats.org/drawingml/2006/main">
          <a:off x="1399905" y="5992754"/>
          <a:ext cx="845588" cy="874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5588" h="874628">
              <a:moveTo>
                <a:pt x="371501" y="452864"/>
              </a:moveTo>
              <a:lnTo>
                <a:pt x="0" y="837123"/>
              </a:lnTo>
              <a:lnTo>
                <a:pt x="0" y="874627"/>
              </a:lnTo>
              <a:lnTo>
                <a:pt x="388145" y="473152"/>
              </a:lnTo>
              <a:lnTo>
                <a:pt x="845587" y="0"/>
              </a:lnTo>
              <a:lnTo>
                <a:pt x="809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0.7434</cdr:x>
      <cdr:y>0.25672</cdr:y>
    </cdr:from>
    <cdr:to>
      <cdr:x>0.85804</cdr:x>
      <cdr:y>0.37055</cdr:y>
    </cdr:to>
    <cdr:sp macro="" textlink="">
      <cdr:nvSpPr>
        <cdr:cNvPr id="26" name="FracNo 514 StartRow 267">
          <a:extLst xmlns:a="http://schemas.openxmlformats.org/drawingml/2006/main">
            <a:ext uri="{FF2B5EF4-FFF2-40B4-BE49-F238E27FC236}">
              <a16:creationId xmlns:a16="http://schemas.microsoft.com/office/drawing/2014/main" id="{FCF907FD-4892-2B0E-E1CF-FF1830D763A0}"/>
            </a:ext>
          </a:extLst>
        </cdr:cNvPr>
        <cdr:cNvSpPr/>
      </cdr:nvSpPr>
      <cdr:spPr>
        <a:xfrm xmlns:a="http://schemas.openxmlformats.org/drawingml/2006/main">
          <a:off x="5438111" y="1956195"/>
          <a:ext cx="838609" cy="867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609" h="867410">
              <a:moveTo>
                <a:pt x="396048" y="457760"/>
              </a:moveTo>
              <a:lnTo>
                <a:pt x="26837" y="839650"/>
              </a:lnTo>
              <a:lnTo>
                <a:pt x="0" y="867409"/>
              </a:lnTo>
              <a:lnTo>
                <a:pt x="36258" y="867409"/>
              </a:lnTo>
              <a:lnTo>
                <a:pt x="61868" y="840918"/>
              </a:lnTo>
              <a:lnTo>
                <a:pt x="415146" y="475509"/>
              </a:lnTo>
              <a:lnTo>
                <a:pt x="838608" y="37504"/>
              </a:lnTo>
              <a:lnTo>
                <a:pt x="8386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0.32833</cdr:x>
      <cdr:y>0.16131</cdr:y>
    </cdr:from>
    <cdr:to>
      <cdr:x>0.43866</cdr:x>
      <cdr:y>0.27578</cdr:y>
    </cdr:to>
    <cdr:sp macro="" textlink="">
      <cdr:nvSpPr>
        <cdr:cNvPr id="27" name="FracNo 319 StartRow 278">
          <a:extLst xmlns:a="http://schemas.openxmlformats.org/drawingml/2006/main">
            <a:ext uri="{FF2B5EF4-FFF2-40B4-BE49-F238E27FC236}">
              <a16:creationId xmlns:a16="http://schemas.microsoft.com/office/drawing/2014/main" id="{3F6D9C1F-F16E-1548-6854-E769D844BEFD}"/>
            </a:ext>
          </a:extLst>
        </cdr:cNvPr>
        <cdr:cNvSpPr/>
      </cdr:nvSpPr>
      <cdr:spPr>
        <a:xfrm xmlns:a="http://schemas.openxmlformats.org/drawingml/2006/main">
          <a:off x="2401793" y="1229193"/>
          <a:ext cx="807060" cy="872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7060" h="872280">
              <a:moveTo>
                <a:pt x="303478" y="313900"/>
              </a:moveTo>
              <a:lnTo>
                <a:pt x="0" y="0"/>
              </a:lnTo>
              <a:lnTo>
                <a:pt x="0" y="37504"/>
              </a:lnTo>
              <a:lnTo>
                <a:pt x="289320" y="336760"/>
              </a:lnTo>
              <a:lnTo>
                <a:pt x="335875" y="384914"/>
              </a:lnTo>
              <a:lnTo>
                <a:pt x="807059" y="872279"/>
              </a:lnTo>
              <a:lnTo>
                <a:pt x="807059" y="834775"/>
              </a:lnTo>
              <a:lnTo>
                <a:pt x="352311" y="3644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0.66925</cdr:x>
      <cdr:y>0.73895</cdr:y>
    </cdr:from>
    <cdr:to>
      <cdr:x>0.78085</cdr:x>
      <cdr:y>0.84976</cdr:y>
    </cdr:to>
    <cdr:sp macro="" textlink="">
      <cdr:nvSpPr>
        <cdr:cNvPr id="28" name="FracNo 851 StartRow 289">
          <a:extLst xmlns:a="http://schemas.openxmlformats.org/drawingml/2006/main">
            <a:ext uri="{FF2B5EF4-FFF2-40B4-BE49-F238E27FC236}">
              <a16:creationId xmlns:a16="http://schemas.microsoft.com/office/drawing/2014/main" id="{A267DC39-347C-F879-B329-0B876AFEC66E}"/>
            </a:ext>
          </a:extLst>
        </cdr:cNvPr>
        <cdr:cNvSpPr/>
      </cdr:nvSpPr>
      <cdr:spPr>
        <a:xfrm xmlns:a="http://schemas.openxmlformats.org/drawingml/2006/main">
          <a:off x="4895695" y="5630771"/>
          <a:ext cx="816346" cy="844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6346" h="844382">
              <a:moveTo>
                <a:pt x="239480" y="596676"/>
              </a:moveTo>
              <a:lnTo>
                <a:pt x="0" y="844381"/>
              </a:lnTo>
              <a:lnTo>
                <a:pt x="0" y="806877"/>
              </a:lnTo>
              <a:lnTo>
                <a:pt x="228843" y="570174"/>
              </a:lnTo>
              <a:lnTo>
                <a:pt x="780087" y="0"/>
              </a:lnTo>
              <a:lnTo>
                <a:pt x="8163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0.19816</cdr:x>
      <cdr:y>0.49324</cdr:y>
    </cdr:from>
    <cdr:to>
      <cdr:x>0.3062</cdr:x>
      <cdr:y>0.60544</cdr:y>
    </cdr:to>
    <cdr:sp macro="" textlink="">
      <cdr:nvSpPr>
        <cdr:cNvPr id="29" name="FracNo 346 StartRow 298">
          <a:extLst xmlns:a="http://schemas.openxmlformats.org/drawingml/2006/main">
            <a:ext uri="{FF2B5EF4-FFF2-40B4-BE49-F238E27FC236}">
              <a16:creationId xmlns:a16="http://schemas.microsoft.com/office/drawing/2014/main" id="{D375F746-C787-9A2A-E662-1DB5CC5A2FA4}"/>
            </a:ext>
          </a:extLst>
        </cdr:cNvPr>
        <cdr:cNvSpPr/>
      </cdr:nvSpPr>
      <cdr:spPr>
        <a:xfrm xmlns:a="http://schemas.openxmlformats.org/drawingml/2006/main">
          <a:off x="1449597" y="3758508"/>
          <a:ext cx="790330" cy="854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0330" h="854975">
              <a:moveTo>
                <a:pt x="249712" y="596687"/>
              </a:moveTo>
              <a:lnTo>
                <a:pt x="0" y="854974"/>
              </a:lnTo>
              <a:lnTo>
                <a:pt x="0" y="817471"/>
              </a:lnTo>
              <a:lnTo>
                <a:pt x="249712" y="559183"/>
              </a:lnTo>
              <a:lnTo>
                <a:pt x="790329" y="0"/>
              </a:lnTo>
              <a:lnTo>
                <a:pt x="79032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0.19295</cdr:x>
      <cdr:y>0.48807</cdr:y>
    </cdr:from>
    <cdr:to>
      <cdr:x>0.30099</cdr:x>
      <cdr:y>0.60027</cdr:y>
    </cdr:to>
    <cdr:sp macro="" textlink="">
      <cdr:nvSpPr>
        <cdr:cNvPr id="30" name="FracNo 345 StartRow 307">
          <a:extLst xmlns:a="http://schemas.openxmlformats.org/drawingml/2006/main">
            <a:ext uri="{FF2B5EF4-FFF2-40B4-BE49-F238E27FC236}">
              <a16:creationId xmlns:a16="http://schemas.microsoft.com/office/drawing/2014/main" id="{AF5F5E23-4A34-7691-DAB0-D0E6B6D11EDF}"/>
            </a:ext>
          </a:extLst>
        </cdr:cNvPr>
        <cdr:cNvSpPr/>
      </cdr:nvSpPr>
      <cdr:spPr>
        <a:xfrm xmlns:a="http://schemas.openxmlformats.org/drawingml/2006/main">
          <a:off x="1411503" y="3719106"/>
          <a:ext cx="790330" cy="854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0330" h="854975">
              <a:moveTo>
                <a:pt x="771475" y="57006"/>
              </a:moveTo>
              <a:lnTo>
                <a:pt x="0" y="854974"/>
              </a:lnTo>
              <a:lnTo>
                <a:pt x="0" y="817471"/>
              </a:lnTo>
              <a:lnTo>
                <a:pt x="771475" y="19503"/>
              </a:lnTo>
              <a:lnTo>
                <a:pt x="790329" y="0"/>
              </a:lnTo>
              <a:lnTo>
                <a:pt x="79032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0.35183</cdr:x>
      <cdr:y>0.29318</cdr:y>
    </cdr:from>
    <cdr:to>
      <cdr:x>0.46202</cdr:x>
      <cdr:y>0.4026</cdr:y>
    </cdr:to>
    <cdr:sp macro="" textlink="">
      <cdr:nvSpPr>
        <cdr:cNvPr id="31" name="FracNo 183 StartRow 316">
          <a:extLst xmlns:a="http://schemas.openxmlformats.org/drawingml/2006/main">
            <a:ext uri="{FF2B5EF4-FFF2-40B4-BE49-F238E27FC236}">
              <a16:creationId xmlns:a16="http://schemas.microsoft.com/office/drawing/2014/main" id="{F9342C4A-775A-00CD-8FAD-6C420E9E02D1}"/>
            </a:ext>
          </a:extLst>
        </cdr:cNvPr>
        <cdr:cNvSpPr/>
      </cdr:nvSpPr>
      <cdr:spPr>
        <a:xfrm xmlns:a="http://schemas.openxmlformats.org/drawingml/2006/main">
          <a:off x="2573680" y="2234046"/>
          <a:ext cx="806081" cy="83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081" h="833764">
              <a:moveTo>
                <a:pt x="282018" y="542060"/>
              </a:moveTo>
              <a:lnTo>
                <a:pt x="253257" y="571809"/>
              </a:lnTo>
              <a:lnTo>
                <a:pt x="178599" y="649031"/>
              </a:lnTo>
              <a:lnTo>
                <a:pt x="0" y="833763"/>
              </a:lnTo>
              <a:lnTo>
                <a:pt x="0" y="796260"/>
              </a:lnTo>
              <a:lnTo>
                <a:pt x="165814" y="624751"/>
              </a:lnTo>
              <a:lnTo>
                <a:pt x="235128" y="553057"/>
              </a:lnTo>
              <a:lnTo>
                <a:pt x="262946" y="524284"/>
              </a:lnTo>
              <a:lnTo>
                <a:pt x="769822" y="0"/>
              </a:lnTo>
              <a:lnTo>
                <a:pt x="8060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0.34554</cdr:x>
      <cdr:y>0.28694</cdr:y>
    </cdr:from>
    <cdr:to>
      <cdr:x>0.45573</cdr:x>
      <cdr:y>0.39636</cdr:y>
    </cdr:to>
    <cdr:sp macro="" textlink="">
      <cdr:nvSpPr>
        <cdr:cNvPr id="32" name="FracNo 728 StartRow 329">
          <a:extLst xmlns:a="http://schemas.openxmlformats.org/drawingml/2006/main">
            <a:ext uri="{FF2B5EF4-FFF2-40B4-BE49-F238E27FC236}">
              <a16:creationId xmlns:a16="http://schemas.microsoft.com/office/drawing/2014/main" id="{58579277-3AE1-E45E-70EA-D5AD82FB5511}"/>
            </a:ext>
          </a:extLst>
        </cdr:cNvPr>
        <cdr:cNvSpPr/>
      </cdr:nvSpPr>
      <cdr:spPr>
        <a:xfrm xmlns:a="http://schemas.openxmlformats.org/drawingml/2006/main">
          <a:off x="2527677" y="2186464"/>
          <a:ext cx="806082" cy="83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082" h="833764">
              <a:moveTo>
                <a:pt x="238368" y="587210"/>
              </a:moveTo>
              <a:lnTo>
                <a:pt x="225385" y="600639"/>
              </a:lnTo>
              <a:lnTo>
                <a:pt x="208464" y="618140"/>
              </a:lnTo>
              <a:lnTo>
                <a:pt x="0" y="833763"/>
              </a:lnTo>
              <a:lnTo>
                <a:pt x="36259" y="833763"/>
              </a:lnTo>
              <a:lnTo>
                <a:pt x="227955" y="635485"/>
              </a:lnTo>
              <a:lnTo>
                <a:pt x="243514" y="619391"/>
              </a:lnTo>
              <a:lnTo>
                <a:pt x="256091" y="606381"/>
              </a:lnTo>
              <a:lnTo>
                <a:pt x="806081" y="37504"/>
              </a:lnTo>
              <a:lnTo>
                <a:pt x="8060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0.50723</cdr:x>
      <cdr:y>0.08544</cdr:y>
    </cdr:from>
    <cdr:to>
      <cdr:x>0.61668</cdr:x>
      <cdr:y>0.19412</cdr:y>
    </cdr:to>
    <cdr:sp macro="" textlink="">
      <cdr:nvSpPr>
        <cdr:cNvPr id="33" name="FracNo 222 StartRow 342">
          <a:extLst xmlns:a="http://schemas.openxmlformats.org/drawingml/2006/main">
            <a:ext uri="{FF2B5EF4-FFF2-40B4-BE49-F238E27FC236}">
              <a16:creationId xmlns:a16="http://schemas.microsoft.com/office/drawing/2014/main" id="{0E5A28DE-D879-C5A3-C0EC-413B22CBEDCD}"/>
            </a:ext>
          </a:extLst>
        </cdr:cNvPr>
        <cdr:cNvSpPr/>
      </cdr:nvSpPr>
      <cdr:spPr>
        <a:xfrm xmlns:a="http://schemas.openxmlformats.org/drawingml/2006/main">
          <a:off x="3710461" y="651036"/>
          <a:ext cx="800680" cy="828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0680" h="828176">
              <a:moveTo>
                <a:pt x="563790" y="545648"/>
              </a:moveTo>
              <a:lnTo>
                <a:pt x="36258" y="0"/>
              </a:lnTo>
              <a:lnTo>
                <a:pt x="0" y="0"/>
              </a:lnTo>
              <a:lnTo>
                <a:pt x="552554" y="571530"/>
              </a:lnTo>
              <a:lnTo>
                <a:pt x="800679" y="828175"/>
              </a:lnTo>
              <a:lnTo>
                <a:pt x="800679" y="7906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0.15013</cdr:x>
      <cdr:y>0.72726</cdr:y>
    </cdr:from>
    <cdr:to>
      <cdr:x>0.25711</cdr:x>
      <cdr:y>0.83595</cdr:y>
    </cdr:to>
    <cdr:sp macro="" textlink="">
      <cdr:nvSpPr>
        <cdr:cNvPr id="34" name="FracNo 810 StartRow 351">
          <a:extLst xmlns:a="http://schemas.openxmlformats.org/drawingml/2006/main">
            <a:ext uri="{FF2B5EF4-FFF2-40B4-BE49-F238E27FC236}">
              <a16:creationId xmlns:a16="http://schemas.microsoft.com/office/drawing/2014/main" id="{536B7DF5-70B4-A627-5BFB-64C8820D1305}"/>
            </a:ext>
          </a:extLst>
        </cdr:cNvPr>
        <cdr:cNvSpPr/>
      </cdr:nvSpPr>
      <cdr:spPr>
        <a:xfrm xmlns:a="http://schemas.openxmlformats.org/drawingml/2006/main">
          <a:off x="1098225" y="5541758"/>
          <a:ext cx="782581" cy="8282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581" h="828208">
              <a:moveTo>
                <a:pt x="422053" y="417796"/>
              </a:moveTo>
              <a:lnTo>
                <a:pt x="18129" y="0"/>
              </a:lnTo>
              <a:lnTo>
                <a:pt x="0" y="18752"/>
              </a:lnTo>
              <a:lnTo>
                <a:pt x="413503" y="446456"/>
              </a:lnTo>
              <a:lnTo>
                <a:pt x="782580" y="828207"/>
              </a:lnTo>
              <a:lnTo>
                <a:pt x="782580" y="7907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0.5756</cdr:x>
      <cdr:y>0.7191</cdr:y>
    </cdr:from>
    <cdr:to>
      <cdr:x>0.68503</cdr:x>
      <cdr:y>0.82284</cdr:y>
    </cdr:to>
    <cdr:sp macro="" textlink="">
      <cdr:nvSpPr>
        <cdr:cNvPr id="35" name="FracNo 466 StartRow 360">
          <a:extLst xmlns:a="http://schemas.openxmlformats.org/drawingml/2006/main">
            <a:ext uri="{FF2B5EF4-FFF2-40B4-BE49-F238E27FC236}">
              <a16:creationId xmlns:a16="http://schemas.microsoft.com/office/drawing/2014/main" id="{7BFB77F3-6F70-D874-F76E-3E2551964F55}"/>
            </a:ext>
          </a:extLst>
        </cdr:cNvPr>
        <cdr:cNvSpPr/>
      </cdr:nvSpPr>
      <cdr:spPr>
        <a:xfrm xmlns:a="http://schemas.openxmlformats.org/drawingml/2006/main">
          <a:off x="4210649" y="5479559"/>
          <a:ext cx="800516" cy="790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0516" h="790502">
              <a:moveTo>
                <a:pt x="150257" y="155416"/>
              </a:moveTo>
              <a:lnTo>
                <a:pt x="0" y="0"/>
              </a:lnTo>
              <a:lnTo>
                <a:pt x="36258" y="0"/>
              </a:lnTo>
              <a:lnTo>
                <a:pt x="185225" y="154081"/>
              </a:lnTo>
              <a:lnTo>
                <a:pt x="625026" y="608987"/>
              </a:lnTo>
              <a:lnTo>
                <a:pt x="800515" y="790501"/>
              </a:lnTo>
              <a:lnTo>
                <a:pt x="764256" y="790501"/>
              </a:lnTo>
              <a:lnTo>
                <a:pt x="593869" y="6142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0.83869</cdr:x>
      <cdr:y>0.12302</cdr:y>
    </cdr:from>
    <cdr:to>
      <cdr:x>0.94246</cdr:x>
      <cdr:y>0.23098</cdr:y>
    </cdr:to>
    <cdr:sp macro="" textlink="">
      <cdr:nvSpPr>
        <cdr:cNvPr id="36" name="FracNo 502 StartRow 371">
          <a:extLst xmlns:a="http://schemas.openxmlformats.org/drawingml/2006/main">
            <a:ext uri="{FF2B5EF4-FFF2-40B4-BE49-F238E27FC236}">
              <a16:creationId xmlns:a16="http://schemas.microsoft.com/office/drawing/2014/main" id="{C11EDE2A-7742-3E3A-1F7C-3178531C0D2F}"/>
            </a:ext>
          </a:extLst>
        </cdr:cNvPr>
        <cdr:cNvSpPr/>
      </cdr:nvSpPr>
      <cdr:spPr>
        <a:xfrm xmlns:a="http://schemas.openxmlformats.org/drawingml/2006/main">
          <a:off x="6135164" y="937382"/>
          <a:ext cx="759144" cy="822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9144" h="822719">
              <a:moveTo>
                <a:pt x="543496" y="223053"/>
              </a:moveTo>
              <a:lnTo>
                <a:pt x="0" y="785214"/>
              </a:lnTo>
              <a:lnTo>
                <a:pt x="0" y="822718"/>
              </a:lnTo>
              <a:lnTo>
                <a:pt x="543496" y="260557"/>
              </a:lnTo>
              <a:lnTo>
                <a:pt x="759143" y="37504"/>
              </a:lnTo>
              <a:lnTo>
                <a:pt x="759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0.39957</cdr:x>
      <cdr:y>0.29239</cdr:y>
    </cdr:from>
    <cdr:to>
      <cdr:x>0.50556</cdr:x>
      <cdr:y>0.39765</cdr:y>
    </cdr:to>
    <cdr:sp macro="" textlink="">
      <cdr:nvSpPr>
        <cdr:cNvPr id="37" name="FracNo 727 StartRow 380">
          <a:extLst xmlns:a="http://schemas.openxmlformats.org/drawingml/2006/main">
            <a:ext uri="{FF2B5EF4-FFF2-40B4-BE49-F238E27FC236}">
              <a16:creationId xmlns:a16="http://schemas.microsoft.com/office/drawing/2014/main" id="{50EA817D-C402-CDD8-7DFC-7B4D15557656}"/>
            </a:ext>
          </a:extLst>
        </cdr:cNvPr>
        <cdr:cNvSpPr/>
      </cdr:nvSpPr>
      <cdr:spPr>
        <a:xfrm xmlns:a="http://schemas.openxmlformats.org/drawingml/2006/main">
          <a:off x="2922907" y="2228042"/>
          <a:ext cx="775391" cy="8020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5391" h="802019">
              <a:moveTo>
                <a:pt x="406935" y="343604"/>
              </a:moveTo>
              <a:lnTo>
                <a:pt x="203178" y="554359"/>
              </a:lnTo>
              <a:lnTo>
                <a:pt x="0" y="764515"/>
              </a:lnTo>
              <a:lnTo>
                <a:pt x="0" y="802018"/>
              </a:lnTo>
              <a:lnTo>
                <a:pt x="212216" y="582515"/>
              </a:lnTo>
              <a:lnTo>
                <a:pt x="426322" y="361056"/>
              </a:lnTo>
              <a:lnTo>
                <a:pt x="775390" y="0"/>
              </a:lnTo>
              <a:lnTo>
                <a:pt x="7391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0.67776</cdr:x>
      <cdr:y>0.11743</cdr:y>
    </cdr:from>
    <cdr:to>
      <cdr:x>0.78474</cdr:x>
      <cdr:y>0.2212</cdr:y>
    </cdr:to>
    <cdr:sp macro="" textlink="">
      <cdr:nvSpPr>
        <cdr:cNvPr id="38" name="FracNo 550 StartRow 391">
          <a:extLst xmlns:a="http://schemas.openxmlformats.org/drawingml/2006/main">
            <a:ext uri="{FF2B5EF4-FFF2-40B4-BE49-F238E27FC236}">
              <a16:creationId xmlns:a16="http://schemas.microsoft.com/office/drawing/2014/main" id="{C5B9B5E7-E264-9822-4D81-08DCC46B1C9A}"/>
            </a:ext>
          </a:extLst>
        </cdr:cNvPr>
        <cdr:cNvSpPr/>
      </cdr:nvSpPr>
      <cdr:spPr>
        <a:xfrm xmlns:a="http://schemas.openxmlformats.org/drawingml/2006/main">
          <a:off x="4957950" y="894847"/>
          <a:ext cx="782555" cy="790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555" h="790677">
              <a:moveTo>
                <a:pt x="78291" y="62227"/>
              </a:moveTo>
              <a:lnTo>
                <a:pt x="18130" y="0"/>
              </a:lnTo>
              <a:lnTo>
                <a:pt x="0" y="18752"/>
              </a:lnTo>
              <a:lnTo>
                <a:pt x="58735" y="79503"/>
              </a:lnTo>
              <a:lnTo>
                <a:pt x="746295" y="790676"/>
              </a:lnTo>
              <a:lnTo>
                <a:pt x="782554" y="7906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</cdr:x>
      <cdr:y>0.28081</cdr:y>
    </cdr:from>
    <cdr:to>
      <cdr:x>0.36872</cdr:x>
      <cdr:y>0.38578</cdr:y>
    </cdr:to>
    <cdr:sp macro="" textlink="">
      <cdr:nvSpPr>
        <cdr:cNvPr id="39" name="FracNo 861 StartRow 400">
          <a:extLst xmlns:a="http://schemas.openxmlformats.org/drawingml/2006/main">
            <a:ext uri="{FF2B5EF4-FFF2-40B4-BE49-F238E27FC236}">
              <a16:creationId xmlns:a16="http://schemas.microsoft.com/office/drawing/2014/main" id="{AF758663-7570-8193-36D4-05C77CB53FF5}"/>
            </a:ext>
          </a:extLst>
        </cdr:cNvPr>
        <cdr:cNvSpPr/>
      </cdr:nvSpPr>
      <cdr:spPr>
        <a:xfrm xmlns:a="http://schemas.openxmlformats.org/drawingml/2006/main">
          <a:off x="1923905" y="2139765"/>
          <a:ext cx="773338" cy="799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3338" h="799896">
              <a:moveTo>
                <a:pt x="147722" y="684603"/>
              </a:moveTo>
              <a:lnTo>
                <a:pt x="36258" y="799895"/>
              </a:lnTo>
              <a:lnTo>
                <a:pt x="0" y="799895"/>
              </a:lnTo>
              <a:lnTo>
                <a:pt x="127583" y="667931"/>
              </a:lnTo>
              <a:lnTo>
                <a:pt x="147762" y="647059"/>
              </a:lnTo>
              <a:lnTo>
                <a:pt x="773337" y="0"/>
              </a:lnTo>
              <a:lnTo>
                <a:pt x="773337" y="37504"/>
              </a:lnTo>
              <a:lnTo>
                <a:pt x="165352" y="666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0.7923</cdr:x>
      <cdr:y>0.32199</cdr:y>
    </cdr:from>
    <cdr:to>
      <cdr:x>0.89966</cdr:x>
      <cdr:y>0.42367</cdr:y>
    </cdr:to>
    <cdr:sp macro="" textlink="">
      <cdr:nvSpPr>
        <cdr:cNvPr id="40" name="FracNo 748 StartRow 411">
          <a:extLst xmlns:a="http://schemas.openxmlformats.org/drawingml/2006/main">
            <a:ext uri="{FF2B5EF4-FFF2-40B4-BE49-F238E27FC236}">
              <a16:creationId xmlns:a16="http://schemas.microsoft.com/office/drawing/2014/main" id="{5368E89C-BEA1-17FB-D174-6C3E4220D096}"/>
            </a:ext>
          </a:extLst>
        </cdr:cNvPr>
        <cdr:cNvSpPr/>
      </cdr:nvSpPr>
      <cdr:spPr>
        <a:xfrm xmlns:a="http://schemas.openxmlformats.org/drawingml/2006/main">
          <a:off x="5795850" y="2453579"/>
          <a:ext cx="785307" cy="774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5307" h="774772">
              <a:moveTo>
                <a:pt x="62303" y="64442"/>
              </a:moveTo>
              <a:lnTo>
                <a:pt x="0" y="0"/>
              </a:lnTo>
              <a:lnTo>
                <a:pt x="36258" y="0"/>
              </a:lnTo>
              <a:lnTo>
                <a:pt x="96527" y="62338"/>
              </a:lnTo>
              <a:lnTo>
                <a:pt x="362271" y="337208"/>
              </a:lnTo>
              <a:lnTo>
                <a:pt x="785306" y="774771"/>
              </a:lnTo>
              <a:lnTo>
                <a:pt x="749047" y="774771"/>
              </a:lnTo>
              <a:lnTo>
                <a:pt x="337018" y="3485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0.83831</cdr:x>
      <cdr:y>0.78648</cdr:y>
    </cdr:from>
    <cdr:to>
      <cdr:x>0.94246</cdr:x>
      <cdr:y>0.8899</cdr:y>
    </cdr:to>
    <cdr:sp macro="" textlink="">
      <cdr:nvSpPr>
        <cdr:cNvPr id="41" name="FracNo 102 StartRow 422">
          <a:extLst xmlns:a="http://schemas.openxmlformats.org/drawingml/2006/main">
            <a:ext uri="{FF2B5EF4-FFF2-40B4-BE49-F238E27FC236}">
              <a16:creationId xmlns:a16="http://schemas.microsoft.com/office/drawing/2014/main" id="{4FE806A5-12AF-6FB6-F17C-C88045CCA83B}"/>
            </a:ext>
          </a:extLst>
        </cdr:cNvPr>
        <cdr:cNvSpPr/>
      </cdr:nvSpPr>
      <cdr:spPr>
        <a:xfrm xmlns:a="http://schemas.openxmlformats.org/drawingml/2006/main">
          <a:off x="6132419" y="5992950"/>
          <a:ext cx="761889" cy="788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889" h="788054">
              <a:moveTo>
                <a:pt x="454145" y="355815"/>
              </a:moveTo>
              <a:lnTo>
                <a:pt x="36258" y="788053"/>
              </a:lnTo>
              <a:lnTo>
                <a:pt x="0" y="788053"/>
              </a:lnTo>
              <a:lnTo>
                <a:pt x="438767" y="334217"/>
              </a:lnTo>
              <a:lnTo>
                <a:pt x="761888" y="0"/>
              </a:lnTo>
              <a:lnTo>
                <a:pt x="76188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0.42046</cdr:x>
      <cdr:y>0.57225</cdr:y>
    </cdr:from>
    <cdr:to>
      <cdr:x>0.52377</cdr:x>
      <cdr:y>0.67484</cdr:y>
    </cdr:to>
    <cdr:sp macro="" textlink="">
      <cdr:nvSpPr>
        <cdr:cNvPr id="42" name="FracNo 701 StartRow 431">
          <a:extLst xmlns:a="http://schemas.openxmlformats.org/drawingml/2006/main">
            <a:ext uri="{FF2B5EF4-FFF2-40B4-BE49-F238E27FC236}">
              <a16:creationId xmlns:a16="http://schemas.microsoft.com/office/drawing/2014/main" id="{554D451E-F936-2246-89B8-10190363354B}"/>
            </a:ext>
          </a:extLst>
        </cdr:cNvPr>
        <cdr:cNvSpPr/>
      </cdr:nvSpPr>
      <cdr:spPr>
        <a:xfrm xmlns:a="http://schemas.openxmlformats.org/drawingml/2006/main">
          <a:off x="3075715" y="4360567"/>
          <a:ext cx="755786" cy="781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786" h="781741">
              <a:moveTo>
                <a:pt x="366093" y="378665"/>
              </a:moveTo>
              <a:lnTo>
                <a:pt x="0" y="0"/>
              </a:lnTo>
              <a:lnTo>
                <a:pt x="0" y="37504"/>
              </a:lnTo>
              <a:lnTo>
                <a:pt x="348343" y="397810"/>
              </a:lnTo>
              <a:lnTo>
                <a:pt x="530411" y="586130"/>
              </a:lnTo>
              <a:lnTo>
                <a:pt x="719527" y="781740"/>
              </a:lnTo>
              <a:lnTo>
                <a:pt x="755785" y="781740"/>
              </a:lnTo>
              <a:lnTo>
                <a:pt x="557437" y="5765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0.68936</cdr:y>
    </cdr:from>
    <cdr:to>
      <cdr:x>0.19354</cdr:x>
      <cdr:y>0.79282</cdr:y>
    </cdr:to>
    <cdr:sp macro="" textlink="">
      <cdr:nvSpPr>
        <cdr:cNvPr id="43" name="FracNo 1034 StartRow 442">
          <a:extLst xmlns:a="http://schemas.openxmlformats.org/drawingml/2006/main">
            <a:ext uri="{FF2B5EF4-FFF2-40B4-BE49-F238E27FC236}">
              <a16:creationId xmlns:a16="http://schemas.microsoft.com/office/drawing/2014/main" id="{79E01679-2F02-43B4-3A7F-1E932FB16333}"/>
            </a:ext>
          </a:extLst>
        </cdr:cNvPr>
        <cdr:cNvSpPr/>
      </cdr:nvSpPr>
      <cdr:spPr>
        <a:xfrm xmlns:a="http://schemas.openxmlformats.org/drawingml/2006/main">
          <a:off x="671676" y="5252895"/>
          <a:ext cx="744116" cy="788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4116" h="788422">
              <a:moveTo>
                <a:pt x="247117" y="255604"/>
              </a:moveTo>
              <a:lnTo>
                <a:pt x="0" y="0"/>
              </a:lnTo>
              <a:lnTo>
                <a:pt x="0" y="37503"/>
              </a:lnTo>
              <a:lnTo>
                <a:pt x="241097" y="286880"/>
              </a:lnTo>
              <a:lnTo>
                <a:pt x="725985" y="788421"/>
              </a:lnTo>
              <a:lnTo>
                <a:pt x="744115" y="7696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0.18671</cdr:y>
    </cdr:from>
    <cdr:to>
      <cdr:x>0.19407</cdr:x>
      <cdr:y>0.28824</cdr:y>
    </cdr:to>
    <cdr:sp macro="" textlink="">
      <cdr:nvSpPr>
        <cdr:cNvPr id="44" name="FracNo 270 StartRow 451">
          <a:extLst xmlns:a="http://schemas.openxmlformats.org/drawingml/2006/main">
            <a:ext uri="{FF2B5EF4-FFF2-40B4-BE49-F238E27FC236}">
              <a16:creationId xmlns:a16="http://schemas.microsoft.com/office/drawing/2014/main" id="{96D254FD-7D9B-CA0C-769F-8F881C4C9501}"/>
            </a:ext>
          </a:extLst>
        </cdr:cNvPr>
        <cdr:cNvSpPr/>
      </cdr:nvSpPr>
      <cdr:spPr>
        <a:xfrm xmlns:a="http://schemas.openxmlformats.org/drawingml/2006/main">
          <a:off x="671676" y="1422698"/>
          <a:ext cx="748016" cy="773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8016" h="773705">
              <a:moveTo>
                <a:pt x="311755" y="451242"/>
              </a:moveTo>
              <a:lnTo>
                <a:pt x="0" y="773704"/>
              </a:lnTo>
              <a:lnTo>
                <a:pt x="0" y="736200"/>
              </a:lnTo>
              <a:lnTo>
                <a:pt x="296643" y="429370"/>
              </a:lnTo>
              <a:lnTo>
                <a:pt x="711756" y="0"/>
              </a:lnTo>
              <a:lnTo>
                <a:pt x="748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0.16306</cdr:x>
      <cdr:y>0.21258</cdr:y>
    </cdr:from>
    <cdr:to>
      <cdr:x>0.26437</cdr:x>
      <cdr:y>0.31318</cdr:y>
    </cdr:to>
    <cdr:sp macro="" textlink="">
      <cdr:nvSpPr>
        <cdr:cNvPr id="45" name="FracNo 314 StartRow 460">
          <a:extLst xmlns:a="http://schemas.openxmlformats.org/drawingml/2006/main">
            <a:ext uri="{FF2B5EF4-FFF2-40B4-BE49-F238E27FC236}">
              <a16:creationId xmlns:a16="http://schemas.microsoft.com/office/drawing/2014/main" id="{09DA7BC9-CACD-8037-E33D-84573CCB7F0D}"/>
            </a:ext>
          </a:extLst>
        </cdr:cNvPr>
        <cdr:cNvSpPr/>
      </cdr:nvSpPr>
      <cdr:spPr>
        <a:xfrm xmlns:a="http://schemas.openxmlformats.org/drawingml/2006/main">
          <a:off x="1192831" y="1619845"/>
          <a:ext cx="741123" cy="7665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1123" h="766575">
              <a:moveTo>
                <a:pt x="280309" y="327440"/>
              </a:moveTo>
              <a:lnTo>
                <a:pt x="0" y="37504"/>
              </a:lnTo>
              <a:lnTo>
                <a:pt x="0" y="0"/>
              </a:lnTo>
              <a:lnTo>
                <a:pt x="294729" y="304851"/>
              </a:lnTo>
              <a:lnTo>
                <a:pt x="741122" y="766574"/>
              </a:lnTo>
              <a:lnTo>
                <a:pt x="704864" y="7665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0.16734</cdr:x>
      <cdr:y>0.20833</cdr:y>
    </cdr:from>
    <cdr:to>
      <cdr:x>0.26865</cdr:x>
      <cdr:y>0.30893</cdr:y>
    </cdr:to>
    <cdr:sp macro="" textlink="">
      <cdr:nvSpPr>
        <cdr:cNvPr id="46" name="FracNo 930 StartRow 469">
          <a:extLst xmlns:a="http://schemas.openxmlformats.org/drawingml/2006/main">
            <a:ext uri="{FF2B5EF4-FFF2-40B4-BE49-F238E27FC236}">
              <a16:creationId xmlns:a16="http://schemas.microsoft.com/office/drawing/2014/main" id="{FE6AC62A-0DB3-6B2B-0C89-12DB1BE92469}"/>
            </a:ext>
          </a:extLst>
        </cdr:cNvPr>
        <cdr:cNvSpPr/>
      </cdr:nvSpPr>
      <cdr:spPr>
        <a:xfrm xmlns:a="http://schemas.openxmlformats.org/drawingml/2006/main">
          <a:off x="1224116" y="1587486"/>
          <a:ext cx="741123" cy="7665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1123" h="766575">
              <a:moveTo>
                <a:pt x="300137" y="347947"/>
              </a:moveTo>
              <a:lnTo>
                <a:pt x="0" y="37504"/>
              </a:lnTo>
              <a:lnTo>
                <a:pt x="0" y="0"/>
              </a:lnTo>
              <a:lnTo>
                <a:pt x="315576" y="326413"/>
              </a:lnTo>
              <a:lnTo>
                <a:pt x="741122" y="766574"/>
              </a:lnTo>
              <a:lnTo>
                <a:pt x="704864" y="7665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0.71638</cdr:y>
    </cdr:from>
    <cdr:to>
      <cdr:x>0.19251</cdr:x>
      <cdr:y>0.81636</cdr:y>
    </cdr:to>
    <cdr:sp macro="" textlink="">
      <cdr:nvSpPr>
        <cdr:cNvPr id="47" name="FracNo 1172 StartRow 478">
          <a:extLst xmlns:a="http://schemas.openxmlformats.org/drawingml/2006/main">
            <a:ext uri="{FF2B5EF4-FFF2-40B4-BE49-F238E27FC236}">
              <a16:creationId xmlns:a16="http://schemas.microsoft.com/office/drawing/2014/main" id="{64B55AF2-CB47-1219-14CC-8916D67F329A}"/>
            </a:ext>
          </a:extLst>
        </cdr:cNvPr>
        <cdr:cNvSpPr/>
      </cdr:nvSpPr>
      <cdr:spPr>
        <a:xfrm xmlns:a="http://schemas.openxmlformats.org/drawingml/2006/main">
          <a:off x="671676" y="5458807"/>
          <a:ext cx="736592" cy="761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6592" h="761888">
              <a:moveTo>
                <a:pt x="429676" y="481936"/>
              </a:moveTo>
              <a:lnTo>
                <a:pt x="0" y="37504"/>
              </a:lnTo>
              <a:lnTo>
                <a:pt x="0" y="0"/>
              </a:lnTo>
              <a:lnTo>
                <a:pt x="451922" y="467442"/>
              </a:lnTo>
              <a:lnTo>
                <a:pt x="736591" y="761887"/>
              </a:lnTo>
              <a:lnTo>
                <a:pt x="700332" y="761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0.84518</cdr:x>
      <cdr:y>0.31862</cdr:y>
    </cdr:from>
    <cdr:to>
      <cdr:x>0.94246</cdr:x>
      <cdr:y>0.42014</cdr:y>
    </cdr:to>
    <cdr:sp macro="" textlink="">
      <cdr:nvSpPr>
        <cdr:cNvPr id="48" name="FracNo 555 StartRow 487">
          <a:extLst xmlns:a="http://schemas.openxmlformats.org/drawingml/2006/main">
            <a:ext uri="{FF2B5EF4-FFF2-40B4-BE49-F238E27FC236}">
              <a16:creationId xmlns:a16="http://schemas.microsoft.com/office/drawing/2014/main" id="{55C23318-FDDF-F55C-526F-5169608F526C}"/>
            </a:ext>
          </a:extLst>
        </cdr:cNvPr>
        <cdr:cNvSpPr/>
      </cdr:nvSpPr>
      <cdr:spPr>
        <a:xfrm xmlns:a="http://schemas.openxmlformats.org/drawingml/2006/main">
          <a:off x="6182638" y="2427888"/>
          <a:ext cx="711670" cy="773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670" h="773614">
              <a:moveTo>
                <a:pt x="268363" y="277579"/>
              </a:moveTo>
              <a:lnTo>
                <a:pt x="0" y="0"/>
              </a:lnTo>
              <a:lnTo>
                <a:pt x="0" y="37504"/>
              </a:lnTo>
              <a:lnTo>
                <a:pt x="256664" y="302982"/>
              </a:lnTo>
              <a:lnTo>
                <a:pt x="330687" y="379547"/>
              </a:lnTo>
              <a:lnTo>
                <a:pt x="711669" y="773613"/>
              </a:lnTo>
              <a:lnTo>
                <a:pt x="711669" y="736109"/>
              </a:lnTo>
              <a:lnTo>
                <a:pt x="345760" y="357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0.34668</cdr:x>
      <cdr:y>0.08303</cdr:y>
    </cdr:from>
    <cdr:to>
      <cdr:x>0.44387</cdr:x>
      <cdr:y>0.18446</cdr:y>
    </cdr:to>
    <cdr:sp macro="" textlink="">
      <cdr:nvSpPr>
        <cdr:cNvPr id="49" name="FracNo 781 StartRow 498">
          <a:extLst xmlns:a="http://schemas.openxmlformats.org/drawingml/2006/main">
            <a:ext uri="{FF2B5EF4-FFF2-40B4-BE49-F238E27FC236}">
              <a16:creationId xmlns:a16="http://schemas.microsoft.com/office/drawing/2014/main" id="{F6FC70F4-2465-3075-8E10-AD586A8D2556}"/>
            </a:ext>
          </a:extLst>
        </cdr:cNvPr>
        <cdr:cNvSpPr/>
      </cdr:nvSpPr>
      <cdr:spPr>
        <a:xfrm xmlns:a="http://schemas.openxmlformats.org/drawingml/2006/main">
          <a:off x="2536039" y="632701"/>
          <a:ext cx="710934" cy="772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0934" h="772853">
              <a:moveTo>
                <a:pt x="555022" y="161265"/>
              </a:moveTo>
              <a:lnTo>
                <a:pt x="206427" y="521833"/>
              </a:lnTo>
              <a:lnTo>
                <a:pt x="0" y="735348"/>
              </a:lnTo>
              <a:lnTo>
                <a:pt x="0" y="772852"/>
              </a:lnTo>
              <a:lnTo>
                <a:pt x="213268" y="552259"/>
              </a:lnTo>
              <a:lnTo>
                <a:pt x="557136" y="196583"/>
              </a:lnTo>
              <a:lnTo>
                <a:pt x="710933" y="37504"/>
              </a:lnTo>
              <a:lnTo>
                <a:pt x="7109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0.46908</cdr:x>
      <cdr:y>0.63035</cdr:y>
    </cdr:from>
    <cdr:to>
      <cdr:x>0.56858</cdr:x>
      <cdr:y>0.72915</cdr:y>
    </cdr:to>
    <cdr:sp macro="" textlink="">
      <cdr:nvSpPr>
        <cdr:cNvPr id="50" name="FracNo 429 StartRow 509">
          <a:extLst xmlns:a="http://schemas.openxmlformats.org/drawingml/2006/main">
            <a:ext uri="{FF2B5EF4-FFF2-40B4-BE49-F238E27FC236}">
              <a16:creationId xmlns:a16="http://schemas.microsoft.com/office/drawing/2014/main" id="{FB19B74F-0F80-7C02-C61C-AF784B4DBF59}"/>
            </a:ext>
          </a:extLst>
        </cdr:cNvPr>
        <cdr:cNvSpPr/>
      </cdr:nvSpPr>
      <cdr:spPr>
        <a:xfrm xmlns:a="http://schemas.openxmlformats.org/drawingml/2006/main">
          <a:off x="3431417" y="4803248"/>
          <a:ext cx="727886" cy="752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886" h="752883">
              <a:moveTo>
                <a:pt x="387868" y="351693"/>
              </a:moveTo>
              <a:lnTo>
                <a:pt x="0" y="752882"/>
              </a:lnTo>
              <a:lnTo>
                <a:pt x="0" y="715378"/>
              </a:lnTo>
              <a:lnTo>
                <a:pt x="368859" y="333852"/>
              </a:lnTo>
              <a:lnTo>
                <a:pt x="561224" y="134881"/>
              </a:lnTo>
              <a:lnTo>
                <a:pt x="691626" y="0"/>
              </a:lnTo>
              <a:lnTo>
                <a:pt x="727885" y="0"/>
              </a:lnTo>
              <a:lnTo>
                <a:pt x="590148" y="142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0.84566</cdr:x>
      <cdr:y>0.79616</cdr:y>
    </cdr:from>
    <cdr:to>
      <cdr:x>0.94246</cdr:x>
      <cdr:y>0.8972</cdr:y>
    </cdr:to>
    <cdr:sp macro="" textlink="">
      <cdr:nvSpPr>
        <cdr:cNvPr id="51" name="FracNo 116 StartRow 520">
          <a:extLst xmlns:a="http://schemas.openxmlformats.org/drawingml/2006/main">
            <a:ext uri="{FF2B5EF4-FFF2-40B4-BE49-F238E27FC236}">
              <a16:creationId xmlns:a16="http://schemas.microsoft.com/office/drawing/2014/main" id="{249B9A5D-E159-936F-47AD-6FF665D5DD6E}"/>
            </a:ext>
          </a:extLst>
        </cdr:cNvPr>
        <cdr:cNvSpPr/>
      </cdr:nvSpPr>
      <cdr:spPr>
        <a:xfrm xmlns:a="http://schemas.openxmlformats.org/drawingml/2006/main">
          <a:off x="6186201" y="6066703"/>
          <a:ext cx="708107" cy="769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8107" h="769930">
              <a:moveTo>
                <a:pt x="377001" y="342477"/>
              </a:moveTo>
              <a:lnTo>
                <a:pt x="0" y="732425"/>
              </a:lnTo>
              <a:lnTo>
                <a:pt x="0" y="769929"/>
              </a:lnTo>
              <a:lnTo>
                <a:pt x="377001" y="379981"/>
              </a:lnTo>
              <a:lnTo>
                <a:pt x="708106" y="37504"/>
              </a:lnTo>
              <a:lnTo>
                <a:pt x="708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0.53977</cdr:x>
      <cdr:y>0.83405</cdr:y>
    </cdr:from>
    <cdr:to>
      <cdr:x>0.64145</cdr:x>
      <cdr:y>0.9301</cdr:y>
    </cdr:to>
    <cdr:sp macro="" textlink="">
      <cdr:nvSpPr>
        <cdr:cNvPr id="52" name="FracNo 427 StartRow 529">
          <a:extLst xmlns:a="http://schemas.openxmlformats.org/drawingml/2006/main">
            <a:ext uri="{FF2B5EF4-FFF2-40B4-BE49-F238E27FC236}">
              <a16:creationId xmlns:a16="http://schemas.microsoft.com/office/drawing/2014/main" id="{F206A709-466E-AA53-C29E-DC1CE750EB35}"/>
            </a:ext>
          </a:extLst>
        </cdr:cNvPr>
        <cdr:cNvSpPr/>
      </cdr:nvSpPr>
      <cdr:spPr>
        <a:xfrm xmlns:a="http://schemas.openxmlformats.org/drawingml/2006/main">
          <a:off x="3948493" y="6355463"/>
          <a:ext cx="743861" cy="731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3861" h="731903">
              <a:moveTo>
                <a:pt x="126998" y="600543"/>
              </a:moveTo>
              <a:lnTo>
                <a:pt x="0" y="731902"/>
              </a:lnTo>
              <a:lnTo>
                <a:pt x="36259" y="731902"/>
              </a:lnTo>
              <a:lnTo>
                <a:pt x="163256" y="600543"/>
              </a:lnTo>
              <a:lnTo>
                <a:pt x="743860" y="0"/>
              </a:lnTo>
              <a:lnTo>
                <a:pt x="7076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0.59642</cdr:x>
      <cdr:y>0.26248</cdr:y>
    </cdr:from>
    <cdr:to>
      <cdr:x>0.69547</cdr:x>
      <cdr:y>0.36083</cdr:y>
    </cdr:to>
    <cdr:sp macro="" textlink="">
      <cdr:nvSpPr>
        <cdr:cNvPr id="53" name="FracNo 238 StartRow 538">
          <a:extLst xmlns:a="http://schemas.openxmlformats.org/drawingml/2006/main">
            <a:ext uri="{FF2B5EF4-FFF2-40B4-BE49-F238E27FC236}">
              <a16:creationId xmlns:a16="http://schemas.microsoft.com/office/drawing/2014/main" id="{7EC850F7-2904-DF67-55B7-F14689059989}"/>
            </a:ext>
          </a:extLst>
        </cdr:cNvPr>
        <cdr:cNvSpPr/>
      </cdr:nvSpPr>
      <cdr:spPr>
        <a:xfrm xmlns:a="http://schemas.openxmlformats.org/drawingml/2006/main">
          <a:off x="4362917" y="2000086"/>
          <a:ext cx="724578" cy="749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4578" h="749462">
              <a:moveTo>
                <a:pt x="217083" y="224538"/>
              </a:moveTo>
              <a:lnTo>
                <a:pt x="0" y="0"/>
              </a:lnTo>
              <a:lnTo>
                <a:pt x="36259" y="0"/>
              </a:lnTo>
              <a:lnTo>
                <a:pt x="240633" y="211393"/>
              </a:lnTo>
              <a:lnTo>
                <a:pt x="462069" y="440434"/>
              </a:lnTo>
              <a:lnTo>
                <a:pt x="724577" y="711957"/>
              </a:lnTo>
              <a:lnTo>
                <a:pt x="724577" y="749461"/>
              </a:lnTo>
              <a:lnTo>
                <a:pt x="452290" y="4678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0.2214</cdr:x>
      <cdr:y>0.57745</cdr:y>
    </cdr:from>
    <cdr:to>
      <cdr:x>0.31967</cdr:x>
      <cdr:y>0.67503</cdr:y>
    </cdr:to>
    <cdr:sp macro="" textlink="">
      <cdr:nvSpPr>
        <cdr:cNvPr id="54" name="FracNo 390 StartRow 549">
          <a:extLst xmlns:a="http://schemas.openxmlformats.org/drawingml/2006/main">
            <a:ext uri="{FF2B5EF4-FFF2-40B4-BE49-F238E27FC236}">
              <a16:creationId xmlns:a16="http://schemas.microsoft.com/office/drawing/2014/main" id="{13BB2BD3-897C-8069-1BEB-B2F1365925DF}"/>
            </a:ext>
          </a:extLst>
        </cdr:cNvPr>
        <cdr:cNvSpPr/>
      </cdr:nvSpPr>
      <cdr:spPr>
        <a:xfrm xmlns:a="http://schemas.openxmlformats.org/drawingml/2006/main">
          <a:off x="1619562" y="4400176"/>
          <a:ext cx="718869" cy="743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8869" h="743557">
              <a:moveTo>
                <a:pt x="440531" y="493164"/>
              </a:moveTo>
              <a:lnTo>
                <a:pt x="0" y="37504"/>
              </a:lnTo>
              <a:lnTo>
                <a:pt x="0" y="0"/>
              </a:lnTo>
              <a:lnTo>
                <a:pt x="460243" y="476050"/>
              </a:lnTo>
              <a:lnTo>
                <a:pt x="516694" y="534439"/>
              </a:lnTo>
              <a:lnTo>
                <a:pt x="718868" y="743556"/>
              </a:lnTo>
              <a:lnTo>
                <a:pt x="682609" y="743556"/>
              </a:lnTo>
              <a:lnTo>
                <a:pt x="494564" y="5490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0.21354</cdr:x>
      <cdr:y>0.58525</cdr:y>
    </cdr:from>
    <cdr:to>
      <cdr:x>0.31182</cdr:x>
      <cdr:y>0.68283</cdr:y>
    </cdr:to>
    <cdr:sp macro="" textlink="">
      <cdr:nvSpPr>
        <cdr:cNvPr id="55" name="FracNo 1064 StartRow 560">
          <a:extLst xmlns:a="http://schemas.openxmlformats.org/drawingml/2006/main">
            <a:ext uri="{FF2B5EF4-FFF2-40B4-BE49-F238E27FC236}">
              <a16:creationId xmlns:a16="http://schemas.microsoft.com/office/drawing/2014/main" id="{24FAD040-37B6-620F-650C-2EB9CE68925A}"/>
            </a:ext>
          </a:extLst>
        </cdr:cNvPr>
        <cdr:cNvSpPr/>
      </cdr:nvSpPr>
      <cdr:spPr>
        <a:xfrm xmlns:a="http://schemas.openxmlformats.org/drawingml/2006/main">
          <a:off x="1562121" y="4459590"/>
          <a:ext cx="718869" cy="743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8869" h="743556">
              <a:moveTo>
                <a:pt x="665119" y="650457"/>
              </a:moveTo>
              <a:lnTo>
                <a:pt x="496015" y="475545"/>
              </a:lnTo>
              <a:lnTo>
                <a:pt x="36259" y="0"/>
              </a:lnTo>
              <a:lnTo>
                <a:pt x="0" y="0"/>
              </a:lnTo>
              <a:lnTo>
                <a:pt x="472880" y="489119"/>
              </a:lnTo>
              <a:lnTo>
                <a:pt x="659540" y="682189"/>
              </a:lnTo>
              <a:lnTo>
                <a:pt x="718868" y="743555"/>
              </a:lnTo>
              <a:lnTo>
                <a:pt x="718868" y="7060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0.28154</cdr:x>
      <cdr:y>0.19175</cdr:y>
    </cdr:from>
    <cdr:to>
      <cdr:x>0.38199</cdr:x>
      <cdr:y>0.28657</cdr:y>
    </cdr:to>
    <cdr:sp macro="" textlink="">
      <cdr:nvSpPr>
        <cdr:cNvPr id="56" name="FracNo 312 StartRow 571">
          <a:extLst xmlns:a="http://schemas.openxmlformats.org/drawingml/2006/main">
            <a:ext uri="{FF2B5EF4-FFF2-40B4-BE49-F238E27FC236}">
              <a16:creationId xmlns:a16="http://schemas.microsoft.com/office/drawing/2014/main" id="{764F5CE4-586E-01B1-33C3-B0E2211D5AC5}"/>
            </a:ext>
          </a:extLst>
        </cdr:cNvPr>
        <cdr:cNvSpPr/>
      </cdr:nvSpPr>
      <cdr:spPr>
        <a:xfrm xmlns:a="http://schemas.openxmlformats.org/drawingml/2006/main">
          <a:off x="2059528" y="1461118"/>
          <a:ext cx="734835" cy="722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4835" h="722566">
              <a:moveTo>
                <a:pt x="282232" y="291924"/>
              </a:moveTo>
              <a:lnTo>
                <a:pt x="0" y="0"/>
              </a:lnTo>
              <a:lnTo>
                <a:pt x="36259" y="0"/>
              </a:lnTo>
              <a:lnTo>
                <a:pt x="317933" y="291347"/>
              </a:lnTo>
              <a:lnTo>
                <a:pt x="703827" y="690494"/>
              </a:lnTo>
              <a:lnTo>
                <a:pt x="734834" y="722565"/>
              </a:lnTo>
              <a:lnTo>
                <a:pt x="698575" y="722565"/>
              </a:lnTo>
              <a:lnTo>
                <a:pt x="668889" y="6918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0.35215</cdr:x>
      <cdr:y>0.27862</cdr:y>
    </cdr:from>
    <cdr:to>
      <cdr:x>0.44736</cdr:x>
      <cdr:y>0.37808</cdr:y>
    </cdr:to>
    <cdr:sp macro="" textlink="">
      <cdr:nvSpPr>
        <cdr:cNvPr id="57" name="FracNo 962 StartRow 582">
          <a:extLst xmlns:a="http://schemas.openxmlformats.org/drawingml/2006/main">
            <a:ext uri="{FF2B5EF4-FFF2-40B4-BE49-F238E27FC236}">
              <a16:creationId xmlns:a16="http://schemas.microsoft.com/office/drawing/2014/main" id="{DAEB055E-F6C9-1053-2770-4EE95311E185}"/>
            </a:ext>
          </a:extLst>
        </cdr:cNvPr>
        <cdr:cNvSpPr/>
      </cdr:nvSpPr>
      <cdr:spPr>
        <a:xfrm xmlns:a="http://schemas.openxmlformats.org/drawingml/2006/main">
          <a:off x="2576044" y="2123107"/>
          <a:ext cx="696461" cy="757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6461" h="757882">
              <a:moveTo>
                <a:pt x="159932" y="554953"/>
              </a:moveTo>
              <a:lnTo>
                <a:pt x="60163" y="658149"/>
              </a:lnTo>
              <a:lnTo>
                <a:pt x="0" y="720378"/>
              </a:lnTo>
              <a:lnTo>
                <a:pt x="0" y="757881"/>
              </a:lnTo>
              <a:lnTo>
                <a:pt x="66985" y="688595"/>
              </a:lnTo>
              <a:lnTo>
                <a:pt x="177933" y="573837"/>
              </a:lnTo>
              <a:lnTo>
                <a:pt x="178892" y="572846"/>
              </a:lnTo>
              <a:lnTo>
                <a:pt x="696460" y="37503"/>
              </a:lnTo>
              <a:lnTo>
                <a:pt x="696460" y="0"/>
              </a:lnTo>
              <a:lnTo>
                <a:pt x="160793" y="5540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0.34992</cdr:x>
      <cdr:y>0.28133</cdr:y>
    </cdr:from>
    <cdr:to>
      <cdr:x>0.45008</cdr:x>
      <cdr:y>0.37587</cdr:y>
    </cdr:to>
    <cdr:sp macro="" textlink="">
      <cdr:nvSpPr>
        <cdr:cNvPr id="58" name="FracNo 198 StartRow 595">
          <a:extLst xmlns:a="http://schemas.openxmlformats.org/drawingml/2006/main">
            <a:ext uri="{FF2B5EF4-FFF2-40B4-BE49-F238E27FC236}">
              <a16:creationId xmlns:a16="http://schemas.microsoft.com/office/drawing/2014/main" id="{DCC98141-75A7-3112-8235-417F8E1B8D6B}"/>
            </a:ext>
          </a:extLst>
        </cdr:cNvPr>
        <cdr:cNvSpPr/>
      </cdr:nvSpPr>
      <cdr:spPr>
        <a:xfrm xmlns:a="http://schemas.openxmlformats.org/drawingml/2006/main">
          <a:off x="2559741" y="2143748"/>
          <a:ext cx="732719" cy="720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719" h="720378">
              <a:moveTo>
                <a:pt x="374985" y="370018"/>
              </a:moveTo>
              <a:lnTo>
                <a:pt x="195210" y="555967"/>
              </a:lnTo>
              <a:lnTo>
                <a:pt x="98130" y="656381"/>
              </a:lnTo>
              <a:lnTo>
                <a:pt x="36258" y="720377"/>
              </a:lnTo>
              <a:lnTo>
                <a:pt x="0" y="720377"/>
              </a:lnTo>
              <a:lnTo>
                <a:pt x="68928" y="649082"/>
              </a:lnTo>
              <a:lnTo>
                <a:pt x="177081" y="537215"/>
              </a:lnTo>
              <a:lnTo>
                <a:pt x="350792" y="357538"/>
              </a:lnTo>
              <a:lnTo>
                <a:pt x="696460" y="0"/>
              </a:lnTo>
              <a:lnTo>
                <a:pt x="7327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0.2795</cdr:x>
      <cdr:y>0.19714</cdr:y>
    </cdr:from>
    <cdr:to>
      <cdr:x>0.37826</cdr:x>
      <cdr:y>0.29028</cdr:y>
    </cdr:to>
    <cdr:sp macro="" textlink="">
      <cdr:nvSpPr>
        <cdr:cNvPr id="59" name="FracNo 304 StartRow 608">
          <a:extLst xmlns:a="http://schemas.openxmlformats.org/drawingml/2006/main">
            <a:ext uri="{FF2B5EF4-FFF2-40B4-BE49-F238E27FC236}">
              <a16:creationId xmlns:a16="http://schemas.microsoft.com/office/drawing/2014/main" id="{6E59DACF-4DB2-3E56-7195-112A656248AB}"/>
            </a:ext>
          </a:extLst>
        </cdr:cNvPr>
        <cdr:cNvSpPr/>
      </cdr:nvSpPr>
      <cdr:spPr>
        <a:xfrm xmlns:a="http://schemas.openxmlformats.org/drawingml/2006/main">
          <a:off x="2044599" y="1502212"/>
          <a:ext cx="722434" cy="709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2434" h="709741">
              <a:moveTo>
                <a:pt x="90722" y="93838"/>
              </a:moveTo>
              <a:lnTo>
                <a:pt x="0" y="0"/>
              </a:lnTo>
              <a:lnTo>
                <a:pt x="36258" y="0"/>
              </a:lnTo>
              <a:lnTo>
                <a:pt x="126968" y="93825"/>
              </a:lnTo>
              <a:lnTo>
                <a:pt x="719371" y="706572"/>
              </a:lnTo>
              <a:lnTo>
                <a:pt x="722433" y="709740"/>
              </a:lnTo>
              <a:lnTo>
                <a:pt x="686174" y="709740"/>
              </a:lnTo>
              <a:lnTo>
                <a:pt x="683204" y="7066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0.19828</cdr:x>
      <cdr:y>0.08558</cdr:y>
    </cdr:from>
    <cdr:to>
      <cdr:x>0.29379</cdr:x>
      <cdr:y>0.18042</cdr:y>
    </cdr:to>
    <cdr:sp macro="" textlink="">
      <cdr:nvSpPr>
        <cdr:cNvPr id="60" name="FracNo 735 StartRow 619">
          <a:extLst xmlns:a="http://schemas.openxmlformats.org/drawingml/2006/main">
            <a:ext uri="{FF2B5EF4-FFF2-40B4-BE49-F238E27FC236}">
              <a16:creationId xmlns:a16="http://schemas.microsoft.com/office/drawing/2014/main" id="{C84EBB83-FA58-0D7C-1488-E6A00B1F5A24}"/>
            </a:ext>
          </a:extLst>
        </cdr:cNvPr>
        <cdr:cNvSpPr/>
      </cdr:nvSpPr>
      <cdr:spPr>
        <a:xfrm xmlns:a="http://schemas.openxmlformats.org/drawingml/2006/main">
          <a:off x="1450492" y="652143"/>
          <a:ext cx="698655" cy="722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655" h="722648">
              <a:moveTo>
                <a:pt x="441901" y="265570"/>
              </a:moveTo>
              <a:lnTo>
                <a:pt x="0" y="722647"/>
              </a:lnTo>
              <a:lnTo>
                <a:pt x="0" y="685144"/>
              </a:lnTo>
              <a:lnTo>
                <a:pt x="418967" y="251788"/>
              </a:lnTo>
              <a:lnTo>
                <a:pt x="662395" y="0"/>
              </a:lnTo>
              <a:lnTo>
                <a:pt x="698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0.83808</cdr:x>
      <cdr:y>0.4425</cdr:y>
    </cdr:from>
    <cdr:to>
      <cdr:x>0.93268</cdr:x>
      <cdr:y>0.53643</cdr:y>
    </cdr:to>
    <cdr:sp macro="" textlink="">
      <cdr:nvSpPr>
        <cdr:cNvPr id="61" name="FracNo 596 StartRow 628">
          <a:extLst xmlns:a="http://schemas.openxmlformats.org/drawingml/2006/main">
            <a:ext uri="{FF2B5EF4-FFF2-40B4-BE49-F238E27FC236}">
              <a16:creationId xmlns:a16="http://schemas.microsoft.com/office/drawing/2014/main" id="{208502D2-CFEB-FC99-2ED8-91DCB8BBAD68}"/>
            </a:ext>
          </a:extLst>
        </cdr:cNvPr>
        <cdr:cNvSpPr/>
      </cdr:nvSpPr>
      <cdr:spPr>
        <a:xfrm xmlns:a="http://schemas.openxmlformats.org/drawingml/2006/main">
          <a:off x="6130749" y="3371851"/>
          <a:ext cx="691970" cy="715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970" h="715734">
              <a:moveTo>
                <a:pt x="360192" y="380674"/>
              </a:moveTo>
              <a:lnTo>
                <a:pt x="36258" y="715733"/>
              </a:lnTo>
              <a:lnTo>
                <a:pt x="0" y="715733"/>
              </a:lnTo>
              <a:lnTo>
                <a:pt x="341846" y="362147"/>
              </a:lnTo>
              <a:lnTo>
                <a:pt x="691969" y="0"/>
              </a:lnTo>
              <a:lnTo>
                <a:pt x="69196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0.14214</cdr:x>
      <cdr:y>0.54736</cdr:y>
    </cdr:from>
    <cdr:to>
      <cdr:x>0.23654</cdr:x>
      <cdr:y>0.64109</cdr:y>
    </cdr:to>
    <cdr:sp macro="" textlink="">
      <cdr:nvSpPr>
        <cdr:cNvPr id="62" name="FracNo 742 StartRow 637">
          <a:extLst xmlns:a="http://schemas.openxmlformats.org/drawingml/2006/main">
            <a:ext uri="{FF2B5EF4-FFF2-40B4-BE49-F238E27FC236}">
              <a16:creationId xmlns:a16="http://schemas.microsoft.com/office/drawing/2014/main" id="{C10BF3E7-0DCE-1155-ECD5-A3669DC6D4A9}"/>
            </a:ext>
          </a:extLst>
        </cdr:cNvPr>
        <cdr:cNvSpPr/>
      </cdr:nvSpPr>
      <cdr:spPr>
        <a:xfrm xmlns:a="http://schemas.openxmlformats.org/drawingml/2006/main">
          <a:off x="1039818" y="4170879"/>
          <a:ext cx="690542" cy="714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0542" h="714257">
              <a:moveTo>
                <a:pt x="194617" y="220053"/>
              </a:moveTo>
              <a:lnTo>
                <a:pt x="0" y="18752"/>
              </a:lnTo>
              <a:lnTo>
                <a:pt x="18129" y="0"/>
              </a:lnTo>
              <a:lnTo>
                <a:pt x="212746" y="201301"/>
              </a:lnTo>
              <a:lnTo>
                <a:pt x="690541" y="695504"/>
              </a:lnTo>
              <a:lnTo>
                <a:pt x="672412" y="7142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0.19857</cdr:x>
      <cdr:y>0.35899</cdr:y>
    </cdr:from>
    <cdr:to>
      <cdr:x>0.29031</cdr:x>
      <cdr:y>0.45501</cdr:y>
    </cdr:to>
    <cdr:sp macro="" textlink="">
      <cdr:nvSpPr>
        <cdr:cNvPr id="63" name="FracNo 398 StartRow 646">
          <a:extLst xmlns:a="http://schemas.openxmlformats.org/drawingml/2006/main">
            <a:ext uri="{FF2B5EF4-FFF2-40B4-BE49-F238E27FC236}">
              <a16:creationId xmlns:a16="http://schemas.microsoft.com/office/drawing/2014/main" id="{3A44A4E9-77F6-E52E-F024-4013A1E2E4BF}"/>
            </a:ext>
          </a:extLst>
        </cdr:cNvPr>
        <cdr:cNvSpPr/>
      </cdr:nvSpPr>
      <cdr:spPr>
        <a:xfrm xmlns:a="http://schemas.openxmlformats.org/drawingml/2006/main">
          <a:off x="1452553" y="2735497"/>
          <a:ext cx="671108" cy="731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1108" h="731659">
              <a:moveTo>
                <a:pt x="432452" y="447303"/>
              </a:moveTo>
              <a:lnTo>
                <a:pt x="41684" y="43116"/>
              </a:lnTo>
              <a:lnTo>
                <a:pt x="0" y="0"/>
              </a:lnTo>
              <a:lnTo>
                <a:pt x="0" y="37504"/>
              </a:lnTo>
              <a:lnTo>
                <a:pt x="39971" y="78848"/>
              </a:lnTo>
              <a:lnTo>
                <a:pt x="431803" y="484135"/>
              </a:lnTo>
              <a:lnTo>
                <a:pt x="671107" y="731658"/>
              </a:lnTo>
              <a:lnTo>
                <a:pt x="671107" y="6941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0.29768</cdr:x>
      <cdr:y>0.08544</cdr:y>
    </cdr:from>
    <cdr:to>
      <cdr:x>0.39314</cdr:x>
      <cdr:y>0.17776</cdr:y>
    </cdr:to>
    <cdr:sp macro="" textlink="">
      <cdr:nvSpPr>
        <cdr:cNvPr id="64" name="FracNo 266 StartRow 657">
          <a:extLst xmlns:a="http://schemas.openxmlformats.org/drawingml/2006/main">
            <a:ext uri="{FF2B5EF4-FFF2-40B4-BE49-F238E27FC236}">
              <a16:creationId xmlns:a16="http://schemas.microsoft.com/office/drawing/2014/main" id="{387ED55B-781B-B699-9EF2-D91D3190B240}"/>
            </a:ext>
          </a:extLst>
        </cdr:cNvPr>
        <cdr:cNvSpPr/>
      </cdr:nvSpPr>
      <cdr:spPr>
        <a:xfrm xmlns:a="http://schemas.openxmlformats.org/drawingml/2006/main">
          <a:off x="2177571" y="651036"/>
          <a:ext cx="698291" cy="7035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291" h="703519">
              <a:moveTo>
                <a:pt x="105284" y="613370"/>
              </a:moveTo>
              <a:lnTo>
                <a:pt x="18130" y="703518"/>
              </a:lnTo>
              <a:lnTo>
                <a:pt x="0" y="684766"/>
              </a:lnTo>
              <a:lnTo>
                <a:pt x="84899" y="596951"/>
              </a:lnTo>
              <a:lnTo>
                <a:pt x="551919" y="113894"/>
              </a:lnTo>
              <a:lnTo>
                <a:pt x="662031" y="0"/>
              </a:lnTo>
              <a:lnTo>
                <a:pt x="698290" y="0"/>
              </a:lnTo>
              <a:lnTo>
                <a:pt x="584712" y="1174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0.72936</cdr:y>
    </cdr:from>
    <cdr:to>
      <cdr:x>0.1835</cdr:x>
      <cdr:y>0.82531</cdr:y>
    </cdr:to>
    <cdr:sp macro="" textlink="">
      <cdr:nvSpPr>
        <cdr:cNvPr id="65" name="FracNo 774 StartRow 668">
          <a:extLst xmlns:a="http://schemas.openxmlformats.org/drawingml/2006/main">
            <a:ext uri="{FF2B5EF4-FFF2-40B4-BE49-F238E27FC236}">
              <a16:creationId xmlns:a16="http://schemas.microsoft.com/office/drawing/2014/main" id="{9FB5B602-2CCE-CA09-C02A-BD91125F0A38}"/>
            </a:ext>
          </a:extLst>
        </cdr:cNvPr>
        <cdr:cNvSpPr/>
      </cdr:nvSpPr>
      <cdr:spPr>
        <a:xfrm xmlns:a="http://schemas.openxmlformats.org/drawingml/2006/main">
          <a:off x="671676" y="5557713"/>
          <a:ext cx="670651" cy="731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651" h="731186">
              <a:moveTo>
                <a:pt x="395358" y="408936"/>
              </a:moveTo>
              <a:lnTo>
                <a:pt x="0" y="0"/>
              </a:lnTo>
              <a:lnTo>
                <a:pt x="0" y="37504"/>
              </a:lnTo>
              <a:lnTo>
                <a:pt x="395358" y="446439"/>
              </a:lnTo>
              <a:lnTo>
                <a:pt x="670650" y="731185"/>
              </a:lnTo>
              <a:lnTo>
                <a:pt x="670650" y="6936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0.33446</cdr:x>
      <cdr:y>0.46975</cdr:y>
    </cdr:from>
    <cdr:to>
      <cdr:x>0.43101</cdr:x>
      <cdr:y>0.56069</cdr:y>
    </cdr:to>
    <cdr:sp macro="" textlink="">
      <cdr:nvSpPr>
        <cdr:cNvPr id="66" name="FracNo 800 StartRow 677">
          <a:extLst xmlns:a="http://schemas.openxmlformats.org/drawingml/2006/main">
            <a:ext uri="{FF2B5EF4-FFF2-40B4-BE49-F238E27FC236}">
              <a16:creationId xmlns:a16="http://schemas.microsoft.com/office/drawing/2014/main" id="{4DFBD283-4E53-909D-E09E-152A0AF16683}"/>
            </a:ext>
          </a:extLst>
        </cdr:cNvPr>
        <cdr:cNvSpPr/>
      </cdr:nvSpPr>
      <cdr:spPr>
        <a:xfrm xmlns:a="http://schemas.openxmlformats.org/drawingml/2006/main">
          <a:off x="2446666" y="3579462"/>
          <a:ext cx="706281" cy="693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6281" h="693033">
              <a:moveTo>
                <a:pt x="466672" y="445195"/>
              </a:moveTo>
              <a:lnTo>
                <a:pt x="311478" y="284672"/>
              </a:lnTo>
              <a:lnTo>
                <a:pt x="36258" y="0"/>
              </a:lnTo>
              <a:lnTo>
                <a:pt x="0" y="0"/>
              </a:lnTo>
              <a:lnTo>
                <a:pt x="286962" y="296818"/>
              </a:lnTo>
              <a:lnTo>
                <a:pt x="437540" y="452567"/>
              </a:lnTo>
              <a:lnTo>
                <a:pt x="670021" y="693032"/>
              </a:lnTo>
              <a:lnTo>
                <a:pt x="706280" y="6930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0.12824</cdr:x>
      <cdr:y>0.24715</cdr:y>
    </cdr:from>
    <cdr:to>
      <cdr:x>0.2222</cdr:x>
      <cdr:y>0.34045</cdr:y>
    </cdr:to>
    <cdr:sp macro="" textlink="">
      <cdr:nvSpPr>
        <cdr:cNvPr id="67" name="FracNo 826 StartRow 688">
          <a:extLst xmlns:a="http://schemas.openxmlformats.org/drawingml/2006/main">
            <a:ext uri="{FF2B5EF4-FFF2-40B4-BE49-F238E27FC236}">
              <a16:creationId xmlns:a16="http://schemas.microsoft.com/office/drawing/2014/main" id="{B69A882C-9C4C-70E5-922F-0AC9A5955C48}"/>
            </a:ext>
          </a:extLst>
        </cdr:cNvPr>
        <cdr:cNvSpPr/>
      </cdr:nvSpPr>
      <cdr:spPr>
        <a:xfrm xmlns:a="http://schemas.openxmlformats.org/drawingml/2006/main">
          <a:off x="938124" y="1883299"/>
          <a:ext cx="687297" cy="710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7297" h="710900">
              <a:moveTo>
                <a:pt x="438288" y="415835"/>
              </a:moveTo>
              <a:lnTo>
                <a:pt x="36259" y="0"/>
              </a:lnTo>
              <a:lnTo>
                <a:pt x="0" y="0"/>
              </a:lnTo>
              <a:lnTo>
                <a:pt x="424420" y="438995"/>
              </a:lnTo>
              <a:lnTo>
                <a:pt x="687296" y="710899"/>
              </a:lnTo>
              <a:lnTo>
                <a:pt x="687296" y="6733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0.73971</cdr:x>
      <cdr:y>0.78919</cdr:y>
    </cdr:from>
    <cdr:to>
      <cdr:x>0.83593</cdr:x>
      <cdr:y>0.8798</cdr:y>
    </cdr:to>
    <cdr:sp macro="" textlink="">
      <cdr:nvSpPr>
        <cdr:cNvPr id="68" name="FracNo 103 StartRow 697">
          <a:extLst xmlns:a="http://schemas.openxmlformats.org/drawingml/2006/main">
            <a:ext uri="{FF2B5EF4-FFF2-40B4-BE49-F238E27FC236}">
              <a16:creationId xmlns:a16="http://schemas.microsoft.com/office/drawing/2014/main" id="{3B92D968-C439-89A0-4990-3573768D2D11}"/>
            </a:ext>
          </a:extLst>
        </cdr:cNvPr>
        <cdr:cNvSpPr/>
      </cdr:nvSpPr>
      <cdr:spPr>
        <a:xfrm xmlns:a="http://schemas.openxmlformats.org/drawingml/2006/main">
          <a:off x="5411153" y="6013608"/>
          <a:ext cx="703827" cy="690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3827" h="690495">
              <a:moveTo>
                <a:pt x="360370" y="355251"/>
              </a:moveTo>
              <a:lnTo>
                <a:pt x="36258" y="690494"/>
              </a:lnTo>
              <a:lnTo>
                <a:pt x="0" y="690494"/>
              </a:lnTo>
              <a:lnTo>
                <a:pt x="324112" y="355251"/>
              </a:lnTo>
              <a:lnTo>
                <a:pt x="667567" y="0"/>
              </a:lnTo>
              <a:lnTo>
                <a:pt x="7038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0.52117</cdr:x>
      <cdr:y>0.08544</cdr:y>
    </cdr:from>
    <cdr:to>
      <cdr:x>0.61463</cdr:x>
      <cdr:y>0.17824</cdr:y>
    </cdr:to>
    <cdr:sp macro="" textlink="">
      <cdr:nvSpPr>
        <cdr:cNvPr id="69" name="FracNo 876 StartRow 706">
          <a:extLst xmlns:a="http://schemas.openxmlformats.org/drawingml/2006/main">
            <a:ext uri="{FF2B5EF4-FFF2-40B4-BE49-F238E27FC236}">
              <a16:creationId xmlns:a16="http://schemas.microsoft.com/office/drawing/2014/main" id="{DEE6494C-9CB0-8F0C-E141-34103DA4C78B}"/>
            </a:ext>
          </a:extLst>
        </cdr:cNvPr>
        <cdr:cNvSpPr/>
      </cdr:nvSpPr>
      <cdr:spPr>
        <a:xfrm xmlns:a="http://schemas.openxmlformats.org/drawingml/2006/main">
          <a:off x="3812471" y="651036"/>
          <a:ext cx="683645" cy="70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3645" h="707122">
              <a:moveTo>
                <a:pt x="348274" y="322730"/>
              </a:moveTo>
              <a:lnTo>
                <a:pt x="36259" y="0"/>
              </a:lnTo>
              <a:lnTo>
                <a:pt x="0" y="0"/>
              </a:lnTo>
              <a:lnTo>
                <a:pt x="329491" y="340806"/>
              </a:lnTo>
              <a:lnTo>
                <a:pt x="683644" y="707121"/>
              </a:lnTo>
              <a:lnTo>
                <a:pt x="683644" y="6696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0.40084</cdr:y>
    </cdr:from>
    <cdr:to>
      <cdr:x>0.18123</cdr:x>
      <cdr:y>0.49454</cdr:y>
    </cdr:to>
    <cdr:sp macro="" textlink="">
      <cdr:nvSpPr>
        <cdr:cNvPr id="70" name="FracNo 388 StartRow 715">
          <a:extLst xmlns:a="http://schemas.openxmlformats.org/drawingml/2006/main">
            <a:ext uri="{FF2B5EF4-FFF2-40B4-BE49-F238E27FC236}">
              <a16:creationId xmlns:a16="http://schemas.microsoft.com/office/drawing/2014/main" id="{91BCE31B-BD71-45E8-C87D-8D3D7A3E2D36}"/>
            </a:ext>
          </a:extLst>
        </cdr:cNvPr>
        <cdr:cNvSpPr/>
      </cdr:nvSpPr>
      <cdr:spPr>
        <a:xfrm xmlns:a="http://schemas.openxmlformats.org/drawingml/2006/main">
          <a:off x="671676" y="3054417"/>
          <a:ext cx="654046" cy="714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046" h="714011">
              <a:moveTo>
                <a:pt x="216380" y="261314"/>
              </a:moveTo>
              <a:lnTo>
                <a:pt x="0" y="37504"/>
              </a:lnTo>
              <a:lnTo>
                <a:pt x="0" y="0"/>
              </a:lnTo>
              <a:lnTo>
                <a:pt x="216380" y="223810"/>
              </a:lnTo>
              <a:lnTo>
                <a:pt x="654045" y="676506"/>
              </a:lnTo>
              <a:lnTo>
                <a:pt x="654045" y="7140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0.19839</cdr:x>
      <cdr:y>0.19843</cdr:y>
    </cdr:from>
    <cdr:to>
      <cdr:x>0.28898</cdr:x>
      <cdr:y>0.29084</cdr:y>
    </cdr:to>
    <cdr:sp macro="" textlink="">
      <cdr:nvSpPr>
        <cdr:cNvPr id="71" name="FracNo 306 StartRow 724">
          <a:extLst xmlns:a="http://schemas.openxmlformats.org/drawingml/2006/main">
            <a:ext uri="{FF2B5EF4-FFF2-40B4-BE49-F238E27FC236}">
              <a16:creationId xmlns:a16="http://schemas.microsoft.com/office/drawing/2014/main" id="{0C4F8418-60F8-BB51-80E9-B286DE08F1A9}"/>
            </a:ext>
          </a:extLst>
        </cdr:cNvPr>
        <cdr:cNvSpPr/>
      </cdr:nvSpPr>
      <cdr:spPr>
        <a:xfrm xmlns:a="http://schemas.openxmlformats.org/drawingml/2006/main">
          <a:off x="1451287" y="1512068"/>
          <a:ext cx="662655" cy="704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2655" h="704163">
              <a:moveTo>
                <a:pt x="157095" y="181241"/>
              </a:moveTo>
              <a:lnTo>
                <a:pt x="0" y="18752"/>
              </a:lnTo>
              <a:lnTo>
                <a:pt x="18130" y="0"/>
              </a:lnTo>
              <a:lnTo>
                <a:pt x="170926" y="158044"/>
              </a:lnTo>
              <a:lnTo>
                <a:pt x="662654" y="666659"/>
              </a:lnTo>
              <a:lnTo>
                <a:pt x="662654" y="7041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0.62979</cdr:x>
      <cdr:y>0.1858</cdr:y>
    </cdr:from>
    <cdr:to>
      <cdr:x>0.72087</cdr:x>
      <cdr:y>0.27624</cdr:y>
    </cdr:to>
    <cdr:sp macro="" textlink="">
      <cdr:nvSpPr>
        <cdr:cNvPr id="72" name="FracNo 505 StartRow 733">
          <a:extLst xmlns:a="http://schemas.openxmlformats.org/drawingml/2006/main">
            <a:ext uri="{FF2B5EF4-FFF2-40B4-BE49-F238E27FC236}">
              <a16:creationId xmlns:a16="http://schemas.microsoft.com/office/drawing/2014/main" id="{FD8192ED-D7C1-94C9-2AA7-CAA0A05AD14B}"/>
            </a:ext>
          </a:extLst>
        </cdr:cNvPr>
        <cdr:cNvSpPr/>
      </cdr:nvSpPr>
      <cdr:spPr>
        <a:xfrm xmlns:a="http://schemas.openxmlformats.org/drawingml/2006/main">
          <a:off x="4607068" y="1415830"/>
          <a:ext cx="666237" cy="689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237" h="689118">
              <a:moveTo>
                <a:pt x="249794" y="430743"/>
              </a:moveTo>
              <a:lnTo>
                <a:pt x="202219" y="479953"/>
              </a:lnTo>
              <a:lnTo>
                <a:pt x="0" y="689117"/>
              </a:lnTo>
              <a:lnTo>
                <a:pt x="36258" y="689117"/>
              </a:lnTo>
              <a:lnTo>
                <a:pt x="223839" y="495094"/>
              </a:lnTo>
              <a:lnTo>
                <a:pt x="269198" y="448178"/>
              </a:lnTo>
              <a:lnTo>
                <a:pt x="666236" y="37503"/>
              </a:lnTo>
              <a:lnTo>
                <a:pt x="6662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0.82783</cdr:x>
      <cdr:y>0.13335</cdr:y>
    </cdr:from>
    <cdr:to>
      <cdr:x>0.91951</cdr:x>
      <cdr:y>0.22192</cdr:y>
    </cdr:to>
    <cdr:sp macro="" textlink="">
      <cdr:nvSpPr>
        <cdr:cNvPr id="73" name="FracNo 803 StartRow 744">
          <a:extLst xmlns:a="http://schemas.openxmlformats.org/drawingml/2006/main">
            <a:ext uri="{FF2B5EF4-FFF2-40B4-BE49-F238E27FC236}">
              <a16:creationId xmlns:a16="http://schemas.microsoft.com/office/drawing/2014/main" id="{C39F8661-CCF3-7170-FF99-B7129C876F85}"/>
            </a:ext>
          </a:extLst>
        </cdr:cNvPr>
        <cdr:cNvSpPr/>
      </cdr:nvSpPr>
      <cdr:spPr>
        <a:xfrm xmlns:a="http://schemas.openxmlformats.org/drawingml/2006/main">
          <a:off x="6055775" y="1016109"/>
          <a:ext cx="670642" cy="674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642" h="674922">
              <a:moveTo>
                <a:pt x="642" y="655505"/>
              </a:moveTo>
              <a:lnTo>
                <a:pt x="0" y="656169"/>
              </a:lnTo>
              <a:lnTo>
                <a:pt x="18129" y="674921"/>
              </a:lnTo>
              <a:lnTo>
                <a:pt x="18790" y="674237"/>
              </a:lnTo>
              <a:lnTo>
                <a:pt x="670641" y="0"/>
              </a:lnTo>
              <a:lnTo>
                <a:pt x="634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0.18988</cdr:x>
      <cdr:y>0.08544</cdr:y>
    </cdr:from>
    <cdr:to>
      <cdr:x>0.28208</cdr:x>
      <cdr:y>0.17207</cdr:y>
    </cdr:to>
    <cdr:sp macro="" textlink="">
      <cdr:nvSpPr>
        <cdr:cNvPr id="74" name="FracNo 274 StartRow 753">
          <a:extLst xmlns:a="http://schemas.openxmlformats.org/drawingml/2006/main">
            <a:ext uri="{FF2B5EF4-FFF2-40B4-BE49-F238E27FC236}">
              <a16:creationId xmlns:a16="http://schemas.microsoft.com/office/drawing/2014/main" id="{17F7A579-F441-F857-770D-8EE927652552}"/>
            </a:ext>
          </a:extLst>
        </cdr:cNvPr>
        <cdr:cNvSpPr/>
      </cdr:nvSpPr>
      <cdr:spPr>
        <a:xfrm xmlns:a="http://schemas.openxmlformats.org/drawingml/2006/main">
          <a:off x="1388984" y="651036"/>
          <a:ext cx="674476" cy="660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476" h="660135">
              <a:moveTo>
                <a:pt x="244838" y="406887"/>
              </a:moveTo>
              <a:lnTo>
                <a:pt x="0" y="660134"/>
              </a:lnTo>
              <a:lnTo>
                <a:pt x="36258" y="660134"/>
              </a:lnTo>
              <a:lnTo>
                <a:pt x="281097" y="406887"/>
              </a:lnTo>
              <a:lnTo>
                <a:pt x="674475" y="0"/>
              </a:lnTo>
              <a:lnTo>
                <a:pt x="638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0.19216</cdr:x>
      <cdr:y>0.20984</cdr:y>
    </cdr:from>
    <cdr:to>
      <cdr:x>0.27888</cdr:x>
      <cdr:y>0.30087</cdr:y>
    </cdr:to>
    <cdr:sp macro="" textlink="">
      <cdr:nvSpPr>
        <cdr:cNvPr id="75" name="FracNo 1226 StartRow 762">
          <a:extLst xmlns:a="http://schemas.openxmlformats.org/drawingml/2006/main">
            <a:ext uri="{FF2B5EF4-FFF2-40B4-BE49-F238E27FC236}">
              <a16:creationId xmlns:a16="http://schemas.microsoft.com/office/drawing/2014/main" id="{E37DE588-BD34-4D6A-3AFE-50D2CE3B3FE8}"/>
            </a:ext>
          </a:extLst>
        </cdr:cNvPr>
        <cdr:cNvSpPr/>
      </cdr:nvSpPr>
      <cdr:spPr>
        <a:xfrm xmlns:a="http://schemas.openxmlformats.org/drawingml/2006/main">
          <a:off x="1405686" y="1599006"/>
          <a:ext cx="634365" cy="693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365" h="693654">
              <a:moveTo>
                <a:pt x="560335" y="617082"/>
              </a:moveTo>
              <a:lnTo>
                <a:pt x="0" y="37504"/>
              </a:lnTo>
              <a:lnTo>
                <a:pt x="0" y="0"/>
              </a:lnTo>
              <a:lnTo>
                <a:pt x="560335" y="579578"/>
              </a:lnTo>
              <a:lnTo>
                <a:pt x="634364" y="656149"/>
              </a:lnTo>
              <a:lnTo>
                <a:pt x="634364" y="6936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0.55842</cdr:x>
      <cdr:y>0.47075</cdr:y>
    </cdr:from>
    <cdr:to>
      <cdr:x>0.6498</cdr:x>
      <cdr:y>0.55657</cdr:y>
    </cdr:to>
    <cdr:sp macro="" textlink="">
      <cdr:nvSpPr>
        <cdr:cNvPr id="76" name="FracNo 672 StartRow 771">
          <a:extLst xmlns:a="http://schemas.openxmlformats.org/drawingml/2006/main">
            <a:ext uri="{FF2B5EF4-FFF2-40B4-BE49-F238E27FC236}">
              <a16:creationId xmlns:a16="http://schemas.microsoft.com/office/drawing/2014/main" id="{3249599F-231D-B9D9-A69D-0642117264E1}"/>
            </a:ext>
          </a:extLst>
        </cdr:cNvPr>
        <cdr:cNvSpPr/>
      </cdr:nvSpPr>
      <cdr:spPr>
        <a:xfrm xmlns:a="http://schemas.openxmlformats.org/drawingml/2006/main">
          <a:off x="4084948" y="3587108"/>
          <a:ext cx="668498" cy="653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498" h="653952">
              <a:moveTo>
                <a:pt x="302311" y="378760"/>
              </a:moveTo>
              <a:lnTo>
                <a:pt x="36258" y="653951"/>
              </a:lnTo>
              <a:lnTo>
                <a:pt x="0" y="653951"/>
              </a:lnTo>
              <a:lnTo>
                <a:pt x="266053" y="378760"/>
              </a:lnTo>
              <a:lnTo>
                <a:pt x="632239" y="0"/>
              </a:lnTo>
              <a:lnTo>
                <a:pt x="6684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0.16503</cdr:x>
      <cdr:y>0.65324</cdr:y>
    </cdr:from>
    <cdr:to>
      <cdr:x>0.25361</cdr:x>
      <cdr:y>0.74121</cdr:y>
    </cdr:to>
    <cdr:sp macro="" textlink="">
      <cdr:nvSpPr>
        <cdr:cNvPr id="77" name="FracNo 61 StartRow 780">
          <a:extLst xmlns:a="http://schemas.openxmlformats.org/drawingml/2006/main">
            <a:ext uri="{FF2B5EF4-FFF2-40B4-BE49-F238E27FC236}">
              <a16:creationId xmlns:a16="http://schemas.microsoft.com/office/drawing/2014/main" id="{3D1907B5-09A3-08E5-7E7F-7020938BC814}"/>
            </a:ext>
          </a:extLst>
        </cdr:cNvPr>
        <cdr:cNvSpPr/>
      </cdr:nvSpPr>
      <cdr:spPr>
        <a:xfrm xmlns:a="http://schemas.openxmlformats.org/drawingml/2006/main">
          <a:off x="1207197" y="4977702"/>
          <a:ext cx="648042" cy="6702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8042" h="670296">
              <a:moveTo>
                <a:pt x="561389" y="580667"/>
              </a:moveTo>
              <a:lnTo>
                <a:pt x="0" y="0"/>
              </a:lnTo>
              <a:lnTo>
                <a:pt x="36259" y="0"/>
              </a:lnTo>
              <a:lnTo>
                <a:pt x="566237" y="548178"/>
              </a:lnTo>
              <a:lnTo>
                <a:pt x="648041" y="632792"/>
              </a:lnTo>
              <a:lnTo>
                <a:pt x="648041" y="6702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0.85664</cdr:x>
      <cdr:y>0.46471</cdr:y>
    </cdr:from>
    <cdr:to>
      <cdr:x>0.94246</cdr:x>
      <cdr:y>0.55486</cdr:y>
    </cdr:to>
    <cdr:sp macro="" textlink="">
      <cdr:nvSpPr>
        <cdr:cNvPr id="78" name="FracNo 832 StartRow 789">
          <a:extLst xmlns:a="http://schemas.openxmlformats.org/drawingml/2006/main">
            <a:ext uri="{FF2B5EF4-FFF2-40B4-BE49-F238E27FC236}">
              <a16:creationId xmlns:a16="http://schemas.microsoft.com/office/drawing/2014/main" id="{11D6CDDE-CC5F-5066-D64D-3A24B3D39A58}"/>
            </a:ext>
          </a:extLst>
        </cdr:cNvPr>
        <cdr:cNvSpPr/>
      </cdr:nvSpPr>
      <cdr:spPr>
        <a:xfrm xmlns:a="http://schemas.openxmlformats.org/drawingml/2006/main">
          <a:off x="6266501" y="3541127"/>
          <a:ext cx="627807" cy="686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7807" h="686871">
              <a:moveTo>
                <a:pt x="228600" y="412916"/>
              </a:moveTo>
              <a:lnTo>
                <a:pt x="0" y="649366"/>
              </a:lnTo>
              <a:lnTo>
                <a:pt x="0" y="686870"/>
              </a:lnTo>
              <a:lnTo>
                <a:pt x="228600" y="450419"/>
              </a:lnTo>
              <a:lnTo>
                <a:pt x="627806" y="37504"/>
              </a:lnTo>
              <a:lnTo>
                <a:pt x="6278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0.50238</cdr:x>
      <cdr:y>0.52939</cdr:y>
    </cdr:from>
    <cdr:to>
      <cdr:x>0.58813</cdr:x>
      <cdr:y>0.61946</cdr:y>
    </cdr:to>
    <cdr:sp macro="" textlink="">
      <cdr:nvSpPr>
        <cdr:cNvPr id="79" name="FracNo 713 StartRow 798">
          <a:extLst xmlns:a="http://schemas.openxmlformats.org/drawingml/2006/main">
            <a:ext uri="{FF2B5EF4-FFF2-40B4-BE49-F238E27FC236}">
              <a16:creationId xmlns:a16="http://schemas.microsoft.com/office/drawing/2014/main" id="{76CCF8F3-1E2D-8FF3-90D2-9CBDD54181CB}"/>
            </a:ext>
          </a:extLst>
        </cdr:cNvPr>
        <cdr:cNvSpPr/>
      </cdr:nvSpPr>
      <cdr:spPr>
        <a:xfrm xmlns:a="http://schemas.openxmlformats.org/drawingml/2006/main">
          <a:off x="3674988" y="4033918"/>
          <a:ext cx="627324" cy="686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7324" h="686370">
              <a:moveTo>
                <a:pt x="209931" y="254644"/>
              </a:moveTo>
              <a:lnTo>
                <a:pt x="0" y="37503"/>
              </a:lnTo>
              <a:lnTo>
                <a:pt x="0" y="0"/>
              </a:lnTo>
              <a:lnTo>
                <a:pt x="209931" y="217140"/>
              </a:lnTo>
              <a:lnTo>
                <a:pt x="627323" y="648866"/>
              </a:lnTo>
              <a:lnTo>
                <a:pt x="627323" y="686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0.21777</cdr:x>
      <cdr:y>0.43576</cdr:y>
    </cdr:from>
    <cdr:to>
      <cdr:x>0.30721</cdr:x>
      <cdr:y>0.52211</cdr:y>
    </cdr:to>
    <cdr:sp macro="" textlink="">
      <cdr:nvSpPr>
        <cdr:cNvPr id="80" name="FracNo 353 StartRow 807">
          <a:extLst xmlns:a="http://schemas.openxmlformats.org/drawingml/2006/main">
            <a:ext uri="{FF2B5EF4-FFF2-40B4-BE49-F238E27FC236}">
              <a16:creationId xmlns:a16="http://schemas.microsoft.com/office/drawing/2014/main" id="{93CDEF89-51A6-1374-C77D-1525A4B7DC25}"/>
            </a:ext>
          </a:extLst>
        </cdr:cNvPr>
        <cdr:cNvSpPr/>
      </cdr:nvSpPr>
      <cdr:spPr>
        <a:xfrm xmlns:a="http://schemas.openxmlformats.org/drawingml/2006/main">
          <a:off x="1593061" y="3320482"/>
          <a:ext cx="654275" cy="657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275" h="657991">
              <a:moveTo>
                <a:pt x="598154" y="39295"/>
              </a:moveTo>
              <a:lnTo>
                <a:pt x="0" y="657990"/>
              </a:lnTo>
              <a:lnTo>
                <a:pt x="36259" y="657990"/>
              </a:lnTo>
              <a:lnTo>
                <a:pt x="617366" y="56927"/>
              </a:lnTo>
              <a:lnTo>
                <a:pt x="654274" y="18752"/>
              </a:lnTo>
              <a:lnTo>
                <a:pt x="636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0.37085</cdr:x>
      <cdr:y>0.12091</cdr:y>
    </cdr:from>
    <cdr:to>
      <cdr:x>0.45901</cdr:x>
      <cdr:y>0.20845</cdr:y>
    </cdr:to>
    <cdr:sp macro="" textlink="">
      <cdr:nvSpPr>
        <cdr:cNvPr id="81" name="FracNo 821 StartRow 816">
          <a:extLst xmlns:a="http://schemas.openxmlformats.org/drawingml/2006/main">
            <a:ext uri="{FF2B5EF4-FFF2-40B4-BE49-F238E27FC236}">
              <a16:creationId xmlns:a16="http://schemas.microsoft.com/office/drawing/2014/main" id="{51A25643-E9C3-8143-F8EA-EFA7B85001E1}"/>
            </a:ext>
          </a:extLst>
        </cdr:cNvPr>
        <cdr:cNvSpPr/>
      </cdr:nvSpPr>
      <cdr:spPr>
        <a:xfrm xmlns:a="http://schemas.openxmlformats.org/drawingml/2006/main">
          <a:off x="2712818" y="921359"/>
          <a:ext cx="644897" cy="667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897" h="667044">
              <a:moveTo>
                <a:pt x="231982" y="389591"/>
              </a:moveTo>
              <a:lnTo>
                <a:pt x="31815" y="596632"/>
              </a:lnTo>
              <a:lnTo>
                <a:pt x="0" y="629540"/>
              </a:lnTo>
              <a:lnTo>
                <a:pt x="0" y="667043"/>
              </a:lnTo>
              <a:lnTo>
                <a:pt x="34322" y="631542"/>
              </a:lnTo>
              <a:lnTo>
                <a:pt x="246202" y="412387"/>
              </a:lnTo>
              <a:lnTo>
                <a:pt x="644896" y="0"/>
              </a:lnTo>
              <a:lnTo>
                <a:pt x="6086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0.15943</cdr:x>
      <cdr:y>0.8367</cdr:y>
    </cdr:from>
    <cdr:to>
      <cdr:x>0.24954</cdr:x>
      <cdr:y>0.92126</cdr:y>
    </cdr:to>
    <cdr:sp macro="" textlink="">
      <cdr:nvSpPr>
        <cdr:cNvPr id="82" name="FracNo 37 StartRow 827">
          <a:extLst xmlns:a="http://schemas.openxmlformats.org/drawingml/2006/main">
            <a:ext uri="{FF2B5EF4-FFF2-40B4-BE49-F238E27FC236}">
              <a16:creationId xmlns:a16="http://schemas.microsoft.com/office/drawing/2014/main" id="{7931BAC7-ED9D-A8BF-C0EF-A9598BB2CECE}"/>
            </a:ext>
          </a:extLst>
        </cdr:cNvPr>
        <cdr:cNvSpPr/>
      </cdr:nvSpPr>
      <cdr:spPr>
        <a:xfrm xmlns:a="http://schemas.openxmlformats.org/drawingml/2006/main">
          <a:off x="1166231" y="6375624"/>
          <a:ext cx="659214" cy="644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9214" h="644349">
              <a:moveTo>
                <a:pt x="225307" y="448807"/>
              </a:moveTo>
              <a:lnTo>
                <a:pt x="36259" y="644348"/>
              </a:lnTo>
              <a:lnTo>
                <a:pt x="0" y="644348"/>
              </a:lnTo>
              <a:lnTo>
                <a:pt x="189049" y="448807"/>
              </a:lnTo>
              <a:lnTo>
                <a:pt x="622955" y="0"/>
              </a:lnTo>
              <a:lnTo>
                <a:pt x="6592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0.46851</cdr:x>
      <cdr:y>0.83266</cdr:y>
    </cdr:from>
    <cdr:to>
      <cdr:x>0.55816</cdr:x>
      <cdr:y>0.91676</cdr:y>
    </cdr:to>
    <cdr:sp macro="" textlink="">
      <cdr:nvSpPr>
        <cdr:cNvPr id="83" name="FracNo 472 StartRow 836">
          <a:extLst xmlns:a="http://schemas.openxmlformats.org/drawingml/2006/main">
            <a:ext uri="{FF2B5EF4-FFF2-40B4-BE49-F238E27FC236}">
              <a16:creationId xmlns:a16="http://schemas.microsoft.com/office/drawing/2014/main" id="{93CED276-D3B5-B291-76C5-CC46C43C9F55}"/>
            </a:ext>
          </a:extLst>
        </cdr:cNvPr>
        <cdr:cNvSpPr/>
      </cdr:nvSpPr>
      <cdr:spPr>
        <a:xfrm xmlns:a="http://schemas.openxmlformats.org/drawingml/2006/main">
          <a:off x="3427230" y="6344894"/>
          <a:ext cx="655801" cy="6408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801" h="640819">
              <a:moveTo>
                <a:pt x="263702" y="272758"/>
              </a:moveTo>
              <a:lnTo>
                <a:pt x="0" y="0"/>
              </a:lnTo>
              <a:lnTo>
                <a:pt x="36259" y="0"/>
              </a:lnTo>
              <a:lnTo>
                <a:pt x="299961" y="272758"/>
              </a:lnTo>
              <a:lnTo>
                <a:pt x="655800" y="640818"/>
              </a:lnTo>
              <a:lnTo>
                <a:pt x="619541" y="6408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0.4722</cdr:x>
      <cdr:y>0.82899</cdr:y>
    </cdr:from>
    <cdr:to>
      <cdr:x>0.56185</cdr:x>
      <cdr:y>0.91309</cdr:y>
    </cdr:to>
    <cdr:sp macro="" textlink="">
      <cdr:nvSpPr>
        <cdr:cNvPr id="84" name="FracNo 867 StartRow 845">
          <a:extLst xmlns:a="http://schemas.openxmlformats.org/drawingml/2006/main">
            <a:ext uri="{FF2B5EF4-FFF2-40B4-BE49-F238E27FC236}">
              <a16:creationId xmlns:a16="http://schemas.microsoft.com/office/drawing/2014/main" id="{D0D3AEB5-A335-9000-2BD7-4C4CD57963B4}"/>
            </a:ext>
          </a:extLst>
        </cdr:cNvPr>
        <cdr:cNvSpPr/>
      </cdr:nvSpPr>
      <cdr:spPr>
        <a:xfrm xmlns:a="http://schemas.openxmlformats.org/drawingml/2006/main">
          <a:off x="3454257" y="6316939"/>
          <a:ext cx="655801" cy="6408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801" h="640819">
              <a:moveTo>
                <a:pt x="605295" y="626082"/>
              </a:moveTo>
              <a:lnTo>
                <a:pt x="0" y="0"/>
              </a:lnTo>
              <a:lnTo>
                <a:pt x="36259" y="0"/>
              </a:lnTo>
              <a:lnTo>
                <a:pt x="641554" y="626082"/>
              </a:lnTo>
              <a:lnTo>
                <a:pt x="655800" y="640818"/>
              </a:lnTo>
              <a:lnTo>
                <a:pt x="619542" y="6408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0.76201</cdr:x>
      <cdr:y>0.47936</cdr:y>
    </cdr:from>
    <cdr:to>
      <cdr:x>0.84665</cdr:x>
      <cdr:y>0.56833</cdr:y>
    </cdr:to>
    <cdr:sp macro="" textlink="">
      <cdr:nvSpPr>
        <cdr:cNvPr id="85" name="FracNo 583 StartRow 854">
          <a:extLst xmlns:a="http://schemas.openxmlformats.org/drawingml/2006/main">
            <a:ext uri="{FF2B5EF4-FFF2-40B4-BE49-F238E27FC236}">
              <a16:creationId xmlns:a16="http://schemas.microsoft.com/office/drawing/2014/main" id="{485C41DD-8A8F-F77D-D09F-3F545A905A9C}"/>
            </a:ext>
          </a:extLst>
        </cdr:cNvPr>
        <cdr:cNvSpPr/>
      </cdr:nvSpPr>
      <cdr:spPr>
        <a:xfrm xmlns:a="http://schemas.openxmlformats.org/drawingml/2006/main">
          <a:off x="5574235" y="3652737"/>
          <a:ext cx="619172" cy="677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9172" h="677939">
              <a:moveTo>
                <a:pt x="144083" y="491404"/>
              </a:moveTo>
              <a:lnTo>
                <a:pt x="0" y="640435"/>
              </a:lnTo>
              <a:lnTo>
                <a:pt x="0" y="677938"/>
              </a:lnTo>
              <a:lnTo>
                <a:pt x="144083" y="528908"/>
              </a:lnTo>
              <a:lnTo>
                <a:pt x="619171" y="37504"/>
              </a:lnTo>
              <a:lnTo>
                <a:pt x="6191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0.74051</cdr:x>
      <cdr:y>0.46294</cdr:y>
    </cdr:from>
    <cdr:to>
      <cdr:x>0.83011</cdr:x>
      <cdr:y>0.54699</cdr:y>
    </cdr:to>
    <cdr:sp macro="" textlink="">
      <cdr:nvSpPr>
        <cdr:cNvPr id="86" name="FracNo 797 StartRow 863">
          <a:extLst xmlns:a="http://schemas.openxmlformats.org/drawingml/2006/main">
            <a:ext uri="{FF2B5EF4-FFF2-40B4-BE49-F238E27FC236}">
              <a16:creationId xmlns:a16="http://schemas.microsoft.com/office/drawing/2014/main" id="{8E6870B9-AE08-2265-2D21-BA2BA63AA4E8}"/>
            </a:ext>
          </a:extLst>
        </cdr:cNvPr>
        <cdr:cNvSpPr/>
      </cdr:nvSpPr>
      <cdr:spPr>
        <a:xfrm xmlns:a="http://schemas.openxmlformats.org/drawingml/2006/main">
          <a:off x="5416997" y="3527603"/>
          <a:ext cx="655431" cy="640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431" h="640435">
              <a:moveTo>
                <a:pt x="148538" y="524299"/>
              </a:moveTo>
              <a:lnTo>
                <a:pt x="36259" y="640434"/>
              </a:lnTo>
              <a:lnTo>
                <a:pt x="0" y="640434"/>
              </a:lnTo>
              <a:lnTo>
                <a:pt x="112280" y="524299"/>
              </a:lnTo>
              <a:lnTo>
                <a:pt x="619171" y="0"/>
              </a:lnTo>
              <a:lnTo>
                <a:pt x="6554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0.29875</cdr:x>
      <cdr:y>0.79615</cdr:y>
    </cdr:from>
    <cdr:to>
      <cdr:x>0.38544</cdr:x>
      <cdr:y>0.88223</cdr:y>
    </cdr:to>
    <cdr:sp macro="" textlink="">
      <cdr:nvSpPr>
        <cdr:cNvPr id="87" name="FracNo 75 StartRow 872">
          <a:extLst xmlns:a="http://schemas.openxmlformats.org/drawingml/2006/main">
            <a:ext uri="{FF2B5EF4-FFF2-40B4-BE49-F238E27FC236}">
              <a16:creationId xmlns:a16="http://schemas.microsoft.com/office/drawing/2014/main" id="{090AB947-73CC-BF7C-FE6C-99145F2D28CD}"/>
            </a:ext>
          </a:extLst>
        </cdr:cNvPr>
        <cdr:cNvSpPr/>
      </cdr:nvSpPr>
      <cdr:spPr>
        <a:xfrm xmlns:a="http://schemas.openxmlformats.org/drawingml/2006/main">
          <a:off x="2185395" y="6066625"/>
          <a:ext cx="634185" cy="655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185" h="655966">
              <a:moveTo>
                <a:pt x="294868" y="267492"/>
              </a:moveTo>
              <a:lnTo>
                <a:pt x="36258" y="0"/>
              </a:lnTo>
              <a:lnTo>
                <a:pt x="0" y="0"/>
              </a:lnTo>
              <a:lnTo>
                <a:pt x="274553" y="283982"/>
              </a:lnTo>
              <a:lnTo>
                <a:pt x="558580" y="577764"/>
              </a:lnTo>
              <a:lnTo>
                <a:pt x="634184" y="655965"/>
              </a:lnTo>
              <a:lnTo>
                <a:pt x="634184" y="618461"/>
              </a:lnTo>
              <a:lnTo>
                <a:pt x="562403" y="5442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0.5555</cdr:x>
      <cdr:y>0.20544</cdr:y>
    </cdr:from>
    <cdr:to>
      <cdr:x>0.64172</cdr:x>
      <cdr:y>0.29106</cdr:y>
    </cdr:to>
    <cdr:sp macro="" textlink="">
      <cdr:nvSpPr>
        <cdr:cNvPr id="88" name="FracNo 841 StartRow 883">
          <a:extLst xmlns:a="http://schemas.openxmlformats.org/drawingml/2006/main">
            <a:ext uri="{FF2B5EF4-FFF2-40B4-BE49-F238E27FC236}">
              <a16:creationId xmlns:a16="http://schemas.microsoft.com/office/drawing/2014/main" id="{4EE65019-BA5C-FB36-0D0F-857322A6C759}"/>
            </a:ext>
          </a:extLst>
        </cdr:cNvPr>
        <cdr:cNvSpPr/>
      </cdr:nvSpPr>
      <cdr:spPr>
        <a:xfrm xmlns:a="http://schemas.openxmlformats.org/drawingml/2006/main">
          <a:off x="4063604" y="1565488"/>
          <a:ext cx="630737" cy="652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0737" h="652398">
              <a:moveTo>
                <a:pt x="397438" y="278814"/>
              </a:moveTo>
              <a:lnTo>
                <a:pt x="36259" y="652397"/>
              </a:lnTo>
              <a:lnTo>
                <a:pt x="0" y="652397"/>
              </a:lnTo>
              <a:lnTo>
                <a:pt x="383208" y="256028"/>
              </a:lnTo>
              <a:lnTo>
                <a:pt x="630736" y="0"/>
              </a:lnTo>
              <a:lnTo>
                <a:pt x="63073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0.56405</cdr:x>
      <cdr:y>0.21393</cdr:y>
    </cdr:from>
    <cdr:to>
      <cdr:x>0.65027</cdr:x>
      <cdr:y>0.29955</cdr:y>
    </cdr:to>
    <cdr:sp macro="" textlink="">
      <cdr:nvSpPr>
        <cdr:cNvPr id="89" name="FracNo 185 StartRow 892">
          <a:extLst xmlns:a="http://schemas.openxmlformats.org/drawingml/2006/main">
            <a:ext uri="{FF2B5EF4-FFF2-40B4-BE49-F238E27FC236}">
              <a16:creationId xmlns:a16="http://schemas.microsoft.com/office/drawing/2014/main" id="{A6633A2E-7672-ED2E-66B1-8C69F24DD94D}"/>
            </a:ext>
          </a:extLst>
        </cdr:cNvPr>
        <cdr:cNvSpPr/>
      </cdr:nvSpPr>
      <cdr:spPr>
        <a:xfrm xmlns:a="http://schemas.openxmlformats.org/drawingml/2006/main">
          <a:off x="4126106" y="1630137"/>
          <a:ext cx="630737" cy="652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0737" h="652398">
              <a:moveTo>
                <a:pt x="441971" y="157744"/>
              </a:moveTo>
              <a:lnTo>
                <a:pt x="0" y="614893"/>
              </a:lnTo>
              <a:lnTo>
                <a:pt x="0" y="652397"/>
              </a:lnTo>
              <a:lnTo>
                <a:pt x="468928" y="167365"/>
              </a:lnTo>
              <a:lnTo>
                <a:pt x="630736" y="0"/>
              </a:lnTo>
              <a:lnTo>
                <a:pt x="5944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0.80849</cdr:x>
      <cdr:y>0.39994</cdr:y>
    </cdr:from>
    <cdr:to>
      <cdr:x>0.8945</cdr:x>
      <cdr:y>0.48533</cdr:y>
    </cdr:to>
    <cdr:sp macro="" textlink="">
      <cdr:nvSpPr>
        <cdr:cNvPr id="90" name="FracNo 628 StartRow 901">
          <a:extLst xmlns:a="http://schemas.openxmlformats.org/drawingml/2006/main">
            <a:ext uri="{FF2B5EF4-FFF2-40B4-BE49-F238E27FC236}">
              <a16:creationId xmlns:a16="http://schemas.microsoft.com/office/drawing/2014/main" id="{ABF739DD-FC8E-0655-BD19-EA6EE06BA891}"/>
            </a:ext>
          </a:extLst>
        </cdr:cNvPr>
        <cdr:cNvSpPr/>
      </cdr:nvSpPr>
      <cdr:spPr>
        <a:xfrm xmlns:a="http://schemas.openxmlformats.org/drawingml/2006/main">
          <a:off x="5914299" y="3047518"/>
          <a:ext cx="629122" cy="650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122" h="650727">
              <a:moveTo>
                <a:pt x="386187" y="399450"/>
              </a:moveTo>
              <a:lnTo>
                <a:pt x="0" y="0"/>
              </a:lnTo>
              <a:lnTo>
                <a:pt x="0" y="37504"/>
              </a:lnTo>
              <a:lnTo>
                <a:pt x="363929" y="413931"/>
              </a:lnTo>
              <a:lnTo>
                <a:pt x="592862" y="650726"/>
              </a:lnTo>
              <a:lnTo>
                <a:pt x="629121" y="6507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0.76004</cdr:x>
      <cdr:y>0.43706</cdr:y>
    </cdr:from>
    <cdr:to>
      <cdr:x>0.84588</cdr:x>
      <cdr:y>0.52229</cdr:y>
    </cdr:to>
    <cdr:sp macro="" textlink="">
      <cdr:nvSpPr>
        <cdr:cNvPr id="91" name="FracNo 599 StartRow 910">
          <a:extLst xmlns:a="http://schemas.openxmlformats.org/drawingml/2006/main">
            <a:ext uri="{FF2B5EF4-FFF2-40B4-BE49-F238E27FC236}">
              <a16:creationId xmlns:a16="http://schemas.microsoft.com/office/drawing/2014/main" id="{DA61C7F1-BF0C-57E8-F9D0-A24F2388971F}"/>
            </a:ext>
          </a:extLst>
        </cdr:cNvPr>
        <cdr:cNvSpPr/>
      </cdr:nvSpPr>
      <cdr:spPr>
        <a:xfrm xmlns:a="http://schemas.openxmlformats.org/drawingml/2006/main">
          <a:off x="5559851" y="3330384"/>
          <a:ext cx="627923" cy="649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7923" h="649486">
              <a:moveTo>
                <a:pt x="328170" y="310046"/>
              </a:moveTo>
              <a:lnTo>
                <a:pt x="0" y="649485"/>
              </a:lnTo>
              <a:lnTo>
                <a:pt x="0" y="611981"/>
              </a:lnTo>
              <a:lnTo>
                <a:pt x="309220" y="292142"/>
              </a:lnTo>
              <a:lnTo>
                <a:pt x="591663" y="0"/>
              </a:lnTo>
              <a:lnTo>
                <a:pt x="6279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0.27085</cdr:x>
      <cdr:y>0.2711</cdr:y>
    </cdr:from>
    <cdr:to>
      <cdr:x>0.35894</cdr:x>
      <cdr:y>0.35364</cdr:y>
    </cdr:to>
    <cdr:sp macro="" textlink="">
      <cdr:nvSpPr>
        <cdr:cNvPr id="92" name="FracNo 967 StartRow 919">
          <a:extLst xmlns:a="http://schemas.openxmlformats.org/drawingml/2006/main">
            <a:ext uri="{FF2B5EF4-FFF2-40B4-BE49-F238E27FC236}">
              <a16:creationId xmlns:a16="http://schemas.microsoft.com/office/drawing/2014/main" id="{7EA7FA29-517B-0856-199E-4F130B0EFAC8}"/>
            </a:ext>
          </a:extLst>
        </cdr:cNvPr>
        <cdr:cNvSpPr/>
      </cdr:nvSpPr>
      <cdr:spPr>
        <a:xfrm xmlns:a="http://schemas.openxmlformats.org/drawingml/2006/main">
          <a:off x="1981300" y="2065750"/>
          <a:ext cx="644386" cy="629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386" h="629012">
              <a:moveTo>
                <a:pt x="348137" y="268919"/>
              </a:moveTo>
              <a:lnTo>
                <a:pt x="0" y="629011"/>
              </a:lnTo>
              <a:lnTo>
                <a:pt x="36258" y="629011"/>
              </a:lnTo>
              <a:lnTo>
                <a:pt x="384395" y="268919"/>
              </a:lnTo>
              <a:lnTo>
                <a:pt x="644385" y="0"/>
              </a:lnTo>
              <a:lnTo>
                <a:pt x="6081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0.27538</cdr:x>
      <cdr:y>0.27559</cdr:y>
    </cdr:from>
    <cdr:to>
      <cdr:x>0.36346</cdr:x>
      <cdr:y>0.35814</cdr:y>
    </cdr:to>
    <cdr:sp macro="" textlink="">
      <cdr:nvSpPr>
        <cdr:cNvPr id="93" name="FracNo 1031 StartRow 928">
          <a:extLst xmlns:a="http://schemas.openxmlformats.org/drawingml/2006/main">
            <a:ext uri="{FF2B5EF4-FFF2-40B4-BE49-F238E27FC236}">
              <a16:creationId xmlns:a16="http://schemas.microsoft.com/office/drawing/2014/main" id="{70869BE0-6FF3-26F6-0879-6BF7BBD35F41}"/>
            </a:ext>
          </a:extLst>
        </cdr:cNvPr>
        <cdr:cNvSpPr/>
      </cdr:nvSpPr>
      <cdr:spPr>
        <a:xfrm xmlns:a="http://schemas.openxmlformats.org/drawingml/2006/main">
          <a:off x="2014425" y="2100013"/>
          <a:ext cx="644386" cy="629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386" h="629012">
              <a:moveTo>
                <a:pt x="552508" y="57530"/>
              </a:moveTo>
              <a:lnTo>
                <a:pt x="0" y="629011"/>
              </a:lnTo>
              <a:lnTo>
                <a:pt x="36259" y="629011"/>
              </a:lnTo>
              <a:lnTo>
                <a:pt x="588766" y="57530"/>
              </a:lnTo>
              <a:lnTo>
                <a:pt x="644385" y="0"/>
              </a:lnTo>
              <a:lnTo>
                <a:pt x="6081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0.24926</cdr:x>
      <cdr:y>0.24966</cdr:y>
    </cdr:from>
    <cdr:to>
      <cdr:x>0.33735</cdr:x>
      <cdr:y>0.33221</cdr:y>
    </cdr:to>
    <cdr:sp macro="" textlink="">
      <cdr:nvSpPr>
        <cdr:cNvPr id="94" name="FracNo 1112 StartRow 937">
          <a:extLst xmlns:a="http://schemas.openxmlformats.org/drawingml/2006/main">
            <a:ext uri="{FF2B5EF4-FFF2-40B4-BE49-F238E27FC236}">
              <a16:creationId xmlns:a16="http://schemas.microsoft.com/office/drawing/2014/main" id="{07815EA3-FB54-FF3F-43D1-348233755430}"/>
            </a:ext>
          </a:extLst>
        </cdr:cNvPr>
        <cdr:cNvSpPr/>
      </cdr:nvSpPr>
      <cdr:spPr>
        <a:xfrm xmlns:a="http://schemas.openxmlformats.org/drawingml/2006/main">
          <a:off x="1823414" y="1902443"/>
          <a:ext cx="644386" cy="629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386" h="629011">
              <a:moveTo>
                <a:pt x="500799" y="111013"/>
              </a:moveTo>
              <a:lnTo>
                <a:pt x="0" y="629010"/>
              </a:lnTo>
              <a:lnTo>
                <a:pt x="36259" y="629010"/>
              </a:lnTo>
              <a:lnTo>
                <a:pt x="537058" y="111013"/>
              </a:lnTo>
              <a:lnTo>
                <a:pt x="644385" y="0"/>
              </a:lnTo>
              <a:lnTo>
                <a:pt x="6081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0.50612</cdr:x>
      <cdr:y>0.65038</cdr:y>
    </cdr:from>
    <cdr:to>
      <cdr:x>0.59269</cdr:x>
      <cdr:y>0.73142</cdr:y>
    </cdr:to>
    <cdr:sp macro="" textlink="">
      <cdr:nvSpPr>
        <cdr:cNvPr id="95" name="FracNo 763 StartRow 946">
          <a:extLst xmlns:a="http://schemas.openxmlformats.org/drawingml/2006/main">
            <a:ext uri="{FF2B5EF4-FFF2-40B4-BE49-F238E27FC236}">
              <a16:creationId xmlns:a16="http://schemas.microsoft.com/office/drawing/2014/main" id="{E19C0815-A6FD-3D98-8C24-8F021EFA74B0}"/>
            </a:ext>
          </a:extLst>
        </cdr:cNvPr>
        <cdr:cNvSpPr/>
      </cdr:nvSpPr>
      <cdr:spPr>
        <a:xfrm xmlns:a="http://schemas.openxmlformats.org/drawingml/2006/main">
          <a:off x="3702336" y="4955886"/>
          <a:ext cx="633308" cy="617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3308" h="617554">
              <a:moveTo>
                <a:pt x="261444" y="384634"/>
              </a:moveTo>
              <a:lnTo>
                <a:pt x="36258" y="617553"/>
              </a:lnTo>
              <a:lnTo>
                <a:pt x="0" y="617553"/>
              </a:lnTo>
              <a:lnTo>
                <a:pt x="225185" y="384634"/>
              </a:lnTo>
              <a:lnTo>
                <a:pt x="597048" y="0"/>
              </a:lnTo>
              <a:lnTo>
                <a:pt x="6333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0.1472</cdr:x>
      <cdr:y>0.22833</cdr:y>
    </cdr:from>
    <cdr:to>
      <cdr:x>0.23238</cdr:x>
      <cdr:y>0.31044</cdr:y>
    </cdr:to>
    <cdr:sp macro="" textlink="">
      <cdr:nvSpPr>
        <cdr:cNvPr id="96" name="FracNo 315 StartRow 955">
          <a:extLst xmlns:a="http://schemas.openxmlformats.org/drawingml/2006/main">
            <a:ext uri="{FF2B5EF4-FFF2-40B4-BE49-F238E27FC236}">
              <a16:creationId xmlns:a16="http://schemas.microsoft.com/office/drawing/2014/main" id="{BDC2E4E5-A32E-715B-0B98-BB0B46F822CB}"/>
            </a:ext>
          </a:extLst>
        </cdr:cNvPr>
        <cdr:cNvSpPr/>
      </cdr:nvSpPr>
      <cdr:spPr>
        <a:xfrm xmlns:a="http://schemas.openxmlformats.org/drawingml/2006/main">
          <a:off x="1076815" y="1739845"/>
          <a:ext cx="623086" cy="625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086" h="625732">
              <a:moveTo>
                <a:pt x="417116" y="393936"/>
              </a:moveTo>
              <a:lnTo>
                <a:pt x="36259" y="0"/>
              </a:lnTo>
              <a:lnTo>
                <a:pt x="0" y="0"/>
              </a:lnTo>
              <a:lnTo>
                <a:pt x="392624" y="406107"/>
              </a:lnTo>
              <a:lnTo>
                <a:pt x="604956" y="625731"/>
              </a:lnTo>
              <a:lnTo>
                <a:pt x="623085" y="6069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0.52091</cdr:x>
      <cdr:y>0.34538</cdr:y>
    </cdr:from>
    <cdr:to>
      <cdr:x>0.60475</cdr:x>
      <cdr:y>0.42862</cdr:y>
    </cdr:to>
    <cdr:sp macro="" textlink="">
      <cdr:nvSpPr>
        <cdr:cNvPr id="97" name="FracNo 666 StartRow 964">
          <a:extLst xmlns:a="http://schemas.openxmlformats.org/drawingml/2006/main">
            <a:ext uri="{FF2B5EF4-FFF2-40B4-BE49-F238E27FC236}">
              <a16:creationId xmlns:a16="http://schemas.microsoft.com/office/drawing/2014/main" id="{89B37C84-3046-0D42-7BE6-047BDC35D737}"/>
            </a:ext>
          </a:extLst>
        </cdr:cNvPr>
        <cdr:cNvSpPr/>
      </cdr:nvSpPr>
      <cdr:spPr>
        <a:xfrm xmlns:a="http://schemas.openxmlformats.org/drawingml/2006/main">
          <a:off x="3810564" y="2631759"/>
          <a:ext cx="613289" cy="6343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3289" h="634351">
              <a:moveTo>
                <a:pt x="408764" y="211548"/>
              </a:moveTo>
              <a:lnTo>
                <a:pt x="0" y="634350"/>
              </a:lnTo>
              <a:lnTo>
                <a:pt x="0" y="596846"/>
              </a:lnTo>
              <a:lnTo>
                <a:pt x="389046" y="194439"/>
              </a:lnTo>
              <a:lnTo>
                <a:pt x="425134" y="157112"/>
              </a:lnTo>
              <a:lnTo>
                <a:pt x="577029" y="0"/>
              </a:lnTo>
              <a:lnTo>
                <a:pt x="613288" y="0"/>
              </a:lnTo>
              <a:lnTo>
                <a:pt x="446681" y="1723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0.3796</cdr:x>
      <cdr:y>0.29704</cdr:y>
    </cdr:from>
    <cdr:to>
      <cdr:x>0.4659</cdr:x>
      <cdr:y>0.37782</cdr:y>
    </cdr:to>
    <cdr:sp macro="" textlink="">
      <cdr:nvSpPr>
        <cdr:cNvPr id="98" name="FracNo 1116 StartRow 975">
          <a:extLst xmlns:a="http://schemas.openxmlformats.org/drawingml/2006/main">
            <a:ext uri="{FF2B5EF4-FFF2-40B4-BE49-F238E27FC236}">
              <a16:creationId xmlns:a16="http://schemas.microsoft.com/office/drawing/2014/main" id="{7492CC4E-BFF5-E154-F7AD-EFD0266D3456}"/>
            </a:ext>
          </a:extLst>
        </cdr:cNvPr>
        <cdr:cNvSpPr/>
      </cdr:nvSpPr>
      <cdr:spPr>
        <a:xfrm xmlns:a="http://schemas.openxmlformats.org/drawingml/2006/main">
          <a:off x="2776817" y="2263427"/>
          <a:ext cx="631349" cy="615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1349" h="615527">
              <a:moveTo>
                <a:pt x="122857" y="525954"/>
              </a:moveTo>
              <a:lnTo>
                <a:pt x="108311" y="540999"/>
              </a:lnTo>
              <a:lnTo>
                <a:pt x="36258" y="615526"/>
              </a:lnTo>
              <a:lnTo>
                <a:pt x="0" y="615526"/>
              </a:lnTo>
              <a:lnTo>
                <a:pt x="87419" y="525105"/>
              </a:lnTo>
              <a:lnTo>
                <a:pt x="101538" y="510501"/>
              </a:lnTo>
              <a:lnTo>
                <a:pt x="595090" y="0"/>
              </a:lnTo>
              <a:lnTo>
                <a:pt x="6313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0.38907</cdr:x>
      <cdr:y>0.30152</cdr:y>
    </cdr:from>
    <cdr:to>
      <cdr:x>0.47042</cdr:x>
      <cdr:y>0.38722</cdr:y>
    </cdr:to>
    <cdr:sp macro="" textlink="">
      <cdr:nvSpPr>
        <cdr:cNvPr id="99" name="FracNo 1222 StartRow 986">
          <a:extLst xmlns:a="http://schemas.openxmlformats.org/drawingml/2006/main">
            <a:ext uri="{FF2B5EF4-FFF2-40B4-BE49-F238E27FC236}">
              <a16:creationId xmlns:a16="http://schemas.microsoft.com/office/drawing/2014/main" id="{0C7A8CEB-06AC-EE6B-5BB6-DDF55EB854C6}"/>
            </a:ext>
          </a:extLst>
        </cdr:cNvPr>
        <cdr:cNvSpPr/>
      </cdr:nvSpPr>
      <cdr:spPr>
        <a:xfrm xmlns:a="http://schemas.openxmlformats.org/drawingml/2006/main">
          <a:off x="2846091" y="2297576"/>
          <a:ext cx="595091" cy="653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091" h="653031">
              <a:moveTo>
                <a:pt x="215498" y="392627"/>
              </a:moveTo>
              <a:lnTo>
                <a:pt x="125484" y="485733"/>
              </a:lnTo>
              <a:lnTo>
                <a:pt x="0" y="615526"/>
              </a:lnTo>
              <a:lnTo>
                <a:pt x="0" y="653030"/>
              </a:lnTo>
              <a:lnTo>
                <a:pt x="136276" y="512073"/>
              </a:lnTo>
              <a:lnTo>
                <a:pt x="224222" y="421108"/>
              </a:lnTo>
              <a:lnTo>
                <a:pt x="595090" y="37504"/>
              </a:lnTo>
              <a:lnTo>
                <a:pt x="5950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0.63506</cdr:x>
      <cdr:y>0.70614</cdr:y>
    </cdr:from>
    <cdr:to>
      <cdr:x>0.71633</cdr:x>
      <cdr:y>0.79176</cdr:y>
    </cdr:to>
    <cdr:sp macro="" textlink="">
      <cdr:nvSpPr>
        <cdr:cNvPr id="100" name="FracNo 142 StartRow 997">
          <a:extLst xmlns:a="http://schemas.openxmlformats.org/drawingml/2006/main">
            <a:ext uri="{FF2B5EF4-FFF2-40B4-BE49-F238E27FC236}">
              <a16:creationId xmlns:a16="http://schemas.microsoft.com/office/drawing/2014/main" id="{FEDEF4A1-5C9B-7264-249D-E8CF77D02B55}"/>
            </a:ext>
          </a:extLst>
        </cdr:cNvPr>
        <cdr:cNvSpPr/>
      </cdr:nvSpPr>
      <cdr:spPr>
        <a:xfrm xmlns:a="http://schemas.openxmlformats.org/drawingml/2006/main">
          <a:off x="4645566" y="5380757"/>
          <a:ext cx="594559" cy="652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4559" h="652481">
              <a:moveTo>
                <a:pt x="319186" y="330147"/>
              </a:moveTo>
              <a:lnTo>
                <a:pt x="179539" y="185705"/>
              </a:lnTo>
              <a:lnTo>
                <a:pt x="0" y="0"/>
              </a:lnTo>
              <a:lnTo>
                <a:pt x="0" y="37504"/>
              </a:lnTo>
              <a:lnTo>
                <a:pt x="169522" y="212847"/>
              </a:lnTo>
              <a:lnTo>
                <a:pt x="312540" y="360776"/>
              </a:lnTo>
              <a:lnTo>
                <a:pt x="594558" y="652480"/>
              </a:lnTo>
              <a:lnTo>
                <a:pt x="594558" y="6149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0.85885</cdr:x>
      <cdr:y>0.67303</cdr:y>
    </cdr:from>
    <cdr:to>
      <cdr:x>0.94246</cdr:x>
      <cdr:y>0.75605</cdr:y>
    </cdr:to>
    <cdr:sp macro="" textlink="">
      <cdr:nvSpPr>
        <cdr:cNvPr id="101" name="FracNo 107 StartRow 1008">
          <a:extLst xmlns:a="http://schemas.openxmlformats.org/drawingml/2006/main">
            <a:ext uri="{FF2B5EF4-FFF2-40B4-BE49-F238E27FC236}">
              <a16:creationId xmlns:a16="http://schemas.microsoft.com/office/drawing/2014/main" id="{3AC41FC8-486E-3F0A-BC4A-64C6B29E71D9}"/>
            </a:ext>
          </a:extLst>
        </cdr:cNvPr>
        <cdr:cNvSpPr/>
      </cdr:nvSpPr>
      <cdr:spPr>
        <a:xfrm xmlns:a="http://schemas.openxmlformats.org/drawingml/2006/main">
          <a:off x="6282661" y="5128471"/>
          <a:ext cx="611647" cy="632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647" h="632653">
              <a:moveTo>
                <a:pt x="418474" y="199807"/>
              </a:moveTo>
              <a:lnTo>
                <a:pt x="0" y="632652"/>
              </a:lnTo>
              <a:lnTo>
                <a:pt x="36258" y="632652"/>
              </a:lnTo>
              <a:lnTo>
                <a:pt x="429925" y="225466"/>
              </a:lnTo>
              <a:lnTo>
                <a:pt x="611646" y="37504"/>
              </a:lnTo>
              <a:lnTo>
                <a:pt x="6116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0.56123</cdr:x>
      <cdr:y>0.39469</cdr:y>
    </cdr:from>
    <cdr:to>
      <cdr:x>0.64709</cdr:x>
      <cdr:y>0.47503</cdr:y>
    </cdr:to>
    <cdr:sp macro="" textlink="">
      <cdr:nvSpPr>
        <cdr:cNvPr id="102" name="FracNo 675 StartRow 1017">
          <a:extLst xmlns:a="http://schemas.openxmlformats.org/drawingml/2006/main">
            <a:ext uri="{FF2B5EF4-FFF2-40B4-BE49-F238E27FC236}">
              <a16:creationId xmlns:a16="http://schemas.microsoft.com/office/drawing/2014/main" id="{72F41D2C-43F2-11E3-A9C0-5DAD37BE825C}"/>
            </a:ext>
          </a:extLst>
        </cdr:cNvPr>
        <cdr:cNvSpPr/>
      </cdr:nvSpPr>
      <cdr:spPr>
        <a:xfrm xmlns:a="http://schemas.openxmlformats.org/drawingml/2006/main">
          <a:off x="4105484" y="3007566"/>
          <a:ext cx="628131" cy="6121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8131" h="612199">
              <a:moveTo>
                <a:pt x="535259" y="96060"/>
              </a:moveTo>
              <a:lnTo>
                <a:pt x="36259" y="612198"/>
              </a:lnTo>
              <a:lnTo>
                <a:pt x="0" y="612198"/>
              </a:lnTo>
              <a:lnTo>
                <a:pt x="499001" y="96060"/>
              </a:lnTo>
              <a:lnTo>
                <a:pt x="591872" y="0"/>
              </a:lnTo>
              <a:lnTo>
                <a:pt x="6281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0.80591</cdr:x>
      <cdr:y>0.76184</cdr:y>
    </cdr:from>
    <cdr:to>
      <cdr:x>0.89031</cdr:x>
      <cdr:y>0.84319</cdr:y>
    </cdr:to>
    <cdr:sp macro="" textlink="">
      <cdr:nvSpPr>
        <cdr:cNvPr id="103" name="FracNo 816 StartRow 1026">
          <a:extLst xmlns:a="http://schemas.openxmlformats.org/drawingml/2006/main">
            <a:ext uri="{FF2B5EF4-FFF2-40B4-BE49-F238E27FC236}">
              <a16:creationId xmlns:a16="http://schemas.microsoft.com/office/drawing/2014/main" id="{A7EC471A-C802-8A30-038D-6DC98EC6011E}"/>
            </a:ext>
          </a:extLst>
        </cdr:cNvPr>
        <cdr:cNvSpPr/>
      </cdr:nvSpPr>
      <cdr:spPr>
        <a:xfrm xmlns:a="http://schemas.openxmlformats.org/drawingml/2006/main">
          <a:off x="5895400" y="5805240"/>
          <a:ext cx="617387" cy="619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387" h="619837">
              <a:moveTo>
                <a:pt x="247398" y="237143"/>
              </a:moveTo>
              <a:lnTo>
                <a:pt x="18129" y="0"/>
              </a:lnTo>
              <a:lnTo>
                <a:pt x="0" y="18752"/>
              </a:lnTo>
              <a:lnTo>
                <a:pt x="222334" y="248720"/>
              </a:lnTo>
              <a:lnTo>
                <a:pt x="581128" y="619836"/>
              </a:lnTo>
              <a:lnTo>
                <a:pt x="617386" y="6198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0.12817</cdr:x>
      <cdr:y>0.46997</cdr:y>
    </cdr:from>
    <cdr:to>
      <cdr:x>0.21115</cdr:x>
      <cdr:y>0.55237</cdr:y>
    </cdr:to>
    <cdr:sp macro="" textlink="">
      <cdr:nvSpPr>
        <cdr:cNvPr id="104" name="FracNo 831 StartRow 1035">
          <a:extLst xmlns:a="http://schemas.openxmlformats.org/drawingml/2006/main">
            <a:ext uri="{FF2B5EF4-FFF2-40B4-BE49-F238E27FC236}">
              <a16:creationId xmlns:a16="http://schemas.microsoft.com/office/drawing/2014/main" id="{039EB9A6-DDC1-0A40-EFD8-FFFF545003D8}"/>
            </a:ext>
          </a:extLst>
        </cdr:cNvPr>
        <cdr:cNvSpPr/>
      </cdr:nvSpPr>
      <cdr:spPr>
        <a:xfrm xmlns:a="http://schemas.openxmlformats.org/drawingml/2006/main">
          <a:off x="937554" y="3581156"/>
          <a:ext cx="607077" cy="627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077" h="627925">
              <a:moveTo>
                <a:pt x="323204" y="296799"/>
              </a:moveTo>
              <a:lnTo>
                <a:pt x="36259" y="0"/>
              </a:lnTo>
              <a:lnTo>
                <a:pt x="0" y="0"/>
              </a:lnTo>
              <a:lnTo>
                <a:pt x="305172" y="315651"/>
              </a:lnTo>
              <a:lnTo>
                <a:pt x="607076" y="627924"/>
              </a:lnTo>
              <a:lnTo>
                <a:pt x="607076" y="5904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0.66911</cdr:x>
      <cdr:y>0.55749</cdr:y>
    </cdr:from>
    <cdr:to>
      <cdr:x>0.74901</cdr:x>
      <cdr:y>0.64175</cdr:y>
    </cdr:to>
    <cdr:sp macro="" textlink="">
      <cdr:nvSpPr>
        <cdr:cNvPr id="105" name="FracNo 590 StartRow 1044">
          <a:extLst xmlns:a="http://schemas.openxmlformats.org/drawingml/2006/main">
            <a:ext uri="{FF2B5EF4-FFF2-40B4-BE49-F238E27FC236}">
              <a16:creationId xmlns:a16="http://schemas.microsoft.com/office/drawing/2014/main" id="{A46006AB-4167-59A9-9BEB-EE0131B5EC98}"/>
            </a:ext>
          </a:extLst>
        </cdr:cNvPr>
        <cdr:cNvSpPr/>
      </cdr:nvSpPr>
      <cdr:spPr>
        <a:xfrm xmlns:a="http://schemas.openxmlformats.org/drawingml/2006/main">
          <a:off x="4894658" y="4248071"/>
          <a:ext cx="584504" cy="642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504" h="642082">
              <a:moveTo>
                <a:pt x="279421" y="353063"/>
              </a:moveTo>
              <a:lnTo>
                <a:pt x="0" y="642081"/>
              </a:lnTo>
              <a:lnTo>
                <a:pt x="0" y="604577"/>
              </a:lnTo>
              <a:lnTo>
                <a:pt x="279421" y="315560"/>
              </a:lnTo>
              <a:lnTo>
                <a:pt x="584503" y="0"/>
              </a:lnTo>
              <a:lnTo>
                <a:pt x="58450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0.82635</cdr:x>
      <cdr:y>0.68586</cdr:y>
    </cdr:from>
    <cdr:to>
      <cdr:x>0.90606</cdr:x>
      <cdr:y>0.76992</cdr:y>
    </cdr:to>
    <cdr:sp macro="" textlink="">
      <cdr:nvSpPr>
        <cdr:cNvPr id="106" name="FracNo 117 StartRow 1053">
          <a:extLst xmlns:a="http://schemas.openxmlformats.org/drawingml/2006/main">
            <a:ext uri="{FF2B5EF4-FFF2-40B4-BE49-F238E27FC236}">
              <a16:creationId xmlns:a16="http://schemas.microsoft.com/office/drawing/2014/main" id="{B98E8A75-D780-1456-1C41-6A4400C4E27E}"/>
            </a:ext>
          </a:extLst>
        </cdr:cNvPr>
        <cdr:cNvSpPr/>
      </cdr:nvSpPr>
      <cdr:spPr>
        <a:xfrm xmlns:a="http://schemas.openxmlformats.org/drawingml/2006/main">
          <a:off x="6044944" y="5226262"/>
          <a:ext cx="583035" cy="64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3035" h="640562">
              <a:moveTo>
                <a:pt x="344818" y="283901"/>
              </a:moveTo>
              <a:lnTo>
                <a:pt x="0" y="640561"/>
              </a:lnTo>
              <a:lnTo>
                <a:pt x="0" y="603058"/>
              </a:lnTo>
              <a:lnTo>
                <a:pt x="344818" y="246397"/>
              </a:lnTo>
              <a:lnTo>
                <a:pt x="583034" y="0"/>
              </a:lnTo>
              <a:lnTo>
                <a:pt x="58303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0.49466</cdr:x>
      <cdr:y>0.64096</cdr:y>
    </cdr:from>
    <cdr:to>
      <cdr:x>0.57927</cdr:x>
      <cdr:y>0.72005</cdr:y>
    </cdr:to>
    <cdr:sp macro="" textlink="">
      <cdr:nvSpPr>
        <cdr:cNvPr id="107" name="FracNo 422 StartRow 1062">
          <a:extLst xmlns:a="http://schemas.openxmlformats.org/drawingml/2006/main">
            <a:ext uri="{FF2B5EF4-FFF2-40B4-BE49-F238E27FC236}">
              <a16:creationId xmlns:a16="http://schemas.microsoft.com/office/drawing/2014/main" id="{B350FC57-DF01-5723-57CF-55503787CBE8}"/>
            </a:ext>
          </a:extLst>
        </cdr:cNvPr>
        <cdr:cNvSpPr/>
      </cdr:nvSpPr>
      <cdr:spPr>
        <a:xfrm xmlns:a="http://schemas.openxmlformats.org/drawingml/2006/main">
          <a:off x="3618542" y="4884094"/>
          <a:ext cx="618922" cy="602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8922" h="602674">
              <a:moveTo>
                <a:pt x="323435" y="305634"/>
              </a:moveTo>
              <a:lnTo>
                <a:pt x="36259" y="602673"/>
              </a:lnTo>
              <a:lnTo>
                <a:pt x="0" y="602673"/>
              </a:lnTo>
              <a:lnTo>
                <a:pt x="289059" y="303687"/>
              </a:lnTo>
              <a:lnTo>
                <a:pt x="528476" y="56049"/>
              </a:lnTo>
              <a:lnTo>
                <a:pt x="582663" y="0"/>
              </a:lnTo>
              <a:lnTo>
                <a:pt x="618921" y="0"/>
              </a:lnTo>
              <a:lnTo>
                <a:pt x="561293" y="596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0.47716</cdr:x>
      <cdr:y>0.08544</cdr:y>
    </cdr:from>
    <cdr:to>
      <cdr:x>0.56133</cdr:x>
      <cdr:y>0.1641</cdr:y>
    </cdr:to>
    <cdr:sp macro="" textlink="">
      <cdr:nvSpPr>
        <cdr:cNvPr id="108" name="FracNo 227 StartRow 1073">
          <a:extLst xmlns:a="http://schemas.openxmlformats.org/drawingml/2006/main">
            <a:ext uri="{FF2B5EF4-FFF2-40B4-BE49-F238E27FC236}">
              <a16:creationId xmlns:a16="http://schemas.microsoft.com/office/drawing/2014/main" id="{CB077135-34B6-1710-5F1C-44D20F601B2E}"/>
            </a:ext>
          </a:extLst>
        </cdr:cNvPr>
        <cdr:cNvSpPr/>
      </cdr:nvSpPr>
      <cdr:spPr>
        <a:xfrm xmlns:a="http://schemas.openxmlformats.org/drawingml/2006/main">
          <a:off x="3490499" y="651036"/>
          <a:ext cx="615743" cy="5993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743" h="599385">
              <a:moveTo>
                <a:pt x="292782" y="302836"/>
              </a:moveTo>
              <a:lnTo>
                <a:pt x="0" y="0"/>
              </a:lnTo>
              <a:lnTo>
                <a:pt x="36259" y="0"/>
              </a:lnTo>
              <a:lnTo>
                <a:pt x="329040" y="302836"/>
              </a:lnTo>
              <a:lnTo>
                <a:pt x="615742" y="599384"/>
              </a:lnTo>
              <a:lnTo>
                <a:pt x="579484" y="5993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0.54488</cdr:x>
      <cdr:y>0.08544</cdr:y>
    </cdr:from>
    <cdr:to>
      <cdr:x>0.62648</cdr:x>
      <cdr:y>0.16646</cdr:y>
    </cdr:to>
    <cdr:sp macro="" textlink="">
      <cdr:nvSpPr>
        <cdr:cNvPr id="109" name="FracNo 822 StartRow 1082">
          <a:extLst xmlns:a="http://schemas.openxmlformats.org/drawingml/2006/main">
            <a:ext uri="{FF2B5EF4-FFF2-40B4-BE49-F238E27FC236}">
              <a16:creationId xmlns:a16="http://schemas.microsoft.com/office/drawing/2014/main" id="{87501439-E3C1-BC25-B30F-91AFFE7D171B}"/>
            </a:ext>
          </a:extLst>
        </cdr:cNvPr>
        <cdr:cNvSpPr/>
      </cdr:nvSpPr>
      <cdr:spPr>
        <a:xfrm xmlns:a="http://schemas.openxmlformats.org/drawingml/2006/main">
          <a:off x="3985916" y="651036"/>
          <a:ext cx="596922" cy="617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6922" h="617421">
              <a:moveTo>
                <a:pt x="129432" y="96373"/>
              </a:moveTo>
              <a:lnTo>
                <a:pt x="36259" y="0"/>
              </a:lnTo>
              <a:lnTo>
                <a:pt x="0" y="0"/>
              </a:lnTo>
              <a:lnTo>
                <a:pt x="99200" y="102606"/>
              </a:lnTo>
              <a:lnTo>
                <a:pt x="596921" y="617420"/>
              </a:lnTo>
              <a:lnTo>
                <a:pt x="596921" y="5799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0.81953</cdr:x>
      <cdr:y>0.1038</cdr:y>
    </cdr:from>
    <cdr:to>
      <cdr:x>0.90221</cdr:x>
      <cdr:y>0.18343</cdr:y>
    </cdr:to>
    <cdr:sp macro="" textlink="">
      <cdr:nvSpPr>
        <cdr:cNvPr id="110" name="FracNo 515 StartRow 1091">
          <a:extLst xmlns:a="http://schemas.openxmlformats.org/drawingml/2006/main">
            <a:ext uri="{FF2B5EF4-FFF2-40B4-BE49-F238E27FC236}">
              <a16:creationId xmlns:a16="http://schemas.microsoft.com/office/drawing/2014/main" id="{97662A45-119C-11ED-9F46-9EF2ECE7BF00}"/>
            </a:ext>
          </a:extLst>
        </cdr:cNvPr>
        <cdr:cNvSpPr/>
      </cdr:nvSpPr>
      <cdr:spPr>
        <a:xfrm xmlns:a="http://schemas.openxmlformats.org/drawingml/2006/main">
          <a:off x="5995044" y="790936"/>
          <a:ext cx="604814" cy="606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4814" h="606833">
              <a:moveTo>
                <a:pt x="503922" y="123107"/>
              </a:moveTo>
              <a:lnTo>
                <a:pt x="36258" y="606832"/>
              </a:lnTo>
              <a:lnTo>
                <a:pt x="0" y="606832"/>
              </a:lnTo>
              <a:lnTo>
                <a:pt x="482576" y="107683"/>
              </a:lnTo>
              <a:lnTo>
                <a:pt x="586684" y="0"/>
              </a:lnTo>
              <a:lnTo>
                <a:pt x="6048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0.59072</cdr:x>
      <cdr:y>0.61197</cdr:y>
    </cdr:from>
    <cdr:to>
      <cdr:x>0.67414</cdr:x>
      <cdr:y>0.68987</cdr:y>
    </cdr:to>
    <cdr:sp macro="" textlink="">
      <cdr:nvSpPr>
        <cdr:cNvPr id="111" name="FracNo 461 StartRow 1100">
          <a:extLst xmlns:a="http://schemas.openxmlformats.org/drawingml/2006/main">
            <a:ext uri="{FF2B5EF4-FFF2-40B4-BE49-F238E27FC236}">
              <a16:creationId xmlns:a16="http://schemas.microsoft.com/office/drawing/2014/main" id="{F93323AA-0529-C85D-56C2-D4120328530B}"/>
            </a:ext>
          </a:extLst>
        </cdr:cNvPr>
        <cdr:cNvSpPr/>
      </cdr:nvSpPr>
      <cdr:spPr>
        <a:xfrm xmlns:a="http://schemas.openxmlformats.org/drawingml/2006/main">
          <a:off x="4321268" y="4663176"/>
          <a:ext cx="610193" cy="593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193" h="593644">
              <a:moveTo>
                <a:pt x="310206" y="283355"/>
              </a:moveTo>
              <a:lnTo>
                <a:pt x="297095" y="269794"/>
              </a:lnTo>
              <a:lnTo>
                <a:pt x="36258" y="0"/>
              </a:lnTo>
              <a:lnTo>
                <a:pt x="0" y="0"/>
              </a:lnTo>
              <a:lnTo>
                <a:pt x="278146" y="287698"/>
              </a:lnTo>
              <a:lnTo>
                <a:pt x="290561" y="300539"/>
              </a:lnTo>
              <a:lnTo>
                <a:pt x="483597" y="500205"/>
              </a:lnTo>
              <a:lnTo>
                <a:pt x="573934" y="593643"/>
              </a:lnTo>
              <a:lnTo>
                <a:pt x="610192" y="593643"/>
              </a:lnTo>
              <a:lnTo>
                <a:pt x="514061" y="4942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0.86156</cdr:x>
      <cdr:y>0.55501</cdr:y>
    </cdr:from>
    <cdr:to>
      <cdr:x>0.94246</cdr:x>
      <cdr:y>0.63535</cdr:y>
    </cdr:to>
    <cdr:sp macro="" textlink="">
      <cdr:nvSpPr>
        <cdr:cNvPr id="112" name="FracNo 593 StartRow 1113">
          <a:extLst xmlns:a="http://schemas.openxmlformats.org/drawingml/2006/main">
            <a:ext uri="{FF2B5EF4-FFF2-40B4-BE49-F238E27FC236}">
              <a16:creationId xmlns:a16="http://schemas.microsoft.com/office/drawing/2014/main" id="{E75F2DA5-7BD5-522E-91F2-B9024B9A5A47}"/>
            </a:ext>
          </a:extLst>
        </cdr:cNvPr>
        <cdr:cNvSpPr/>
      </cdr:nvSpPr>
      <cdr:spPr>
        <a:xfrm xmlns:a="http://schemas.openxmlformats.org/drawingml/2006/main">
          <a:off x="6302449" y="4229202"/>
          <a:ext cx="591859" cy="612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1859" h="612184">
              <a:moveTo>
                <a:pt x="315995" y="322840"/>
              </a:moveTo>
              <a:lnTo>
                <a:pt x="36259" y="612183"/>
              </a:lnTo>
              <a:lnTo>
                <a:pt x="0" y="612183"/>
              </a:lnTo>
              <a:lnTo>
                <a:pt x="297992" y="303958"/>
              </a:lnTo>
              <a:lnTo>
                <a:pt x="591858" y="0"/>
              </a:lnTo>
              <a:lnTo>
                <a:pt x="59185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0.54177</cdr:x>
      <cdr:y>0.75894</cdr:y>
    </cdr:from>
    <cdr:to>
      <cdr:x>0.62017</cdr:x>
      <cdr:y>0.84171</cdr:y>
    </cdr:to>
    <cdr:sp macro="" textlink="">
      <cdr:nvSpPr>
        <cdr:cNvPr id="113" name="FracNo 892 StartRow 1122">
          <a:extLst xmlns:a="http://schemas.openxmlformats.org/drawingml/2006/main">
            <a:ext uri="{FF2B5EF4-FFF2-40B4-BE49-F238E27FC236}">
              <a16:creationId xmlns:a16="http://schemas.microsoft.com/office/drawing/2014/main" id="{9EE4ED64-71C8-A894-9C3F-5A6D477C303A}"/>
            </a:ext>
          </a:extLst>
        </cdr:cNvPr>
        <cdr:cNvSpPr/>
      </cdr:nvSpPr>
      <cdr:spPr>
        <a:xfrm xmlns:a="http://schemas.openxmlformats.org/drawingml/2006/main">
          <a:off x="3963186" y="5783122"/>
          <a:ext cx="573484" cy="630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3484" h="630682">
              <a:moveTo>
                <a:pt x="567401" y="624390"/>
              </a:moveTo>
              <a:lnTo>
                <a:pt x="0" y="37504"/>
              </a:lnTo>
              <a:lnTo>
                <a:pt x="0" y="0"/>
              </a:lnTo>
              <a:lnTo>
                <a:pt x="567401" y="586886"/>
              </a:lnTo>
              <a:lnTo>
                <a:pt x="573483" y="593178"/>
              </a:lnTo>
              <a:lnTo>
                <a:pt x="573483" y="6306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0.53447</cdr:x>
      <cdr:y>0.76619</cdr:y>
    </cdr:from>
    <cdr:to>
      <cdr:x>0.61286</cdr:x>
      <cdr:y>0.84896</cdr:y>
    </cdr:to>
    <cdr:sp macro="" textlink="">
      <cdr:nvSpPr>
        <cdr:cNvPr id="114" name="FracNo 464 StartRow 1131">
          <a:extLst xmlns:a="http://schemas.openxmlformats.org/drawingml/2006/main">
            <a:ext uri="{FF2B5EF4-FFF2-40B4-BE49-F238E27FC236}">
              <a16:creationId xmlns:a16="http://schemas.microsoft.com/office/drawing/2014/main" id="{B939D871-151D-E780-93BB-EC0F5FD63ABB}"/>
            </a:ext>
          </a:extLst>
        </cdr:cNvPr>
        <cdr:cNvSpPr/>
      </cdr:nvSpPr>
      <cdr:spPr>
        <a:xfrm xmlns:a="http://schemas.openxmlformats.org/drawingml/2006/main">
          <a:off x="3909742" y="5838402"/>
          <a:ext cx="573484" cy="630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3484" h="630682">
              <a:moveTo>
                <a:pt x="239887" y="285628"/>
              </a:moveTo>
              <a:lnTo>
                <a:pt x="0" y="37503"/>
              </a:lnTo>
              <a:lnTo>
                <a:pt x="0" y="0"/>
              </a:lnTo>
              <a:lnTo>
                <a:pt x="239887" y="248125"/>
              </a:lnTo>
              <a:lnTo>
                <a:pt x="573483" y="593178"/>
              </a:lnTo>
              <a:lnTo>
                <a:pt x="573483" y="6306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0.69937</cdr:x>
      <cdr:y>0.81958</cdr:y>
    </cdr:from>
    <cdr:to>
      <cdr:x>0.77763</cdr:x>
      <cdr:y>0.90221</cdr:y>
    </cdr:to>
    <cdr:sp macro="" textlink="">
      <cdr:nvSpPr>
        <cdr:cNvPr id="115" name="FracNo 105 StartRow 1140">
          <a:extLst xmlns:a="http://schemas.openxmlformats.org/drawingml/2006/main">
            <a:ext uri="{FF2B5EF4-FFF2-40B4-BE49-F238E27FC236}">
              <a16:creationId xmlns:a16="http://schemas.microsoft.com/office/drawing/2014/main" id="{B5738CA7-A9B0-2470-CC6F-5B4DA5FCD693}"/>
            </a:ext>
          </a:extLst>
        </cdr:cNvPr>
        <cdr:cNvSpPr/>
      </cdr:nvSpPr>
      <cdr:spPr>
        <a:xfrm xmlns:a="http://schemas.openxmlformats.org/drawingml/2006/main">
          <a:off x="5116045" y="6245214"/>
          <a:ext cx="572484" cy="629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2484" h="629646">
              <a:moveTo>
                <a:pt x="267696" y="315253"/>
              </a:moveTo>
              <a:lnTo>
                <a:pt x="0" y="592142"/>
              </a:lnTo>
              <a:lnTo>
                <a:pt x="0" y="629645"/>
              </a:lnTo>
              <a:lnTo>
                <a:pt x="267696" y="352756"/>
              </a:lnTo>
              <a:lnTo>
                <a:pt x="572483" y="37503"/>
              </a:lnTo>
              <a:lnTo>
                <a:pt x="5724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0.41391</cdr:x>
      <cdr:y>0.66945</cdr:y>
    </cdr:from>
    <cdr:to>
      <cdr:x>0.49445</cdr:x>
      <cdr:y>0.74943</cdr:y>
    </cdr:to>
    <cdr:sp macro="" textlink="">
      <cdr:nvSpPr>
        <cdr:cNvPr id="116" name="FracNo 478 StartRow 1149">
          <a:extLst xmlns:a="http://schemas.openxmlformats.org/drawingml/2006/main">
            <a:ext uri="{FF2B5EF4-FFF2-40B4-BE49-F238E27FC236}">
              <a16:creationId xmlns:a16="http://schemas.microsoft.com/office/drawing/2014/main" id="{11CC3886-5941-0FDD-5055-D856D0106873}"/>
            </a:ext>
          </a:extLst>
        </cdr:cNvPr>
        <cdr:cNvSpPr/>
      </cdr:nvSpPr>
      <cdr:spPr>
        <a:xfrm xmlns:a="http://schemas.openxmlformats.org/drawingml/2006/main">
          <a:off x="3027865" y="5101215"/>
          <a:ext cx="589171" cy="6094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171" h="609405">
              <a:moveTo>
                <a:pt x="308296" y="356388"/>
              </a:moveTo>
              <a:lnTo>
                <a:pt x="0" y="37504"/>
              </a:lnTo>
              <a:lnTo>
                <a:pt x="0" y="0"/>
              </a:lnTo>
              <a:lnTo>
                <a:pt x="328513" y="339796"/>
              </a:lnTo>
              <a:lnTo>
                <a:pt x="589170" y="609404"/>
              </a:lnTo>
              <a:lnTo>
                <a:pt x="552912" y="6094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0.32354</cdr:x>
      <cdr:y>0.71471</cdr:y>
    </cdr:from>
    <cdr:to>
      <cdr:x>0.40355</cdr:x>
      <cdr:y>0.79417</cdr:y>
    </cdr:to>
    <cdr:sp macro="" textlink="">
      <cdr:nvSpPr>
        <cdr:cNvPr id="117" name="FracNo 68 StartRow 1158">
          <a:extLst xmlns:a="http://schemas.openxmlformats.org/drawingml/2006/main">
            <a:ext uri="{FF2B5EF4-FFF2-40B4-BE49-F238E27FC236}">
              <a16:creationId xmlns:a16="http://schemas.microsoft.com/office/drawing/2014/main" id="{7E93AAF3-53D9-2347-1C69-DBC72C971BCE}"/>
            </a:ext>
          </a:extLst>
        </cdr:cNvPr>
        <cdr:cNvSpPr/>
      </cdr:nvSpPr>
      <cdr:spPr>
        <a:xfrm xmlns:a="http://schemas.openxmlformats.org/drawingml/2006/main">
          <a:off x="2366730" y="5446125"/>
          <a:ext cx="585320" cy="605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5320" h="605421">
              <a:moveTo>
                <a:pt x="268872" y="278105"/>
              </a:moveTo>
              <a:lnTo>
                <a:pt x="0" y="0"/>
              </a:lnTo>
              <a:lnTo>
                <a:pt x="36259" y="0"/>
              </a:lnTo>
              <a:lnTo>
                <a:pt x="287773" y="260152"/>
              </a:lnTo>
              <a:lnTo>
                <a:pt x="385244" y="360970"/>
              </a:lnTo>
              <a:lnTo>
                <a:pt x="585319" y="567916"/>
              </a:lnTo>
              <a:lnTo>
                <a:pt x="585319" y="605420"/>
              </a:lnTo>
              <a:lnTo>
                <a:pt x="373069" y="3858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0.52976</cdr:x>
      <cdr:y>0.70795</cdr:y>
    </cdr:from>
    <cdr:to>
      <cdr:x>0.60853</cdr:x>
      <cdr:y>0.78863</cdr:y>
    </cdr:to>
    <cdr:sp macro="" textlink="">
      <cdr:nvSpPr>
        <cdr:cNvPr id="118" name="FracNo 846 StartRow 1169">
          <a:extLst xmlns:a="http://schemas.openxmlformats.org/drawingml/2006/main">
            <a:ext uri="{FF2B5EF4-FFF2-40B4-BE49-F238E27FC236}">
              <a16:creationId xmlns:a16="http://schemas.microsoft.com/office/drawing/2014/main" id="{5C996950-D9F3-6162-CF0D-9F78D5E797EC}"/>
            </a:ext>
          </a:extLst>
        </cdr:cNvPr>
        <cdr:cNvSpPr/>
      </cdr:nvSpPr>
      <cdr:spPr>
        <a:xfrm xmlns:a="http://schemas.openxmlformats.org/drawingml/2006/main">
          <a:off x="3875282" y="5394553"/>
          <a:ext cx="576230" cy="614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230" h="614771">
              <a:moveTo>
                <a:pt x="210456" y="255187"/>
              </a:moveTo>
              <a:lnTo>
                <a:pt x="0" y="37504"/>
              </a:lnTo>
              <a:lnTo>
                <a:pt x="0" y="0"/>
              </a:lnTo>
              <a:lnTo>
                <a:pt x="217293" y="224755"/>
              </a:lnTo>
              <a:lnTo>
                <a:pt x="576229" y="596018"/>
              </a:lnTo>
              <a:lnTo>
                <a:pt x="558100" y="6147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0.43735</cdr:x>
      <cdr:y>0.51452</cdr:y>
    </cdr:from>
    <cdr:to>
      <cdr:x>0.51735</cdr:x>
      <cdr:y>0.59395</cdr:y>
    </cdr:to>
    <cdr:sp macro="" textlink="">
      <cdr:nvSpPr>
        <cdr:cNvPr id="119" name="FracNo 679 StartRow 1178">
          <a:extLst xmlns:a="http://schemas.openxmlformats.org/drawingml/2006/main">
            <a:ext uri="{FF2B5EF4-FFF2-40B4-BE49-F238E27FC236}">
              <a16:creationId xmlns:a16="http://schemas.microsoft.com/office/drawing/2014/main" id="{6A0BACBB-9640-50BC-65A3-1EE3D1FB1918}"/>
            </a:ext>
          </a:extLst>
        </cdr:cNvPr>
        <cdr:cNvSpPr/>
      </cdr:nvSpPr>
      <cdr:spPr>
        <a:xfrm xmlns:a="http://schemas.openxmlformats.org/drawingml/2006/main">
          <a:off x="3199321" y="3920661"/>
          <a:ext cx="585164" cy="605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5164" h="605261">
              <a:moveTo>
                <a:pt x="340987" y="290066"/>
              </a:moveTo>
              <a:lnTo>
                <a:pt x="36258" y="605260"/>
              </a:lnTo>
              <a:lnTo>
                <a:pt x="0" y="605260"/>
              </a:lnTo>
              <a:lnTo>
                <a:pt x="324857" y="269246"/>
              </a:lnTo>
              <a:lnTo>
                <a:pt x="585163" y="0"/>
              </a:lnTo>
              <a:lnTo>
                <a:pt x="58516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0.1884</cdr:x>
      <cdr:y>0.51515</cdr:y>
    </cdr:from>
    <cdr:to>
      <cdr:x>0.26709</cdr:x>
      <cdr:y>0.59575</cdr:y>
    </cdr:to>
    <cdr:sp macro="" textlink="">
      <cdr:nvSpPr>
        <cdr:cNvPr id="120" name="FracNo 741 StartRow 1187">
          <a:extLst xmlns:a="http://schemas.openxmlformats.org/drawingml/2006/main">
            <a:ext uri="{FF2B5EF4-FFF2-40B4-BE49-F238E27FC236}">
              <a16:creationId xmlns:a16="http://schemas.microsoft.com/office/drawing/2014/main" id="{39859829-885C-B156-677E-5885E9D6502B}"/>
            </a:ext>
          </a:extLst>
        </cdr:cNvPr>
        <cdr:cNvSpPr/>
      </cdr:nvSpPr>
      <cdr:spPr>
        <a:xfrm xmlns:a="http://schemas.openxmlformats.org/drawingml/2006/main">
          <a:off x="1378163" y="3925439"/>
          <a:ext cx="575637" cy="614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5637" h="614157">
              <a:moveTo>
                <a:pt x="437227" y="161914"/>
              </a:moveTo>
              <a:lnTo>
                <a:pt x="0" y="614156"/>
              </a:lnTo>
              <a:lnTo>
                <a:pt x="0" y="576652"/>
              </a:lnTo>
              <a:lnTo>
                <a:pt x="423457" y="138653"/>
              </a:lnTo>
              <a:lnTo>
                <a:pt x="557507" y="0"/>
              </a:lnTo>
              <a:lnTo>
                <a:pt x="5756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0.46965</cdr:x>
      <cdr:y>0.17663</cdr:y>
    </cdr:from>
    <cdr:to>
      <cdr:x>0.5492</cdr:x>
      <cdr:y>0.25563</cdr:y>
    </cdr:to>
    <cdr:sp macro="" textlink="">
      <cdr:nvSpPr>
        <cdr:cNvPr id="121" name="FracNo 233 StartRow 1196">
          <a:extLst xmlns:a="http://schemas.openxmlformats.org/drawingml/2006/main">
            <a:ext uri="{FF2B5EF4-FFF2-40B4-BE49-F238E27FC236}">
              <a16:creationId xmlns:a16="http://schemas.microsoft.com/office/drawing/2014/main" id="{1AC6601F-2CDA-6ABA-0B63-FC42F72377BD}"/>
            </a:ext>
          </a:extLst>
        </cdr:cNvPr>
        <cdr:cNvSpPr/>
      </cdr:nvSpPr>
      <cdr:spPr>
        <a:xfrm xmlns:a="http://schemas.openxmlformats.org/drawingml/2006/main">
          <a:off x="3435568" y="1345939"/>
          <a:ext cx="581956" cy="601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1956" h="601942">
              <a:moveTo>
                <a:pt x="244505" y="215399"/>
              </a:moveTo>
              <a:lnTo>
                <a:pt x="36258" y="0"/>
              </a:lnTo>
              <a:lnTo>
                <a:pt x="0" y="0"/>
              </a:lnTo>
              <a:lnTo>
                <a:pt x="222084" y="229711"/>
              </a:lnTo>
              <a:lnTo>
                <a:pt x="581955" y="601941"/>
              </a:lnTo>
              <a:lnTo>
                <a:pt x="581955" y="5644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0.23073</cdr:x>
      <cdr:y>0.78722</cdr:y>
    </cdr:from>
    <cdr:to>
      <cdr:x>0.30774</cdr:x>
      <cdr:y>0.86861</cdr:y>
    </cdr:to>
    <cdr:sp macro="" textlink="">
      <cdr:nvSpPr>
        <cdr:cNvPr id="122" name="FracNo 27 StartRow 1205">
          <a:extLst xmlns:a="http://schemas.openxmlformats.org/drawingml/2006/main">
            <a:ext uri="{FF2B5EF4-FFF2-40B4-BE49-F238E27FC236}">
              <a16:creationId xmlns:a16="http://schemas.microsoft.com/office/drawing/2014/main" id="{65EDAB38-E03C-31FB-3FA7-9F119CE35963}"/>
            </a:ext>
          </a:extLst>
        </cdr:cNvPr>
        <cdr:cNvSpPr/>
      </cdr:nvSpPr>
      <cdr:spPr>
        <a:xfrm xmlns:a="http://schemas.openxmlformats.org/drawingml/2006/main">
          <a:off x="1687827" y="5998609"/>
          <a:ext cx="563327" cy="620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327" h="620176">
              <a:moveTo>
                <a:pt x="379458" y="227686"/>
              </a:moveTo>
              <a:lnTo>
                <a:pt x="0" y="620175"/>
              </a:lnTo>
              <a:lnTo>
                <a:pt x="0" y="582671"/>
              </a:lnTo>
              <a:lnTo>
                <a:pt x="379458" y="190182"/>
              </a:lnTo>
              <a:lnTo>
                <a:pt x="563326" y="0"/>
              </a:lnTo>
              <a:lnTo>
                <a:pt x="56332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0.15087</cdr:x>
      <cdr:y>0.6673</cdr:y>
    </cdr:from>
    <cdr:to>
      <cdr:x>0.23031</cdr:x>
      <cdr:y>0.74618</cdr:y>
    </cdr:to>
    <cdr:sp macro="" textlink="">
      <cdr:nvSpPr>
        <cdr:cNvPr id="123" name="FracNo 834 StartRow 1214">
          <a:extLst xmlns:a="http://schemas.openxmlformats.org/drawingml/2006/main">
            <a:ext uri="{FF2B5EF4-FFF2-40B4-BE49-F238E27FC236}">
              <a16:creationId xmlns:a16="http://schemas.microsoft.com/office/drawing/2014/main" id="{2FF4CC0D-8A43-60C2-D5B7-928E4E3F24BD}"/>
            </a:ext>
          </a:extLst>
        </cdr:cNvPr>
        <cdr:cNvSpPr/>
      </cdr:nvSpPr>
      <cdr:spPr>
        <a:xfrm xmlns:a="http://schemas.openxmlformats.org/drawingml/2006/main">
          <a:off x="1103643" y="5084812"/>
          <a:ext cx="581143" cy="60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1143" h="601101">
              <a:moveTo>
                <a:pt x="210650" y="217884"/>
              </a:moveTo>
              <a:lnTo>
                <a:pt x="0" y="0"/>
              </a:lnTo>
              <a:lnTo>
                <a:pt x="0" y="37504"/>
              </a:lnTo>
              <a:lnTo>
                <a:pt x="197507" y="241794"/>
              </a:lnTo>
              <a:lnTo>
                <a:pt x="544884" y="601100"/>
              </a:lnTo>
              <a:lnTo>
                <a:pt x="581142" y="601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0.15698</cdr:x>
      <cdr:y>0.66123</cdr:y>
    </cdr:from>
    <cdr:to>
      <cdr:x>0.23642</cdr:x>
      <cdr:y>0.74012</cdr:y>
    </cdr:to>
    <cdr:sp macro="" textlink="">
      <cdr:nvSpPr>
        <cdr:cNvPr id="124" name="FracNo 1083 StartRow 1223">
          <a:extLst xmlns:a="http://schemas.openxmlformats.org/drawingml/2006/main">
            <a:ext uri="{FF2B5EF4-FFF2-40B4-BE49-F238E27FC236}">
              <a16:creationId xmlns:a16="http://schemas.microsoft.com/office/drawing/2014/main" id="{581F7AD6-9207-CA02-3C59-815CEFA00B6A}"/>
            </a:ext>
          </a:extLst>
        </cdr:cNvPr>
        <cdr:cNvSpPr/>
      </cdr:nvSpPr>
      <cdr:spPr>
        <a:xfrm xmlns:a="http://schemas.openxmlformats.org/drawingml/2006/main">
          <a:off x="1148315" y="5038606"/>
          <a:ext cx="581143" cy="601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1143" h="601100">
              <a:moveTo>
                <a:pt x="272796" y="282164"/>
              </a:moveTo>
              <a:lnTo>
                <a:pt x="0" y="0"/>
              </a:lnTo>
              <a:lnTo>
                <a:pt x="36259" y="0"/>
              </a:lnTo>
              <a:lnTo>
                <a:pt x="292034" y="264559"/>
              </a:lnTo>
              <a:lnTo>
                <a:pt x="581142" y="563596"/>
              </a:lnTo>
              <a:lnTo>
                <a:pt x="581142" y="6010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0.1463</cdr:x>
      <cdr:y>0.67183</cdr:y>
    </cdr:from>
    <cdr:to>
      <cdr:x>0.22575</cdr:x>
      <cdr:y>0.75072</cdr:y>
    </cdr:to>
    <cdr:sp macro="" textlink="">
      <cdr:nvSpPr>
        <cdr:cNvPr id="125" name="FracNo 66 StartRow 1232">
          <a:extLst xmlns:a="http://schemas.openxmlformats.org/drawingml/2006/main">
            <a:ext uri="{FF2B5EF4-FFF2-40B4-BE49-F238E27FC236}">
              <a16:creationId xmlns:a16="http://schemas.microsoft.com/office/drawing/2014/main" id="{AD85726D-3A2B-4F66-93F1-AD05BEC8386C}"/>
            </a:ext>
          </a:extLst>
        </cdr:cNvPr>
        <cdr:cNvSpPr/>
      </cdr:nvSpPr>
      <cdr:spPr>
        <a:xfrm xmlns:a="http://schemas.openxmlformats.org/drawingml/2006/main">
          <a:off x="1070245" y="5119357"/>
          <a:ext cx="581144" cy="60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1144" h="601101">
              <a:moveTo>
                <a:pt x="409678" y="423746"/>
              </a:moveTo>
              <a:lnTo>
                <a:pt x="0" y="0"/>
              </a:lnTo>
              <a:lnTo>
                <a:pt x="0" y="37503"/>
              </a:lnTo>
              <a:lnTo>
                <a:pt x="384117" y="434811"/>
              </a:lnTo>
              <a:lnTo>
                <a:pt x="544884" y="601100"/>
              </a:lnTo>
              <a:lnTo>
                <a:pt x="581143" y="601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0.86559</cdr:x>
      <cdr:y>0.68148</cdr:y>
    </cdr:from>
    <cdr:to>
      <cdr:x>0.94246</cdr:x>
      <cdr:y>0.76274</cdr:y>
    </cdr:to>
    <cdr:sp macro="" textlink="">
      <cdr:nvSpPr>
        <cdr:cNvPr id="126" name="FracNo 863 StartRow 1241">
          <a:extLst xmlns:a="http://schemas.openxmlformats.org/drawingml/2006/main">
            <a:ext uri="{FF2B5EF4-FFF2-40B4-BE49-F238E27FC236}">
              <a16:creationId xmlns:a16="http://schemas.microsoft.com/office/drawing/2014/main" id="{48C9E671-9132-7FBB-29C6-42E3FEA1226A}"/>
            </a:ext>
          </a:extLst>
        </cdr:cNvPr>
        <cdr:cNvSpPr/>
      </cdr:nvSpPr>
      <cdr:spPr>
        <a:xfrm xmlns:a="http://schemas.openxmlformats.org/drawingml/2006/main">
          <a:off x="6331942" y="5192915"/>
          <a:ext cx="562366" cy="619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2366" h="619182">
              <a:moveTo>
                <a:pt x="81090" y="535307"/>
              </a:moveTo>
              <a:lnTo>
                <a:pt x="0" y="619181"/>
              </a:lnTo>
              <a:lnTo>
                <a:pt x="0" y="581677"/>
              </a:lnTo>
              <a:lnTo>
                <a:pt x="81090" y="497803"/>
              </a:lnTo>
              <a:lnTo>
                <a:pt x="562365" y="0"/>
              </a:lnTo>
              <a:lnTo>
                <a:pt x="56236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0.78783</cdr:x>
      <cdr:y>0.55636</cdr:y>
    </cdr:from>
    <cdr:to>
      <cdr:x>0.86465</cdr:x>
      <cdr:y>0.63756</cdr:y>
    </cdr:to>
    <cdr:sp macro="" textlink="">
      <cdr:nvSpPr>
        <cdr:cNvPr id="127" name="FracNo 752 StartRow 1250">
          <a:extLst xmlns:a="http://schemas.openxmlformats.org/drawingml/2006/main">
            <a:ext uri="{FF2B5EF4-FFF2-40B4-BE49-F238E27FC236}">
              <a16:creationId xmlns:a16="http://schemas.microsoft.com/office/drawing/2014/main" id="{CDAC3877-8EFF-6EAC-1571-E6D263C1BFE9}"/>
            </a:ext>
          </a:extLst>
        </cdr:cNvPr>
        <cdr:cNvSpPr/>
      </cdr:nvSpPr>
      <cdr:spPr>
        <a:xfrm xmlns:a="http://schemas.openxmlformats.org/drawingml/2006/main">
          <a:off x="5763141" y="4239487"/>
          <a:ext cx="561942" cy="618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942" h="618744">
              <a:moveTo>
                <a:pt x="326640" y="280886"/>
              </a:moveTo>
              <a:lnTo>
                <a:pt x="0" y="618743"/>
              </a:lnTo>
              <a:lnTo>
                <a:pt x="0" y="581240"/>
              </a:lnTo>
              <a:lnTo>
                <a:pt x="326640" y="243382"/>
              </a:lnTo>
              <a:lnTo>
                <a:pt x="561941" y="0"/>
              </a:lnTo>
              <a:lnTo>
                <a:pt x="561941" y="375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0.42493</cdr:x>
      <cdr:y>0.50416</cdr:y>
    </cdr:from>
    <cdr:to>
      <cdr:x>0.50541</cdr:x>
      <cdr:y>0.58162</cdr:y>
    </cdr:to>
    <cdr:sp macro="" textlink="">
      <cdr:nvSpPr>
        <cdr:cNvPr id="128" name="FracNo 678 StartRow 1259">
          <a:extLst xmlns:a="http://schemas.openxmlformats.org/drawingml/2006/main">
            <a:ext uri="{FF2B5EF4-FFF2-40B4-BE49-F238E27FC236}">
              <a16:creationId xmlns:a16="http://schemas.microsoft.com/office/drawing/2014/main" id="{7683CEF0-7B5C-31FF-51EE-29FF8D8B55CF}"/>
            </a:ext>
          </a:extLst>
        </cdr:cNvPr>
        <cdr:cNvSpPr/>
      </cdr:nvSpPr>
      <cdr:spPr>
        <a:xfrm xmlns:a="http://schemas.openxmlformats.org/drawingml/2006/main">
          <a:off x="3108429" y="3841669"/>
          <a:ext cx="588773" cy="590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773" h="590240">
              <a:moveTo>
                <a:pt x="493303" y="117499"/>
              </a:moveTo>
              <a:lnTo>
                <a:pt x="36259" y="590239"/>
              </a:lnTo>
              <a:lnTo>
                <a:pt x="0" y="590239"/>
              </a:lnTo>
              <a:lnTo>
                <a:pt x="472041" y="101987"/>
              </a:lnTo>
              <a:lnTo>
                <a:pt x="570643" y="0"/>
              </a:lnTo>
              <a:lnTo>
                <a:pt x="5887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0.6126</cdr:x>
      <cdr:y>0.2858</cdr:y>
    </cdr:from>
    <cdr:to>
      <cdr:x>0.6943</cdr:x>
      <cdr:y>0.362</cdr:y>
    </cdr:to>
    <cdr:sp macro="" textlink="">
      <cdr:nvSpPr>
        <cdr:cNvPr id="129" name="FracNo 231 StartRow 1268">
          <a:extLst xmlns:a="http://schemas.openxmlformats.org/drawingml/2006/main">
            <a:ext uri="{FF2B5EF4-FFF2-40B4-BE49-F238E27FC236}">
              <a16:creationId xmlns:a16="http://schemas.microsoft.com/office/drawing/2014/main" id="{D6F347AF-8FB6-61F9-A464-B44CD8F353E8}"/>
            </a:ext>
          </a:extLst>
        </cdr:cNvPr>
        <cdr:cNvSpPr/>
      </cdr:nvSpPr>
      <cdr:spPr>
        <a:xfrm xmlns:a="http://schemas.openxmlformats.org/drawingml/2006/main">
          <a:off x="4481273" y="2177766"/>
          <a:ext cx="597639" cy="580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639" h="580659">
              <a:moveTo>
                <a:pt x="252985" y="224170"/>
              </a:moveTo>
              <a:lnTo>
                <a:pt x="36258" y="0"/>
              </a:lnTo>
              <a:lnTo>
                <a:pt x="0" y="0"/>
              </a:lnTo>
              <a:lnTo>
                <a:pt x="225571" y="233317"/>
              </a:lnTo>
              <a:lnTo>
                <a:pt x="327107" y="338341"/>
              </a:lnTo>
              <a:lnTo>
                <a:pt x="561379" y="580658"/>
              </a:lnTo>
              <a:lnTo>
                <a:pt x="597638" y="580658"/>
              </a:lnTo>
              <a:lnTo>
                <a:pt x="350541" y="3250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0.44663</cdr:x>
      <cdr:y>0.85439</cdr:y>
    </cdr:from>
    <cdr:to>
      <cdr:x>0.52783</cdr:x>
      <cdr:y>0.9301</cdr:y>
    </cdr:to>
    <cdr:sp macro="" textlink="">
      <cdr:nvSpPr>
        <cdr:cNvPr id="130" name="FracNo 480 StartRow 1279">
          <a:extLst xmlns:a="http://schemas.openxmlformats.org/drawingml/2006/main">
            <a:ext uri="{FF2B5EF4-FFF2-40B4-BE49-F238E27FC236}">
              <a16:creationId xmlns:a16="http://schemas.microsoft.com/office/drawing/2014/main" id="{1D5CD813-3C78-4B34-5CE3-C3A2C6A24714}"/>
            </a:ext>
          </a:extLst>
        </cdr:cNvPr>
        <cdr:cNvSpPr/>
      </cdr:nvSpPr>
      <cdr:spPr>
        <a:xfrm xmlns:a="http://schemas.openxmlformats.org/drawingml/2006/main">
          <a:off x="3267180" y="6510441"/>
          <a:ext cx="594028" cy="576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4028" h="576925">
              <a:moveTo>
                <a:pt x="248850" y="257396"/>
              </a:moveTo>
              <a:lnTo>
                <a:pt x="0" y="0"/>
              </a:lnTo>
              <a:lnTo>
                <a:pt x="36259" y="0"/>
              </a:lnTo>
              <a:lnTo>
                <a:pt x="285109" y="257396"/>
              </a:lnTo>
              <a:lnTo>
                <a:pt x="594027" y="576924"/>
              </a:lnTo>
              <a:lnTo>
                <a:pt x="557769" y="5769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0.47882</cdr:x>
      <cdr:y>0.82243</cdr:y>
    </cdr:from>
    <cdr:to>
      <cdr:x>0.5574</cdr:x>
      <cdr:y>0.90046</cdr:y>
    </cdr:to>
    <cdr:sp macro="" textlink="">
      <cdr:nvSpPr>
        <cdr:cNvPr id="131" name="FracNo 468 StartRow 1288">
          <a:extLst xmlns:a="http://schemas.openxmlformats.org/drawingml/2006/main">
            <a:ext uri="{FF2B5EF4-FFF2-40B4-BE49-F238E27FC236}">
              <a16:creationId xmlns:a16="http://schemas.microsoft.com/office/drawing/2014/main" id="{E8725CDD-78A0-945C-E410-6B9A0898FCE6}"/>
            </a:ext>
          </a:extLst>
        </cdr:cNvPr>
        <cdr:cNvSpPr/>
      </cdr:nvSpPr>
      <cdr:spPr>
        <a:xfrm xmlns:a="http://schemas.openxmlformats.org/drawingml/2006/main">
          <a:off x="3502634" y="6266901"/>
          <a:ext cx="574878" cy="5946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878" h="594621">
              <a:moveTo>
                <a:pt x="327575" y="338824"/>
              </a:moveTo>
              <a:lnTo>
                <a:pt x="0" y="0"/>
              </a:lnTo>
              <a:lnTo>
                <a:pt x="36259" y="0"/>
              </a:lnTo>
              <a:lnTo>
                <a:pt x="343173" y="317454"/>
              </a:lnTo>
              <a:lnTo>
                <a:pt x="574877" y="557116"/>
              </a:lnTo>
              <a:lnTo>
                <a:pt x="574877" y="5946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0.20954</cdr:x>
      <cdr:y>0.3481</cdr:y>
    </cdr:from>
    <cdr:to>
      <cdr:x>0.28808</cdr:x>
      <cdr:y>0.42608</cdr:y>
    </cdr:to>
    <cdr:sp macro="" textlink="">
      <cdr:nvSpPr>
        <cdr:cNvPr id="132" name="FracNo 392 StartRow 1297">
          <a:extLst xmlns:a="http://schemas.openxmlformats.org/drawingml/2006/main">
            <a:ext uri="{FF2B5EF4-FFF2-40B4-BE49-F238E27FC236}">
              <a16:creationId xmlns:a16="http://schemas.microsoft.com/office/drawing/2014/main" id="{1BDE46BF-1468-53A0-D3D6-F94BD5B97BC9}"/>
            </a:ext>
          </a:extLst>
        </cdr:cNvPr>
        <cdr:cNvSpPr/>
      </cdr:nvSpPr>
      <cdr:spPr>
        <a:xfrm xmlns:a="http://schemas.openxmlformats.org/drawingml/2006/main">
          <a:off x="1532807" y="2652488"/>
          <a:ext cx="574533" cy="594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533" h="594264">
              <a:moveTo>
                <a:pt x="177445" y="183539"/>
              </a:moveTo>
              <a:lnTo>
                <a:pt x="127549" y="131930"/>
              </a:lnTo>
              <a:lnTo>
                <a:pt x="0" y="0"/>
              </a:lnTo>
              <a:lnTo>
                <a:pt x="0" y="37504"/>
              </a:lnTo>
              <a:lnTo>
                <a:pt x="114612" y="156052"/>
              </a:lnTo>
              <a:lnTo>
                <a:pt x="161904" y="204968"/>
              </a:lnTo>
              <a:lnTo>
                <a:pt x="538273" y="594263"/>
              </a:lnTo>
              <a:lnTo>
                <a:pt x="574532" y="5942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0.33662</cdr:x>
      <cdr:y>0.09713</cdr:y>
    </cdr:from>
    <cdr:to>
      <cdr:x>0.4145</cdr:x>
      <cdr:y>0.17446</cdr:y>
    </cdr:to>
    <cdr:sp macro="" textlink="">
      <cdr:nvSpPr>
        <cdr:cNvPr id="133" name="FracNo 889 StartRow 1308">
          <a:extLst xmlns:a="http://schemas.openxmlformats.org/drawingml/2006/main">
            <a:ext uri="{FF2B5EF4-FFF2-40B4-BE49-F238E27FC236}">
              <a16:creationId xmlns:a16="http://schemas.microsoft.com/office/drawing/2014/main" id="{435FDCD4-1799-5B08-3AAF-C46EDAFFF974}"/>
            </a:ext>
          </a:extLst>
        </cdr:cNvPr>
        <cdr:cNvSpPr/>
      </cdr:nvSpPr>
      <cdr:spPr>
        <a:xfrm xmlns:a="http://schemas.openxmlformats.org/drawingml/2006/main">
          <a:off x="2462436" y="740112"/>
          <a:ext cx="569745" cy="589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745" h="589311">
              <a:moveTo>
                <a:pt x="163268" y="382932"/>
              </a:moveTo>
              <a:lnTo>
                <a:pt x="0" y="551807"/>
              </a:lnTo>
              <a:lnTo>
                <a:pt x="0" y="589310"/>
              </a:lnTo>
              <a:lnTo>
                <a:pt x="177395" y="405824"/>
              </a:lnTo>
              <a:lnTo>
                <a:pt x="295204" y="283968"/>
              </a:lnTo>
              <a:lnTo>
                <a:pt x="569744" y="0"/>
              </a:lnTo>
              <a:lnTo>
                <a:pt x="533486" y="0"/>
              </a:lnTo>
              <a:lnTo>
                <a:pt x="271696" y="2707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0.59613</cdr:x>
      <cdr:y>0.34901</cdr:y>
    </cdr:from>
    <cdr:to>
      <cdr:x>0.6764</cdr:x>
      <cdr:y>0.4238</cdr:y>
    </cdr:to>
    <cdr:sp macro="" textlink="">
      <cdr:nvSpPr>
        <cdr:cNvPr id="134" name="FracNo 707 StartRow 1319">
          <a:extLst xmlns:a="http://schemas.openxmlformats.org/drawingml/2006/main">
            <a:ext uri="{FF2B5EF4-FFF2-40B4-BE49-F238E27FC236}">
              <a16:creationId xmlns:a16="http://schemas.microsoft.com/office/drawing/2014/main" id="{7A9CDB2A-CB29-E94D-FD2E-46B1F36C5B7B}"/>
            </a:ext>
          </a:extLst>
        </cdr:cNvPr>
        <cdr:cNvSpPr/>
      </cdr:nvSpPr>
      <cdr:spPr>
        <a:xfrm xmlns:a="http://schemas.openxmlformats.org/drawingml/2006/main">
          <a:off x="4360810" y="2659462"/>
          <a:ext cx="587199" cy="569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199" h="569862">
              <a:moveTo>
                <a:pt x="380709" y="356281"/>
              </a:moveTo>
              <a:lnTo>
                <a:pt x="165284" y="133457"/>
              </a:lnTo>
              <a:lnTo>
                <a:pt x="36258" y="0"/>
              </a:lnTo>
              <a:lnTo>
                <a:pt x="0" y="0"/>
              </a:lnTo>
              <a:lnTo>
                <a:pt x="135908" y="140577"/>
              </a:lnTo>
              <a:lnTo>
                <a:pt x="353416" y="365554"/>
              </a:lnTo>
              <a:lnTo>
                <a:pt x="446084" y="461404"/>
              </a:lnTo>
              <a:lnTo>
                <a:pt x="550940" y="569861"/>
              </a:lnTo>
              <a:lnTo>
                <a:pt x="587198" y="569861"/>
              </a:lnTo>
              <a:lnTo>
                <a:pt x="472490" y="4512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0.55472</cdr:x>
      <cdr:y>0.39268</cdr:y>
    </cdr:from>
    <cdr:to>
      <cdr:x>0.63364</cdr:x>
      <cdr:y>0.46858</cdr:y>
    </cdr:to>
    <cdr:sp macro="" textlink="">
      <cdr:nvSpPr>
        <cdr:cNvPr id="135" name="FracNo 1140 StartRow 1332">
          <a:extLst xmlns:a="http://schemas.openxmlformats.org/drawingml/2006/main">
            <a:ext uri="{FF2B5EF4-FFF2-40B4-BE49-F238E27FC236}">
              <a16:creationId xmlns:a16="http://schemas.microsoft.com/office/drawing/2014/main" id="{05072176-0DD5-D2FC-1692-E0BBBD9720C2}"/>
            </a:ext>
          </a:extLst>
        </cdr:cNvPr>
        <cdr:cNvSpPr/>
      </cdr:nvSpPr>
      <cdr:spPr>
        <a:xfrm xmlns:a="http://schemas.openxmlformats.org/drawingml/2006/main">
          <a:off x="4057924" y="2992186"/>
          <a:ext cx="577312" cy="5783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7312" h="578385">
              <a:moveTo>
                <a:pt x="69679" y="543816"/>
              </a:moveTo>
              <a:lnTo>
                <a:pt x="36259" y="578384"/>
              </a:lnTo>
              <a:lnTo>
                <a:pt x="0" y="578384"/>
              </a:lnTo>
              <a:lnTo>
                <a:pt x="34541" y="542658"/>
              </a:lnTo>
              <a:lnTo>
                <a:pt x="559181" y="0"/>
              </a:lnTo>
              <a:lnTo>
                <a:pt x="5773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0.50738</cdr:x>
      <cdr:y>0.56957</cdr:y>
    </cdr:from>
    <cdr:to>
      <cdr:x>0.58241</cdr:x>
      <cdr:y>0.649</cdr:y>
    </cdr:to>
    <cdr:sp macro="" textlink="">
      <cdr:nvSpPr>
        <cdr:cNvPr id="136" name="FracNo 708 StartRow 1341">
          <a:extLst xmlns:a="http://schemas.openxmlformats.org/drawingml/2006/main">
            <a:ext uri="{FF2B5EF4-FFF2-40B4-BE49-F238E27FC236}">
              <a16:creationId xmlns:a16="http://schemas.microsoft.com/office/drawing/2014/main" id="{18C5D97C-50B3-28C4-1487-D335303E5DE8}"/>
            </a:ext>
          </a:extLst>
        </cdr:cNvPr>
        <cdr:cNvSpPr/>
      </cdr:nvSpPr>
      <cdr:spPr>
        <a:xfrm xmlns:a="http://schemas.openxmlformats.org/drawingml/2006/main">
          <a:off x="3711563" y="4340132"/>
          <a:ext cx="548905" cy="605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905" h="605261">
              <a:moveTo>
                <a:pt x="408613" y="422646"/>
              </a:moveTo>
              <a:lnTo>
                <a:pt x="0" y="0"/>
              </a:lnTo>
              <a:lnTo>
                <a:pt x="0" y="37504"/>
              </a:lnTo>
              <a:lnTo>
                <a:pt x="408613" y="460150"/>
              </a:lnTo>
              <a:lnTo>
                <a:pt x="548904" y="605260"/>
              </a:lnTo>
              <a:lnTo>
                <a:pt x="548904" y="5677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0.50766</cdr:x>
      <cdr:y>0.56929</cdr:y>
    </cdr:from>
    <cdr:to>
      <cdr:x>0.58765</cdr:x>
      <cdr:y>0.6438</cdr:y>
    </cdr:to>
    <cdr:sp macro="" textlink="">
      <cdr:nvSpPr>
        <cdr:cNvPr id="137" name="FracNo 818 StartRow 1350">
          <a:extLst xmlns:a="http://schemas.openxmlformats.org/drawingml/2006/main">
            <a:ext uri="{FF2B5EF4-FFF2-40B4-BE49-F238E27FC236}">
              <a16:creationId xmlns:a16="http://schemas.microsoft.com/office/drawing/2014/main" id="{34B2FC0D-332B-AE00-06CD-A5CFEBB9D42A}"/>
            </a:ext>
          </a:extLst>
        </cdr:cNvPr>
        <cdr:cNvSpPr/>
      </cdr:nvSpPr>
      <cdr:spPr>
        <a:xfrm xmlns:a="http://schemas.openxmlformats.org/drawingml/2006/main">
          <a:off x="3713610" y="4338014"/>
          <a:ext cx="585165" cy="567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5165" h="567757">
              <a:moveTo>
                <a:pt x="503157" y="520436"/>
              </a:moveTo>
              <a:lnTo>
                <a:pt x="0" y="0"/>
              </a:lnTo>
              <a:lnTo>
                <a:pt x="36259" y="0"/>
              </a:lnTo>
              <a:lnTo>
                <a:pt x="539415" y="520436"/>
              </a:lnTo>
              <a:lnTo>
                <a:pt x="585164" y="567756"/>
              </a:lnTo>
              <a:lnTo>
                <a:pt x="548905" y="5677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0.59429</cdr:x>
      <cdr:y>0.7594</cdr:y>
    </cdr:from>
    <cdr:to>
      <cdr:x>0.67285</cdr:x>
      <cdr:y>0.83495</cdr:y>
    </cdr:to>
    <cdr:sp macro="" textlink="">
      <cdr:nvSpPr>
        <cdr:cNvPr id="138" name="FracNo 788 StartRow 1359">
          <a:extLst xmlns:a="http://schemas.openxmlformats.org/drawingml/2006/main">
            <a:ext uri="{FF2B5EF4-FFF2-40B4-BE49-F238E27FC236}">
              <a16:creationId xmlns:a16="http://schemas.microsoft.com/office/drawing/2014/main" id="{72F125E4-F5AD-0EFE-88B6-9726488602D1}"/>
            </a:ext>
          </a:extLst>
        </cdr:cNvPr>
        <cdr:cNvSpPr/>
      </cdr:nvSpPr>
      <cdr:spPr>
        <a:xfrm xmlns:a="http://schemas.openxmlformats.org/drawingml/2006/main">
          <a:off x="4347368" y="5786663"/>
          <a:ext cx="574637" cy="575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637" h="575619">
              <a:moveTo>
                <a:pt x="80887" y="102417"/>
              </a:moveTo>
              <a:lnTo>
                <a:pt x="0" y="18752"/>
              </a:lnTo>
              <a:lnTo>
                <a:pt x="18129" y="0"/>
              </a:lnTo>
              <a:lnTo>
                <a:pt x="101652" y="86391"/>
              </a:lnTo>
              <a:lnTo>
                <a:pt x="489226" y="487275"/>
              </a:lnTo>
              <a:lnTo>
                <a:pt x="574636" y="575618"/>
              </a:lnTo>
              <a:lnTo>
                <a:pt x="538378" y="575618"/>
              </a:lnTo>
              <a:lnTo>
                <a:pt x="456232" y="4906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0.16459</cdr:x>
      <cdr:y>0.43195</cdr:y>
    </cdr:from>
    <cdr:to>
      <cdr:x>0.24427</cdr:x>
      <cdr:y>0.50614</cdr:y>
    </cdr:to>
    <cdr:sp macro="" textlink="">
      <cdr:nvSpPr>
        <cdr:cNvPr id="139" name="FracNo 357 StartRow 1370">
          <a:extLst xmlns:a="http://schemas.openxmlformats.org/drawingml/2006/main">
            <a:ext uri="{FF2B5EF4-FFF2-40B4-BE49-F238E27FC236}">
              <a16:creationId xmlns:a16="http://schemas.microsoft.com/office/drawing/2014/main" id="{F5900C47-B7FF-271E-083C-4409A19BD707}"/>
            </a:ext>
          </a:extLst>
        </cdr:cNvPr>
        <cdr:cNvSpPr/>
      </cdr:nvSpPr>
      <cdr:spPr>
        <a:xfrm xmlns:a="http://schemas.openxmlformats.org/drawingml/2006/main">
          <a:off x="1204035" y="3291446"/>
          <a:ext cx="582831" cy="565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831" h="565343">
              <a:moveTo>
                <a:pt x="113655" y="485288"/>
              </a:moveTo>
              <a:lnTo>
                <a:pt x="36259" y="565342"/>
              </a:lnTo>
              <a:lnTo>
                <a:pt x="0" y="565342"/>
              </a:lnTo>
              <a:lnTo>
                <a:pt x="77396" y="485288"/>
              </a:lnTo>
              <a:lnTo>
                <a:pt x="546572" y="0"/>
              </a:lnTo>
              <a:lnTo>
                <a:pt x="5828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0.1012</cdr:x>
      <cdr:y>0.08544</cdr:y>
    </cdr:from>
    <cdr:to>
      <cdr:x>0.18081</cdr:x>
      <cdr:y>0.15957</cdr:y>
    </cdr:to>
    <cdr:sp macro="" textlink="">
      <cdr:nvSpPr>
        <cdr:cNvPr id="140" name="FracNo 313 StartRow 1379">
          <a:extLst xmlns:a="http://schemas.openxmlformats.org/drawingml/2006/main">
            <a:ext uri="{FF2B5EF4-FFF2-40B4-BE49-F238E27FC236}">
              <a16:creationId xmlns:a16="http://schemas.microsoft.com/office/drawing/2014/main" id="{B60D81AE-35D2-DB4B-F25E-1EE44A19EA13}"/>
            </a:ext>
          </a:extLst>
        </cdr:cNvPr>
        <cdr:cNvSpPr/>
      </cdr:nvSpPr>
      <cdr:spPr>
        <a:xfrm xmlns:a="http://schemas.openxmlformats.org/drawingml/2006/main">
          <a:off x="740273" y="651036"/>
          <a:ext cx="582373" cy="564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373" h="564869">
              <a:moveTo>
                <a:pt x="329712" y="303532"/>
              </a:moveTo>
              <a:lnTo>
                <a:pt x="36258" y="0"/>
              </a:lnTo>
              <a:lnTo>
                <a:pt x="0" y="0"/>
              </a:lnTo>
              <a:lnTo>
                <a:pt x="293454" y="303532"/>
              </a:lnTo>
              <a:lnTo>
                <a:pt x="546113" y="564868"/>
              </a:lnTo>
              <a:lnTo>
                <a:pt x="582372" y="5648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0.78286</cdr:x>
      <cdr:y>0.64777</cdr:y>
    </cdr:from>
    <cdr:to>
      <cdr:x>0.8574</cdr:x>
      <cdr:y>0.72671</cdr:y>
    </cdr:to>
    <cdr:sp macro="" textlink="">
      <cdr:nvSpPr>
        <cdr:cNvPr id="141" name="FracNo 159 StartRow 1388">
          <a:extLst xmlns:a="http://schemas.openxmlformats.org/drawingml/2006/main">
            <a:ext uri="{FF2B5EF4-FFF2-40B4-BE49-F238E27FC236}">
              <a16:creationId xmlns:a16="http://schemas.microsoft.com/office/drawing/2014/main" id="{B09C3450-DF56-E06E-C3A3-CAEEFF363838}"/>
            </a:ext>
          </a:extLst>
        </cdr:cNvPr>
        <cdr:cNvSpPr/>
      </cdr:nvSpPr>
      <cdr:spPr>
        <a:xfrm xmlns:a="http://schemas.openxmlformats.org/drawingml/2006/main">
          <a:off x="5726802" y="4936029"/>
          <a:ext cx="545282" cy="601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282" h="601512">
              <a:moveTo>
                <a:pt x="236212" y="244324"/>
              </a:moveTo>
              <a:lnTo>
                <a:pt x="0" y="0"/>
              </a:lnTo>
              <a:lnTo>
                <a:pt x="0" y="37504"/>
              </a:lnTo>
              <a:lnTo>
                <a:pt x="236212" y="281827"/>
              </a:lnTo>
              <a:lnTo>
                <a:pt x="545281" y="601511"/>
              </a:lnTo>
              <a:lnTo>
                <a:pt x="545281" y="5640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0.63623</cdr:x>
      <cdr:y>0.57888</cdr:y>
    </cdr:from>
    <cdr:to>
      <cdr:x>0.7101</cdr:x>
      <cdr:y>0.65715</cdr:y>
    </cdr:to>
    <cdr:sp macro="" textlink="">
      <cdr:nvSpPr>
        <cdr:cNvPr id="142" name="FracNo 586 StartRow 1397">
          <a:extLst xmlns:a="http://schemas.openxmlformats.org/drawingml/2006/main">
            <a:ext uri="{FF2B5EF4-FFF2-40B4-BE49-F238E27FC236}">
              <a16:creationId xmlns:a16="http://schemas.microsoft.com/office/drawing/2014/main" id="{DD506968-A431-BA39-1029-F30D8BD8011E}"/>
            </a:ext>
          </a:extLst>
        </cdr:cNvPr>
        <cdr:cNvSpPr/>
      </cdr:nvSpPr>
      <cdr:spPr>
        <a:xfrm xmlns:a="http://schemas.openxmlformats.org/drawingml/2006/main">
          <a:off x="4654169" y="4411073"/>
          <a:ext cx="540376" cy="5964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0376" h="596437">
              <a:moveTo>
                <a:pt x="197629" y="354518"/>
              </a:moveTo>
              <a:lnTo>
                <a:pt x="156863" y="396682"/>
              </a:lnTo>
              <a:lnTo>
                <a:pt x="42807" y="514656"/>
              </a:lnTo>
              <a:lnTo>
                <a:pt x="0" y="558933"/>
              </a:lnTo>
              <a:lnTo>
                <a:pt x="0" y="596436"/>
              </a:lnTo>
              <a:lnTo>
                <a:pt x="47754" y="547042"/>
              </a:lnTo>
              <a:lnTo>
                <a:pt x="174992" y="415434"/>
              </a:lnTo>
              <a:lnTo>
                <a:pt x="213831" y="375262"/>
              </a:lnTo>
              <a:lnTo>
                <a:pt x="540375" y="37504"/>
              </a:lnTo>
              <a:lnTo>
                <a:pt x="5403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0.62708</cdr:x>
      <cdr:y>0.57471</cdr:y>
    </cdr:from>
    <cdr:to>
      <cdr:x>0.70591</cdr:x>
      <cdr:y>0.64807</cdr:y>
    </cdr:to>
    <cdr:sp macro="" textlink="">
      <cdr:nvSpPr>
        <cdr:cNvPr id="143" name="FracNo 584 StartRow 1410">
          <a:extLst xmlns:a="http://schemas.openxmlformats.org/drawingml/2006/main">
            <a:ext uri="{FF2B5EF4-FFF2-40B4-BE49-F238E27FC236}">
              <a16:creationId xmlns:a16="http://schemas.microsoft.com/office/drawing/2014/main" id="{60F26A08-5513-46BC-491F-5284160A75DF}"/>
            </a:ext>
          </a:extLst>
        </cdr:cNvPr>
        <cdr:cNvSpPr/>
      </cdr:nvSpPr>
      <cdr:spPr>
        <a:xfrm xmlns:a="http://schemas.openxmlformats.org/drawingml/2006/main">
          <a:off x="4587214" y="4379323"/>
          <a:ext cx="576635" cy="558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635" h="558934">
              <a:moveTo>
                <a:pt x="451098" y="129848"/>
              </a:moveTo>
              <a:lnTo>
                <a:pt x="246339" y="341638"/>
              </a:lnTo>
              <a:lnTo>
                <a:pt x="36259" y="558933"/>
              </a:lnTo>
              <a:lnTo>
                <a:pt x="0" y="558933"/>
              </a:lnTo>
              <a:lnTo>
                <a:pt x="219426" y="331972"/>
              </a:lnTo>
              <a:lnTo>
                <a:pt x="418391" y="126174"/>
              </a:lnTo>
              <a:lnTo>
                <a:pt x="540376" y="0"/>
              </a:lnTo>
              <a:lnTo>
                <a:pt x="5766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0.63677</cdr:x>
      <cdr:y>0.58434</cdr:y>
    </cdr:from>
    <cdr:to>
      <cdr:x>0.7156</cdr:x>
      <cdr:y>0.65769</cdr:y>
    </cdr:to>
    <cdr:sp macro="" textlink="">
      <cdr:nvSpPr>
        <cdr:cNvPr id="144" name="FracNo 592 StartRow 1421">
          <a:extLst xmlns:a="http://schemas.openxmlformats.org/drawingml/2006/main">
            <a:ext uri="{FF2B5EF4-FFF2-40B4-BE49-F238E27FC236}">
              <a16:creationId xmlns:a16="http://schemas.microsoft.com/office/drawing/2014/main" id="{C537D86F-99CD-14BC-68FE-89B4017233AB}"/>
            </a:ext>
          </a:extLst>
        </cdr:cNvPr>
        <cdr:cNvSpPr/>
      </cdr:nvSpPr>
      <cdr:spPr>
        <a:xfrm xmlns:a="http://schemas.openxmlformats.org/drawingml/2006/main">
          <a:off x="4658124" y="4452667"/>
          <a:ext cx="576635" cy="558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635" h="558934">
              <a:moveTo>
                <a:pt x="194358" y="395404"/>
              </a:moveTo>
              <a:lnTo>
                <a:pt x="171037" y="419526"/>
              </a:lnTo>
              <a:lnTo>
                <a:pt x="99378" y="493646"/>
              </a:lnTo>
              <a:lnTo>
                <a:pt x="36258" y="558933"/>
              </a:lnTo>
              <a:lnTo>
                <a:pt x="0" y="558933"/>
              </a:lnTo>
              <a:lnTo>
                <a:pt x="71610" y="484864"/>
              </a:lnTo>
              <a:lnTo>
                <a:pt x="152908" y="400774"/>
              </a:lnTo>
              <a:lnTo>
                <a:pt x="175187" y="377730"/>
              </a:lnTo>
              <a:lnTo>
                <a:pt x="540375" y="0"/>
              </a:lnTo>
              <a:lnTo>
                <a:pt x="5766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0.64145</cdr:x>
      <cdr:y>0.64162</cdr:y>
    </cdr:from>
    <cdr:to>
      <cdr:x>0.71777</cdr:x>
      <cdr:y>0.71741</cdr:y>
    </cdr:to>
    <cdr:sp macro="" textlink="">
      <cdr:nvSpPr>
        <cdr:cNvPr id="145" name="FracNo 721 StartRow 1434">
          <a:extLst xmlns:a="http://schemas.openxmlformats.org/drawingml/2006/main">
            <a:ext uri="{FF2B5EF4-FFF2-40B4-BE49-F238E27FC236}">
              <a16:creationId xmlns:a16="http://schemas.microsoft.com/office/drawing/2014/main" id="{374D7E8B-C46C-DA1F-7C41-BB1D2C237697}"/>
            </a:ext>
          </a:extLst>
        </cdr:cNvPr>
        <cdr:cNvSpPr/>
      </cdr:nvSpPr>
      <cdr:spPr>
        <a:xfrm xmlns:a="http://schemas.openxmlformats.org/drawingml/2006/main">
          <a:off x="4692343" y="4889171"/>
          <a:ext cx="558301" cy="577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301" h="577474">
              <a:moveTo>
                <a:pt x="278292" y="327128"/>
              </a:moveTo>
              <a:lnTo>
                <a:pt x="141919" y="468185"/>
              </a:lnTo>
              <a:lnTo>
                <a:pt x="36259" y="577473"/>
              </a:lnTo>
              <a:lnTo>
                <a:pt x="0" y="577473"/>
              </a:lnTo>
              <a:lnTo>
                <a:pt x="113589" y="459984"/>
              </a:lnTo>
              <a:lnTo>
                <a:pt x="259279" y="309290"/>
              </a:lnTo>
              <a:lnTo>
                <a:pt x="524401" y="35064"/>
              </a:lnTo>
              <a:lnTo>
                <a:pt x="558300" y="0"/>
              </a:lnTo>
              <a:lnTo>
                <a:pt x="558300" y="37504"/>
              </a:lnTo>
              <a:lnTo>
                <a:pt x="526459" y="704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0.66111</cdr:x>
      <cdr:y>0.76713</cdr:y>
    </cdr:from>
    <cdr:to>
      <cdr:x>0.73866</cdr:x>
      <cdr:y>0.84168</cdr:y>
    </cdr:to>
    <cdr:sp macro="" textlink="">
      <cdr:nvSpPr>
        <cdr:cNvPr id="146" name="FracNo 118 StartRow 1447">
          <a:extLst xmlns:a="http://schemas.openxmlformats.org/drawingml/2006/main">
            <a:ext uri="{FF2B5EF4-FFF2-40B4-BE49-F238E27FC236}">
              <a16:creationId xmlns:a16="http://schemas.microsoft.com/office/drawing/2014/main" id="{36072B39-A06C-6DF7-2E88-0DD2B9F5C048}"/>
            </a:ext>
          </a:extLst>
        </cdr:cNvPr>
        <cdr:cNvSpPr/>
      </cdr:nvSpPr>
      <cdr:spPr>
        <a:xfrm xmlns:a="http://schemas.openxmlformats.org/drawingml/2006/main">
          <a:off x="4836159" y="5845542"/>
          <a:ext cx="567299" cy="568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299" h="568030">
              <a:moveTo>
                <a:pt x="457713" y="94597"/>
              </a:moveTo>
              <a:lnTo>
                <a:pt x="0" y="568029"/>
              </a:lnTo>
              <a:lnTo>
                <a:pt x="36258" y="568029"/>
              </a:lnTo>
              <a:lnTo>
                <a:pt x="478861" y="110226"/>
              </a:lnTo>
              <a:lnTo>
                <a:pt x="567298" y="18752"/>
              </a:lnTo>
              <a:lnTo>
                <a:pt x="5491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0.66632</cdr:x>
      <cdr:y>0.76985</cdr:y>
    </cdr:from>
    <cdr:to>
      <cdr:x>0.7414</cdr:x>
      <cdr:y>0.84685</cdr:y>
    </cdr:to>
    <cdr:sp macro="" textlink="">
      <cdr:nvSpPr>
        <cdr:cNvPr id="147" name="FracNo 1213 StartRow 1456">
          <a:extLst xmlns:a="http://schemas.openxmlformats.org/drawingml/2006/main">
            <a:ext uri="{FF2B5EF4-FFF2-40B4-BE49-F238E27FC236}">
              <a16:creationId xmlns:a16="http://schemas.microsoft.com/office/drawing/2014/main" id="{29A4E992-3EEC-1C09-618A-61FD11404331}"/>
            </a:ext>
          </a:extLst>
        </cdr:cNvPr>
        <cdr:cNvSpPr/>
      </cdr:nvSpPr>
      <cdr:spPr>
        <a:xfrm xmlns:a="http://schemas.openxmlformats.org/drawingml/2006/main">
          <a:off x="4874299" y="5866240"/>
          <a:ext cx="549170" cy="586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170" h="586782">
              <a:moveTo>
                <a:pt x="17060" y="569136"/>
              </a:moveTo>
              <a:lnTo>
                <a:pt x="0" y="586781"/>
              </a:lnTo>
              <a:lnTo>
                <a:pt x="0" y="549278"/>
              </a:lnTo>
              <a:lnTo>
                <a:pt x="16497" y="532214"/>
              </a:lnTo>
              <a:lnTo>
                <a:pt x="531040" y="0"/>
              </a:lnTo>
              <a:lnTo>
                <a:pt x="5491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0.35988</cdr:x>
      <cdr:y>0.20267</cdr:y>
    </cdr:from>
    <cdr:to>
      <cdr:x>0.43609</cdr:x>
      <cdr:y>0.27834</cdr:y>
    </cdr:to>
    <cdr:sp macro="" textlink="">
      <cdr:nvSpPr>
        <cdr:cNvPr id="148" name="FracNo 221 StartRow 1465">
          <a:extLst xmlns:a="http://schemas.openxmlformats.org/drawingml/2006/main">
            <a:ext uri="{FF2B5EF4-FFF2-40B4-BE49-F238E27FC236}">
              <a16:creationId xmlns:a16="http://schemas.microsoft.com/office/drawing/2014/main" id="{3126F4E7-D90B-5420-4132-ED34F39240FB}"/>
            </a:ext>
          </a:extLst>
        </cdr:cNvPr>
        <cdr:cNvSpPr/>
      </cdr:nvSpPr>
      <cdr:spPr>
        <a:xfrm xmlns:a="http://schemas.openxmlformats.org/drawingml/2006/main">
          <a:off x="2632597" y="1544320"/>
          <a:ext cx="557455" cy="576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7455" h="576599">
              <a:moveTo>
                <a:pt x="276110" y="323096"/>
              </a:moveTo>
              <a:lnTo>
                <a:pt x="109694" y="150965"/>
              </a:lnTo>
              <a:lnTo>
                <a:pt x="0" y="37504"/>
              </a:lnTo>
              <a:lnTo>
                <a:pt x="0" y="0"/>
              </a:lnTo>
              <a:lnTo>
                <a:pt x="116885" y="120900"/>
              </a:lnTo>
              <a:lnTo>
                <a:pt x="295056" y="305190"/>
              </a:lnTo>
              <a:lnTo>
                <a:pt x="557454" y="576598"/>
              </a:lnTo>
              <a:lnTo>
                <a:pt x="521195" y="5765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0.36261</cdr:x>
      <cdr:y>0.75466</cdr:y>
    </cdr:from>
    <cdr:to>
      <cdr:x>0.43838</cdr:x>
      <cdr:y>0.82989</cdr:y>
    </cdr:to>
    <cdr:sp macro="" textlink="">
      <cdr:nvSpPr>
        <cdr:cNvPr id="149" name="FracNo 439 StartRow 1476">
          <a:extLst xmlns:a="http://schemas.openxmlformats.org/drawingml/2006/main">
            <a:ext uri="{FF2B5EF4-FFF2-40B4-BE49-F238E27FC236}">
              <a16:creationId xmlns:a16="http://schemas.microsoft.com/office/drawing/2014/main" id="{4CC4A198-BE07-92E9-64BE-C037AC0429DD}"/>
            </a:ext>
          </a:extLst>
        </cdr:cNvPr>
        <cdr:cNvSpPr/>
      </cdr:nvSpPr>
      <cdr:spPr>
        <a:xfrm xmlns:a="http://schemas.openxmlformats.org/drawingml/2006/main">
          <a:off x="2652598" y="5750517"/>
          <a:ext cx="554227" cy="573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227" h="573261">
              <a:moveTo>
                <a:pt x="275816" y="325475"/>
              </a:moveTo>
              <a:lnTo>
                <a:pt x="108671" y="498360"/>
              </a:lnTo>
              <a:lnTo>
                <a:pt x="36258" y="573260"/>
              </a:lnTo>
              <a:lnTo>
                <a:pt x="0" y="573260"/>
              </a:lnTo>
              <a:lnTo>
                <a:pt x="77905" y="492679"/>
              </a:lnTo>
              <a:lnTo>
                <a:pt x="256592" y="307856"/>
              </a:lnTo>
              <a:lnTo>
                <a:pt x="554226" y="0"/>
              </a:lnTo>
              <a:lnTo>
                <a:pt x="55422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0.36947</cdr:x>
      <cdr:y>0.76147</cdr:y>
    </cdr:from>
    <cdr:to>
      <cdr:x>0.44523</cdr:x>
      <cdr:y>0.8367</cdr:y>
    </cdr:to>
    <cdr:sp macro="" textlink="">
      <cdr:nvSpPr>
        <cdr:cNvPr id="150" name="FracNo 430 StartRow 1487">
          <a:extLst xmlns:a="http://schemas.openxmlformats.org/drawingml/2006/main">
            <a:ext uri="{FF2B5EF4-FFF2-40B4-BE49-F238E27FC236}">
              <a16:creationId xmlns:a16="http://schemas.microsoft.com/office/drawing/2014/main" id="{D1026F0F-EAD2-C1B0-6A60-EE207EF2CC58}"/>
            </a:ext>
          </a:extLst>
        </cdr:cNvPr>
        <cdr:cNvSpPr/>
      </cdr:nvSpPr>
      <cdr:spPr>
        <a:xfrm xmlns:a="http://schemas.openxmlformats.org/drawingml/2006/main">
          <a:off x="2702728" y="5802369"/>
          <a:ext cx="554228" cy="573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228" h="573261">
              <a:moveTo>
                <a:pt x="201775" y="327053"/>
              </a:moveTo>
              <a:lnTo>
                <a:pt x="41288" y="493051"/>
              </a:lnTo>
              <a:lnTo>
                <a:pt x="0" y="535757"/>
              </a:lnTo>
              <a:lnTo>
                <a:pt x="0" y="573260"/>
              </a:lnTo>
              <a:lnTo>
                <a:pt x="45029" y="526685"/>
              </a:lnTo>
              <a:lnTo>
                <a:pt x="216464" y="349363"/>
              </a:lnTo>
              <a:lnTo>
                <a:pt x="554227" y="0"/>
              </a:lnTo>
              <a:lnTo>
                <a:pt x="5179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0.81918</cdr:x>
      <cdr:y>0.62665</cdr:y>
    </cdr:from>
    <cdr:to>
      <cdr:x>0.89491</cdr:x>
      <cdr:y>0.70185</cdr:y>
    </cdr:to>
    <cdr:sp macro="" textlink="">
      <cdr:nvSpPr>
        <cdr:cNvPr id="151" name="FracNo 154 StartRow 1498">
          <a:extLst xmlns:a="http://schemas.openxmlformats.org/drawingml/2006/main">
            <a:ext uri="{FF2B5EF4-FFF2-40B4-BE49-F238E27FC236}">
              <a16:creationId xmlns:a16="http://schemas.microsoft.com/office/drawing/2014/main" id="{7086CA63-CEC6-7EAB-B1E9-B5560BA6693E}"/>
            </a:ext>
          </a:extLst>
        </cdr:cNvPr>
        <cdr:cNvSpPr/>
      </cdr:nvSpPr>
      <cdr:spPr>
        <a:xfrm xmlns:a="http://schemas.openxmlformats.org/drawingml/2006/main">
          <a:off x="5992473" y="4775044"/>
          <a:ext cx="554002" cy="573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002" h="573027">
              <a:moveTo>
                <a:pt x="374596" y="387459"/>
              </a:moveTo>
              <a:lnTo>
                <a:pt x="146786" y="151826"/>
              </a:lnTo>
              <a:lnTo>
                <a:pt x="0" y="0"/>
              </a:lnTo>
              <a:lnTo>
                <a:pt x="0" y="37504"/>
              </a:lnTo>
              <a:lnTo>
                <a:pt x="139631" y="181930"/>
              </a:lnTo>
              <a:lnTo>
                <a:pt x="351160" y="400722"/>
              </a:lnTo>
              <a:lnTo>
                <a:pt x="517742" y="573026"/>
              </a:lnTo>
              <a:lnTo>
                <a:pt x="554001" y="5730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0.26919</cdr:x>
      <cdr:y>0.52903</cdr:y>
    </cdr:from>
    <cdr:to>
      <cdr:x>0.34224</cdr:x>
      <cdr:y>0.6065</cdr:y>
    </cdr:to>
    <cdr:sp macro="" textlink="">
      <cdr:nvSpPr>
        <cdr:cNvPr id="152" name="FracNo 351 StartRow 1509">
          <a:extLst xmlns:a="http://schemas.openxmlformats.org/drawingml/2006/main">
            <a:ext uri="{FF2B5EF4-FFF2-40B4-BE49-F238E27FC236}">
              <a16:creationId xmlns:a16="http://schemas.microsoft.com/office/drawing/2014/main" id="{CC304F8B-2A41-8D10-6F98-4D326285D1A8}"/>
            </a:ext>
          </a:extLst>
        </cdr:cNvPr>
        <cdr:cNvSpPr/>
      </cdr:nvSpPr>
      <cdr:spPr>
        <a:xfrm xmlns:a="http://schemas.openxmlformats.org/drawingml/2006/main">
          <a:off x="1969152" y="4031225"/>
          <a:ext cx="534437" cy="590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437" h="590294">
              <a:moveTo>
                <a:pt x="77516" y="510115"/>
              </a:moveTo>
              <a:lnTo>
                <a:pt x="0" y="590293"/>
              </a:lnTo>
              <a:lnTo>
                <a:pt x="0" y="552789"/>
              </a:lnTo>
              <a:lnTo>
                <a:pt x="77516" y="472611"/>
              </a:lnTo>
              <a:lnTo>
                <a:pt x="534436" y="0"/>
              </a:lnTo>
              <a:lnTo>
                <a:pt x="53443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0.69401</cdr:x>
      <cdr:y>0.50288</cdr:y>
    </cdr:from>
    <cdr:to>
      <cdr:x>0.76695</cdr:x>
      <cdr:y>0.58022</cdr:y>
    </cdr:to>
    <cdr:sp macro="" textlink="">
      <cdr:nvSpPr>
        <cdr:cNvPr id="153" name="FracNo 639 StartRow 1518">
          <a:extLst xmlns:a="http://schemas.openxmlformats.org/drawingml/2006/main">
            <a:ext uri="{FF2B5EF4-FFF2-40B4-BE49-F238E27FC236}">
              <a16:creationId xmlns:a16="http://schemas.microsoft.com/office/drawing/2014/main" id="{EB6D9DDF-4F7A-A6B7-CC19-4D8E2E8B06E2}"/>
            </a:ext>
          </a:extLst>
        </cdr:cNvPr>
        <cdr:cNvSpPr/>
      </cdr:nvSpPr>
      <cdr:spPr>
        <a:xfrm xmlns:a="http://schemas.openxmlformats.org/drawingml/2006/main">
          <a:off x="5076825" y="3831918"/>
          <a:ext cx="533558" cy="589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558" h="589384">
              <a:moveTo>
                <a:pt x="296773" y="344468"/>
              </a:moveTo>
              <a:lnTo>
                <a:pt x="0" y="37504"/>
              </a:lnTo>
              <a:lnTo>
                <a:pt x="0" y="0"/>
              </a:lnTo>
              <a:lnTo>
                <a:pt x="296773" y="306964"/>
              </a:lnTo>
              <a:lnTo>
                <a:pt x="533557" y="551880"/>
              </a:lnTo>
              <a:lnTo>
                <a:pt x="533557" y="589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0.83182</cdr:x>
      <cdr:y>0.12095</cdr:y>
    </cdr:from>
    <cdr:to>
      <cdr:x>0.90703</cdr:x>
      <cdr:y>0.19563</cdr:y>
    </cdr:to>
    <cdr:sp macro="" textlink="">
      <cdr:nvSpPr>
        <cdr:cNvPr id="154" name="FracNo 501 StartRow 1527">
          <a:extLst xmlns:a="http://schemas.openxmlformats.org/drawingml/2006/main">
            <a:ext uri="{FF2B5EF4-FFF2-40B4-BE49-F238E27FC236}">
              <a16:creationId xmlns:a16="http://schemas.microsoft.com/office/drawing/2014/main" id="{D7DF8C67-A18E-A97B-DCBE-D6FA022B75A6}"/>
            </a:ext>
          </a:extLst>
        </cdr:cNvPr>
        <cdr:cNvSpPr/>
      </cdr:nvSpPr>
      <cdr:spPr>
        <a:xfrm xmlns:a="http://schemas.openxmlformats.org/drawingml/2006/main">
          <a:off x="6084898" y="921634"/>
          <a:ext cx="550181" cy="569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181" h="569075">
              <a:moveTo>
                <a:pt x="371656" y="147152"/>
              </a:moveTo>
              <a:lnTo>
                <a:pt x="0" y="531571"/>
              </a:lnTo>
              <a:lnTo>
                <a:pt x="0" y="569074"/>
              </a:lnTo>
              <a:lnTo>
                <a:pt x="397877" y="157533"/>
              </a:lnTo>
              <a:lnTo>
                <a:pt x="550180" y="0"/>
              </a:lnTo>
              <a:lnTo>
                <a:pt x="5139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0.30555</cdr:x>
      <cdr:y>0.107</cdr:y>
    </cdr:from>
    <cdr:to>
      <cdr:x>0.37936</cdr:x>
      <cdr:y>0.18275</cdr:y>
    </cdr:to>
    <cdr:sp macro="" textlink="">
      <cdr:nvSpPr>
        <cdr:cNvPr id="155" name="FracNo 277 StartRow 1536">
          <a:extLst xmlns:a="http://schemas.openxmlformats.org/drawingml/2006/main">
            <a:ext uri="{FF2B5EF4-FFF2-40B4-BE49-F238E27FC236}">
              <a16:creationId xmlns:a16="http://schemas.microsoft.com/office/drawing/2014/main" id="{069B41E2-ADE1-9988-09EF-D6086F11358F}"/>
            </a:ext>
          </a:extLst>
        </cdr:cNvPr>
        <cdr:cNvSpPr/>
      </cdr:nvSpPr>
      <cdr:spPr>
        <a:xfrm xmlns:a="http://schemas.openxmlformats.org/drawingml/2006/main">
          <a:off x="2235179" y="815327"/>
          <a:ext cx="539937" cy="5772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9937" h="577231">
              <a:moveTo>
                <a:pt x="302303" y="264545"/>
              </a:moveTo>
              <a:lnTo>
                <a:pt x="0" y="577230"/>
              </a:lnTo>
              <a:lnTo>
                <a:pt x="0" y="539726"/>
              </a:lnTo>
              <a:lnTo>
                <a:pt x="291759" y="237947"/>
              </a:lnTo>
              <a:lnTo>
                <a:pt x="501643" y="20856"/>
              </a:lnTo>
              <a:lnTo>
                <a:pt x="521806" y="0"/>
              </a:lnTo>
              <a:lnTo>
                <a:pt x="539936" y="18751"/>
              </a:lnTo>
              <a:lnTo>
                <a:pt x="519772" y="396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0.30615</cdr:x>
      <cdr:y>0.11005</cdr:y>
    </cdr:from>
    <cdr:to>
      <cdr:x>0.38243</cdr:x>
      <cdr:y>0.18334</cdr:y>
    </cdr:to>
    <cdr:sp macro="" textlink="">
      <cdr:nvSpPr>
        <cdr:cNvPr id="156" name="FracNo 857 StartRow 1547">
          <a:extLst xmlns:a="http://schemas.openxmlformats.org/drawingml/2006/main">
            <a:ext uri="{FF2B5EF4-FFF2-40B4-BE49-F238E27FC236}">
              <a16:creationId xmlns:a16="http://schemas.microsoft.com/office/drawing/2014/main" id="{0F6E0918-5546-9518-DCC9-AB5991D5F6B0}"/>
            </a:ext>
          </a:extLst>
        </cdr:cNvPr>
        <cdr:cNvSpPr/>
      </cdr:nvSpPr>
      <cdr:spPr>
        <a:xfrm xmlns:a="http://schemas.openxmlformats.org/drawingml/2006/main">
          <a:off x="2239516" y="838565"/>
          <a:ext cx="558066" cy="558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066" h="558478">
              <a:moveTo>
                <a:pt x="179736" y="372569"/>
              </a:moveTo>
              <a:lnTo>
                <a:pt x="0" y="558477"/>
              </a:lnTo>
              <a:lnTo>
                <a:pt x="36258" y="558477"/>
              </a:lnTo>
              <a:lnTo>
                <a:pt x="209442" y="379346"/>
              </a:lnTo>
              <a:lnTo>
                <a:pt x="515435" y="62845"/>
              </a:lnTo>
              <a:lnTo>
                <a:pt x="558065" y="18751"/>
              </a:lnTo>
              <a:lnTo>
                <a:pt x="539935" y="0"/>
              </a:lnTo>
              <a:lnTo>
                <a:pt x="497306" y="440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0.67419</cdr:x>
      <cdr:y>0.44804</cdr:y>
    </cdr:from>
    <cdr:to>
      <cdr:x>0.74924</cdr:x>
      <cdr:y>0.52256</cdr:y>
    </cdr:to>
    <cdr:sp macro="" textlink="">
      <cdr:nvSpPr>
        <cdr:cNvPr id="157" name="FracNo 594 StartRow 1558">
          <a:extLst xmlns:a="http://schemas.openxmlformats.org/drawingml/2006/main">
            <a:ext uri="{FF2B5EF4-FFF2-40B4-BE49-F238E27FC236}">
              <a16:creationId xmlns:a16="http://schemas.microsoft.com/office/drawing/2014/main" id="{1EC70332-54EC-3B88-6971-B1A51FFD62ED}"/>
            </a:ext>
          </a:extLst>
        </cdr:cNvPr>
        <cdr:cNvSpPr/>
      </cdr:nvSpPr>
      <cdr:spPr>
        <a:xfrm xmlns:a="http://schemas.openxmlformats.org/drawingml/2006/main">
          <a:off x="4931831" y="3414053"/>
          <a:ext cx="548986" cy="567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986" h="567840">
              <a:moveTo>
                <a:pt x="434040" y="156396"/>
              </a:moveTo>
              <a:lnTo>
                <a:pt x="36258" y="567839"/>
              </a:lnTo>
              <a:lnTo>
                <a:pt x="0" y="567839"/>
              </a:lnTo>
              <a:lnTo>
                <a:pt x="425912" y="127300"/>
              </a:lnTo>
              <a:lnTo>
                <a:pt x="548985" y="0"/>
              </a:lnTo>
              <a:lnTo>
                <a:pt x="54898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0.87031</cdr:x>
      <cdr:y>0.60577</cdr:y>
    </cdr:from>
    <cdr:to>
      <cdr:x>0.94246</cdr:x>
      <cdr:y>0.68234</cdr:y>
    </cdr:to>
    <cdr:sp macro="" textlink="">
      <cdr:nvSpPr>
        <cdr:cNvPr id="158" name="FracNo 723 StartRow 1567">
          <a:extLst xmlns:a="http://schemas.openxmlformats.org/drawingml/2006/main">
            <a:ext uri="{FF2B5EF4-FFF2-40B4-BE49-F238E27FC236}">
              <a16:creationId xmlns:a16="http://schemas.microsoft.com/office/drawing/2014/main" id="{0CF2D2DE-D4A2-9380-F386-9F047266C992}"/>
            </a:ext>
          </a:extLst>
        </cdr:cNvPr>
        <cdr:cNvSpPr/>
      </cdr:nvSpPr>
      <cdr:spPr>
        <a:xfrm xmlns:a="http://schemas.openxmlformats.org/drawingml/2006/main">
          <a:off x="6366494" y="4615971"/>
          <a:ext cx="527814" cy="583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814" h="583443">
              <a:moveTo>
                <a:pt x="33220" y="511578"/>
              </a:moveTo>
              <a:lnTo>
                <a:pt x="0" y="545939"/>
              </a:lnTo>
              <a:lnTo>
                <a:pt x="0" y="583442"/>
              </a:lnTo>
              <a:lnTo>
                <a:pt x="34827" y="547420"/>
              </a:lnTo>
              <a:lnTo>
                <a:pt x="236265" y="339064"/>
              </a:lnTo>
              <a:lnTo>
                <a:pt x="527813" y="37503"/>
              </a:lnTo>
              <a:lnTo>
                <a:pt x="527813" y="0"/>
              </a:lnTo>
              <a:lnTo>
                <a:pt x="225361" y="3128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0.87036</cdr:x>
      <cdr:y>0.47598</cdr:y>
    </cdr:from>
    <cdr:to>
      <cdr:x>0.94246</cdr:x>
      <cdr:y>0.5525</cdr:y>
    </cdr:to>
    <cdr:sp macro="" textlink="">
      <cdr:nvSpPr>
        <cdr:cNvPr id="159" name="FracNo 591 StartRow 1578">
          <a:extLst xmlns:a="http://schemas.openxmlformats.org/drawingml/2006/main">
            <a:ext uri="{FF2B5EF4-FFF2-40B4-BE49-F238E27FC236}">
              <a16:creationId xmlns:a16="http://schemas.microsoft.com/office/drawing/2014/main" id="{DF7589AF-22BC-2628-D60F-273E161F38EB}"/>
            </a:ext>
          </a:extLst>
        </cdr:cNvPr>
        <cdr:cNvSpPr/>
      </cdr:nvSpPr>
      <cdr:spPr>
        <a:xfrm xmlns:a="http://schemas.openxmlformats.org/drawingml/2006/main">
          <a:off x="6366868" y="3626975"/>
          <a:ext cx="527440" cy="583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440" h="583056">
              <a:moveTo>
                <a:pt x="507641" y="20478"/>
              </a:moveTo>
              <a:lnTo>
                <a:pt x="0" y="545552"/>
              </a:lnTo>
              <a:lnTo>
                <a:pt x="0" y="583055"/>
              </a:lnTo>
              <a:lnTo>
                <a:pt x="507641" y="57981"/>
              </a:lnTo>
              <a:lnTo>
                <a:pt x="527439" y="37504"/>
              </a:lnTo>
              <a:lnTo>
                <a:pt x="5274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0.53181</cdr:x>
      <cdr:y>0.4409</cdr:y>
    </cdr:from>
    <cdr:to>
      <cdr:x>0.60584</cdr:x>
      <cdr:y>0.51441</cdr:y>
    </cdr:to>
    <cdr:sp macro="" textlink="">
      <cdr:nvSpPr>
        <cdr:cNvPr id="160" name="FracNo 702 StartRow 1587">
          <a:extLst xmlns:a="http://schemas.openxmlformats.org/drawingml/2006/main">
            <a:ext uri="{FF2B5EF4-FFF2-40B4-BE49-F238E27FC236}">
              <a16:creationId xmlns:a16="http://schemas.microsoft.com/office/drawing/2014/main" id="{36F1F098-3B4E-2E63-1679-2D658886C546}"/>
            </a:ext>
          </a:extLst>
        </cdr:cNvPr>
        <cdr:cNvSpPr/>
      </cdr:nvSpPr>
      <cdr:spPr>
        <a:xfrm xmlns:a="http://schemas.openxmlformats.org/drawingml/2006/main">
          <a:off x="3890296" y="3359682"/>
          <a:ext cx="541513" cy="560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1513" h="560110">
              <a:moveTo>
                <a:pt x="234179" y="242221"/>
              </a:moveTo>
              <a:lnTo>
                <a:pt x="0" y="0"/>
              </a:lnTo>
              <a:lnTo>
                <a:pt x="0" y="37504"/>
              </a:lnTo>
              <a:lnTo>
                <a:pt x="218499" y="263506"/>
              </a:lnTo>
              <a:lnTo>
                <a:pt x="505254" y="560109"/>
              </a:lnTo>
              <a:lnTo>
                <a:pt x="541512" y="5601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0.58002</cdr:x>
      <cdr:y>0.08544</cdr:y>
    </cdr:from>
    <cdr:to>
      <cdr:x>0.65556</cdr:x>
      <cdr:y>0.15552</cdr:y>
    </cdr:to>
    <cdr:sp macro="" textlink="">
      <cdr:nvSpPr>
        <cdr:cNvPr id="161" name="FracNo 808 StartRow 1596">
          <a:extLst xmlns:a="http://schemas.openxmlformats.org/drawingml/2006/main">
            <a:ext uri="{FF2B5EF4-FFF2-40B4-BE49-F238E27FC236}">
              <a16:creationId xmlns:a16="http://schemas.microsoft.com/office/drawing/2014/main" id="{6F7DA27E-7198-6135-C0BF-7434B0DE8F5C}"/>
            </a:ext>
          </a:extLst>
        </cdr:cNvPr>
        <cdr:cNvSpPr/>
      </cdr:nvSpPr>
      <cdr:spPr>
        <a:xfrm xmlns:a="http://schemas.openxmlformats.org/drawingml/2006/main">
          <a:off x="4242975" y="651036"/>
          <a:ext cx="552552" cy="534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552" h="534024">
              <a:moveTo>
                <a:pt x="270629" y="279924"/>
              </a:moveTo>
              <a:lnTo>
                <a:pt x="0" y="0"/>
              </a:lnTo>
              <a:lnTo>
                <a:pt x="36258" y="0"/>
              </a:lnTo>
              <a:lnTo>
                <a:pt x="306888" y="279924"/>
              </a:lnTo>
              <a:lnTo>
                <a:pt x="552551" y="534023"/>
              </a:lnTo>
              <a:lnTo>
                <a:pt x="516292" y="5340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0.37571</cdr:x>
      <cdr:y>0.37396</cdr:y>
    </cdr:from>
    <cdr:to>
      <cdr:x>0.44999</cdr:x>
      <cdr:y>0.44526</cdr:y>
    </cdr:to>
    <cdr:sp macro="" textlink="">
      <cdr:nvSpPr>
        <cdr:cNvPr id="162" name="FracNo 711 StartRow 1605">
          <a:extLst xmlns:a="http://schemas.openxmlformats.org/drawingml/2006/main">
            <a:ext uri="{FF2B5EF4-FFF2-40B4-BE49-F238E27FC236}">
              <a16:creationId xmlns:a16="http://schemas.microsoft.com/office/drawing/2014/main" id="{488188F5-F6E7-C9EA-19A3-E16FE316E1BF}"/>
            </a:ext>
          </a:extLst>
        </cdr:cNvPr>
        <cdr:cNvSpPr/>
      </cdr:nvSpPr>
      <cdr:spPr>
        <a:xfrm xmlns:a="http://schemas.openxmlformats.org/drawingml/2006/main">
          <a:off x="2748412" y="2849573"/>
          <a:ext cx="543383" cy="543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3383" h="543292">
              <a:moveTo>
                <a:pt x="343602" y="317898"/>
              </a:moveTo>
              <a:lnTo>
                <a:pt x="36258" y="0"/>
              </a:lnTo>
              <a:lnTo>
                <a:pt x="0" y="0"/>
              </a:lnTo>
              <a:lnTo>
                <a:pt x="318331" y="329263"/>
              </a:lnTo>
              <a:lnTo>
                <a:pt x="525253" y="543291"/>
              </a:lnTo>
              <a:lnTo>
                <a:pt x="543382" y="5245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0.86979</cdr:x>
      <cdr:y>0.75558</cdr:y>
    </cdr:from>
    <cdr:to>
      <cdr:x>0.94246</cdr:x>
      <cdr:y>0.82774</cdr:y>
    </cdr:to>
    <cdr:sp macro="" textlink="">
      <cdr:nvSpPr>
        <cdr:cNvPr id="163" name="FracNo 111 StartRow 1614">
          <a:extLst xmlns:a="http://schemas.openxmlformats.org/drawingml/2006/main">
            <a:ext uri="{FF2B5EF4-FFF2-40B4-BE49-F238E27FC236}">
              <a16:creationId xmlns:a16="http://schemas.microsoft.com/office/drawing/2014/main" id="{76402EEB-E322-53DD-D8CA-22F549222B12}"/>
            </a:ext>
          </a:extLst>
        </cdr:cNvPr>
        <cdr:cNvSpPr/>
      </cdr:nvSpPr>
      <cdr:spPr>
        <a:xfrm xmlns:a="http://schemas.openxmlformats.org/drawingml/2006/main">
          <a:off x="6362711" y="5757499"/>
          <a:ext cx="531597" cy="54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597" h="549853">
              <a:moveTo>
                <a:pt x="332204" y="243744"/>
              </a:moveTo>
              <a:lnTo>
                <a:pt x="36258" y="549852"/>
              </a:lnTo>
              <a:lnTo>
                <a:pt x="0" y="549852"/>
              </a:lnTo>
              <a:lnTo>
                <a:pt x="317608" y="221336"/>
              </a:lnTo>
              <a:lnTo>
                <a:pt x="531596" y="0"/>
              </a:lnTo>
              <a:lnTo>
                <a:pt x="53159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0.63219</cdr:x>
      <cdr:y>0.82485</cdr:y>
    </cdr:from>
    <cdr:to>
      <cdr:x>0.70473</cdr:x>
      <cdr:y>0.89689</cdr:y>
    </cdr:to>
    <cdr:sp macro="" textlink="">
      <cdr:nvSpPr>
        <cdr:cNvPr id="164" name="FracNo 152 StartRow 1623">
          <a:extLst xmlns:a="http://schemas.openxmlformats.org/drawingml/2006/main">
            <a:ext uri="{FF2B5EF4-FFF2-40B4-BE49-F238E27FC236}">
              <a16:creationId xmlns:a16="http://schemas.microsoft.com/office/drawing/2014/main" id="{7CA6BF65-F1EB-BD40-8832-9070FC67ED8D}"/>
            </a:ext>
          </a:extLst>
        </cdr:cNvPr>
        <cdr:cNvSpPr/>
      </cdr:nvSpPr>
      <cdr:spPr>
        <a:xfrm xmlns:a="http://schemas.openxmlformats.org/drawingml/2006/main">
          <a:off x="4624584" y="6285366"/>
          <a:ext cx="530692" cy="548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692" h="548918">
              <a:moveTo>
                <a:pt x="234950" y="280523"/>
              </a:moveTo>
              <a:lnTo>
                <a:pt x="188245" y="232215"/>
              </a:lnTo>
              <a:lnTo>
                <a:pt x="0" y="37504"/>
              </a:lnTo>
              <a:lnTo>
                <a:pt x="0" y="0"/>
              </a:lnTo>
              <a:lnTo>
                <a:pt x="202780" y="209745"/>
              </a:lnTo>
              <a:lnTo>
                <a:pt x="252798" y="261481"/>
              </a:lnTo>
              <a:lnTo>
                <a:pt x="530691" y="548917"/>
              </a:lnTo>
              <a:lnTo>
                <a:pt x="494433" y="5489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0.29376</cdr:x>
      <cdr:y>0.86065</cdr:y>
    </cdr:from>
    <cdr:to>
      <cdr:x>0.36866</cdr:x>
      <cdr:y>0.9301</cdr:y>
    </cdr:to>
    <cdr:sp macro="" textlink="">
      <cdr:nvSpPr>
        <cdr:cNvPr id="165" name="FracNo 34 StartRow 1634">
          <a:extLst xmlns:a="http://schemas.openxmlformats.org/drawingml/2006/main">
            <a:ext uri="{FF2B5EF4-FFF2-40B4-BE49-F238E27FC236}">
              <a16:creationId xmlns:a16="http://schemas.microsoft.com/office/drawing/2014/main" id="{B9D4D99B-9A34-5AF4-D6D7-C5CFF60585E6}"/>
            </a:ext>
          </a:extLst>
        </cdr:cNvPr>
        <cdr:cNvSpPr/>
      </cdr:nvSpPr>
      <cdr:spPr>
        <a:xfrm xmlns:a="http://schemas.openxmlformats.org/drawingml/2006/main">
          <a:off x="2148901" y="6558122"/>
          <a:ext cx="547931" cy="529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931" h="529244">
              <a:moveTo>
                <a:pt x="330717" y="224673"/>
              </a:moveTo>
              <a:lnTo>
                <a:pt x="36259" y="529243"/>
              </a:lnTo>
              <a:lnTo>
                <a:pt x="0" y="529243"/>
              </a:lnTo>
              <a:lnTo>
                <a:pt x="294459" y="224673"/>
              </a:lnTo>
              <a:lnTo>
                <a:pt x="511671" y="0"/>
              </a:lnTo>
              <a:lnTo>
                <a:pt x="5479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0.39418</cdr:x>
      <cdr:y>0.62007</cdr:y>
    </cdr:from>
    <cdr:to>
      <cdr:x>0.46861</cdr:x>
      <cdr:y>0.68905</cdr:y>
    </cdr:to>
    <cdr:sp macro="" textlink="">
      <cdr:nvSpPr>
        <cdr:cNvPr id="166" name="FracNo 668 StartRow 1643">
          <a:extLst xmlns:a="http://schemas.openxmlformats.org/drawingml/2006/main">
            <a:ext uri="{FF2B5EF4-FFF2-40B4-BE49-F238E27FC236}">
              <a16:creationId xmlns:a16="http://schemas.microsoft.com/office/drawing/2014/main" id="{BC297150-99F5-5ED7-B172-2D3EE7816E20}"/>
            </a:ext>
          </a:extLst>
        </cdr:cNvPr>
        <cdr:cNvSpPr/>
      </cdr:nvSpPr>
      <cdr:spPr>
        <a:xfrm xmlns:a="http://schemas.openxmlformats.org/drawingml/2006/main">
          <a:off x="2883499" y="4724896"/>
          <a:ext cx="544450" cy="5256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450" h="525645">
              <a:moveTo>
                <a:pt x="383433" y="166546"/>
              </a:moveTo>
              <a:lnTo>
                <a:pt x="326964" y="224955"/>
              </a:lnTo>
              <a:lnTo>
                <a:pt x="36258" y="525644"/>
              </a:lnTo>
              <a:lnTo>
                <a:pt x="0" y="525644"/>
              </a:lnTo>
              <a:lnTo>
                <a:pt x="306036" y="209098"/>
              </a:lnTo>
              <a:lnTo>
                <a:pt x="358524" y="154807"/>
              </a:lnTo>
              <a:lnTo>
                <a:pt x="508191" y="0"/>
              </a:lnTo>
              <a:lnTo>
                <a:pt x="544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0.37825</cdr:x>
      <cdr:y>0.59933</cdr:y>
    </cdr:from>
    <cdr:to>
      <cdr:x>0.44772</cdr:x>
      <cdr:y>0.67323</cdr:y>
    </cdr:to>
    <cdr:sp macro="" textlink="">
      <cdr:nvSpPr>
        <cdr:cNvPr id="167" name="FracNo 667 StartRow 1654">
          <a:extLst xmlns:a="http://schemas.openxmlformats.org/drawingml/2006/main">
            <a:ext uri="{FF2B5EF4-FFF2-40B4-BE49-F238E27FC236}">
              <a16:creationId xmlns:a16="http://schemas.microsoft.com/office/drawing/2014/main" id="{D21F0DD7-FE67-7104-E10F-413987BDEA5A}"/>
            </a:ext>
          </a:extLst>
        </cdr:cNvPr>
        <cdr:cNvSpPr/>
      </cdr:nvSpPr>
      <cdr:spPr>
        <a:xfrm xmlns:a="http://schemas.openxmlformats.org/drawingml/2006/main">
          <a:off x="2767005" y="4566898"/>
          <a:ext cx="508192" cy="563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192" h="563148">
              <a:moveTo>
                <a:pt x="325897" y="188555"/>
              </a:moveTo>
              <a:lnTo>
                <a:pt x="159226" y="360949"/>
              </a:lnTo>
              <a:lnTo>
                <a:pt x="0" y="525644"/>
              </a:lnTo>
              <a:lnTo>
                <a:pt x="0" y="563147"/>
              </a:lnTo>
              <a:lnTo>
                <a:pt x="168270" y="389099"/>
              </a:lnTo>
              <a:lnTo>
                <a:pt x="330621" y="221172"/>
              </a:lnTo>
              <a:lnTo>
                <a:pt x="508191" y="37504"/>
              </a:lnTo>
              <a:lnTo>
                <a:pt x="508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0.36992</cdr:x>
      <cdr:y>0.59598</cdr:y>
    </cdr:from>
    <cdr:to>
      <cdr:x>0.44435</cdr:x>
      <cdr:y>0.66496</cdr:y>
    </cdr:to>
    <cdr:sp macro="" textlink="">
      <cdr:nvSpPr>
        <cdr:cNvPr id="168" name="FracNo 1023 StartRow 1665">
          <a:extLst xmlns:a="http://schemas.openxmlformats.org/drawingml/2006/main">
            <a:ext uri="{FF2B5EF4-FFF2-40B4-BE49-F238E27FC236}">
              <a16:creationId xmlns:a16="http://schemas.microsoft.com/office/drawing/2014/main" id="{6F44A71C-BFA0-56D4-B398-0DE605DCF0DF}"/>
            </a:ext>
          </a:extLst>
        </cdr:cNvPr>
        <cdr:cNvSpPr/>
      </cdr:nvSpPr>
      <cdr:spPr>
        <a:xfrm xmlns:a="http://schemas.openxmlformats.org/drawingml/2006/main">
          <a:off x="2706036" y="4541340"/>
          <a:ext cx="544451" cy="525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451" h="525644">
              <a:moveTo>
                <a:pt x="423997" y="124590"/>
              </a:moveTo>
              <a:lnTo>
                <a:pt x="148104" y="409958"/>
              </a:lnTo>
              <a:lnTo>
                <a:pt x="56351" y="504861"/>
              </a:lnTo>
              <a:lnTo>
                <a:pt x="36259" y="525643"/>
              </a:lnTo>
              <a:lnTo>
                <a:pt x="0" y="525643"/>
              </a:lnTo>
              <a:lnTo>
                <a:pt x="23350" y="501493"/>
              </a:lnTo>
              <a:lnTo>
                <a:pt x="129974" y="391206"/>
              </a:lnTo>
              <a:lnTo>
                <a:pt x="393248" y="118891"/>
              </a:lnTo>
              <a:lnTo>
                <a:pt x="508192" y="0"/>
              </a:lnTo>
              <a:lnTo>
                <a:pt x="5444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0.39368</cdr:x>
      <cdr:y>0.61464</cdr:y>
    </cdr:from>
    <cdr:to>
      <cdr:x>0.46315</cdr:x>
      <cdr:y>0.68855</cdr:y>
    </cdr:to>
    <cdr:sp macro="" textlink="">
      <cdr:nvSpPr>
        <cdr:cNvPr id="169" name="FracNo 1148 StartRow 1678">
          <a:extLst xmlns:a="http://schemas.openxmlformats.org/drawingml/2006/main">
            <a:ext uri="{FF2B5EF4-FFF2-40B4-BE49-F238E27FC236}">
              <a16:creationId xmlns:a16="http://schemas.microsoft.com/office/drawing/2014/main" id="{7403DD15-DFDC-FEC8-A46B-86DB7C78F4FC}"/>
            </a:ext>
          </a:extLst>
        </cdr:cNvPr>
        <cdr:cNvSpPr/>
      </cdr:nvSpPr>
      <cdr:spPr>
        <a:xfrm xmlns:a="http://schemas.openxmlformats.org/drawingml/2006/main">
          <a:off x="2879825" y="4683593"/>
          <a:ext cx="508192" cy="563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192" h="563149">
              <a:moveTo>
                <a:pt x="286136" y="229682"/>
              </a:moveTo>
              <a:lnTo>
                <a:pt x="268042" y="248397"/>
              </a:lnTo>
              <a:lnTo>
                <a:pt x="0" y="525644"/>
              </a:lnTo>
              <a:lnTo>
                <a:pt x="0" y="563148"/>
              </a:lnTo>
              <a:lnTo>
                <a:pt x="285096" y="268261"/>
              </a:lnTo>
              <a:lnTo>
                <a:pt x="301905" y="250875"/>
              </a:lnTo>
              <a:lnTo>
                <a:pt x="508191" y="37504"/>
              </a:lnTo>
              <a:lnTo>
                <a:pt x="508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0.35716</cdr:x>
      <cdr:y>0.57839</cdr:y>
    </cdr:from>
    <cdr:to>
      <cdr:x>0.42663</cdr:x>
      <cdr:y>0.65229</cdr:y>
    </cdr:to>
    <cdr:sp macro="" textlink="">
      <cdr:nvSpPr>
        <cdr:cNvPr id="170" name="FracNo 663 StartRow 1689">
          <a:extLst xmlns:a="http://schemas.openxmlformats.org/drawingml/2006/main">
            <a:ext uri="{FF2B5EF4-FFF2-40B4-BE49-F238E27FC236}">
              <a16:creationId xmlns:a16="http://schemas.microsoft.com/office/drawing/2014/main" id="{4305A400-E544-E03E-3068-A70909A97882}"/>
            </a:ext>
          </a:extLst>
        </cdr:cNvPr>
        <cdr:cNvSpPr/>
      </cdr:nvSpPr>
      <cdr:spPr>
        <a:xfrm xmlns:a="http://schemas.openxmlformats.org/drawingml/2006/main">
          <a:off x="2612712" y="4407307"/>
          <a:ext cx="508192" cy="563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192" h="563148">
              <a:moveTo>
                <a:pt x="170899" y="348875"/>
              </a:moveTo>
              <a:lnTo>
                <a:pt x="124110" y="397271"/>
              </a:lnTo>
              <a:lnTo>
                <a:pt x="8812" y="516529"/>
              </a:lnTo>
              <a:lnTo>
                <a:pt x="0" y="525643"/>
              </a:lnTo>
              <a:lnTo>
                <a:pt x="0" y="563147"/>
              </a:lnTo>
              <a:lnTo>
                <a:pt x="10099" y="552701"/>
              </a:lnTo>
              <a:lnTo>
                <a:pt x="142239" y="416023"/>
              </a:lnTo>
              <a:lnTo>
                <a:pt x="186820" y="369911"/>
              </a:lnTo>
              <a:lnTo>
                <a:pt x="508191" y="37503"/>
              </a:lnTo>
              <a:lnTo>
                <a:pt x="508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0.69677</cdr:x>
      <cdr:y>0.21577</cdr:y>
    </cdr:from>
    <cdr:to>
      <cdr:x>0.76734</cdr:x>
      <cdr:y>0.28831</cdr:y>
    </cdr:to>
    <cdr:sp macro="" textlink="">
      <cdr:nvSpPr>
        <cdr:cNvPr id="171" name="FracNo 517 StartRow 1702">
          <a:extLst xmlns:a="http://schemas.openxmlformats.org/drawingml/2006/main">
            <a:ext uri="{FF2B5EF4-FFF2-40B4-BE49-F238E27FC236}">
              <a16:creationId xmlns:a16="http://schemas.microsoft.com/office/drawing/2014/main" id="{D7002AC9-1438-7AC2-B3B2-0362212C4398}"/>
            </a:ext>
          </a:extLst>
        </cdr:cNvPr>
        <cdr:cNvSpPr/>
      </cdr:nvSpPr>
      <cdr:spPr>
        <a:xfrm xmlns:a="http://schemas.openxmlformats.org/drawingml/2006/main">
          <a:off x="5096992" y="1644197"/>
          <a:ext cx="516237" cy="552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6237" h="552718">
              <a:moveTo>
                <a:pt x="198390" y="328762"/>
              </a:moveTo>
              <a:lnTo>
                <a:pt x="0" y="533965"/>
              </a:lnTo>
              <a:lnTo>
                <a:pt x="18129" y="552717"/>
              </a:lnTo>
              <a:lnTo>
                <a:pt x="209552" y="354721"/>
              </a:lnTo>
              <a:lnTo>
                <a:pt x="516236" y="37504"/>
              </a:lnTo>
              <a:lnTo>
                <a:pt x="5162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0.66099</cdr:x>
      <cdr:y>0.85918</cdr:y>
    </cdr:from>
    <cdr:to>
      <cdr:x>0.73241</cdr:x>
      <cdr:y>0.9301</cdr:y>
    </cdr:to>
    <cdr:sp macro="" textlink="">
      <cdr:nvSpPr>
        <cdr:cNvPr id="172" name="FracNo 885 StartRow 1711">
          <a:extLst xmlns:a="http://schemas.openxmlformats.org/drawingml/2006/main">
            <a:ext uri="{FF2B5EF4-FFF2-40B4-BE49-F238E27FC236}">
              <a16:creationId xmlns:a16="http://schemas.microsoft.com/office/drawing/2014/main" id="{22691738-E9B8-A3F0-40A8-570E689A3AE3}"/>
            </a:ext>
          </a:extLst>
        </cdr:cNvPr>
        <cdr:cNvSpPr/>
      </cdr:nvSpPr>
      <cdr:spPr>
        <a:xfrm xmlns:a="http://schemas.openxmlformats.org/drawingml/2006/main">
          <a:off x="4835252" y="6546919"/>
          <a:ext cx="522503" cy="540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2503" h="540447">
              <a:moveTo>
                <a:pt x="311587" y="322288"/>
              </a:moveTo>
              <a:lnTo>
                <a:pt x="0" y="0"/>
              </a:lnTo>
              <a:lnTo>
                <a:pt x="0" y="37504"/>
              </a:lnTo>
              <a:lnTo>
                <a:pt x="289965" y="337427"/>
              </a:lnTo>
              <a:lnTo>
                <a:pt x="486243" y="540446"/>
              </a:lnTo>
              <a:lnTo>
                <a:pt x="522502" y="5404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0.65804</cdr:x>
      <cdr:y>0.60798</cdr:y>
    </cdr:from>
    <cdr:to>
      <cdr:x>0.72937</cdr:x>
      <cdr:y>0.67881</cdr:y>
    </cdr:to>
    <cdr:sp macro="" textlink="">
      <cdr:nvSpPr>
        <cdr:cNvPr id="173" name="FracNo 598 StartRow 1720">
          <a:extLst xmlns:a="http://schemas.openxmlformats.org/drawingml/2006/main">
            <a:ext uri="{FF2B5EF4-FFF2-40B4-BE49-F238E27FC236}">
              <a16:creationId xmlns:a16="http://schemas.microsoft.com/office/drawing/2014/main" id="{36F9D662-37CA-B00A-78CB-334686165ABB}"/>
            </a:ext>
          </a:extLst>
        </cdr:cNvPr>
        <cdr:cNvSpPr/>
      </cdr:nvSpPr>
      <cdr:spPr>
        <a:xfrm xmlns:a="http://schemas.openxmlformats.org/drawingml/2006/main">
          <a:off x="4813697" y="4632825"/>
          <a:ext cx="521774" cy="539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1774" h="539692">
              <a:moveTo>
                <a:pt x="335687" y="154973"/>
              </a:moveTo>
              <a:lnTo>
                <a:pt x="195745" y="299721"/>
              </a:lnTo>
              <a:lnTo>
                <a:pt x="6117" y="495862"/>
              </a:lnTo>
              <a:lnTo>
                <a:pt x="0" y="502188"/>
              </a:lnTo>
              <a:lnTo>
                <a:pt x="0" y="539691"/>
              </a:lnTo>
              <a:lnTo>
                <a:pt x="6683" y="532779"/>
              </a:lnTo>
              <a:lnTo>
                <a:pt x="213874" y="318473"/>
              </a:lnTo>
              <a:lnTo>
                <a:pt x="362572" y="164669"/>
              </a:lnTo>
              <a:lnTo>
                <a:pt x="521773" y="0"/>
              </a:lnTo>
              <a:lnTo>
                <a:pt x="4855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0.57981</cdr:x>
      <cdr:y>0.55524</cdr:y>
    </cdr:from>
    <cdr:to>
      <cdr:x>0.64993</cdr:x>
      <cdr:y>0.62487</cdr:y>
    </cdr:to>
    <cdr:sp macro="" textlink="">
      <cdr:nvSpPr>
        <cdr:cNvPr id="174" name="FracNo 710 StartRow 1733">
          <a:extLst xmlns:a="http://schemas.openxmlformats.org/drawingml/2006/main">
            <a:ext uri="{FF2B5EF4-FFF2-40B4-BE49-F238E27FC236}">
              <a16:creationId xmlns:a16="http://schemas.microsoft.com/office/drawing/2014/main" id="{F32D215D-FFEF-09C0-DD7D-748B5E8A4D98}"/>
            </a:ext>
          </a:extLst>
        </cdr:cNvPr>
        <cdr:cNvSpPr/>
      </cdr:nvSpPr>
      <cdr:spPr>
        <a:xfrm xmlns:a="http://schemas.openxmlformats.org/drawingml/2006/main">
          <a:off x="4241402" y="4230905"/>
          <a:ext cx="512956" cy="530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956" h="530572">
              <a:moveTo>
                <a:pt x="365370" y="340415"/>
              </a:moveTo>
              <a:lnTo>
                <a:pt x="36258" y="0"/>
              </a:lnTo>
              <a:lnTo>
                <a:pt x="0" y="0"/>
              </a:lnTo>
              <a:lnTo>
                <a:pt x="354145" y="366307"/>
              </a:lnTo>
              <a:lnTo>
                <a:pt x="512955" y="530571"/>
              </a:lnTo>
              <a:lnTo>
                <a:pt x="512955" y="4930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0.3027</cdr:x>
      <cdr:y>0.61755</cdr:y>
    </cdr:from>
    <cdr:to>
      <cdr:x>0.3726</cdr:x>
      <cdr:y>0.68696</cdr:y>
    </cdr:to>
    <cdr:sp macro="" textlink="">
      <cdr:nvSpPr>
        <cdr:cNvPr id="175" name="FracNo 813 StartRow 1742">
          <a:extLst xmlns:a="http://schemas.openxmlformats.org/drawingml/2006/main">
            <a:ext uri="{FF2B5EF4-FFF2-40B4-BE49-F238E27FC236}">
              <a16:creationId xmlns:a16="http://schemas.microsoft.com/office/drawing/2014/main" id="{2176470C-BA8F-CB82-125E-85CD83510DF5}"/>
            </a:ext>
          </a:extLst>
        </cdr:cNvPr>
        <cdr:cNvSpPr/>
      </cdr:nvSpPr>
      <cdr:spPr>
        <a:xfrm xmlns:a="http://schemas.openxmlformats.org/drawingml/2006/main">
          <a:off x="2214291" y="4705731"/>
          <a:ext cx="511339" cy="528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339" h="528900">
              <a:moveTo>
                <a:pt x="308427" y="209881"/>
              </a:moveTo>
              <a:lnTo>
                <a:pt x="291566" y="227321"/>
              </a:lnTo>
              <a:lnTo>
                <a:pt x="0" y="528899"/>
              </a:lnTo>
              <a:lnTo>
                <a:pt x="36259" y="528899"/>
              </a:lnTo>
              <a:lnTo>
                <a:pt x="310672" y="245061"/>
              </a:lnTo>
              <a:lnTo>
                <a:pt x="326068" y="229138"/>
              </a:lnTo>
              <a:lnTo>
                <a:pt x="511338" y="37504"/>
              </a:lnTo>
              <a:lnTo>
                <a:pt x="5113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0.41255</cdr:x>
      <cdr:y>0.17072</cdr:y>
    </cdr:from>
    <cdr:to>
      <cdr:x>0.48453</cdr:x>
      <cdr:y>0.23728</cdr:y>
    </cdr:to>
    <cdr:sp macro="" textlink="">
      <cdr:nvSpPr>
        <cdr:cNvPr id="176" name="FracNo 236 StartRow 1753">
          <a:extLst xmlns:a="http://schemas.openxmlformats.org/drawingml/2006/main">
            <a:ext uri="{FF2B5EF4-FFF2-40B4-BE49-F238E27FC236}">
              <a16:creationId xmlns:a16="http://schemas.microsoft.com/office/drawing/2014/main" id="{71AF87DB-4A4A-2D7C-4DC5-158A943323D9}"/>
            </a:ext>
          </a:extLst>
        </cdr:cNvPr>
        <cdr:cNvSpPr/>
      </cdr:nvSpPr>
      <cdr:spPr>
        <a:xfrm xmlns:a="http://schemas.openxmlformats.org/drawingml/2006/main">
          <a:off x="3017854" y="1300892"/>
          <a:ext cx="526584" cy="507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584" h="507165">
              <a:moveTo>
                <a:pt x="126698" y="131049"/>
              </a:moveTo>
              <a:lnTo>
                <a:pt x="0" y="0"/>
              </a:lnTo>
              <a:lnTo>
                <a:pt x="36259" y="0"/>
              </a:lnTo>
              <a:lnTo>
                <a:pt x="162956" y="131049"/>
              </a:lnTo>
              <a:lnTo>
                <a:pt x="526583" y="507164"/>
              </a:lnTo>
              <a:lnTo>
                <a:pt x="490325" y="5071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</cdr:x>
      <cdr:y>0.6298</cdr:y>
    </cdr:from>
    <cdr:to>
      <cdr:x>0.88302</cdr:x>
      <cdr:y>0.70127</cdr:y>
    </cdr:to>
    <cdr:sp macro="" textlink="">
      <cdr:nvSpPr>
        <cdr:cNvPr id="177" name="FracNo 629 StartRow 1762">
          <a:extLst xmlns:a="http://schemas.openxmlformats.org/drawingml/2006/main">
            <a:ext uri="{FF2B5EF4-FFF2-40B4-BE49-F238E27FC236}">
              <a16:creationId xmlns:a16="http://schemas.microsoft.com/office/drawing/2014/main" id="{44C17382-9E6E-8E37-6AA0-A073C5C3F094}"/>
            </a:ext>
          </a:extLst>
        </cdr:cNvPr>
        <cdr:cNvSpPr/>
      </cdr:nvSpPr>
      <cdr:spPr>
        <a:xfrm xmlns:a="http://schemas.openxmlformats.org/drawingml/2006/main">
          <a:off x="5969220" y="4799096"/>
          <a:ext cx="490266" cy="5446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266" h="544606">
              <a:moveTo>
                <a:pt x="119954" y="124073"/>
              </a:moveTo>
              <a:lnTo>
                <a:pt x="0" y="0"/>
              </a:lnTo>
              <a:lnTo>
                <a:pt x="0" y="37503"/>
              </a:lnTo>
              <a:lnTo>
                <a:pt x="103441" y="144497"/>
              </a:lnTo>
              <a:lnTo>
                <a:pt x="111088" y="152406"/>
              </a:lnTo>
              <a:lnTo>
                <a:pt x="490265" y="544605"/>
              </a:lnTo>
              <a:lnTo>
                <a:pt x="490265" y="507102"/>
              </a:lnTo>
              <a:lnTo>
                <a:pt x="128822" y="1332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0.29436</cdr:y>
    </cdr:from>
    <cdr:to>
      <cdr:x>0.16125</cdr:x>
      <cdr:y>0.3633</cdr:y>
    </cdr:to>
    <cdr:sp macro="" textlink="">
      <cdr:nvSpPr>
        <cdr:cNvPr id="178" name="FracNo 269 StartRow 1773">
          <a:extLst xmlns:a="http://schemas.openxmlformats.org/drawingml/2006/main">
            <a:ext uri="{FF2B5EF4-FFF2-40B4-BE49-F238E27FC236}">
              <a16:creationId xmlns:a16="http://schemas.microsoft.com/office/drawing/2014/main" id="{9E4CC816-2ECB-3573-5BF9-2E31A04C8BC6}"/>
            </a:ext>
          </a:extLst>
        </cdr:cNvPr>
        <cdr:cNvSpPr/>
      </cdr:nvSpPr>
      <cdr:spPr>
        <a:xfrm xmlns:a="http://schemas.openxmlformats.org/drawingml/2006/main">
          <a:off x="671676" y="2243019"/>
          <a:ext cx="507898" cy="525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898" h="525340">
              <a:moveTo>
                <a:pt x="134573" y="386144"/>
              </a:moveTo>
              <a:lnTo>
                <a:pt x="0" y="525339"/>
              </a:lnTo>
              <a:lnTo>
                <a:pt x="0" y="487835"/>
              </a:lnTo>
              <a:lnTo>
                <a:pt x="124966" y="358577"/>
              </a:lnTo>
              <a:lnTo>
                <a:pt x="471638" y="0"/>
              </a:lnTo>
              <a:lnTo>
                <a:pt x="5078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0.87556</cdr:x>
      <cdr:y>0.16071</cdr:y>
    </cdr:from>
    <cdr:to>
      <cdr:x>0.94246</cdr:x>
      <cdr:y>0.23206</cdr:y>
    </cdr:to>
    <cdr:sp macro="" textlink="">
      <cdr:nvSpPr>
        <cdr:cNvPr id="179" name="FracNo 931 StartRow 1782">
          <a:extLst xmlns:a="http://schemas.openxmlformats.org/drawingml/2006/main">
            <a:ext uri="{FF2B5EF4-FFF2-40B4-BE49-F238E27FC236}">
              <a16:creationId xmlns:a16="http://schemas.microsoft.com/office/drawing/2014/main" id="{88F11B78-A0AC-0B76-69ED-B3D9DDEDF1C9}"/>
            </a:ext>
          </a:extLst>
        </cdr:cNvPr>
        <cdr:cNvSpPr/>
      </cdr:nvSpPr>
      <cdr:spPr>
        <a:xfrm xmlns:a="http://schemas.openxmlformats.org/drawingml/2006/main">
          <a:off x="6404926" y="1224621"/>
          <a:ext cx="489382" cy="543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382" h="543692">
              <a:moveTo>
                <a:pt x="464762" y="25464"/>
              </a:moveTo>
              <a:lnTo>
                <a:pt x="0" y="506187"/>
              </a:lnTo>
              <a:lnTo>
                <a:pt x="0" y="543691"/>
              </a:lnTo>
              <a:lnTo>
                <a:pt x="464762" y="62967"/>
              </a:lnTo>
              <a:lnTo>
                <a:pt x="489381" y="37503"/>
              </a:lnTo>
              <a:lnTo>
                <a:pt x="4893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0.73578</cdr:x>
      <cdr:y>0.69912</cdr:y>
    </cdr:from>
    <cdr:to>
      <cdr:x>0.80615</cdr:x>
      <cdr:y>0.76653</cdr:y>
    </cdr:to>
    <cdr:sp macro="" textlink="">
      <cdr:nvSpPr>
        <cdr:cNvPr id="180" name="FracNo 146 StartRow 1791">
          <a:extLst xmlns:a="http://schemas.openxmlformats.org/drawingml/2006/main">
            <a:ext uri="{FF2B5EF4-FFF2-40B4-BE49-F238E27FC236}">
              <a16:creationId xmlns:a16="http://schemas.microsoft.com/office/drawing/2014/main" id="{19C7BF35-15B9-6B0A-3636-1048E6F4416E}"/>
            </a:ext>
          </a:extLst>
        </cdr:cNvPr>
        <cdr:cNvSpPr/>
      </cdr:nvSpPr>
      <cdr:spPr>
        <a:xfrm xmlns:a="http://schemas.openxmlformats.org/drawingml/2006/main">
          <a:off x="5382354" y="5327266"/>
          <a:ext cx="514770" cy="513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4770" h="513696">
              <a:moveTo>
                <a:pt x="268948" y="240680"/>
              </a:moveTo>
              <a:lnTo>
                <a:pt x="36258" y="0"/>
              </a:lnTo>
              <a:lnTo>
                <a:pt x="0" y="0"/>
              </a:lnTo>
              <a:lnTo>
                <a:pt x="241505" y="249799"/>
              </a:lnTo>
              <a:lnTo>
                <a:pt x="496640" y="513695"/>
              </a:lnTo>
              <a:lnTo>
                <a:pt x="514769" y="4949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0.59819</cdr:x>
      <cdr:y>0.62841</cdr:y>
    </cdr:from>
    <cdr:to>
      <cdr:x>0.66711</cdr:x>
      <cdr:y>0.69685</cdr:y>
    </cdr:to>
    <cdr:sp macro="" textlink="">
      <cdr:nvSpPr>
        <cdr:cNvPr id="181" name="FracNo 473 StartRow 1800">
          <a:extLst xmlns:a="http://schemas.openxmlformats.org/drawingml/2006/main">
            <a:ext uri="{FF2B5EF4-FFF2-40B4-BE49-F238E27FC236}">
              <a16:creationId xmlns:a16="http://schemas.microsoft.com/office/drawing/2014/main" id="{01FC518B-FA68-E990-0B56-654D0DF96EA0}"/>
            </a:ext>
          </a:extLst>
        </cdr:cNvPr>
        <cdr:cNvSpPr/>
      </cdr:nvSpPr>
      <cdr:spPr>
        <a:xfrm xmlns:a="http://schemas.openxmlformats.org/drawingml/2006/main">
          <a:off x="4375898" y="4788493"/>
          <a:ext cx="504170" cy="521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4170" h="521485">
              <a:moveTo>
                <a:pt x="262379" y="271390"/>
              </a:moveTo>
              <a:lnTo>
                <a:pt x="134869" y="139501"/>
              </a:lnTo>
              <a:lnTo>
                <a:pt x="0" y="0"/>
              </a:lnTo>
              <a:lnTo>
                <a:pt x="0" y="37504"/>
              </a:lnTo>
              <a:lnTo>
                <a:pt x="125542" y="167357"/>
              </a:lnTo>
              <a:lnTo>
                <a:pt x="243787" y="289663"/>
              </a:lnTo>
              <a:lnTo>
                <a:pt x="427698" y="479889"/>
              </a:lnTo>
              <a:lnTo>
                <a:pt x="467911" y="521484"/>
              </a:lnTo>
              <a:lnTo>
                <a:pt x="504169" y="521484"/>
              </a:lnTo>
              <a:lnTo>
                <a:pt x="460700" y="4765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0.58438</cdr:x>
      <cdr:y>0.64213</cdr:y>
    </cdr:from>
    <cdr:to>
      <cdr:x>0.6533</cdr:x>
      <cdr:y>0.71056</cdr:y>
    </cdr:to>
    <cdr:sp macro="" textlink="">
      <cdr:nvSpPr>
        <cdr:cNvPr id="182" name="FracNo 470 StartRow 1813">
          <a:extLst xmlns:a="http://schemas.openxmlformats.org/drawingml/2006/main">
            <a:ext uri="{FF2B5EF4-FFF2-40B4-BE49-F238E27FC236}">
              <a16:creationId xmlns:a16="http://schemas.microsoft.com/office/drawing/2014/main" id="{B59DAB37-6ABD-E344-5E05-27946E5DB036}"/>
            </a:ext>
          </a:extLst>
        </cdr:cNvPr>
        <cdr:cNvSpPr/>
      </cdr:nvSpPr>
      <cdr:spPr>
        <a:xfrm xmlns:a="http://schemas.openxmlformats.org/drawingml/2006/main">
          <a:off x="4274853" y="4893009"/>
          <a:ext cx="504171" cy="521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4171" h="521484">
              <a:moveTo>
                <a:pt x="265157" y="274263"/>
              </a:moveTo>
              <a:lnTo>
                <a:pt x="30194" y="31230"/>
              </a:lnTo>
              <a:lnTo>
                <a:pt x="0" y="0"/>
              </a:lnTo>
              <a:lnTo>
                <a:pt x="0" y="37503"/>
              </a:lnTo>
              <a:lnTo>
                <a:pt x="28126" y="66596"/>
              </a:lnTo>
              <a:lnTo>
                <a:pt x="246140" y="292096"/>
              </a:lnTo>
              <a:lnTo>
                <a:pt x="467911" y="521483"/>
              </a:lnTo>
              <a:lnTo>
                <a:pt x="504170" y="5214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0.60687</cdr:x>
      <cdr:y>0.78535</cdr:y>
    </cdr:from>
    <cdr:to>
      <cdr:x>0.67684</cdr:x>
      <cdr:y>0.85237</cdr:y>
    </cdr:to>
    <cdr:sp macro="" textlink="">
      <cdr:nvSpPr>
        <cdr:cNvPr id="183" name="FracNo 143 StartRow 1824">
          <a:extLst xmlns:a="http://schemas.openxmlformats.org/drawingml/2006/main">
            <a:ext uri="{FF2B5EF4-FFF2-40B4-BE49-F238E27FC236}">
              <a16:creationId xmlns:a16="http://schemas.microsoft.com/office/drawing/2014/main" id="{12E6E2FD-9B86-39BD-B0FC-3595C672CE4B}"/>
            </a:ext>
          </a:extLst>
        </cdr:cNvPr>
        <cdr:cNvSpPr/>
      </cdr:nvSpPr>
      <cdr:spPr>
        <a:xfrm xmlns:a="http://schemas.openxmlformats.org/drawingml/2006/main">
          <a:off x="4439357" y="5984391"/>
          <a:ext cx="511830" cy="510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830" h="510655">
              <a:moveTo>
                <a:pt x="429000" y="462484"/>
              </a:moveTo>
              <a:lnTo>
                <a:pt x="371675" y="403191"/>
              </a:lnTo>
              <a:lnTo>
                <a:pt x="0" y="18751"/>
              </a:lnTo>
              <a:lnTo>
                <a:pt x="18129" y="0"/>
              </a:lnTo>
              <a:lnTo>
                <a:pt x="389804" y="384439"/>
              </a:lnTo>
              <a:lnTo>
                <a:pt x="457132" y="454078"/>
              </a:lnTo>
              <a:lnTo>
                <a:pt x="511829" y="510654"/>
              </a:lnTo>
              <a:lnTo>
                <a:pt x="475570" y="5106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0.81764</cdr:x>
      <cdr:y>0.6932</cdr:y>
    </cdr:from>
    <cdr:to>
      <cdr:x>0.8862</cdr:x>
      <cdr:y>0.76127</cdr:y>
    </cdr:to>
    <cdr:sp macro="" textlink="">
      <cdr:nvSpPr>
        <cdr:cNvPr id="184" name="FracNo 108 StartRow 1835">
          <a:extLst xmlns:a="http://schemas.openxmlformats.org/drawingml/2006/main">
            <a:ext uri="{FF2B5EF4-FFF2-40B4-BE49-F238E27FC236}">
              <a16:creationId xmlns:a16="http://schemas.microsoft.com/office/drawing/2014/main" id="{32DEBA4E-6E39-A36E-172B-A2E84CDC3D6A}"/>
            </a:ext>
          </a:extLst>
        </cdr:cNvPr>
        <cdr:cNvSpPr/>
      </cdr:nvSpPr>
      <cdr:spPr>
        <a:xfrm xmlns:a="http://schemas.openxmlformats.org/drawingml/2006/main">
          <a:off x="5981209" y="5282146"/>
          <a:ext cx="501530" cy="518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1530" h="518754">
              <a:moveTo>
                <a:pt x="192952" y="319175"/>
              </a:moveTo>
              <a:lnTo>
                <a:pt x="0" y="518753"/>
              </a:lnTo>
              <a:lnTo>
                <a:pt x="36258" y="518753"/>
              </a:lnTo>
              <a:lnTo>
                <a:pt x="215261" y="333603"/>
              </a:lnTo>
              <a:lnTo>
                <a:pt x="501529" y="37504"/>
              </a:lnTo>
              <a:lnTo>
                <a:pt x="5015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0.23368</cdr:x>
      <cdr:y>0.63901</cdr:y>
    </cdr:from>
    <cdr:to>
      <cdr:x>0.30182</cdr:x>
      <cdr:y>0.70667</cdr:y>
    </cdr:to>
    <cdr:sp macro="" textlink="">
      <cdr:nvSpPr>
        <cdr:cNvPr id="185" name="FracNo 78 StartRow 1844">
          <a:extLst xmlns:a="http://schemas.openxmlformats.org/drawingml/2006/main">
            <a:ext uri="{FF2B5EF4-FFF2-40B4-BE49-F238E27FC236}">
              <a16:creationId xmlns:a16="http://schemas.microsoft.com/office/drawing/2014/main" id="{053A1065-C803-1732-FEA2-21963C735E95}"/>
            </a:ext>
          </a:extLst>
        </cdr:cNvPr>
        <cdr:cNvSpPr/>
      </cdr:nvSpPr>
      <cdr:spPr>
        <a:xfrm xmlns:a="http://schemas.openxmlformats.org/drawingml/2006/main">
          <a:off x="1709439" y="4869269"/>
          <a:ext cx="498408" cy="515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408" h="515524">
              <a:moveTo>
                <a:pt x="475747" y="473333"/>
              </a:moveTo>
              <a:lnTo>
                <a:pt x="79306" y="63277"/>
              </a:lnTo>
              <a:lnTo>
                <a:pt x="18130" y="0"/>
              </a:lnTo>
              <a:lnTo>
                <a:pt x="0" y="18752"/>
              </a:lnTo>
              <a:lnTo>
                <a:pt x="61177" y="82029"/>
              </a:lnTo>
              <a:lnTo>
                <a:pt x="457618" y="492085"/>
              </a:lnTo>
              <a:lnTo>
                <a:pt x="480278" y="515523"/>
              </a:lnTo>
              <a:lnTo>
                <a:pt x="498407" y="4967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0.46943</cdr:x>
      <cdr:y>0.76935</cdr:y>
    </cdr:from>
    <cdr:to>
      <cdr:x>0.53756</cdr:x>
      <cdr:y>0.83699</cdr:y>
    </cdr:to>
    <cdr:sp macro="" textlink="">
      <cdr:nvSpPr>
        <cdr:cNvPr id="186" name="FracNo 465 StartRow 1855">
          <a:extLst xmlns:a="http://schemas.openxmlformats.org/drawingml/2006/main">
            <a:ext uri="{FF2B5EF4-FFF2-40B4-BE49-F238E27FC236}">
              <a16:creationId xmlns:a16="http://schemas.microsoft.com/office/drawing/2014/main" id="{0E9DF7D4-E72C-02BC-BB53-4D1713213D67}"/>
            </a:ext>
          </a:extLst>
        </cdr:cNvPr>
        <cdr:cNvSpPr/>
      </cdr:nvSpPr>
      <cdr:spPr>
        <a:xfrm xmlns:a="http://schemas.openxmlformats.org/drawingml/2006/main">
          <a:off x="3434005" y="5862432"/>
          <a:ext cx="498329" cy="515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329" h="515443">
              <a:moveTo>
                <a:pt x="63591" y="65775"/>
              </a:moveTo>
              <a:lnTo>
                <a:pt x="0" y="0"/>
              </a:lnTo>
              <a:lnTo>
                <a:pt x="36258" y="0"/>
              </a:lnTo>
              <a:lnTo>
                <a:pt x="95223" y="60989"/>
              </a:lnTo>
              <a:lnTo>
                <a:pt x="498328" y="477938"/>
              </a:lnTo>
              <a:lnTo>
                <a:pt x="498328" y="5154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0.33227</cdr:x>
      <cdr:y>0.86247</cdr:y>
    </cdr:from>
    <cdr:to>
      <cdr:x>0.40038</cdr:x>
      <cdr:y>0.9301</cdr:y>
    </cdr:to>
    <cdr:sp macro="" textlink="">
      <cdr:nvSpPr>
        <cdr:cNvPr id="187" name="FracNo 40 StartRow 1864">
          <a:extLst xmlns:a="http://schemas.openxmlformats.org/drawingml/2006/main">
            <a:ext uri="{FF2B5EF4-FFF2-40B4-BE49-F238E27FC236}">
              <a16:creationId xmlns:a16="http://schemas.microsoft.com/office/drawing/2014/main" id="{36C9FFC6-4D73-D6CF-D61D-07A3BBDA9FAE}"/>
            </a:ext>
          </a:extLst>
        </cdr:cNvPr>
        <cdr:cNvSpPr/>
      </cdr:nvSpPr>
      <cdr:spPr>
        <a:xfrm xmlns:a="http://schemas.openxmlformats.org/drawingml/2006/main">
          <a:off x="2430657" y="6572038"/>
          <a:ext cx="498218" cy="515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218" h="515328">
              <a:moveTo>
                <a:pt x="232261" y="275089"/>
              </a:moveTo>
              <a:lnTo>
                <a:pt x="0" y="515327"/>
              </a:lnTo>
              <a:lnTo>
                <a:pt x="36259" y="515327"/>
              </a:lnTo>
              <a:lnTo>
                <a:pt x="250971" y="293241"/>
              </a:lnTo>
              <a:lnTo>
                <a:pt x="321694" y="220089"/>
              </a:lnTo>
              <a:lnTo>
                <a:pt x="498217" y="37504"/>
              </a:lnTo>
              <a:lnTo>
                <a:pt x="498217" y="0"/>
              </a:lnTo>
              <a:lnTo>
                <a:pt x="308765" y="1959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0.87444</cdr:x>
      <cdr:y>0.21038</cdr:y>
    </cdr:from>
    <cdr:to>
      <cdr:x>0.94246</cdr:x>
      <cdr:y>0.27793</cdr:y>
    </cdr:to>
    <cdr:sp macro="" textlink="">
      <cdr:nvSpPr>
        <cdr:cNvPr id="188" name="FracNo 511 StartRow 1875">
          <a:extLst xmlns:a="http://schemas.openxmlformats.org/drawingml/2006/main">
            <a:ext uri="{FF2B5EF4-FFF2-40B4-BE49-F238E27FC236}">
              <a16:creationId xmlns:a16="http://schemas.microsoft.com/office/drawing/2014/main" id="{19BD7846-9D24-5C3E-6390-AC43E865ABAD}"/>
            </a:ext>
          </a:extLst>
        </cdr:cNvPr>
        <cdr:cNvSpPr/>
      </cdr:nvSpPr>
      <cdr:spPr>
        <a:xfrm xmlns:a="http://schemas.openxmlformats.org/drawingml/2006/main">
          <a:off x="6396708" y="1603120"/>
          <a:ext cx="497600" cy="514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7600" h="514689">
              <a:moveTo>
                <a:pt x="168201" y="378214"/>
              </a:moveTo>
              <a:lnTo>
                <a:pt x="36258" y="514688"/>
              </a:lnTo>
              <a:lnTo>
                <a:pt x="0" y="514688"/>
              </a:lnTo>
              <a:lnTo>
                <a:pt x="142312" y="367488"/>
              </a:lnTo>
              <a:lnTo>
                <a:pt x="497599" y="0"/>
              </a:lnTo>
              <a:lnTo>
                <a:pt x="49759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0.35358</cdr:x>
      <cdr:y>0.6795</cdr:y>
    </cdr:from>
    <cdr:to>
      <cdr:x>0.42404</cdr:x>
      <cdr:y>0.74455</cdr:y>
    </cdr:to>
    <cdr:sp macro="" textlink="">
      <cdr:nvSpPr>
        <cdr:cNvPr id="189" name="FracNo 424 StartRow 1884">
          <a:extLst xmlns:a="http://schemas.openxmlformats.org/drawingml/2006/main">
            <a:ext uri="{FF2B5EF4-FFF2-40B4-BE49-F238E27FC236}">
              <a16:creationId xmlns:a16="http://schemas.microsoft.com/office/drawing/2014/main" id="{DDD65E6E-2895-F3BD-2C61-700C72CEFEE1}"/>
            </a:ext>
          </a:extLst>
        </cdr:cNvPr>
        <cdr:cNvSpPr/>
      </cdr:nvSpPr>
      <cdr:spPr>
        <a:xfrm xmlns:a="http://schemas.openxmlformats.org/drawingml/2006/main">
          <a:off x="2586502" y="5177822"/>
          <a:ext cx="515427" cy="495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5427" h="495623">
              <a:moveTo>
                <a:pt x="193802" y="295165"/>
              </a:moveTo>
              <a:lnTo>
                <a:pt x="148068" y="342469"/>
              </a:lnTo>
              <a:lnTo>
                <a:pt x="0" y="495622"/>
              </a:lnTo>
              <a:lnTo>
                <a:pt x="36258" y="495622"/>
              </a:lnTo>
              <a:lnTo>
                <a:pt x="170700" y="356563"/>
              </a:lnTo>
              <a:lnTo>
                <a:pt x="218316" y="307313"/>
              </a:lnTo>
              <a:lnTo>
                <a:pt x="515426" y="0"/>
              </a:lnTo>
              <a:lnTo>
                <a:pt x="4791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0.34071</cdr:x>
      <cdr:y>0.80322</cdr:y>
    </cdr:from>
    <cdr:to>
      <cdr:x>0.40598</cdr:x>
      <cdr:y>0.87295</cdr:y>
    </cdr:to>
    <cdr:sp macro="" textlink="">
      <cdr:nvSpPr>
        <cdr:cNvPr id="190" name="FracNo 76 StartRow 1895">
          <a:extLst xmlns:a="http://schemas.openxmlformats.org/drawingml/2006/main">
            <a:ext uri="{FF2B5EF4-FFF2-40B4-BE49-F238E27FC236}">
              <a16:creationId xmlns:a16="http://schemas.microsoft.com/office/drawing/2014/main" id="{D6477923-1AA7-6288-20BB-9118F5794ED0}"/>
            </a:ext>
          </a:extLst>
        </cdr:cNvPr>
        <cdr:cNvSpPr/>
      </cdr:nvSpPr>
      <cdr:spPr>
        <a:xfrm xmlns:a="http://schemas.openxmlformats.org/drawingml/2006/main">
          <a:off x="2492351" y="6120524"/>
          <a:ext cx="477465" cy="531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7465" h="531365">
              <a:moveTo>
                <a:pt x="204100" y="211109"/>
              </a:moveTo>
              <a:lnTo>
                <a:pt x="0" y="0"/>
              </a:lnTo>
              <a:lnTo>
                <a:pt x="0" y="37503"/>
              </a:lnTo>
              <a:lnTo>
                <a:pt x="192716" y="236837"/>
              </a:lnTo>
              <a:lnTo>
                <a:pt x="246261" y="292222"/>
              </a:lnTo>
              <a:lnTo>
                <a:pt x="477464" y="531364"/>
              </a:lnTo>
              <a:lnTo>
                <a:pt x="477464" y="493860"/>
              </a:lnTo>
              <a:lnTo>
                <a:pt x="260809" y="2697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0.65531</cdr:x>
      <cdr:y>0.3763</cdr:y>
    </cdr:from>
    <cdr:to>
      <cdr:x>0.72423</cdr:x>
      <cdr:y>0.44228</cdr:y>
    </cdr:to>
    <cdr:sp macro="" textlink="">
      <cdr:nvSpPr>
        <cdr:cNvPr id="191" name="FracNo 585 StartRow 1906">
          <a:extLst xmlns:a="http://schemas.openxmlformats.org/drawingml/2006/main">
            <a:ext uri="{FF2B5EF4-FFF2-40B4-BE49-F238E27FC236}">
              <a16:creationId xmlns:a16="http://schemas.microsoft.com/office/drawing/2014/main" id="{90F28D06-F553-A219-F2BE-C26782A4F4FC}"/>
            </a:ext>
          </a:extLst>
        </cdr:cNvPr>
        <cdr:cNvSpPr/>
      </cdr:nvSpPr>
      <cdr:spPr>
        <a:xfrm xmlns:a="http://schemas.openxmlformats.org/drawingml/2006/main">
          <a:off x="4793701" y="2867402"/>
          <a:ext cx="504214" cy="50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4214" h="502777">
              <a:moveTo>
                <a:pt x="37389" y="482856"/>
              </a:moveTo>
              <a:lnTo>
                <a:pt x="35460" y="484850"/>
              </a:lnTo>
              <a:lnTo>
                <a:pt x="18130" y="502776"/>
              </a:lnTo>
              <a:lnTo>
                <a:pt x="0" y="484023"/>
              </a:lnTo>
              <a:lnTo>
                <a:pt x="17331" y="466097"/>
              </a:lnTo>
              <a:lnTo>
                <a:pt x="19184" y="464181"/>
              </a:lnTo>
              <a:lnTo>
                <a:pt x="467954" y="0"/>
              </a:lnTo>
              <a:lnTo>
                <a:pt x="5042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0.70353</cdr:y>
    </cdr:from>
    <cdr:to>
      <cdr:x>0.1581</cdr:x>
      <cdr:y>0.7718</cdr:y>
    </cdr:to>
    <cdr:sp macro="" textlink="">
      <cdr:nvSpPr>
        <cdr:cNvPr id="192" name="FracNo 778 StartRow 1917">
          <a:extLst xmlns:a="http://schemas.openxmlformats.org/drawingml/2006/main">
            <a:ext uri="{FF2B5EF4-FFF2-40B4-BE49-F238E27FC236}">
              <a16:creationId xmlns:a16="http://schemas.microsoft.com/office/drawing/2014/main" id="{3D481274-B5EE-0B9C-4841-427572056503}"/>
            </a:ext>
          </a:extLst>
        </cdr:cNvPr>
        <cdr:cNvSpPr/>
      </cdr:nvSpPr>
      <cdr:spPr>
        <a:xfrm xmlns:a="http://schemas.openxmlformats.org/drawingml/2006/main">
          <a:off x="671676" y="5360865"/>
          <a:ext cx="484870" cy="520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4870" h="520272">
              <a:moveTo>
                <a:pt x="394356" y="445402"/>
              </a:moveTo>
              <a:lnTo>
                <a:pt x="0" y="37503"/>
              </a:lnTo>
              <a:lnTo>
                <a:pt x="0" y="0"/>
              </a:lnTo>
              <a:lnTo>
                <a:pt x="409674" y="423742"/>
              </a:lnTo>
              <a:lnTo>
                <a:pt x="484869" y="501519"/>
              </a:lnTo>
              <a:lnTo>
                <a:pt x="466739" y="5202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0.26262</cdr:x>
      <cdr:y>0.83202</cdr:y>
    </cdr:from>
    <cdr:to>
      <cdr:x>0.32758</cdr:x>
      <cdr:y>0.90144</cdr:y>
    </cdr:to>
    <cdr:sp macro="" textlink="">
      <cdr:nvSpPr>
        <cdr:cNvPr id="193" name="FracNo 70 StartRow 1926">
          <a:extLst xmlns:a="http://schemas.openxmlformats.org/drawingml/2006/main">
            <a:ext uri="{FF2B5EF4-FFF2-40B4-BE49-F238E27FC236}">
              <a16:creationId xmlns:a16="http://schemas.microsoft.com/office/drawing/2014/main" id="{22F7D03F-7250-3770-A74D-838FFBBC44C7}"/>
            </a:ext>
          </a:extLst>
        </cdr:cNvPr>
        <cdr:cNvSpPr/>
      </cdr:nvSpPr>
      <cdr:spPr>
        <a:xfrm xmlns:a="http://schemas.openxmlformats.org/drawingml/2006/main">
          <a:off x="1921119" y="6339977"/>
          <a:ext cx="475179" cy="529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5179" h="529002">
              <a:moveTo>
                <a:pt x="291552" y="339069"/>
              </a:moveTo>
              <a:lnTo>
                <a:pt x="0" y="37504"/>
              </a:lnTo>
              <a:lnTo>
                <a:pt x="0" y="0"/>
              </a:lnTo>
              <a:lnTo>
                <a:pt x="291552" y="301565"/>
              </a:lnTo>
              <a:lnTo>
                <a:pt x="475178" y="491497"/>
              </a:lnTo>
              <a:lnTo>
                <a:pt x="475178" y="529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0.50918</cdr:x>
      <cdr:y>0.14671</cdr:y>
    </cdr:from>
    <cdr:to>
      <cdr:x>0.57389</cdr:x>
      <cdr:y>0.21588</cdr:y>
    </cdr:to>
    <cdr:sp macro="" textlink="">
      <cdr:nvSpPr>
        <cdr:cNvPr id="194" name="FracNo 190 StartRow 1935">
          <a:extLst xmlns:a="http://schemas.openxmlformats.org/drawingml/2006/main">
            <a:ext uri="{FF2B5EF4-FFF2-40B4-BE49-F238E27FC236}">
              <a16:creationId xmlns:a16="http://schemas.microsoft.com/office/drawing/2014/main" id="{F002505B-BDAF-A2AE-DEC9-5CFF120E6DF0}"/>
            </a:ext>
          </a:extLst>
        </cdr:cNvPr>
        <cdr:cNvSpPr/>
      </cdr:nvSpPr>
      <cdr:spPr>
        <a:xfrm xmlns:a="http://schemas.openxmlformats.org/drawingml/2006/main">
          <a:off x="3724730" y="1117910"/>
          <a:ext cx="473364" cy="5271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364" h="527123">
              <a:moveTo>
                <a:pt x="105094" y="380915"/>
              </a:moveTo>
              <a:lnTo>
                <a:pt x="0" y="489619"/>
              </a:lnTo>
              <a:lnTo>
                <a:pt x="0" y="527122"/>
              </a:lnTo>
              <a:lnTo>
                <a:pt x="105094" y="418419"/>
              </a:lnTo>
              <a:lnTo>
                <a:pt x="473363" y="37504"/>
              </a:lnTo>
              <a:lnTo>
                <a:pt x="4733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0.51626</cdr:x>
      <cdr:y>0.15374</cdr:y>
    </cdr:from>
    <cdr:to>
      <cdr:x>0.58097</cdr:x>
      <cdr:y>0.22291</cdr:y>
    </cdr:to>
    <cdr:sp macro="" textlink="">
      <cdr:nvSpPr>
        <cdr:cNvPr id="195" name="FracNo 893 StartRow 1944">
          <a:extLst xmlns:a="http://schemas.openxmlformats.org/drawingml/2006/main">
            <a:ext uri="{FF2B5EF4-FFF2-40B4-BE49-F238E27FC236}">
              <a16:creationId xmlns:a16="http://schemas.microsoft.com/office/drawing/2014/main" id="{2CE02640-8DD4-F8B6-B6BE-C5E2F19ACC7E}"/>
            </a:ext>
          </a:extLst>
        </cdr:cNvPr>
        <cdr:cNvSpPr/>
      </cdr:nvSpPr>
      <cdr:spPr>
        <a:xfrm xmlns:a="http://schemas.openxmlformats.org/drawingml/2006/main">
          <a:off x="3776521" y="1171479"/>
          <a:ext cx="473363" cy="527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363" h="527124">
              <a:moveTo>
                <a:pt x="274875" y="205304"/>
              </a:moveTo>
              <a:lnTo>
                <a:pt x="0" y="489619"/>
              </a:lnTo>
              <a:lnTo>
                <a:pt x="0" y="527123"/>
              </a:lnTo>
              <a:lnTo>
                <a:pt x="274875" y="242808"/>
              </a:lnTo>
              <a:lnTo>
                <a:pt x="473362" y="37504"/>
              </a:lnTo>
              <a:lnTo>
                <a:pt x="473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0.87813</cdr:x>
      <cdr:y>0.2859</cdr:y>
    </cdr:from>
    <cdr:to>
      <cdr:x>0.94246</cdr:x>
      <cdr:y>0.35471</cdr:y>
    </cdr:to>
    <cdr:sp macro="" textlink="">
      <cdr:nvSpPr>
        <cdr:cNvPr id="196" name="FracNo 749 StartRow 1953">
          <a:extLst xmlns:a="http://schemas.openxmlformats.org/drawingml/2006/main">
            <a:ext uri="{FF2B5EF4-FFF2-40B4-BE49-F238E27FC236}">
              <a16:creationId xmlns:a16="http://schemas.microsoft.com/office/drawing/2014/main" id="{BE57A818-15D3-9582-DB00-882A90FF3BFF}"/>
            </a:ext>
          </a:extLst>
        </cdr:cNvPr>
        <cdr:cNvSpPr/>
      </cdr:nvSpPr>
      <cdr:spPr>
        <a:xfrm xmlns:a="http://schemas.openxmlformats.org/drawingml/2006/main">
          <a:off x="6423672" y="2178577"/>
          <a:ext cx="470636" cy="524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636" h="524302">
              <a:moveTo>
                <a:pt x="150294" y="155455"/>
              </a:moveTo>
              <a:lnTo>
                <a:pt x="0" y="0"/>
              </a:lnTo>
              <a:lnTo>
                <a:pt x="0" y="37503"/>
              </a:lnTo>
              <a:lnTo>
                <a:pt x="150294" y="192959"/>
              </a:lnTo>
              <a:lnTo>
                <a:pt x="470635" y="524301"/>
              </a:lnTo>
              <a:lnTo>
                <a:pt x="470635" y="4867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0.46608</cdr:x>
      <cdr:y>0.37418</cdr:y>
    </cdr:from>
    <cdr:to>
      <cdr:x>0.53383</cdr:x>
      <cdr:y>0.439</cdr:y>
    </cdr:to>
    <cdr:sp macro="" textlink="">
      <cdr:nvSpPr>
        <cdr:cNvPr id="197" name="FracNo 761 StartRow 1962">
          <a:extLst xmlns:a="http://schemas.openxmlformats.org/drawingml/2006/main">
            <a:ext uri="{FF2B5EF4-FFF2-40B4-BE49-F238E27FC236}">
              <a16:creationId xmlns:a16="http://schemas.microsoft.com/office/drawing/2014/main" id="{0A6C1BA3-4B15-E056-245B-A31545943ECF}"/>
            </a:ext>
          </a:extLst>
        </cdr:cNvPr>
        <cdr:cNvSpPr/>
      </cdr:nvSpPr>
      <cdr:spPr>
        <a:xfrm xmlns:a="http://schemas.openxmlformats.org/drawingml/2006/main">
          <a:off x="3409470" y="2851240"/>
          <a:ext cx="495638" cy="493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5638" h="493908">
              <a:moveTo>
                <a:pt x="395283" y="408858"/>
              </a:moveTo>
              <a:lnTo>
                <a:pt x="0" y="0"/>
              </a:lnTo>
              <a:lnTo>
                <a:pt x="36258" y="0"/>
              </a:lnTo>
              <a:lnTo>
                <a:pt x="416534" y="393335"/>
              </a:lnTo>
              <a:lnTo>
                <a:pt x="495637" y="475155"/>
              </a:lnTo>
              <a:lnTo>
                <a:pt x="477508" y="4939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0.3558</cdr:x>
      <cdr:y>0.42504</cdr:y>
    </cdr:from>
    <cdr:to>
      <cdr:x>0.42216</cdr:x>
      <cdr:y>0.49093</cdr:y>
    </cdr:to>
    <cdr:sp macro="" textlink="">
      <cdr:nvSpPr>
        <cdr:cNvPr id="198" name="FracNo 903 StartRow 1971">
          <a:extLst xmlns:a="http://schemas.openxmlformats.org/drawingml/2006/main">
            <a:ext uri="{FF2B5EF4-FFF2-40B4-BE49-F238E27FC236}">
              <a16:creationId xmlns:a16="http://schemas.microsoft.com/office/drawing/2014/main" id="{33D1E469-74EA-F476-73D6-D98778576FBC}"/>
            </a:ext>
          </a:extLst>
        </cdr:cNvPr>
        <cdr:cNvSpPr/>
      </cdr:nvSpPr>
      <cdr:spPr>
        <a:xfrm xmlns:a="http://schemas.openxmlformats.org/drawingml/2006/main">
          <a:off x="2602755" y="3238777"/>
          <a:ext cx="485465" cy="502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465" h="502137">
              <a:moveTo>
                <a:pt x="39884" y="498387"/>
              </a:moveTo>
              <a:lnTo>
                <a:pt x="36259" y="502136"/>
              </a:lnTo>
              <a:lnTo>
                <a:pt x="0" y="502136"/>
              </a:lnTo>
              <a:lnTo>
                <a:pt x="4355" y="497632"/>
              </a:lnTo>
              <a:lnTo>
                <a:pt x="136434" y="361017"/>
              </a:lnTo>
              <a:lnTo>
                <a:pt x="485464" y="0"/>
              </a:lnTo>
              <a:lnTo>
                <a:pt x="485464" y="37504"/>
              </a:lnTo>
              <a:lnTo>
                <a:pt x="149829" y="3846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0.34042</cdr:x>
      <cdr:y>0.40977</cdr:y>
    </cdr:from>
    <cdr:to>
      <cdr:x>0.40679</cdr:x>
      <cdr:y>0.47566</cdr:y>
    </cdr:to>
    <cdr:sp macro="" textlink="">
      <cdr:nvSpPr>
        <cdr:cNvPr id="199" name="FracNo 1179 StartRow 1982">
          <a:extLst xmlns:a="http://schemas.openxmlformats.org/drawingml/2006/main">
            <a:ext uri="{FF2B5EF4-FFF2-40B4-BE49-F238E27FC236}">
              <a16:creationId xmlns:a16="http://schemas.microsoft.com/office/drawing/2014/main" id="{3A6E6D92-E0DC-7966-2BCB-D8F848186BDE}"/>
            </a:ext>
          </a:extLst>
        </cdr:cNvPr>
        <cdr:cNvSpPr/>
      </cdr:nvSpPr>
      <cdr:spPr>
        <a:xfrm xmlns:a="http://schemas.openxmlformats.org/drawingml/2006/main">
          <a:off x="2490253" y="3122412"/>
          <a:ext cx="485465" cy="502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465" h="502136">
              <a:moveTo>
                <a:pt x="229887" y="226850"/>
              </a:moveTo>
              <a:lnTo>
                <a:pt x="0" y="464631"/>
              </a:lnTo>
              <a:lnTo>
                <a:pt x="0" y="502135"/>
              </a:lnTo>
              <a:lnTo>
                <a:pt x="248071" y="245545"/>
              </a:lnTo>
              <a:lnTo>
                <a:pt x="265359" y="227663"/>
              </a:lnTo>
              <a:lnTo>
                <a:pt x="485464" y="0"/>
              </a:lnTo>
              <a:lnTo>
                <a:pt x="449206" y="0"/>
              </a:lnTo>
              <a:lnTo>
                <a:pt x="245908" y="2102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0.38695</cdr:x>
      <cdr:y>0.45596</cdr:y>
    </cdr:from>
    <cdr:to>
      <cdr:x>0.45331</cdr:x>
      <cdr:y>0.52186</cdr:y>
    </cdr:to>
    <cdr:sp macro="" textlink="">
      <cdr:nvSpPr>
        <cdr:cNvPr id="200" name="FracNo 855 StartRow 1993">
          <a:extLst xmlns:a="http://schemas.openxmlformats.org/drawingml/2006/main">
            <a:ext uri="{FF2B5EF4-FFF2-40B4-BE49-F238E27FC236}">
              <a16:creationId xmlns:a16="http://schemas.microsoft.com/office/drawing/2014/main" id="{2D7C30D0-EB77-3C8B-2C7A-1510AD11D291}"/>
            </a:ext>
          </a:extLst>
        </cdr:cNvPr>
        <cdr:cNvSpPr/>
      </cdr:nvSpPr>
      <cdr:spPr>
        <a:xfrm xmlns:a="http://schemas.openxmlformats.org/drawingml/2006/main">
          <a:off x="2830590" y="3474435"/>
          <a:ext cx="485464" cy="502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464" h="502137">
              <a:moveTo>
                <a:pt x="188589" y="269566"/>
              </a:moveTo>
              <a:lnTo>
                <a:pt x="0" y="464632"/>
              </a:lnTo>
              <a:lnTo>
                <a:pt x="0" y="502136"/>
              </a:lnTo>
              <a:lnTo>
                <a:pt x="203812" y="291324"/>
              </a:lnTo>
              <a:lnTo>
                <a:pt x="485463" y="0"/>
              </a:lnTo>
              <a:lnTo>
                <a:pt x="449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0.35114</cdr:x>
      <cdr:y>0.4204</cdr:y>
    </cdr:from>
    <cdr:to>
      <cdr:x>0.4175</cdr:x>
      <cdr:y>0.4863</cdr:y>
    </cdr:to>
    <cdr:sp macro="" textlink="">
      <cdr:nvSpPr>
        <cdr:cNvPr id="201" name="FracNo 905 StartRow 2002">
          <a:extLst xmlns:a="http://schemas.openxmlformats.org/drawingml/2006/main">
            <a:ext uri="{FF2B5EF4-FFF2-40B4-BE49-F238E27FC236}">
              <a16:creationId xmlns:a16="http://schemas.microsoft.com/office/drawing/2014/main" id="{E8C0B0B1-156F-4F90-E557-84B2B13E6B6E}"/>
            </a:ext>
          </a:extLst>
        </cdr:cNvPr>
        <cdr:cNvSpPr/>
      </cdr:nvSpPr>
      <cdr:spPr>
        <a:xfrm xmlns:a="http://schemas.openxmlformats.org/drawingml/2006/main">
          <a:off x="2568634" y="3203484"/>
          <a:ext cx="485465" cy="502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465" h="502136">
              <a:moveTo>
                <a:pt x="442076" y="7374"/>
              </a:moveTo>
              <a:lnTo>
                <a:pt x="173758" y="284906"/>
              </a:lnTo>
              <a:lnTo>
                <a:pt x="0" y="464631"/>
              </a:lnTo>
              <a:lnTo>
                <a:pt x="0" y="502135"/>
              </a:lnTo>
              <a:lnTo>
                <a:pt x="180747" y="315181"/>
              </a:lnTo>
              <a:lnTo>
                <a:pt x="477577" y="8157"/>
              </a:lnTo>
              <a:lnTo>
                <a:pt x="485464" y="0"/>
              </a:lnTo>
              <a:lnTo>
                <a:pt x="449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0.5676</cdr:x>
      <cdr:y>0.30189</cdr:y>
    </cdr:from>
    <cdr:to>
      <cdr:x>0.63376</cdr:x>
      <cdr:y>0.36758</cdr:y>
    </cdr:to>
    <cdr:sp macro="" textlink="">
      <cdr:nvSpPr>
        <cdr:cNvPr id="202" name="FracNo 188 StartRow 2013">
          <a:extLst xmlns:a="http://schemas.openxmlformats.org/drawingml/2006/main">
            <a:ext uri="{FF2B5EF4-FFF2-40B4-BE49-F238E27FC236}">
              <a16:creationId xmlns:a16="http://schemas.microsoft.com/office/drawing/2014/main" id="{1283EF7B-47CE-7ED2-E6D4-C166B8100B9D}"/>
            </a:ext>
          </a:extLst>
        </cdr:cNvPr>
        <cdr:cNvSpPr/>
      </cdr:nvSpPr>
      <cdr:spPr>
        <a:xfrm xmlns:a="http://schemas.openxmlformats.org/drawingml/2006/main">
          <a:off x="4152136" y="2300403"/>
          <a:ext cx="483962" cy="500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3962" h="500582">
              <a:moveTo>
                <a:pt x="130163" y="365949"/>
              </a:moveTo>
              <a:lnTo>
                <a:pt x="0" y="500581"/>
              </a:lnTo>
              <a:lnTo>
                <a:pt x="0" y="463077"/>
              </a:lnTo>
              <a:lnTo>
                <a:pt x="120411" y="338531"/>
              </a:lnTo>
              <a:lnTo>
                <a:pt x="447703" y="0"/>
              </a:lnTo>
              <a:lnTo>
                <a:pt x="483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0.79138</cdr:x>
      <cdr:y>0.08544</cdr:y>
    </cdr:from>
    <cdr:to>
      <cdr:x>0.85728</cdr:x>
      <cdr:y>0.15088</cdr:y>
    </cdr:to>
    <cdr:sp macro="" textlink="">
      <cdr:nvSpPr>
        <cdr:cNvPr id="203" name="FracNo 554 StartRow 2022">
          <a:extLst xmlns:a="http://schemas.openxmlformats.org/drawingml/2006/main">
            <a:ext uri="{FF2B5EF4-FFF2-40B4-BE49-F238E27FC236}">
              <a16:creationId xmlns:a16="http://schemas.microsoft.com/office/drawing/2014/main" id="{650BD7CB-5D85-0065-BB52-8D7BF33C6CB4}"/>
            </a:ext>
          </a:extLst>
        </cdr:cNvPr>
        <cdr:cNvSpPr/>
      </cdr:nvSpPr>
      <cdr:spPr>
        <a:xfrm xmlns:a="http://schemas.openxmlformats.org/drawingml/2006/main">
          <a:off x="5789091" y="651036"/>
          <a:ext cx="482076" cy="498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076" h="498632">
              <a:moveTo>
                <a:pt x="68482" y="70834"/>
              </a:moveTo>
              <a:lnTo>
                <a:pt x="0" y="0"/>
              </a:lnTo>
              <a:lnTo>
                <a:pt x="36258" y="0"/>
              </a:lnTo>
              <a:lnTo>
                <a:pt x="99590" y="65506"/>
              </a:lnTo>
              <a:lnTo>
                <a:pt x="482075" y="461127"/>
              </a:lnTo>
              <a:lnTo>
                <a:pt x="482075" y="4986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0.84862</cdr:y>
    </cdr:from>
    <cdr:to>
      <cdr:x>0.15769</cdr:x>
      <cdr:y>0.91403</cdr:y>
    </cdr:to>
    <cdr:sp macro="" textlink="">
      <cdr:nvSpPr>
        <cdr:cNvPr id="204" name="FracNo 771 StartRow 2031">
          <a:extLst xmlns:a="http://schemas.openxmlformats.org/drawingml/2006/main">
            <a:ext uri="{FF2B5EF4-FFF2-40B4-BE49-F238E27FC236}">
              <a16:creationId xmlns:a16="http://schemas.microsoft.com/office/drawing/2014/main" id="{AC52EDF4-13FA-5C25-CCCA-7047FBE77AB4}"/>
            </a:ext>
          </a:extLst>
        </cdr:cNvPr>
        <cdr:cNvSpPr/>
      </cdr:nvSpPr>
      <cdr:spPr>
        <a:xfrm xmlns:a="http://schemas.openxmlformats.org/drawingml/2006/main">
          <a:off x="671676" y="6466518"/>
          <a:ext cx="481828" cy="498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828" h="498375">
              <a:moveTo>
                <a:pt x="309178" y="178578"/>
              </a:moveTo>
              <a:lnTo>
                <a:pt x="0" y="498374"/>
              </a:lnTo>
              <a:lnTo>
                <a:pt x="0" y="460870"/>
              </a:lnTo>
              <a:lnTo>
                <a:pt x="285911" y="165140"/>
              </a:lnTo>
              <a:lnTo>
                <a:pt x="445568" y="0"/>
              </a:lnTo>
              <a:lnTo>
                <a:pt x="4818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0.40724</cdr:x>
      <cdr:y>0.17599</cdr:y>
    </cdr:from>
    <cdr:to>
      <cdr:x>0.47423</cdr:x>
      <cdr:y>0.24005</cdr:y>
    </cdr:to>
    <cdr:sp macro="" textlink="">
      <cdr:nvSpPr>
        <cdr:cNvPr id="205" name="FracNo 1041 StartRow 2040">
          <a:extLst xmlns:a="http://schemas.openxmlformats.org/drawingml/2006/main">
            <a:ext uri="{FF2B5EF4-FFF2-40B4-BE49-F238E27FC236}">
              <a16:creationId xmlns:a16="http://schemas.microsoft.com/office/drawing/2014/main" id="{5E7749DF-01A9-0BC7-BB7F-C9803B5DC297}"/>
            </a:ext>
          </a:extLst>
        </cdr:cNvPr>
        <cdr:cNvSpPr/>
      </cdr:nvSpPr>
      <cdr:spPr>
        <a:xfrm xmlns:a="http://schemas.openxmlformats.org/drawingml/2006/main">
          <a:off x="2979008" y="1341073"/>
          <a:ext cx="490059" cy="488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059" h="488137">
              <a:moveTo>
                <a:pt x="464682" y="480641"/>
              </a:moveTo>
              <a:lnTo>
                <a:pt x="0" y="0"/>
              </a:lnTo>
              <a:lnTo>
                <a:pt x="36258" y="0"/>
              </a:lnTo>
              <a:lnTo>
                <a:pt x="483090" y="462177"/>
              </a:lnTo>
              <a:lnTo>
                <a:pt x="490058" y="469385"/>
              </a:lnTo>
              <a:lnTo>
                <a:pt x="471929" y="488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0.67424</cdr:x>
      <cdr:y>0.38822</cdr:y>
    </cdr:from>
    <cdr:to>
      <cdr:x>0.73727</cdr:x>
      <cdr:y>0.45574</cdr:y>
    </cdr:to>
    <cdr:sp macro="" textlink="">
      <cdr:nvSpPr>
        <cdr:cNvPr id="206" name="FracNo 751 StartRow 2049">
          <a:extLst xmlns:a="http://schemas.openxmlformats.org/drawingml/2006/main">
            <a:ext uri="{FF2B5EF4-FFF2-40B4-BE49-F238E27FC236}">
              <a16:creationId xmlns:a16="http://schemas.microsoft.com/office/drawing/2014/main" id="{391D4EC8-8A75-8418-E6B4-5AACB7C84E85}"/>
            </a:ext>
          </a:extLst>
        </cdr:cNvPr>
        <cdr:cNvSpPr/>
      </cdr:nvSpPr>
      <cdr:spPr>
        <a:xfrm xmlns:a="http://schemas.openxmlformats.org/drawingml/2006/main">
          <a:off x="4932179" y="2958248"/>
          <a:ext cx="461130" cy="514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130" h="514470">
              <a:moveTo>
                <a:pt x="209744" y="297521"/>
              </a:moveTo>
              <a:lnTo>
                <a:pt x="0" y="514469"/>
              </a:lnTo>
              <a:lnTo>
                <a:pt x="0" y="476965"/>
              </a:lnTo>
              <a:lnTo>
                <a:pt x="209744" y="260017"/>
              </a:lnTo>
              <a:lnTo>
                <a:pt x="461129" y="0"/>
              </a:lnTo>
              <a:lnTo>
                <a:pt x="46112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0.60519</cdr:x>
      <cdr:y>0.43138</cdr:y>
    </cdr:from>
    <cdr:to>
      <cdr:x>0.6731</cdr:x>
      <cdr:y>0.49388</cdr:y>
    </cdr:to>
    <cdr:sp macro="" textlink="">
      <cdr:nvSpPr>
        <cdr:cNvPr id="207" name="FracNo 840 StartRow 2058">
          <a:extLst xmlns:a="http://schemas.openxmlformats.org/drawingml/2006/main">
            <a:ext uri="{FF2B5EF4-FFF2-40B4-BE49-F238E27FC236}">
              <a16:creationId xmlns:a16="http://schemas.microsoft.com/office/drawing/2014/main" id="{78885D77-BE08-C8F1-6889-0C74E9A512E0}"/>
            </a:ext>
          </a:extLst>
        </cdr:cNvPr>
        <cdr:cNvSpPr/>
      </cdr:nvSpPr>
      <cdr:spPr>
        <a:xfrm xmlns:a="http://schemas.openxmlformats.org/drawingml/2006/main">
          <a:off x="4427121" y="3287081"/>
          <a:ext cx="496749" cy="476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749" h="476304">
              <a:moveTo>
                <a:pt x="320257" y="293752"/>
              </a:moveTo>
              <a:lnTo>
                <a:pt x="36259" y="0"/>
              </a:lnTo>
              <a:lnTo>
                <a:pt x="0" y="0"/>
              </a:lnTo>
              <a:lnTo>
                <a:pt x="290879" y="300868"/>
              </a:lnTo>
              <a:lnTo>
                <a:pt x="379333" y="392359"/>
              </a:lnTo>
              <a:lnTo>
                <a:pt x="460490" y="476303"/>
              </a:lnTo>
              <a:lnTo>
                <a:pt x="496748" y="476303"/>
              </a:lnTo>
              <a:lnTo>
                <a:pt x="406619" y="3830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0.60887</cdr:x>
      <cdr:y>0.42773</cdr:y>
    </cdr:from>
    <cdr:to>
      <cdr:x>0.67677</cdr:x>
      <cdr:y>0.49024</cdr:y>
    </cdr:to>
    <cdr:sp macro="" textlink="">
      <cdr:nvSpPr>
        <cdr:cNvPr id="208" name="FracNo 760 StartRow 2069">
          <a:extLst xmlns:a="http://schemas.openxmlformats.org/drawingml/2006/main">
            <a:ext uri="{FF2B5EF4-FFF2-40B4-BE49-F238E27FC236}">
              <a16:creationId xmlns:a16="http://schemas.microsoft.com/office/drawing/2014/main" id="{97119C9C-3469-D15B-4C08-6C442964DF3B}"/>
            </a:ext>
          </a:extLst>
        </cdr:cNvPr>
        <cdr:cNvSpPr/>
      </cdr:nvSpPr>
      <cdr:spPr>
        <a:xfrm xmlns:a="http://schemas.openxmlformats.org/drawingml/2006/main">
          <a:off x="4453971" y="3259308"/>
          <a:ext cx="496749" cy="476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749" h="476305">
              <a:moveTo>
                <a:pt x="237235" y="207878"/>
              </a:moveTo>
              <a:lnTo>
                <a:pt x="36259" y="0"/>
              </a:lnTo>
              <a:lnTo>
                <a:pt x="0" y="0"/>
              </a:lnTo>
              <a:lnTo>
                <a:pt x="205609" y="212670"/>
              </a:lnTo>
              <a:lnTo>
                <a:pt x="351961" y="364048"/>
              </a:lnTo>
              <a:lnTo>
                <a:pt x="460490" y="476304"/>
              </a:lnTo>
              <a:lnTo>
                <a:pt x="496748" y="476304"/>
              </a:lnTo>
              <a:lnTo>
                <a:pt x="380291" y="3558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0.8334</cdr:x>
      <cdr:y>0.26788</cdr:y>
    </cdr:from>
    <cdr:to>
      <cdr:x>0.89627</cdr:x>
      <cdr:y>0.33523</cdr:y>
    </cdr:to>
    <cdr:sp macro="" textlink="">
      <cdr:nvSpPr>
        <cdr:cNvPr id="209" name="FracNo 791 StartRow 2080">
          <a:extLst xmlns:a="http://schemas.openxmlformats.org/drawingml/2006/main">
            <a:ext uri="{FF2B5EF4-FFF2-40B4-BE49-F238E27FC236}">
              <a16:creationId xmlns:a16="http://schemas.microsoft.com/office/drawing/2014/main" id="{0B9C9850-4DCF-78B7-35AA-F5876C09D499}"/>
            </a:ext>
          </a:extLst>
        </cdr:cNvPr>
        <cdr:cNvSpPr/>
      </cdr:nvSpPr>
      <cdr:spPr>
        <a:xfrm xmlns:a="http://schemas.openxmlformats.org/drawingml/2006/main">
          <a:off x="6096514" y="2041265"/>
          <a:ext cx="459912" cy="513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912" h="513209">
              <a:moveTo>
                <a:pt x="318412" y="146358"/>
              </a:moveTo>
              <a:lnTo>
                <a:pt x="0" y="475704"/>
              </a:lnTo>
              <a:lnTo>
                <a:pt x="0" y="513208"/>
              </a:lnTo>
              <a:lnTo>
                <a:pt x="318412" y="183861"/>
              </a:lnTo>
              <a:lnTo>
                <a:pt x="459911" y="37503"/>
              </a:lnTo>
              <a:lnTo>
                <a:pt x="4599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0.80837</cdr:x>
      <cdr:y>0.82895</cdr:y>
    </cdr:from>
    <cdr:to>
      <cdr:x>0.87597</cdr:x>
      <cdr:y>0.89116</cdr:y>
    </cdr:to>
    <cdr:sp macro="" textlink="">
      <cdr:nvSpPr>
        <cdr:cNvPr id="210" name="FracNo 114 StartRow 2089">
          <a:extLst xmlns:a="http://schemas.openxmlformats.org/drawingml/2006/main">
            <a:ext uri="{FF2B5EF4-FFF2-40B4-BE49-F238E27FC236}">
              <a16:creationId xmlns:a16="http://schemas.microsoft.com/office/drawing/2014/main" id="{A12C1B7A-BEDE-1C90-5460-20F8A24A8248}"/>
            </a:ext>
          </a:extLst>
        </cdr:cNvPr>
        <cdr:cNvSpPr/>
      </cdr:nvSpPr>
      <cdr:spPr>
        <a:xfrm xmlns:a="http://schemas.openxmlformats.org/drawingml/2006/main">
          <a:off x="5913356" y="6316608"/>
          <a:ext cx="494564" cy="474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564" h="474044">
              <a:moveTo>
                <a:pt x="126602" y="380597"/>
              </a:moveTo>
              <a:lnTo>
                <a:pt x="36259" y="474043"/>
              </a:lnTo>
              <a:lnTo>
                <a:pt x="0" y="474043"/>
              </a:lnTo>
              <a:lnTo>
                <a:pt x="90344" y="380597"/>
              </a:lnTo>
              <a:lnTo>
                <a:pt x="458304" y="0"/>
              </a:lnTo>
              <a:lnTo>
                <a:pt x="4945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0.18669</cdr:x>
      <cdr:y>0.37078</cdr:y>
    </cdr:from>
    <cdr:to>
      <cdr:x>0.25305</cdr:x>
      <cdr:y>0.43422</cdr:y>
    </cdr:to>
    <cdr:sp macro="" textlink="">
      <cdr:nvSpPr>
        <cdr:cNvPr id="211" name="FracNo 744 StartRow 2098">
          <a:extLst xmlns:a="http://schemas.openxmlformats.org/drawingml/2006/main">
            <a:ext uri="{FF2B5EF4-FFF2-40B4-BE49-F238E27FC236}">
              <a16:creationId xmlns:a16="http://schemas.microsoft.com/office/drawing/2014/main" id="{B9A7498E-EC9A-D54C-D40D-D11F4614610D}"/>
            </a:ext>
          </a:extLst>
        </cdr:cNvPr>
        <cdr:cNvSpPr/>
      </cdr:nvSpPr>
      <cdr:spPr>
        <a:xfrm xmlns:a="http://schemas.openxmlformats.org/drawingml/2006/main">
          <a:off x="1365673" y="2825361"/>
          <a:ext cx="485461" cy="4833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461" h="483380">
              <a:moveTo>
                <a:pt x="324257" y="335393"/>
              </a:moveTo>
              <a:lnTo>
                <a:pt x="0" y="0"/>
              </a:lnTo>
              <a:lnTo>
                <a:pt x="36259" y="0"/>
              </a:lnTo>
              <a:lnTo>
                <a:pt x="347937" y="322382"/>
              </a:lnTo>
              <a:lnTo>
                <a:pt x="485460" y="464627"/>
              </a:lnTo>
              <a:lnTo>
                <a:pt x="467330" y="4833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0.64119</cdr:x>
      <cdr:y>0.10713</cdr:y>
    </cdr:from>
    <cdr:to>
      <cdr:x>0.7074</cdr:x>
      <cdr:y>0.17041</cdr:y>
    </cdr:to>
    <cdr:sp macro="" textlink="">
      <cdr:nvSpPr>
        <cdr:cNvPr id="212" name="FracNo 548 StartRow 2107">
          <a:extLst xmlns:a="http://schemas.openxmlformats.org/drawingml/2006/main">
            <a:ext uri="{FF2B5EF4-FFF2-40B4-BE49-F238E27FC236}">
              <a16:creationId xmlns:a16="http://schemas.microsoft.com/office/drawing/2014/main" id="{C399087B-891B-B121-4BBC-CB17B335BA15}"/>
            </a:ext>
          </a:extLst>
        </cdr:cNvPr>
        <cdr:cNvSpPr/>
      </cdr:nvSpPr>
      <cdr:spPr>
        <a:xfrm xmlns:a="http://schemas.openxmlformats.org/drawingml/2006/main">
          <a:off x="4690432" y="816296"/>
          <a:ext cx="484342" cy="482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4342" h="482223">
              <a:moveTo>
                <a:pt x="170646" y="176506"/>
              </a:moveTo>
              <a:lnTo>
                <a:pt x="117699" y="121741"/>
              </a:lnTo>
              <a:lnTo>
                <a:pt x="0" y="0"/>
              </a:lnTo>
              <a:lnTo>
                <a:pt x="36258" y="0"/>
              </a:lnTo>
              <a:lnTo>
                <a:pt x="141631" y="108991"/>
              </a:lnTo>
              <a:lnTo>
                <a:pt x="193696" y="162845"/>
              </a:lnTo>
              <a:lnTo>
                <a:pt x="484341" y="463470"/>
              </a:lnTo>
              <a:lnTo>
                <a:pt x="466211" y="4822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0.71376</cdr:x>
      <cdr:y>0.59249</cdr:y>
    </cdr:from>
    <cdr:to>
      <cdr:x>0.77863</cdr:x>
      <cdr:y>0.6569</cdr:y>
    </cdr:to>
    <cdr:sp macro="" textlink="">
      <cdr:nvSpPr>
        <cdr:cNvPr id="213" name="FracNo 627 StartRow 2118">
          <a:extLst xmlns:a="http://schemas.openxmlformats.org/drawingml/2006/main">
            <a:ext uri="{FF2B5EF4-FFF2-40B4-BE49-F238E27FC236}">
              <a16:creationId xmlns:a16="http://schemas.microsoft.com/office/drawing/2014/main" id="{25F8C7F8-69B6-10CF-1851-F5F8452C4FD7}"/>
            </a:ext>
          </a:extLst>
        </cdr:cNvPr>
        <cdr:cNvSpPr/>
      </cdr:nvSpPr>
      <cdr:spPr>
        <a:xfrm xmlns:a="http://schemas.openxmlformats.org/drawingml/2006/main">
          <a:off x="5221325" y="4514761"/>
          <a:ext cx="474510" cy="490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510" h="490805">
              <a:moveTo>
                <a:pt x="119398" y="161001"/>
              </a:moveTo>
              <a:lnTo>
                <a:pt x="0" y="37504"/>
              </a:lnTo>
              <a:lnTo>
                <a:pt x="0" y="0"/>
              </a:lnTo>
              <a:lnTo>
                <a:pt x="129777" y="134234"/>
              </a:lnTo>
              <a:lnTo>
                <a:pt x="411298" y="425422"/>
              </a:lnTo>
              <a:lnTo>
                <a:pt x="474509" y="490804"/>
              </a:lnTo>
              <a:lnTo>
                <a:pt x="438250" y="490804"/>
              </a:lnTo>
              <a:lnTo>
                <a:pt x="378401" y="4289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0.79038</cdr:x>
      <cdr:y>0.59583</cdr:y>
    </cdr:from>
    <cdr:to>
      <cdr:x>0.85517</cdr:x>
      <cdr:y>0.66016</cdr:y>
    </cdr:to>
    <cdr:sp macro="" textlink="">
      <cdr:nvSpPr>
        <cdr:cNvPr id="214" name="FracNo 597 StartRow 2129">
          <a:extLst xmlns:a="http://schemas.openxmlformats.org/drawingml/2006/main">
            <a:ext uri="{FF2B5EF4-FFF2-40B4-BE49-F238E27FC236}">
              <a16:creationId xmlns:a16="http://schemas.microsoft.com/office/drawing/2014/main" id="{FE042F58-0627-E8CF-DF83-99AE7C26EA06}"/>
            </a:ext>
          </a:extLst>
        </cdr:cNvPr>
        <cdr:cNvSpPr/>
      </cdr:nvSpPr>
      <cdr:spPr>
        <a:xfrm xmlns:a="http://schemas.openxmlformats.org/drawingml/2006/main">
          <a:off x="5781818" y="4540229"/>
          <a:ext cx="473933" cy="490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933" h="490210">
              <a:moveTo>
                <a:pt x="175945" y="270718"/>
              </a:moveTo>
              <a:lnTo>
                <a:pt x="64119" y="386383"/>
              </a:lnTo>
              <a:lnTo>
                <a:pt x="0" y="452705"/>
              </a:lnTo>
              <a:lnTo>
                <a:pt x="0" y="490209"/>
              </a:lnTo>
              <a:lnTo>
                <a:pt x="70776" y="417003"/>
              </a:lnTo>
              <a:lnTo>
                <a:pt x="191462" y="292171"/>
              </a:lnTo>
              <a:lnTo>
                <a:pt x="473932" y="0"/>
              </a:lnTo>
              <a:lnTo>
                <a:pt x="4376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0.44827</cdr:x>
      <cdr:y>0.2272</cdr:y>
    </cdr:from>
    <cdr:to>
      <cdr:x>0.51429</cdr:x>
      <cdr:y>0.29029</cdr:y>
    </cdr:to>
    <cdr:sp macro="" textlink="">
      <cdr:nvSpPr>
        <cdr:cNvPr id="215" name="FracNo 732 StartRow 2140">
          <a:extLst xmlns:a="http://schemas.openxmlformats.org/drawingml/2006/main">
            <a:ext uri="{FF2B5EF4-FFF2-40B4-BE49-F238E27FC236}">
              <a16:creationId xmlns:a16="http://schemas.microsoft.com/office/drawing/2014/main" id="{EF4EFB82-F988-4AC1-40E0-7DBF457E8BEE}"/>
            </a:ext>
          </a:extLst>
        </cdr:cNvPr>
        <cdr:cNvSpPr/>
      </cdr:nvSpPr>
      <cdr:spPr>
        <a:xfrm xmlns:a="http://schemas.openxmlformats.org/drawingml/2006/main">
          <a:off x="3279155" y="1731228"/>
          <a:ext cx="482979" cy="480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979" h="480813">
              <a:moveTo>
                <a:pt x="126482" y="149578"/>
              </a:moveTo>
              <a:lnTo>
                <a:pt x="0" y="18752"/>
              </a:lnTo>
              <a:lnTo>
                <a:pt x="18129" y="0"/>
              </a:lnTo>
              <a:lnTo>
                <a:pt x="149744" y="136135"/>
              </a:lnTo>
              <a:lnTo>
                <a:pt x="482978" y="480812"/>
              </a:lnTo>
              <a:lnTo>
                <a:pt x="446719" y="4808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0.72258</cdr:x>
      <cdr:y>0.7466</cdr:y>
    </cdr:from>
    <cdr:to>
      <cdr:x>0.78855</cdr:x>
      <cdr:y>0.80964</cdr:y>
    </cdr:to>
    <cdr:sp macro="" textlink="">
      <cdr:nvSpPr>
        <cdr:cNvPr id="216" name="FracNo 789 StartRow 2149">
          <a:extLst xmlns:a="http://schemas.openxmlformats.org/drawingml/2006/main">
            <a:ext uri="{FF2B5EF4-FFF2-40B4-BE49-F238E27FC236}">
              <a16:creationId xmlns:a16="http://schemas.microsoft.com/office/drawing/2014/main" id="{10A628A1-45F7-18C3-DC76-5C2493784D42}"/>
            </a:ext>
          </a:extLst>
        </cdr:cNvPr>
        <cdr:cNvSpPr/>
      </cdr:nvSpPr>
      <cdr:spPr>
        <a:xfrm xmlns:a="http://schemas.openxmlformats.org/drawingml/2006/main">
          <a:off x="5285818" y="5689055"/>
          <a:ext cx="482572" cy="480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572" h="480393">
              <a:moveTo>
                <a:pt x="363408" y="123255"/>
              </a:moveTo>
              <a:lnTo>
                <a:pt x="18129" y="480392"/>
              </a:lnTo>
              <a:lnTo>
                <a:pt x="0" y="461640"/>
              </a:lnTo>
              <a:lnTo>
                <a:pt x="331801" y="118444"/>
              </a:lnTo>
              <a:lnTo>
                <a:pt x="446313" y="0"/>
              </a:lnTo>
              <a:lnTo>
                <a:pt x="4825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0.30204</cdr:x>
      <cdr:y>0.86706</cdr:y>
    </cdr:from>
    <cdr:to>
      <cdr:x>0.368</cdr:x>
      <cdr:y>0.9301</cdr:y>
    </cdr:to>
    <cdr:sp macro="" textlink="">
      <cdr:nvSpPr>
        <cdr:cNvPr id="217" name="FracNo 809 StartRow 2158">
          <a:extLst xmlns:a="http://schemas.openxmlformats.org/drawingml/2006/main">
            <a:ext uri="{FF2B5EF4-FFF2-40B4-BE49-F238E27FC236}">
              <a16:creationId xmlns:a16="http://schemas.microsoft.com/office/drawing/2014/main" id="{96C2370A-57BE-FD79-857C-FD45A466F44D}"/>
            </a:ext>
          </a:extLst>
        </cdr:cNvPr>
        <cdr:cNvSpPr/>
      </cdr:nvSpPr>
      <cdr:spPr>
        <a:xfrm xmlns:a="http://schemas.openxmlformats.org/drawingml/2006/main">
          <a:off x="2209486" y="6607023"/>
          <a:ext cx="482524" cy="480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524" h="480343">
              <a:moveTo>
                <a:pt x="437655" y="27657"/>
              </a:moveTo>
              <a:lnTo>
                <a:pt x="0" y="480342"/>
              </a:lnTo>
              <a:lnTo>
                <a:pt x="36259" y="480342"/>
              </a:lnTo>
              <a:lnTo>
                <a:pt x="456828" y="45329"/>
              </a:lnTo>
              <a:lnTo>
                <a:pt x="482523" y="18752"/>
              </a:lnTo>
              <a:lnTo>
                <a:pt x="4643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0.66173</cdr:y>
    </cdr:from>
    <cdr:to>
      <cdr:x>0.15521</cdr:x>
      <cdr:y>0.72714</cdr:y>
    </cdr:to>
    <cdr:sp macro="" textlink="">
      <cdr:nvSpPr>
        <cdr:cNvPr id="218" name="FracNo 79 StartRow 2167">
          <a:extLst xmlns:a="http://schemas.openxmlformats.org/drawingml/2006/main">
            <a:ext uri="{FF2B5EF4-FFF2-40B4-BE49-F238E27FC236}">
              <a16:creationId xmlns:a16="http://schemas.microsoft.com/office/drawing/2014/main" id="{BC75E66A-22D5-C7FB-5E70-990691614CEE}"/>
            </a:ext>
          </a:extLst>
        </cdr:cNvPr>
        <cdr:cNvSpPr/>
      </cdr:nvSpPr>
      <cdr:spPr>
        <a:xfrm xmlns:a="http://schemas.openxmlformats.org/drawingml/2006/main">
          <a:off x="671676" y="5042363"/>
          <a:ext cx="463747" cy="4984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747" h="498425">
              <a:moveTo>
                <a:pt x="235775" y="281375"/>
              </a:moveTo>
              <a:lnTo>
                <a:pt x="0" y="37504"/>
              </a:lnTo>
              <a:lnTo>
                <a:pt x="0" y="0"/>
              </a:lnTo>
              <a:lnTo>
                <a:pt x="245367" y="253793"/>
              </a:lnTo>
              <a:lnTo>
                <a:pt x="463746" y="479672"/>
              </a:lnTo>
              <a:lnTo>
                <a:pt x="445617" y="4984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0.37518</cdr:x>
      <cdr:y>0.14744</cdr:y>
    </cdr:from>
    <cdr:to>
      <cdr:x>0.43847</cdr:x>
      <cdr:y>0.21275</cdr:y>
    </cdr:to>
    <cdr:sp macro="" textlink="">
      <cdr:nvSpPr>
        <cdr:cNvPr id="219" name="FracNo 187 StartRow 2176">
          <a:extLst xmlns:a="http://schemas.openxmlformats.org/drawingml/2006/main">
            <a:ext uri="{FF2B5EF4-FFF2-40B4-BE49-F238E27FC236}">
              <a16:creationId xmlns:a16="http://schemas.microsoft.com/office/drawing/2014/main" id="{FC3D4D6D-D284-C01F-77C0-EFC599FF48E1}"/>
            </a:ext>
          </a:extLst>
        </cdr:cNvPr>
        <cdr:cNvSpPr/>
      </cdr:nvSpPr>
      <cdr:spPr>
        <a:xfrm xmlns:a="http://schemas.openxmlformats.org/drawingml/2006/main">
          <a:off x="2744483" y="1123515"/>
          <a:ext cx="462989" cy="497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989" h="497641">
              <a:moveTo>
                <a:pt x="372722" y="74614"/>
              </a:moveTo>
              <a:lnTo>
                <a:pt x="1370" y="458720"/>
              </a:lnTo>
              <a:lnTo>
                <a:pt x="0" y="460137"/>
              </a:lnTo>
              <a:lnTo>
                <a:pt x="0" y="497640"/>
              </a:lnTo>
              <a:lnTo>
                <a:pt x="1437" y="496154"/>
              </a:lnTo>
              <a:lnTo>
                <a:pt x="387914" y="96405"/>
              </a:lnTo>
              <a:lnTo>
                <a:pt x="462988" y="18752"/>
              </a:lnTo>
              <a:lnTo>
                <a:pt x="444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0.73083</cdr:x>
      <cdr:y>0.86606</cdr:y>
    </cdr:from>
    <cdr:to>
      <cdr:x>0.79532</cdr:x>
      <cdr:y>0.9301</cdr:y>
    </cdr:to>
    <cdr:sp macro="" textlink="">
      <cdr:nvSpPr>
        <cdr:cNvPr id="220" name="FracNo 153 StartRow 2187">
          <a:extLst xmlns:a="http://schemas.openxmlformats.org/drawingml/2006/main">
            <a:ext uri="{FF2B5EF4-FFF2-40B4-BE49-F238E27FC236}">
              <a16:creationId xmlns:a16="http://schemas.microsoft.com/office/drawing/2014/main" id="{508AC331-ADB0-8CB1-FBDC-9CBA7CDDAC8E}"/>
            </a:ext>
          </a:extLst>
        </cdr:cNvPr>
        <cdr:cNvSpPr/>
      </cdr:nvSpPr>
      <cdr:spPr>
        <a:xfrm xmlns:a="http://schemas.openxmlformats.org/drawingml/2006/main">
          <a:off x="5346143" y="6599356"/>
          <a:ext cx="471808" cy="488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808" h="488010">
              <a:moveTo>
                <a:pt x="330725" y="342082"/>
              </a:moveTo>
              <a:lnTo>
                <a:pt x="0" y="0"/>
              </a:lnTo>
              <a:lnTo>
                <a:pt x="0" y="37504"/>
              </a:lnTo>
              <a:lnTo>
                <a:pt x="305309" y="353297"/>
              </a:lnTo>
              <a:lnTo>
                <a:pt x="435548" y="488009"/>
              </a:lnTo>
              <a:lnTo>
                <a:pt x="471807" y="4880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0.39624</cdr:x>
      <cdr:y>0.40422</cdr:y>
    </cdr:from>
    <cdr:to>
      <cdr:x>0.46179</cdr:x>
      <cdr:y>0.46685</cdr:y>
    </cdr:to>
    <cdr:sp macro="" textlink="">
      <cdr:nvSpPr>
        <cdr:cNvPr id="221" name="FracNo 703 StartRow 2196">
          <a:extLst xmlns:a="http://schemas.openxmlformats.org/drawingml/2006/main">
            <a:ext uri="{FF2B5EF4-FFF2-40B4-BE49-F238E27FC236}">
              <a16:creationId xmlns:a16="http://schemas.microsoft.com/office/drawing/2014/main" id="{F9F1FCA1-2370-CEC7-E380-455B57A36EB8}"/>
            </a:ext>
          </a:extLst>
        </cdr:cNvPr>
        <cdr:cNvSpPr/>
      </cdr:nvSpPr>
      <cdr:spPr>
        <a:xfrm xmlns:a="http://schemas.openxmlformats.org/drawingml/2006/main">
          <a:off x="2898605" y="3080155"/>
          <a:ext cx="479499" cy="477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499" h="477214">
              <a:moveTo>
                <a:pt x="264862" y="273957"/>
              </a:moveTo>
              <a:lnTo>
                <a:pt x="0" y="0"/>
              </a:lnTo>
              <a:lnTo>
                <a:pt x="36259" y="0"/>
              </a:lnTo>
              <a:lnTo>
                <a:pt x="290713" y="263192"/>
              </a:lnTo>
              <a:lnTo>
                <a:pt x="479498" y="458461"/>
              </a:lnTo>
              <a:lnTo>
                <a:pt x="461369" y="4772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0.67791</cdr:x>
      <cdr:y>0.25252</cdr:y>
    </cdr:from>
    <cdr:to>
      <cdr:x>0.74453</cdr:x>
      <cdr:y>0.31374</cdr:y>
    </cdr:to>
    <cdr:sp macro="" textlink="">
      <cdr:nvSpPr>
        <cdr:cNvPr id="222" name="FracNo 513 StartRow 2205">
          <a:extLst xmlns:a="http://schemas.openxmlformats.org/drawingml/2006/main">
            <a:ext uri="{FF2B5EF4-FFF2-40B4-BE49-F238E27FC236}">
              <a16:creationId xmlns:a16="http://schemas.microsoft.com/office/drawing/2014/main" id="{892675BF-0FCC-D811-9CEB-1ADAAA894BC5}"/>
            </a:ext>
          </a:extLst>
        </cdr:cNvPr>
        <cdr:cNvSpPr/>
      </cdr:nvSpPr>
      <cdr:spPr>
        <a:xfrm xmlns:a="http://schemas.openxmlformats.org/drawingml/2006/main">
          <a:off x="4959080" y="1924193"/>
          <a:ext cx="487273" cy="466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273" h="466504">
              <a:moveTo>
                <a:pt x="294628" y="161757"/>
              </a:moveTo>
              <a:lnTo>
                <a:pt x="0" y="466503"/>
              </a:lnTo>
              <a:lnTo>
                <a:pt x="36259" y="466503"/>
              </a:lnTo>
              <a:lnTo>
                <a:pt x="330886" y="161757"/>
              </a:lnTo>
              <a:lnTo>
                <a:pt x="487272" y="0"/>
              </a:lnTo>
              <a:lnTo>
                <a:pt x="4510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0.26859</cdr:x>
      <cdr:y>0.24378</cdr:y>
    </cdr:from>
    <cdr:to>
      <cdr:x>0.33142</cdr:x>
      <cdr:y>0.30863</cdr:y>
    </cdr:to>
    <cdr:sp macro="" textlink="">
      <cdr:nvSpPr>
        <cdr:cNvPr id="223" name="FracNo 272 StartRow 2214">
          <a:extLst xmlns:a="http://schemas.openxmlformats.org/drawingml/2006/main">
            <a:ext uri="{FF2B5EF4-FFF2-40B4-BE49-F238E27FC236}">
              <a16:creationId xmlns:a16="http://schemas.microsoft.com/office/drawing/2014/main" id="{55AB9E3B-2941-B01D-592E-5782FA8A10DA}"/>
            </a:ext>
          </a:extLst>
        </cdr:cNvPr>
        <cdr:cNvSpPr/>
      </cdr:nvSpPr>
      <cdr:spPr>
        <a:xfrm xmlns:a="http://schemas.openxmlformats.org/drawingml/2006/main">
          <a:off x="1964768" y="1857580"/>
          <a:ext cx="459659" cy="494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659" h="494196">
              <a:moveTo>
                <a:pt x="69144" y="441428"/>
              </a:moveTo>
              <a:lnTo>
                <a:pt x="18129" y="494195"/>
              </a:lnTo>
              <a:lnTo>
                <a:pt x="0" y="475443"/>
              </a:lnTo>
              <a:lnTo>
                <a:pt x="53109" y="420509"/>
              </a:lnTo>
              <a:lnTo>
                <a:pt x="459658" y="0"/>
              </a:lnTo>
              <a:lnTo>
                <a:pt x="45965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0.31808</cdr:x>
      <cdr:y>0.42615</cdr:y>
    </cdr:from>
    <cdr:to>
      <cdr:x>0.38085</cdr:x>
      <cdr:y>0.49094</cdr:y>
    </cdr:to>
    <cdr:sp macro="" textlink="">
      <cdr:nvSpPr>
        <cdr:cNvPr id="224" name="FracNo 757 StartRow 2223">
          <a:extLst xmlns:a="http://schemas.openxmlformats.org/drawingml/2006/main">
            <a:ext uri="{FF2B5EF4-FFF2-40B4-BE49-F238E27FC236}">
              <a16:creationId xmlns:a16="http://schemas.microsoft.com/office/drawing/2014/main" id="{37BE3748-515A-C268-4AA7-D255B76484A5}"/>
            </a:ext>
          </a:extLst>
        </cdr:cNvPr>
        <cdr:cNvSpPr/>
      </cdr:nvSpPr>
      <cdr:spPr>
        <a:xfrm xmlns:a="http://schemas.openxmlformats.org/drawingml/2006/main">
          <a:off x="2326790" y="3247267"/>
          <a:ext cx="459172" cy="493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172" h="493692">
              <a:moveTo>
                <a:pt x="429335" y="49612"/>
              </a:moveTo>
              <a:lnTo>
                <a:pt x="428135" y="50853"/>
              </a:lnTo>
              <a:lnTo>
                <a:pt x="0" y="493691"/>
              </a:lnTo>
              <a:lnTo>
                <a:pt x="0" y="456188"/>
              </a:lnTo>
              <a:lnTo>
                <a:pt x="410058" y="32048"/>
              </a:lnTo>
              <a:lnTo>
                <a:pt x="411255" y="30809"/>
              </a:lnTo>
              <a:lnTo>
                <a:pt x="441042" y="0"/>
              </a:lnTo>
              <a:lnTo>
                <a:pt x="4591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0.31252</cdr:x>
      <cdr:y>0.42309</cdr:y>
    </cdr:from>
    <cdr:to>
      <cdr:x>0.37777</cdr:x>
      <cdr:y>0.48542</cdr:y>
    </cdr:to>
    <cdr:sp macro="" textlink="">
      <cdr:nvSpPr>
        <cdr:cNvPr id="225" name="FracNo 1220 StartRow 2234">
          <a:extLst xmlns:a="http://schemas.openxmlformats.org/drawingml/2006/main">
            <a:ext uri="{FF2B5EF4-FFF2-40B4-BE49-F238E27FC236}">
              <a16:creationId xmlns:a16="http://schemas.microsoft.com/office/drawing/2014/main" id="{7FAA4842-B62E-3BBF-DFD1-B134578EEF3E}"/>
            </a:ext>
          </a:extLst>
        </cdr:cNvPr>
        <cdr:cNvSpPr/>
      </cdr:nvSpPr>
      <cdr:spPr>
        <a:xfrm xmlns:a="http://schemas.openxmlformats.org/drawingml/2006/main">
          <a:off x="2286146" y="3223979"/>
          <a:ext cx="477301" cy="4749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7301" h="474940">
              <a:moveTo>
                <a:pt x="394692" y="66692"/>
              </a:moveTo>
              <a:lnTo>
                <a:pt x="0" y="474939"/>
              </a:lnTo>
              <a:lnTo>
                <a:pt x="36258" y="474939"/>
              </a:lnTo>
              <a:lnTo>
                <a:pt x="415073" y="83115"/>
              </a:lnTo>
              <a:lnTo>
                <a:pt x="468805" y="27538"/>
              </a:lnTo>
              <a:lnTo>
                <a:pt x="477300" y="18751"/>
              </a:lnTo>
              <a:lnTo>
                <a:pt x="459171" y="0"/>
              </a:lnTo>
              <a:lnTo>
                <a:pt x="450676" y="87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0.68057</cdr:x>
      <cdr:y>0.70383</cdr:y>
    </cdr:from>
    <cdr:to>
      <cdr:x>0.74207</cdr:x>
      <cdr:y>0.76982</cdr:y>
    </cdr:to>
    <cdr:sp macro="" textlink="">
      <cdr:nvSpPr>
        <cdr:cNvPr id="226" name="FracNo 1168 StartRow 2245">
          <a:extLst xmlns:a="http://schemas.openxmlformats.org/drawingml/2006/main">
            <a:ext uri="{FF2B5EF4-FFF2-40B4-BE49-F238E27FC236}">
              <a16:creationId xmlns:a16="http://schemas.microsoft.com/office/drawing/2014/main" id="{D879F407-ADDF-D230-73A0-A51E4C407EA0}"/>
            </a:ext>
          </a:extLst>
        </cdr:cNvPr>
        <cdr:cNvSpPr/>
      </cdr:nvSpPr>
      <cdr:spPr>
        <a:xfrm xmlns:a="http://schemas.openxmlformats.org/drawingml/2006/main">
          <a:off x="4978535" y="5363160"/>
          <a:ext cx="449878" cy="502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878" h="502831">
              <a:moveTo>
                <a:pt x="413921" y="465638"/>
              </a:moveTo>
              <a:lnTo>
                <a:pt x="0" y="37504"/>
              </a:lnTo>
              <a:lnTo>
                <a:pt x="0" y="0"/>
              </a:lnTo>
              <a:lnTo>
                <a:pt x="413921" y="428135"/>
              </a:lnTo>
              <a:lnTo>
                <a:pt x="449877" y="465326"/>
              </a:lnTo>
              <a:lnTo>
                <a:pt x="449877" y="5028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0.71189</cdr:x>
      <cdr:y>0.28</cdr:y>
    </cdr:from>
    <cdr:to>
      <cdr:x>0.77324</cdr:x>
      <cdr:y>0.34584</cdr:y>
    </cdr:to>
    <cdr:sp macro="" textlink="">
      <cdr:nvSpPr>
        <cdr:cNvPr id="227" name="FracNo 547 StartRow 2254">
          <a:extLst xmlns:a="http://schemas.openxmlformats.org/drawingml/2006/main">
            <a:ext uri="{FF2B5EF4-FFF2-40B4-BE49-F238E27FC236}">
              <a16:creationId xmlns:a16="http://schemas.microsoft.com/office/drawing/2014/main" id="{4DF7AE71-10AD-0167-3E5C-461B6118F589}"/>
            </a:ext>
          </a:extLst>
        </cdr:cNvPr>
        <cdr:cNvSpPr/>
      </cdr:nvSpPr>
      <cdr:spPr>
        <a:xfrm xmlns:a="http://schemas.openxmlformats.org/drawingml/2006/main">
          <a:off x="5207629" y="2133611"/>
          <a:ext cx="448784" cy="501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8784" h="501699">
              <a:moveTo>
                <a:pt x="139197" y="143976"/>
              </a:moveTo>
              <a:lnTo>
                <a:pt x="0" y="0"/>
              </a:lnTo>
              <a:lnTo>
                <a:pt x="0" y="37503"/>
              </a:lnTo>
              <a:lnTo>
                <a:pt x="139197" y="181480"/>
              </a:lnTo>
              <a:lnTo>
                <a:pt x="448783" y="501698"/>
              </a:lnTo>
              <a:lnTo>
                <a:pt x="448783" y="4641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0.22453</cdr:x>
      <cdr:y>0.69062</cdr:y>
    </cdr:from>
    <cdr:to>
      <cdr:x>0.28702</cdr:x>
      <cdr:y>0.75513</cdr:y>
    </cdr:to>
    <cdr:sp macro="" textlink="">
      <cdr:nvSpPr>
        <cdr:cNvPr id="228" name="FracNo 64 StartRow 2263">
          <a:extLst xmlns:a="http://schemas.openxmlformats.org/drawingml/2006/main">
            <a:ext uri="{FF2B5EF4-FFF2-40B4-BE49-F238E27FC236}">
              <a16:creationId xmlns:a16="http://schemas.microsoft.com/office/drawing/2014/main" id="{4A239078-0879-A171-6D34-60FC1078D313}"/>
            </a:ext>
          </a:extLst>
        </cdr:cNvPr>
        <cdr:cNvSpPr/>
      </cdr:nvSpPr>
      <cdr:spPr>
        <a:xfrm xmlns:a="http://schemas.openxmlformats.org/drawingml/2006/main">
          <a:off x="1642452" y="5262492"/>
          <a:ext cx="457179" cy="491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179" h="491631">
              <a:moveTo>
                <a:pt x="189808" y="215078"/>
              </a:moveTo>
              <a:lnTo>
                <a:pt x="0" y="18752"/>
              </a:lnTo>
              <a:lnTo>
                <a:pt x="18129" y="0"/>
              </a:lnTo>
              <a:lnTo>
                <a:pt x="200411" y="188541"/>
              </a:lnTo>
              <a:lnTo>
                <a:pt x="457178" y="454126"/>
              </a:lnTo>
              <a:lnTo>
                <a:pt x="457178" y="4916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0.29332</cdr:x>
      <cdr:y>0.48537</cdr:y>
    </cdr:from>
    <cdr:to>
      <cdr:x>0.35924</cdr:x>
      <cdr:y>0.54591</cdr:y>
    </cdr:to>
    <cdr:sp macro="" textlink="">
      <cdr:nvSpPr>
        <cdr:cNvPr id="229" name="FracNo 382 StartRow 2272">
          <a:extLst xmlns:a="http://schemas.openxmlformats.org/drawingml/2006/main">
            <a:ext uri="{FF2B5EF4-FFF2-40B4-BE49-F238E27FC236}">
              <a16:creationId xmlns:a16="http://schemas.microsoft.com/office/drawing/2014/main" id="{0D4827A0-25BB-3540-C6AE-219B48980FF4}"/>
            </a:ext>
          </a:extLst>
        </cdr:cNvPr>
        <cdr:cNvSpPr/>
      </cdr:nvSpPr>
      <cdr:spPr>
        <a:xfrm xmlns:a="http://schemas.openxmlformats.org/drawingml/2006/main">
          <a:off x="2145706" y="3698556"/>
          <a:ext cx="482224" cy="461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224" h="461281">
              <a:moveTo>
                <a:pt x="46030" y="47611"/>
              </a:moveTo>
              <a:lnTo>
                <a:pt x="0" y="0"/>
              </a:lnTo>
              <a:lnTo>
                <a:pt x="36258" y="0"/>
              </a:lnTo>
              <a:lnTo>
                <a:pt x="82288" y="47611"/>
              </a:lnTo>
              <a:lnTo>
                <a:pt x="482223" y="461280"/>
              </a:lnTo>
              <a:lnTo>
                <a:pt x="445964" y="4612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0.17905</cdr:x>
      <cdr:y>0.15639</cdr:y>
    </cdr:from>
    <cdr:to>
      <cdr:x>0.24246</cdr:x>
      <cdr:y>0.21936</cdr:y>
    </cdr:to>
    <cdr:sp macro="" textlink="">
      <cdr:nvSpPr>
        <cdr:cNvPr id="230" name="FracNo 305 StartRow 2281">
          <a:extLst xmlns:a="http://schemas.openxmlformats.org/drawingml/2006/main">
            <a:ext uri="{FF2B5EF4-FFF2-40B4-BE49-F238E27FC236}">
              <a16:creationId xmlns:a16="http://schemas.microsoft.com/office/drawing/2014/main" id="{55213901-E3D6-3FDE-237B-62CE594CF138}"/>
            </a:ext>
          </a:extLst>
        </cdr:cNvPr>
        <cdr:cNvSpPr/>
      </cdr:nvSpPr>
      <cdr:spPr>
        <a:xfrm xmlns:a="http://schemas.openxmlformats.org/drawingml/2006/main">
          <a:off x="1309763" y="1191725"/>
          <a:ext cx="463850" cy="479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850" h="479779">
              <a:moveTo>
                <a:pt x="231490" y="276944"/>
              </a:moveTo>
              <a:lnTo>
                <a:pt x="0" y="37504"/>
              </a:lnTo>
              <a:lnTo>
                <a:pt x="0" y="0"/>
              </a:lnTo>
              <a:lnTo>
                <a:pt x="251120" y="259744"/>
              </a:lnTo>
              <a:lnTo>
                <a:pt x="463849" y="479778"/>
              </a:lnTo>
              <a:lnTo>
                <a:pt x="427590" y="4797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0.14511</cdr:x>
      <cdr:y>0.39609</cdr:y>
    </cdr:from>
    <cdr:to>
      <cdr:x>0.20815</cdr:x>
      <cdr:y>0.45868</cdr:y>
    </cdr:to>
    <cdr:sp macro="" textlink="">
      <cdr:nvSpPr>
        <cdr:cNvPr id="231" name="FracNo 358 StartRow 2290">
          <a:extLst xmlns:a="http://schemas.openxmlformats.org/drawingml/2006/main">
            <a:ext uri="{FF2B5EF4-FFF2-40B4-BE49-F238E27FC236}">
              <a16:creationId xmlns:a16="http://schemas.microsoft.com/office/drawing/2014/main" id="{39449D19-DD5B-7E64-E9EA-FEED7AB2A005}"/>
            </a:ext>
          </a:extLst>
        </cdr:cNvPr>
        <cdr:cNvSpPr/>
      </cdr:nvSpPr>
      <cdr:spPr>
        <a:xfrm xmlns:a="http://schemas.openxmlformats.org/drawingml/2006/main">
          <a:off x="1061519" y="3018171"/>
          <a:ext cx="461145" cy="476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145" h="476981">
              <a:moveTo>
                <a:pt x="412483" y="50332"/>
              </a:moveTo>
              <a:lnTo>
                <a:pt x="0" y="476980"/>
              </a:lnTo>
              <a:lnTo>
                <a:pt x="0" y="439477"/>
              </a:lnTo>
              <a:lnTo>
                <a:pt x="380050" y="46375"/>
              </a:lnTo>
              <a:lnTo>
                <a:pt x="424885" y="0"/>
              </a:lnTo>
              <a:lnTo>
                <a:pt x="461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0.65257</cdr:x>
      <cdr:y>0.86753</cdr:y>
    </cdr:from>
    <cdr:to>
      <cdr:x>0.71559</cdr:x>
      <cdr:y>0.9301</cdr:y>
    </cdr:to>
    <cdr:sp macro="" textlink="">
      <cdr:nvSpPr>
        <cdr:cNvPr id="232" name="FracNo 149 StartRow 2299">
          <a:extLst xmlns:a="http://schemas.openxmlformats.org/drawingml/2006/main">
            <a:ext uri="{FF2B5EF4-FFF2-40B4-BE49-F238E27FC236}">
              <a16:creationId xmlns:a16="http://schemas.microsoft.com/office/drawing/2014/main" id="{46704813-0F3B-C987-EE78-653A3B95D6AD}"/>
            </a:ext>
          </a:extLst>
        </cdr:cNvPr>
        <cdr:cNvSpPr/>
      </cdr:nvSpPr>
      <cdr:spPr>
        <a:xfrm xmlns:a="http://schemas.openxmlformats.org/drawingml/2006/main">
          <a:off x="4773701" y="6610584"/>
          <a:ext cx="460951" cy="476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951" h="476782">
              <a:moveTo>
                <a:pt x="255190" y="263955"/>
              </a:moveTo>
              <a:lnTo>
                <a:pt x="48110" y="49764"/>
              </a:lnTo>
              <a:lnTo>
                <a:pt x="0" y="0"/>
              </a:lnTo>
              <a:lnTo>
                <a:pt x="0" y="37504"/>
              </a:lnTo>
              <a:lnTo>
                <a:pt x="44681" y="83720"/>
              </a:lnTo>
              <a:lnTo>
                <a:pt x="235294" y="280878"/>
              </a:lnTo>
              <a:lnTo>
                <a:pt x="424692" y="476781"/>
              </a:lnTo>
              <a:lnTo>
                <a:pt x="460950" y="4767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0.5924</cdr:x>
      <cdr:y>0.33804</cdr:y>
    </cdr:from>
    <cdr:to>
      <cdr:x>0.65789</cdr:x>
      <cdr:y>0.39815</cdr:y>
    </cdr:to>
    <cdr:sp macro="" textlink="">
      <cdr:nvSpPr>
        <cdr:cNvPr id="233" name="FracNo 719 StartRow 2310">
          <a:extLst xmlns:a="http://schemas.openxmlformats.org/drawingml/2006/main">
            <a:ext uri="{FF2B5EF4-FFF2-40B4-BE49-F238E27FC236}">
              <a16:creationId xmlns:a16="http://schemas.microsoft.com/office/drawing/2014/main" id="{5915D13B-F668-CF9B-F83F-2A50463C7AAF}"/>
            </a:ext>
          </a:extLst>
        </cdr:cNvPr>
        <cdr:cNvSpPr/>
      </cdr:nvSpPr>
      <cdr:spPr>
        <a:xfrm xmlns:a="http://schemas.openxmlformats.org/drawingml/2006/main">
          <a:off x="4333539" y="2575848"/>
          <a:ext cx="479073" cy="458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073" h="458022">
              <a:moveTo>
                <a:pt x="254286" y="225515"/>
              </a:moveTo>
              <a:lnTo>
                <a:pt x="241012" y="211786"/>
              </a:lnTo>
              <a:lnTo>
                <a:pt x="36258" y="0"/>
              </a:lnTo>
              <a:lnTo>
                <a:pt x="0" y="0"/>
              </a:lnTo>
              <a:lnTo>
                <a:pt x="221857" y="229476"/>
              </a:lnTo>
              <a:lnTo>
                <a:pt x="234176" y="242219"/>
              </a:lnTo>
              <a:lnTo>
                <a:pt x="442814" y="458021"/>
              </a:lnTo>
              <a:lnTo>
                <a:pt x="479072" y="4580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0.5414</cdr:x>
      <cdr:y>0.66194</cdr:y>
    </cdr:from>
    <cdr:to>
      <cdr:x>0.60433</cdr:x>
      <cdr:y>0.72443</cdr:y>
    </cdr:to>
    <cdr:sp macro="" textlink="">
      <cdr:nvSpPr>
        <cdr:cNvPr id="234" name="FracNo 801 StartRow 2321">
          <a:extLst xmlns:a="http://schemas.openxmlformats.org/drawingml/2006/main">
            <a:ext uri="{FF2B5EF4-FFF2-40B4-BE49-F238E27FC236}">
              <a16:creationId xmlns:a16="http://schemas.microsoft.com/office/drawing/2014/main" id="{C43F5BAF-8B01-3D92-9694-32F773D276D7}"/>
            </a:ext>
          </a:extLst>
        </cdr:cNvPr>
        <cdr:cNvSpPr/>
      </cdr:nvSpPr>
      <cdr:spPr>
        <a:xfrm xmlns:a="http://schemas.openxmlformats.org/drawingml/2006/main">
          <a:off x="3960468" y="5043998"/>
          <a:ext cx="460362" cy="476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362" h="476171">
              <a:moveTo>
                <a:pt x="265506" y="201546"/>
              </a:moveTo>
              <a:lnTo>
                <a:pt x="0" y="476170"/>
              </a:lnTo>
              <a:lnTo>
                <a:pt x="36259" y="476170"/>
              </a:lnTo>
              <a:lnTo>
                <a:pt x="280853" y="223175"/>
              </a:lnTo>
              <a:lnTo>
                <a:pt x="460361" y="37503"/>
              </a:lnTo>
              <a:lnTo>
                <a:pt x="460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0.55582</cdr:x>
      <cdr:y>0.67626</cdr:y>
    </cdr:from>
    <cdr:to>
      <cdr:x>0.61875</cdr:x>
      <cdr:y>0.73875</cdr:y>
    </cdr:to>
    <cdr:sp macro="" textlink="">
      <cdr:nvSpPr>
        <cdr:cNvPr id="235" name="FracNo 423 StartRow 2330">
          <a:extLst xmlns:a="http://schemas.openxmlformats.org/drawingml/2006/main">
            <a:ext uri="{FF2B5EF4-FFF2-40B4-BE49-F238E27FC236}">
              <a16:creationId xmlns:a16="http://schemas.microsoft.com/office/drawing/2014/main" id="{1ED164FD-55C8-0B33-A8A3-E4DFD9E2F2A6}"/>
            </a:ext>
          </a:extLst>
        </cdr:cNvPr>
        <cdr:cNvSpPr/>
      </cdr:nvSpPr>
      <cdr:spPr>
        <a:xfrm xmlns:a="http://schemas.openxmlformats.org/drawingml/2006/main">
          <a:off x="4065928" y="5153079"/>
          <a:ext cx="460361" cy="476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361" h="476172">
              <a:moveTo>
                <a:pt x="137415" y="334036"/>
              </a:moveTo>
              <a:lnTo>
                <a:pt x="0" y="476171"/>
              </a:lnTo>
              <a:lnTo>
                <a:pt x="36258" y="476171"/>
              </a:lnTo>
              <a:lnTo>
                <a:pt x="162851" y="345231"/>
              </a:lnTo>
              <a:lnTo>
                <a:pt x="460360" y="37504"/>
              </a:lnTo>
              <a:lnTo>
                <a:pt x="4603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0.11848</cdr:x>
      <cdr:y>0.3118</cdr:y>
    </cdr:from>
    <cdr:to>
      <cdr:x>0.17881</cdr:x>
      <cdr:y>0.37662</cdr:y>
    </cdr:to>
    <cdr:sp macro="" textlink="">
      <cdr:nvSpPr>
        <cdr:cNvPr id="236" name="FracNo 268 StartRow 2339">
          <a:extLst xmlns:a="http://schemas.openxmlformats.org/drawingml/2006/main">
            <a:ext uri="{FF2B5EF4-FFF2-40B4-BE49-F238E27FC236}">
              <a16:creationId xmlns:a16="http://schemas.microsoft.com/office/drawing/2014/main" id="{8A7E2D12-B7F5-6101-B857-4670190D4A82}"/>
            </a:ext>
          </a:extLst>
        </cdr:cNvPr>
        <cdr:cNvSpPr/>
      </cdr:nvSpPr>
      <cdr:spPr>
        <a:xfrm xmlns:a="http://schemas.openxmlformats.org/drawingml/2006/main">
          <a:off x="866718" y="2375896"/>
          <a:ext cx="441321" cy="493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1321" h="493981">
              <a:moveTo>
                <a:pt x="222213" y="226632"/>
              </a:moveTo>
              <a:lnTo>
                <a:pt x="50687" y="404048"/>
              </a:lnTo>
              <a:lnTo>
                <a:pt x="0" y="456476"/>
              </a:lnTo>
              <a:lnTo>
                <a:pt x="0" y="493980"/>
              </a:lnTo>
              <a:lnTo>
                <a:pt x="54974" y="437118"/>
              </a:lnTo>
              <a:lnTo>
                <a:pt x="224618" y="261648"/>
              </a:lnTo>
              <a:lnTo>
                <a:pt x="441320" y="37504"/>
              </a:lnTo>
              <a:lnTo>
                <a:pt x="441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0.10923</cdr:x>
      <cdr:y>0.30753</cdr:y>
    </cdr:from>
    <cdr:to>
      <cdr:x>0.17451</cdr:x>
      <cdr:y>0.36743</cdr:y>
    </cdr:to>
    <cdr:sp macro="" textlink="">
      <cdr:nvSpPr>
        <cdr:cNvPr id="237" name="FracNo 1016 StartRow 2350">
          <a:extLst xmlns:a="http://schemas.openxmlformats.org/drawingml/2006/main">
            <a:ext uri="{FF2B5EF4-FFF2-40B4-BE49-F238E27FC236}">
              <a16:creationId xmlns:a16="http://schemas.microsoft.com/office/drawing/2014/main" id="{560AE12C-E5B9-7D82-8CE1-2E6F0F128D39}"/>
            </a:ext>
          </a:extLst>
        </cdr:cNvPr>
        <cdr:cNvSpPr/>
      </cdr:nvSpPr>
      <cdr:spPr>
        <a:xfrm xmlns:a="http://schemas.openxmlformats.org/drawingml/2006/main">
          <a:off x="799003" y="2343360"/>
          <a:ext cx="477580" cy="456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7580" h="456476">
              <a:moveTo>
                <a:pt x="171909" y="316167"/>
              </a:moveTo>
              <a:lnTo>
                <a:pt x="39287" y="453343"/>
              </a:lnTo>
              <a:lnTo>
                <a:pt x="36259" y="456475"/>
              </a:lnTo>
              <a:lnTo>
                <a:pt x="0" y="456475"/>
              </a:lnTo>
              <a:lnTo>
                <a:pt x="3462" y="452895"/>
              </a:lnTo>
              <a:lnTo>
                <a:pt x="135952" y="315854"/>
              </a:lnTo>
              <a:lnTo>
                <a:pt x="441320" y="0"/>
              </a:lnTo>
              <a:lnTo>
                <a:pt x="4775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0.65673</cdr:x>
      <cdr:y>0.50522</cdr:y>
    </cdr:from>
    <cdr:to>
      <cdr:x>0.72035</cdr:x>
      <cdr:y>0.56594</cdr:y>
    </cdr:to>
    <cdr:sp macro="" textlink="">
      <cdr:nvSpPr>
        <cdr:cNvPr id="238" name="FracNo 638 StartRow 2361">
          <a:extLst xmlns:a="http://schemas.openxmlformats.org/drawingml/2006/main">
            <a:ext uri="{FF2B5EF4-FFF2-40B4-BE49-F238E27FC236}">
              <a16:creationId xmlns:a16="http://schemas.microsoft.com/office/drawing/2014/main" id="{6B0E9BEF-5A51-1C9F-8961-24731CD88203}"/>
            </a:ext>
          </a:extLst>
        </cdr:cNvPr>
        <cdr:cNvSpPr/>
      </cdr:nvSpPr>
      <cdr:spPr>
        <a:xfrm xmlns:a="http://schemas.openxmlformats.org/drawingml/2006/main">
          <a:off x="4804094" y="3849769"/>
          <a:ext cx="465431" cy="462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431" h="462664">
              <a:moveTo>
                <a:pt x="291847" y="264366"/>
              </a:moveTo>
              <a:lnTo>
                <a:pt x="36259" y="0"/>
              </a:lnTo>
              <a:lnTo>
                <a:pt x="0" y="0"/>
              </a:lnTo>
              <a:lnTo>
                <a:pt x="266385" y="275533"/>
              </a:lnTo>
              <a:lnTo>
                <a:pt x="447302" y="462663"/>
              </a:lnTo>
              <a:lnTo>
                <a:pt x="465430" y="4439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0.28822</cdr:x>
      <cdr:y>0.58268</cdr:y>
    </cdr:from>
    <cdr:to>
      <cdr:x>0.35045</cdr:x>
      <cdr:y>0.64447</cdr:y>
    </cdr:to>
    <cdr:sp macro="" textlink="">
      <cdr:nvSpPr>
        <cdr:cNvPr id="239" name="FracNo 400 StartRow 2370">
          <a:extLst xmlns:a="http://schemas.openxmlformats.org/drawingml/2006/main">
            <a:ext uri="{FF2B5EF4-FFF2-40B4-BE49-F238E27FC236}">
              <a16:creationId xmlns:a16="http://schemas.microsoft.com/office/drawing/2014/main" id="{D35B1C44-51C5-4357-C607-95DDA9711902}"/>
            </a:ext>
          </a:extLst>
        </cdr:cNvPr>
        <cdr:cNvSpPr/>
      </cdr:nvSpPr>
      <cdr:spPr>
        <a:xfrm xmlns:a="http://schemas.openxmlformats.org/drawingml/2006/main">
          <a:off x="2108374" y="4440011"/>
          <a:ext cx="455207" cy="470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207" h="470840">
              <a:moveTo>
                <a:pt x="143607" y="186043"/>
              </a:moveTo>
              <a:lnTo>
                <a:pt x="0" y="37504"/>
              </a:lnTo>
              <a:lnTo>
                <a:pt x="0" y="0"/>
              </a:lnTo>
              <a:lnTo>
                <a:pt x="156036" y="161395"/>
              </a:lnTo>
              <a:lnTo>
                <a:pt x="455206" y="470839"/>
              </a:lnTo>
              <a:lnTo>
                <a:pt x="418948" y="4708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0.3025</cdr:x>
      <cdr:y>0.56849</cdr:y>
    </cdr:from>
    <cdr:to>
      <cdr:x>0.36473</cdr:x>
      <cdr:y>0.63028</cdr:y>
    </cdr:to>
    <cdr:sp macro="" textlink="">
      <cdr:nvSpPr>
        <cdr:cNvPr id="240" name="FracNo 386 StartRow 2379">
          <a:extLst xmlns:a="http://schemas.openxmlformats.org/drawingml/2006/main">
            <a:ext uri="{FF2B5EF4-FFF2-40B4-BE49-F238E27FC236}">
              <a16:creationId xmlns:a16="http://schemas.microsoft.com/office/drawing/2014/main" id="{716D6DAE-34AD-7CB4-4780-66198B6B32D7}"/>
            </a:ext>
          </a:extLst>
        </cdr:cNvPr>
        <cdr:cNvSpPr/>
      </cdr:nvSpPr>
      <cdr:spPr>
        <a:xfrm xmlns:a="http://schemas.openxmlformats.org/drawingml/2006/main">
          <a:off x="2212878" y="4331918"/>
          <a:ext cx="455207" cy="470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207" h="470839">
              <a:moveTo>
                <a:pt x="210037" y="179746"/>
              </a:moveTo>
              <a:lnTo>
                <a:pt x="36259" y="0"/>
              </a:lnTo>
              <a:lnTo>
                <a:pt x="0" y="0"/>
              </a:lnTo>
              <a:lnTo>
                <a:pt x="188818" y="195303"/>
              </a:lnTo>
              <a:lnTo>
                <a:pt x="455206" y="470838"/>
              </a:lnTo>
              <a:lnTo>
                <a:pt x="455206" y="4333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0.66174</cdr:x>
      <cdr:y>0.72253</cdr:y>
    </cdr:from>
    <cdr:to>
      <cdr:x>0.7239</cdr:x>
      <cdr:y>0.78425</cdr:y>
    </cdr:to>
    <cdr:sp macro="" textlink="">
      <cdr:nvSpPr>
        <cdr:cNvPr id="241" name="FracNo 1088 StartRow 2388">
          <a:extLst xmlns:a="http://schemas.openxmlformats.org/drawingml/2006/main">
            <a:ext uri="{FF2B5EF4-FFF2-40B4-BE49-F238E27FC236}">
              <a16:creationId xmlns:a16="http://schemas.microsoft.com/office/drawing/2014/main" id="{BCC9B56A-A199-D44A-AC3A-001499D2ED8F}"/>
            </a:ext>
          </a:extLst>
        </cdr:cNvPr>
        <cdr:cNvSpPr/>
      </cdr:nvSpPr>
      <cdr:spPr>
        <a:xfrm xmlns:a="http://schemas.openxmlformats.org/drawingml/2006/main">
          <a:off x="4840745" y="5505682"/>
          <a:ext cx="454710" cy="470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710" h="470326">
              <a:moveTo>
                <a:pt x="227568" y="197879"/>
              </a:moveTo>
              <a:lnTo>
                <a:pt x="36259" y="0"/>
              </a:lnTo>
              <a:lnTo>
                <a:pt x="0" y="0"/>
              </a:lnTo>
              <a:lnTo>
                <a:pt x="207886" y="215025"/>
              </a:lnTo>
              <a:lnTo>
                <a:pt x="454709" y="470325"/>
              </a:lnTo>
              <a:lnTo>
                <a:pt x="454709" y="4328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0.66539</cdr:x>
      <cdr:y>0.7189</cdr:y>
    </cdr:from>
    <cdr:to>
      <cdr:x>0.72755</cdr:x>
      <cdr:y>0.78062</cdr:y>
    </cdr:to>
    <cdr:sp macro="" textlink="">
      <cdr:nvSpPr>
        <cdr:cNvPr id="242" name="FracNo 144 StartRow 2397">
          <a:extLst xmlns:a="http://schemas.openxmlformats.org/drawingml/2006/main">
            <a:ext uri="{FF2B5EF4-FFF2-40B4-BE49-F238E27FC236}">
              <a16:creationId xmlns:a16="http://schemas.microsoft.com/office/drawing/2014/main" id="{192EA125-D0EA-D729-E423-6FFBD811C3D0}"/>
            </a:ext>
          </a:extLst>
        </cdr:cNvPr>
        <cdr:cNvSpPr/>
      </cdr:nvSpPr>
      <cdr:spPr>
        <a:xfrm xmlns:a="http://schemas.openxmlformats.org/drawingml/2006/main">
          <a:off x="4867485" y="5478024"/>
          <a:ext cx="454710" cy="470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710" h="470325">
              <a:moveTo>
                <a:pt x="233180" y="203683"/>
              </a:moveTo>
              <a:lnTo>
                <a:pt x="36259" y="0"/>
              </a:lnTo>
              <a:lnTo>
                <a:pt x="0" y="0"/>
              </a:lnTo>
              <a:lnTo>
                <a:pt x="213984" y="221332"/>
              </a:lnTo>
              <a:lnTo>
                <a:pt x="454709" y="470324"/>
              </a:lnTo>
              <a:lnTo>
                <a:pt x="454709" y="4328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0.7376</cdr:x>
      <cdr:y>0.08625</cdr:y>
    </cdr:from>
    <cdr:to>
      <cdr:x>0.79715</cdr:x>
      <cdr:y>0.1503</cdr:y>
    </cdr:to>
    <cdr:sp macro="" textlink="">
      <cdr:nvSpPr>
        <cdr:cNvPr id="243" name="FracNo 512 StartRow 2406">
          <a:extLst xmlns:a="http://schemas.openxmlformats.org/drawingml/2006/main">
            <a:ext uri="{FF2B5EF4-FFF2-40B4-BE49-F238E27FC236}">
              <a16:creationId xmlns:a16="http://schemas.microsoft.com/office/drawing/2014/main" id="{02FB9323-23B2-D66B-F4E8-FE76E1EE4E59}"/>
            </a:ext>
          </a:extLst>
        </cdr:cNvPr>
        <cdr:cNvSpPr/>
      </cdr:nvSpPr>
      <cdr:spPr>
        <a:xfrm xmlns:a="http://schemas.openxmlformats.org/drawingml/2006/main">
          <a:off x="5395713" y="657207"/>
          <a:ext cx="435603" cy="488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603" h="488066">
              <a:moveTo>
                <a:pt x="366571" y="108906"/>
              </a:moveTo>
              <a:lnTo>
                <a:pt x="0" y="488065"/>
              </a:lnTo>
              <a:lnTo>
                <a:pt x="0" y="450561"/>
              </a:lnTo>
              <a:lnTo>
                <a:pt x="366571" y="71402"/>
              </a:lnTo>
              <a:lnTo>
                <a:pt x="435602" y="0"/>
              </a:lnTo>
              <a:lnTo>
                <a:pt x="43560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0.74099</cdr:x>
      <cdr:y>0.08961</cdr:y>
    </cdr:from>
    <cdr:to>
      <cdr:x>0.80054</cdr:x>
      <cdr:y>0.15367</cdr:y>
    </cdr:to>
    <cdr:sp macro="" textlink="">
      <cdr:nvSpPr>
        <cdr:cNvPr id="244" name="FracNo 1191 StartRow 2415">
          <a:extLst xmlns:a="http://schemas.openxmlformats.org/drawingml/2006/main">
            <a:ext uri="{FF2B5EF4-FFF2-40B4-BE49-F238E27FC236}">
              <a16:creationId xmlns:a16="http://schemas.microsoft.com/office/drawing/2014/main" id="{CDE6EACC-131C-3A43-B5A8-CAF4F5DB2CE3}"/>
            </a:ext>
          </a:extLst>
        </cdr:cNvPr>
        <cdr:cNvSpPr/>
      </cdr:nvSpPr>
      <cdr:spPr>
        <a:xfrm xmlns:a="http://schemas.openxmlformats.org/drawingml/2006/main">
          <a:off x="5420517" y="682862"/>
          <a:ext cx="435603" cy="488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603" h="488066">
              <a:moveTo>
                <a:pt x="268440" y="210406"/>
              </a:moveTo>
              <a:lnTo>
                <a:pt x="0" y="488065"/>
              </a:lnTo>
              <a:lnTo>
                <a:pt x="0" y="450562"/>
              </a:lnTo>
              <a:lnTo>
                <a:pt x="268440" y="172902"/>
              </a:lnTo>
              <a:lnTo>
                <a:pt x="435602" y="0"/>
              </a:lnTo>
              <a:lnTo>
                <a:pt x="43560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0.76696</cdr:x>
      <cdr:y>0.11539</cdr:y>
    </cdr:from>
    <cdr:to>
      <cdr:x>0.8265</cdr:x>
      <cdr:y>0.17944</cdr:y>
    </cdr:to>
    <cdr:sp macro="" textlink="">
      <cdr:nvSpPr>
        <cdr:cNvPr id="245" name="FracNo 507 StartRow 2424">
          <a:extLst xmlns:a="http://schemas.openxmlformats.org/drawingml/2006/main">
            <a:ext uri="{FF2B5EF4-FFF2-40B4-BE49-F238E27FC236}">
              <a16:creationId xmlns:a16="http://schemas.microsoft.com/office/drawing/2014/main" id="{20A0E101-E53B-6F02-B19E-8214D438E12C}"/>
            </a:ext>
          </a:extLst>
        </cdr:cNvPr>
        <cdr:cNvSpPr/>
      </cdr:nvSpPr>
      <cdr:spPr>
        <a:xfrm xmlns:a="http://schemas.openxmlformats.org/drawingml/2006/main">
          <a:off x="5610431" y="879298"/>
          <a:ext cx="435603" cy="488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603" h="488067">
              <a:moveTo>
                <a:pt x="252807" y="226577"/>
              </a:moveTo>
              <a:lnTo>
                <a:pt x="0" y="488066"/>
              </a:lnTo>
              <a:lnTo>
                <a:pt x="0" y="450562"/>
              </a:lnTo>
              <a:lnTo>
                <a:pt x="252807" y="189073"/>
              </a:lnTo>
              <a:lnTo>
                <a:pt x="435602" y="0"/>
              </a:lnTo>
              <a:lnTo>
                <a:pt x="43560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0.75204</cdr:x>
      <cdr:y>0.10058</cdr:y>
    </cdr:from>
    <cdr:to>
      <cdr:x>0.81158</cdr:x>
      <cdr:y>0.16463</cdr:y>
    </cdr:to>
    <cdr:sp macro="" textlink="">
      <cdr:nvSpPr>
        <cdr:cNvPr id="246" name="FracNo 508 StartRow 2433">
          <a:extLst xmlns:a="http://schemas.openxmlformats.org/drawingml/2006/main">
            <a:ext uri="{FF2B5EF4-FFF2-40B4-BE49-F238E27FC236}">
              <a16:creationId xmlns:a16="http://schemas.microsoft.com/office/drawing/2014/main" id="{7A410369-EF44-6E0D-E7A3-95191E8823C0}"/>
            </a:ext>
          </a:extLst>
        </cdr:cNvPr>
        <cdr:cNvSpPr/>
      </cdr:nvSpPr>
      <cdr:spPr>
        <a:xfrm xmlns:a="http://schemas.openxmlformats.org/drawingml/2006/main">
          <a:off x="5501298" y="766417"/>
          <a:ext cx="435603" cy="488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603" h="488066">
              <a:moveTo>
                <a:pt x="335849" y="140683"/>
              </a:moveTo>
              <a:lnTo>
                <a:pt x="0" y="488065"/>
              </a:lnTo>
              <a:lnTo>
                <a:pt x="0" y="450562"/>
              </a:lnTo>
              <a:lnTo>
                <a:pt x="335849" y="103179"/>
              </a:lnTo>
              <a:lnTo>
                <a:pt x="435602" y="0"/>
              </a:lnTo>
              <a:lnTo>
                <a:pt x="43560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0.86843</cdr:x>
      <cdr:y>0.4055</cdr:y>
    </cdr:from>
    <cdr:to>
      <cdr:x>0.93267</cdr:x>
      <cdr:y>0.46437</cdr:y>
    </cdr:to>
    <cdr:sp macro="" textlink="">
      <cdr:nvSpPr>
        <cdr:cNvPr id="247" name="FracNo 957 StartRow 2442">
          <a:extLst xmlns:a="http://schemas.openxmlformats.org/drawingml/2006/main">
            <a:ext uri="{FF2B5EF4-FFF2-40B4-BE49-F238E27FC236}">
              <a16:creationId xmlns:a16="http://schemas.microsoft.com/office/drawing/2014/main" id="{8362FDB9-6B5A-6DDC-F4F5-D3FBC93008D4}"/>
            </a:ext>
          </a:extLst>
        </cdr:cNvPr>
        <cdr:cNvSpPr/>
      </cdr:nvSpPr>
      <cdr:spPr>
        <a:xfrm xmlns:a="http://schemas.openxmlformats.org/drawingml/2006/main">
          <a:off x="6352710" y="3089896"/>
          <a:ext cx="469957" cy="448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957" h="448594">
              <a:moveTo>
                <a:pt x="247287" y="230317"/>
              </a:moveTo>
              <a:lnTo>
                <a:pt x="36259" y="448593"/>
              </a:lnTo>
              <a:lnTo>
                <a:pt x="0" y="448593"/>
              </a:lnTo>
              <a:lnTo>
                <a:pt x="211029" y="230317"/>
              </a:lnTo>
              <a:lnTo>
                <a:pt x="433698" y="0"/>
              </a:lnTo>
              <a:lnTo>
                <a:pt x="4699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0.67981</cdr:x>
      <cdr:y>0.21314</cdr:y>
    </cdr:from>
    <cdr:to>
      <cdr:x>0.74279</cdr:x>
      <cdr:y>0.27322</cdr:y>
    </cdr:to>
    <cdr:sp macro="" textlink="">
      <cdr:nvSpPr>
        <cdr:cNvPr id="248" name="FracNo 823 StartRow 2451">
          <a:extLst xmlns:a="http://schemas.openxmlformats.org/drawingml/2006/main">
            <a:ext uri="{FF2B5EF4-FFF2-40B4-BE49-F238E27FC236}">
              <a16:creationId xmlns:a16="http://schemas.microsoft.com/office/drawing/2014/main" id="{DFF0400D-08DA-2591-19F6-87F69BDFB3AB}"/>
            </a:ext>
          </a:extLst>
        </cdr:cNvPr>
        <cdr:cNvSpPr/>
      </cdr:nvSpPr>
      <cdr:spPr>
        <a:xfrm xmlns:a="http://schemas.openxmlformats.org/drawingml/2006/main">
          <a:off x="4972976" y="1624161"/>
          <a:ext cx="460715" cy="457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715" h="457785">
              <a:moveTo>
                <a:pt x="249831" y="236877"/>
              </a:moveTo>
              <a:lnTo>
                <a:pt x="36258" y="457784"/>
              </a:lnTo>
              <a:lnTo>
                <a:pt x="0" y="457784"/>
              </a:lnTo>
              <a:lnTo>
                <a:pt x="222694" y="227442"/>
              </a:lnTo>
              <a:lnTo>
                <a:pt x="442584" y="0"/>
              </a:lnTo>
              <a:lnTo>
                <a:pt x="4607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0.23502</cdr:x>
      <cdr:y>0.22182</cdr:y>
    </cdr:from>
    <cdr:to>
      <cdr:x>0.29676</cdr:x>
      <cdr:y>0.28312</cdr:y>
    </cdr:to>
    <cdr:sp macro="" textlink="">
      <cdr:nvSpPr>
        <cdr:cNvPr id="249" name="FracNo 309 StartRow 2460">
          <a:extLst xmlns:a="http://schemas.openxmlformats.org/drawingml/2006/main">
            <a:ext uri="{FF2B5EF4-FFF2-40B4-BE49-F238E27FC236}">
              <a16:creationId xmlns:a16="http://schemas.microsoft.com/office/drawing/2014/main" id="{35391BB2-F18E-E173-E5AD-D741B4F2AEEA}"/>
            </a:ext>
          </a:extLst>
        </cdr:cNvPr>
        <cdr:cNvSpPr/>
      </cdr:nvSpPr>
      <cdr:spPr>
        <a:xfrm xmlns:a="http://schemas.openxmlformats.org/drawingml/2006/main">
          <a:off x="1719231" y="1690247"/>
          <a:ext cx="451616" cy="467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616" h="467125">
              <a:moveTo>
                <a:pt x="143100" y="148015"/>
              </a:moveTo>
              <a:lnTo>
                <a:pt x="0" y="0"/>
              </a:lnTo>
              <a:lnTo>
                <a:pt x="0" y="37504"/>
              </a:lnTo>
              <a:lnTo>
                <a:pt x="131611" y="173635"/>
              </a:lnTo>
              <a:lnTo>
                <a:pt x="415357" y="467124"/>
              </a:lnTo>
              <a:lnTo>
                <a:pt x="451615" y="4671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0.09596</cdr:x>
      <cdr:y>0.35426</cdr:y>
    </cdr:from>
    <cdr:to>
      <cdr:x>0.16014</cdr:x>
      <cdr:y>0.41307</cdr:y>
    </cdr:to>
    <cdr:sp macro="" textlink="">
      <cdr:nvSpPr>
        <cdr:cNvPr id="250" name="FracNo 383 StartRow 2469">
          <a:extLst xmlns:a="http://schemas.openxmlformats.org/drawingml/2006/main">
            <a:ext uri="{FF2B5EF4-FFF2-40B4-BE49-F238E27FC236}">
              <a16:creationId xmlns:a16="http://schemas.microsoft.com/office/drawing/2014/main" id="{17A5D9ED-BAFB-82BE-2361-E5CAF9392317}"/>
            </a:ext>
          </a:extLst>
        </cdr:cNvPr>
        <cdr:cNvSpPr/>
      </cdr:nvSpPr>
      <cdr:spPr>
        <a:xfrm xmlns:a="http://schemas.openxmlformats.org/drawingml/2006/main">
          <a:off x="701994" y="2699495"/>
          <a:ext cx="469479" cy="448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479" h="448098">
              <a:moveTo>
                <a:pt x="342912" y="317185"/>
              </a:moveTo>
              <a:lnTo>
                <a:pt x="127260" y="94127"/>
              </a:lnTo>
              <a:lnTo>
                <a:pt x="36258" y="0"/>
              </a:lnTo>
              <a:lnTo>
                <a:pt x="0" y="0"/>
              </a:lnTo>
              <a:lnTo>
                <a:pt x="96526" y="99841"/>
              </a:lnTo>
              <a:lnTo>
                <a:pt x="308697" y="319298"/>
              </a:lnTo>
              <a:lnTo>
                <a:pt x="433219" y="448097"/>
              </a:lnTo>
              <a:lnTo>
                <a:pt x="469478" y="4480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0.54421</cdr:x>
      <cdr:y>0.35363</cdr:y>
    </cdr:from>
    <cdr:to>
      <cdr:x>0.60574</cdr:x>
      <cdr:y>0.41473</cdr:y>
    </cdr:to>
    <cdr:sp macro="" textlink="">
      <cdr:nvSpPr>
        <cdr:cNvPr id="251" name="FracNo 1121 StartRow 2480">
          <a:extLst xmlns:a="http://schemas.openxmlformats.org/drawingml/2006/main">
            <a:ext uri="{FF2B5EF4-FFF2-40B4-BE49-F238E27FC236}">
              <a16:creationId xmlns:a16="http://schemas.microsoft.com/office/drawing/2014/main" id="{28EC23BC-6659-D7EE-550B-2BED56BE0625}"/>
            </a:ext>
          </a:extLst>
        </cdr:cNvPr>
        <cdr:cNvSpPr/>
      </cdr:nvSpPr>
      <cdr:spPr>
        <a:xfrm xmlns:a="http://schemas.openxmlformats.org/drawingml/2006/main">
          <a:off x="3981002" y="2694680"/>
          <a:ext cx="450115" cy="465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115" h="465573">
              <a:moveTo>
                <a:pt x="191062" y="267948"/>
              </a:moveTo>
              <a:lnTo>
                <a:pt x="0" y="465572"/>
              </a:lnTo>
              <a:lnTo>
                <a:pt x="0" y="428068"/>
              </a:lnTo>
              <a:lnTo>
                <a:pt x="175096" y="246959"/>
              </a:lnTo>
              <a:lnTo>
                <a:pt x="319021" y="98092"/>
              </a:lnTo>
              <a:lnTo>
                <a:pt x="413856" y="0"/>
              </a:lnTo>
              <a:lnTo>
                <a:pt x="450114" y="0"/>
              </a:lnTo>
              <a:lnTo>
                <a:pt x="348111" y="1055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0.68632</cdr:x>
      <cdr:y>0.70328</cdr:y>
    </cdr:from>
    <cdr:to>
      <cdr:x>0.74522</cdr:x>
      <cdr:y>0.76669</cdr:y>
    </cdr:to>
    <cdr:sp macro="" textlink="">
      <cdr:nvSpPr>
        <cdr:cNvPr id="252" name="FracNo 151 StartRow 2491">
          <a:extLst xmlns:a="http://schemas.openxmlformats.org/drawingml/2006/main">
            <a:ext uri="{FF2B5EF4-FFF2-40B4-BE49-F238E27FC236}">
              <a16:creationId xmlns:a16="http://schemas.microsoft.com/office/drawing/2014/main" id="{D4462E54-1E8C-FC72-DFE4-0EB0EBB23337}"/>
            </a:ext>
          </a:extLst>
        </cdr:cNvPr>
        <cdr:cNvSpPr/>
      </cdr:nvSpPr>
      <cdr:spPr>
        <a:xfrm xmlns:a="http://schemas.openxmlformats.org/drawingml/2006/main">
          <a:off x="5020533" y="5358974"/>
          <a:ext cx="430903" cy="483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903" h="483204">
              <a:moveTo>
                <a:pt x="200236" y="244616"/>
              </a:moveTo>
              <a:lnTo>
                <a:pt x="0" y="37504"/>
              </a:lnTo>
              <a:lnTo>
                <a:pt x="0" y="0"/>
              </a:lnTo>
              <a:lnTo>
                <a:pt x="200236" y="207113"/>
              </a:lnTo>
              <a:lnTo>
                <a:pt x="430902" y="445700"/>
              </a:lnTo>
              <a:lnTo>
                <a:pt x="430902" y="4832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0.25231</cdr:x>
      <cdr:y>0.20561</cdr:y>
    </cdr:from>
    <cdr:to>
      <cdr:x>0.3148</cdr:x>
      <cdr:y>0.2652</cdr:y>
    </cdr:to>
    <cdr:sp macro="" textlink="">
      <cdr:nvSpPr>
        <cdr:cNvPr id="253" name="FracNo 301 StartRow 2500">
          <a:extLst xmlns:a="http://schemas.openxmlformats.org/drawingml/2006/main">
            <a:ext uri="{FF2B5EF4-FFF2-40B4-BE49-F238E27FC236}">
              <a16:creationId xmlns:a16="http://schemas.microsoft.com/office/drawing/2014/main" id="{521F07BE-0BEB-3B1D-7ED9-0A9F3CC88969}"/>
            </a:ext>
          </a:extLst>
        </cdr:cNvPr>
        <cdr:cNvSpPr/>
      </cdr:nvSpPr>
      <cdr:spPr>
        <a:xfrm xmlns:a="http://schemas.openxmlformats.org/drawingml/2006/main">
          <a:off x="1845708" y="1566753"/>
          <a:ext cx="457139" cy="454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139" h="454086">
              <a:moveTo>
                <a:pt x="159716" y="146448"/>
              </a:moveTo>
              <a:lnTo>
                <a:pt x="18130" y="0"/>
              </a:lnTo>
              <a:lnTo>
                <a:pt x="0" y="18751"/>
              </a:lnTo>
              <a:lnTo>
                <a:pt x="135740" y="159152"/>
              </a:lnTo>
              <a:lnTo>
                <a:pt x="420880" y="454085"/>
              </a:lnTo>
              <a:lnTo>
                <a:pt x="457138" y="4540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0.6385</cdr:x>
      <cdr:y>0.29583</cdr:y>
    </cdr:from>
    <cdr:to>
      <cdr:x>0.69972</cdr:x>
      <cdr:y>0.35662</cdr:y>
    </cdr:to>
    <cdr:sp macro="" textlink="">
      <cdr:nvSpPr>
        <cdr:cNvPr id="254" name="FracNo 542 StartRow 2509">
          <a:extLst xmlns:a="http://schemas.openxmlformats.org/drawingml/2006/main">
            <a:ext uri="{FF2B5EF4-FFF2-40B4-BE49-F238E27FC236}">
              <a16:creationId xmlns:a16="http://schemas.microsoft.com/office/drawing/2014/main" id="{096CEA1A-D947-75E5-1984-DFE95F16BAF1}"/>
            </a:ext>
          </a:extLst>
        </cdr:cNvPr>
        <cdr:cNvSpPr/>
      </cdr:nvSpPr>
      <cdr:spPr>
        <a:xfrm xmlns:a="http://schemas.openxmlformats.org/drawingml/2006/main">
          <a:off x="4670736" y="2254214"/>
          <a:ext cx="447823" cy="463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823" h="463203">
              <a:moveTo>
                <a:pt x="212655" y="219959"/>
              </a:moveTo>
              <a:lnTo>
                <a:pt x="137068" y="141775"/>
              </a:lnTo>
              <a:lnTo>
                <a:pt x="0" y="0"/>
              </a:lnTo>
              <a:lnTo>
                <a:pt x="36258" y="0"/>
              </a:lnTo>
              <a:lnTo>
                <a:pt x="161654" y="129702"/>
              </a:lnTo>
              <a:lnTo>
                <a:pt x="231262" y="201700"/>
              </a:lnTo>
              <a:lnTo>
                <a:pt x="447822" y="425698"/>
              </a:lnTo>
              <a:lnTo>
                <a:pt x="447822" y="4632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0.4931</cdr:x>
      <cdr:y>0.73466</cdr:y>
    </cdr:from>
    <cdr:to>
      <cdr:x>0.55666</cdr:x>
      <cdr:y>0.79285</cdr:y>
    </cdr:to>
    <cdr:sp macro="" textlink="">
      <cdr:nvSpPr>
        <cdr:cNvPr id="255" name="FracNo 426 StartRow 2520">
          <a:extLst xmlns:a="http://schemas.openxmlformats.org/drawingml/2006/main">
            <a:ext uri="{FF2B5EF4-FFF2-40B4-BE49-F238E27FC236}">
              <a16:creationId xmlns:a16="http://schemas.microsoft.com/office/drawing/2014/main" id="{25DEF035-05F8-0FF8-630A-119528911262}"/>
            </a:ext>
          </a:extLst>
        </cdr:cNvPr>
        <cdr:cNvSpPr/>
      </cdr:nvSpPr>
      <cdr:spPr>
        <a:xfrm xmlns:a="http://schemas.openxmlformats.org/drawingml/2006/main">
          <a:off x="3607156" y="5598126"/>
          <a:ext cx="464941" cy="4434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941" h="443404">
              <a:moveTo>
                <a:pt x="313478" y="119160"/>
              </a:moveTo>
              <a:lnTo>
                <a:pt x="0" y="443403"/>
              </a:lnTo>
              <a:lnTo>
                <a:pt x="36258" y="443403"/>
              </a:lnTo>
              <a:lnTo>
                <a:pt x="349736" y="119160"/>
              </a:lnTo>
              <a:lnTo>
                <a:pt x="464940" y="0"/>
              </a:lnTo>
              <a:lnTo>
                <a:pt x="4286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0.15638</cdr:x>
      <cdr:y>0.78917</cdr:y>
    </cdr:from>
    <cdr:to>
      <cdr:x>0.21495</cdr:x>
      <cdr:y>0.85225</cdr:y>
    </cdr:to>
    <cdr:sp macro="" textlink="">
      <cdr:nvSpPr>
        <cdr:cNvPr id="256" name="FracNo 30 StartRow 2529">
          <a:extLst xmlns:a="http://schemas.openxmlformats.org/drawingml/2006/main">
            <a:ext uri="{FF2B5EF4-FFF2-40B4-BE49-F238E27FC236}">
              <a16:creationId xmlns:a16="http://schemas.microsoft.com/office/drawing/2014/main" id="{3729C0F7-7256-C8A7-7375-DA2ABF5707FB}"/>
            </a:ext>
          </a:extLst>
        </cdr:cNvPr>
        <cdr:cNvSpPr/>
      </cdr:nvSpPr>
      <cdr:spPr>
        <a:xfrm xmlns:a="http://schemas.openxmlformats.org/drawingml/2006/main">
          <a:off x="1143924" y="6013443"/>
          <a:ext cx="428455" cy="480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455" h="480672">
              <a:moveTo>
                <a:pt x="248848" y="185774"/>
              </a:moveTo>
              <a:lnTo>
                <a:pt x="0" y="443168"/>
              </a:lnTo>
              <a:lnTo>
                <a:pt x="0" y="480671"/>
              </a:lnTo>
              <a:lnTo>
                <a:pt x="248848" y="223277"/>
              </a:lnTo>
              <a:lnTo>
                <a:pt x="428454" y="37503"/>
              </a:lnTo>
              <a:lnTo>
                <a:pt x="428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0.81101</cdr:x>
      <cdr:y>0.63476</cdr:y>
    </cdr:from>
    <cdr:to>
      <cdr:x>0.87046</cdr:x>
      <cdr:y>0.69625</cdr:y>
    </cdr:to>
    <cdr:sp macro="" textlink="">
      <cdr:nvSpPr>
        <cdr:cNvPr id="257" name="FracNo 158 StartRow 2538">
          <a:extLst xmlns:a="http://schemas.openxmlformats.org/drawingml/2006/main">
            <a:ext uri="{FF2B5EF4-FFF2-40B4-BE49-F238E27FC236}">
              <a16:creationId xmlns:a16="http://schemas.microsoft.com/office/drawing/2014/main" id="{D7C5BA47-71B1-6F11-C498-E7C25A4F5A7F}"/>
            </a:ext>
          </a:extLst>
        </cdr:cNvPr>
        <cdr:cNvSpPr/>
      </cdr:nvSpPr>
      <cdr:spPr>
        <a:xfrm xmlns:a="http://schemas.openxmlformats.org/drawingml/2006/main">
          <a:off x="5932691" y="4836879"/>
          <a:ext cx="434880" cy="468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4880" h="468566">
              <a:moveTo>
                <a:pt x="394511" y="408059"/>
              </a:moveTo>
              <a:lnTo>
                <a:pt x="85384" y="88316"/>
              </a:lnTo>
              <a:lnTo>
                <a:pt x="0" y="0"/>
              </a:lnTo>
              <a:lnTo>
                <a:pt x="0" y="37504"/>
              </a:lnTo>
              <a:lnTo>
                <a:pt x="81469" y="121770"/>
              </a:lnTo>
              <a:lnTo>
                <a:pt x="378023" y="428509"/>
              </a:lnTo>
              <a:lnTo>
                <a:pt x="416750" y="468565"/>
              </a:lnTo>
              <a:lnTo>
                <a:pt x="434879" y="4498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0.5419</cdr:x>
      <cdr:y>0.27263</cdr:y>
    </cdr:from>
    <cdr:to>
      <cdr:x>0.60256</cdr:x>
      <cdr:y>0.33287</cdr:y>
    </cdr:to>
    <cdr:sp macro="" textlink="">
      <cdr:nvSpPr>
        <cdr:cNvPr id="258" name="FracNo 235 StartRow 2549">
          <a:extLst xmlns:a="http://schemas.openxmlformats.org/drawingml/2006/main">
            <a:ext uri="{FF2B5EF4-FFF2-40B4-BE49-F238E27FC236}">
              <a16:creationId xmlns:a16="http://schemas.microsoft.com/office/drawing/2014/main" id="{F3E915D5-A704-0636-79EF-6C294D0FE130}"/>
            </a:ext>
          </a:extLst>
        </cdr:cNvPr>
        <cdr:cNvSpPr/>
      </cdr:nvSpPr>
      <cdr:spPr>
        <a:xfrm xmlns:a="http://schemas.openxmlformats.org/drawingml/2006/main">
          <a:off x="3964092" y="2077451"/>
          <a:ext cx="443778" cy="4590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3778" h="459019">
              <a:moveTo>
                <a:pt x="314078" y="324865"/>
              </a:moveTo>
              <a:lnTo>
                <a:pt x="0" y="0"/>
              </a:lnTo>
              <a:lnTo>
                <a:pt x="0" y="37504"/>
              </a:lnTo>
              <a:lnTo>
                <a:pt x="288417" y="335826"/>
              </a:lnTo>
              <a:lnTo>
                <a:pt x="407519" y="459018"/>
              </a:lnTo>
              <a:lnTo>
                <a:pt x="443777" y="4590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0.11786</cdr:x>
      <cdr:y>0.81154</cdr:y>
    </cdr:from>
    <cdr:to>
      <cdr:x>0.1794</cdr:x>
      <cdr:y>0.87018</cdr:y>
    </cdr:to>
    <cdr:sp macro="" textlink="">
      <cdr:nvSpPr>
        <cdr:cNvPr id="259" name="FracNo 74 StartRow 2558">
          <a:extLst xmlns:a="http://schemas.openxmlformats.org/drawingml/2006/main">
            <a:ext uri="{FF2B5EF4-FFF2-40B4-BE49-F238E27FC236}">
              <a16:creationId xmlns:a16="http://schemas.microsoft.com/office/drawing/2014/main" id="{3D419BE2-629C-F23B-B5BB-659DD4623CF3}"/>
            </a:ext>
          </a:extLst>
        </cdr:cNvPr>
        <cdr:cNvSpPr/>
      </cdr:nvSpPr>
      <cdr:spPr>
        <a:xfrm xmlns:a="http://schemas.openxmlformats.org/drawingml/2006/main">
          <a:off x="862196" y="6183959"/>
          <a:ext cx="450129" cy="446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129" h="446836">
              <a:moveTo>
                <a:pt x="143659" y="129841"/>
              </a:moveTo>
              <a:lnTo>
                <a:pt x="18130" y="0"/>
              </a:lnTo>
              <a:lnTo>
                <a:pt x="0" y="18752"/>
              </a:lnTo>
              <a:lnTo>
                <a:pt x="120262" y="143144"/>
              </a:lnTo>
              <a:lnTo>
                <a:pt x="413869" y="446835"/>
              </a:lnTo>
              <a:lnTo>
                <a:pt x="450128" y="4468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0.84052</cdr:y>
    </cdr:from>
    <cdr:to>
      <cdr:x>0.14952</cdr:x>
      <cdr:y>0.90274</cdr:y>
    </cdr:to>
    <cdr:sp macro="" textlink="">
      <cdr:nvSpPr>
        <cdr:cNvPr id="260" name="FracNo 777 StartRow 2567">
          <a:extLst xmlns:a="http://schemas.openxmlformats.org/drawingml/2006/main">
            <a:ext uri="{FF2B5EF4-FFF2-40B4-BE49-F238E27FC236}">
              <a16:creationId xmlns:a16="http://schemas.microsoft.com/office/drawing/2014/main" id="{3E6CB6BB-8803-6A91-F48B-9E8680D6B275}"/>
            </a:ext>
          </a:extLst>
        </cdr:cNvPr>
        <cdr:cNvSpPr/>
      </cdr:nvSpPr>
      <cdr:spPr>
        <a:xfrm xmlns:a="http://schemas.openxmlformats.org/drawingml/2006/main">
          <a:off x="671676" y="6404748"/>
          <a:ext cx="422109" cy="474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109" h="474108">
              <a:moveTo>
                <a:pt x="15199" y="420883"/>
              </a:moveTo>
              <a:lnTo>
                <a:pt x="0" y="436604"/>
              </a:lnTo>
              <a:lnTo>
                <a:pt x="0" y="474107"/>
              </a:lnTo>
              <a:lnTo>
                <a:pt x="15199" y="458387"/>
              </a:lnTo>
              <a:lnTo>
                <a:pt x="422108" y="37504"/>
              </a:lnTo>
              <a:lnTo>
                <a:pt x="422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0.15367</cdr:x>
      <cdr:y>0.2893</cdr:y>
    </cdr:from>
    <cdr:to>
      <cdr:x>0.21245</cdr:x>
      <cdr:y>0.35012</cdr:y>
    </cdr:to>
    <cdr:sp macro="" textlink="">
      <cdr:nvSpPr>
        <cdr:cNvPr id="261" name="FracNo 736 StartRow 2576">
          <a:extLst xmlns:a="http://schemas.openxmlformats.org/drawingml/2006/main">
            <a:ext uri="{FF2B5EF4-FFF2-40B4-BE49-F238E27FC236}">
              <a16:creationId xmlns:a16="http://schemas.microsoft.com/office/drawing/2014/main" id="{AFFBE793-63B7-4F03-F774-F6857EB62E5A}"/>
            </a:ext>
          </a:extLst>
        </cdr:cNvPr>
        <cdr:cNvSpPr/>
      </cdr:nvSpPr>
      <cdr:spPr>
        <a:xfrm xmlns:a="http://schemas.openxmlformats.org/drawingml/2006/main">
          <a:off x="1124161" y="2204456"/>
          <a:ext cx="429967" cy="463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967" h="463484">
              <a:moveTo>
                <a:pt x="121012" y="106416"/>
              </a:moveTo>
              <a:lnTo>
                <a:pt x="18129" y="0"/>
              </a:lnTo>
              <a:lnTo>
                <a:pt x="0" y="18752"/>
              </a:lnTo>
              <a:lnTo>
                <a:pt x="107412" y="129852"/>
              </a:lnTo>
              <a:lnTo>
                <a:pt x="429966" y="463483"/>
              </a:lnTo>
              <a:lnTo>
                <a:pt x="429966" y="4259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0.68075</cdr:x>
      <cdr:y>0.19037</cdr:y>
    </cdr:from>
    <cdr:to>
      <cdr:x>0.74176</cdr:x>
      <cdr:y>0.24849</cdr:y>
    </cdr:to>
    <cdr:sp macro="" textlink="">
      <cdr:nvSpPr>
        <cdr:cNvPr id="262" name="FracNo 745 StartRow 2585">
          <a:extLst xmlns:a="http://schemas.openxmlformats.org/drawingml/2006/main">
            <a:ext uri="{FF2B5EF4-FFF2-40B4-BE49-F238E27FC236}">
              <a16:creationId xmlns:a16="http://schemas.microsoft.com/office/drawing/2014/main" id="{1D48A7E9-4BD6-7580-CF26-D49A06568CEE}"/>
            </a:ext>
          </a:extLst>
        </cdr:cNvPr>
        <cdr:cNvSpPr/>
      </cdr:nvSpPr>
      <cdr:spPr>
        <a:xfrm xmlns:a="http://schemas.openxmlformats.org/drawingml/2006/main">
          <a:off x="4979842" y="1450656"/>
          <a:ext cx="446272" cy="442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272" h="442846">
              <a:moveTo>
                <a:pt x="35964" y="424398"/>
              </a:moveTo>
              <a:lnTo>
                <a:pt x="18129" y="442845"/>
              </a:lnTo>
              <a:lnTo>
                <a:pt x="0" y="424093"/>
              </a:lnTo>
              <a:lnTo>
                <a:pt x="17079" y="406427"/>
              </a:lnTo>
              <a:lnTo>
                <a:pt x="410012" y="0"/>
              </a:lnTo>
              <a:lnTo>
                <a:pt x="4462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0.4221</cdr:x>
      <cdr:y>0.80237</cdr:y>
    </cdr:from>
    <cdr:to>
      <cdr:x>0.4831</cdr:x>
      <cdr:y>0.86048</cdr:y>
    </cdr:to>
    <cdr:sp macro="" textlink="">
      <cdr:nvSpPr>
        <cdr:cNvPr id="263" name="FracNo 437 StartRow 2594">
          <a:extLst xmlns:a="http://schemas.openxmlformats.org/drawingml/2006/main">
            <a:ext uri="{FF2B5EF4-FFF2-40B4-BE49-F238E27FC236}">
              <a16:creationId xmlns:a16="http://schemas.microsoft.com/office/drawing/2014/main" id="{1DD41107-EBC5-3E32-BC78-B957F411065B}"/>
            </a:ext>
          </a:extLst>
        </cdr:cNvPr>
        <cdr:cNvSpPr/>
      </cdr:nvSpPr>
      <cdr:spPr>
        <a:xfrm xmlns:a="http://schemas.openxmlformats.org/drawingml/2006/main">
          <a:off x="3087763" y="6114059"/>
          <a:ext cx="446220" cy="4427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220" h="442793">
              <a:moveTo>
                <a:pt x="106373" y="351517"/>
              </a:moveTo>
              <a:lnTo>
                <a:pt x="18129" y="442792"/>
              </a:lnTo>
              <a:lnTo>
                <a:pt x="0" y="424040"/>
              </a:lnTo>
              <a:lnTo>
                <a:pt x="84507" y="336631"/>
              </a:lnTo>
              <a:lnTo>
                <a:pt x="409961" y="0"/>
              </a:lnTo>
              <a:lnTo>
                <a:pt x="4462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0.23855</cdr:x>
      <cdr:y>0.35658</cdr:y>
    </cdr:from>
    <cdr:to>
      <cdr:x>0.29831</cdr:x>
      <cdr:y>0.41592</cdr:y>
    </cdr:to>
    <cdr:sp macro="" textlink="">
      <cdr:nvSpPr>
        <cdr:cNvPr id="264" name="FracNo 381 StartRow 2603">
          <a:extLst xmlns:a="http://schemas.openxmlformats.org/drawingml/2006/main">
            <a:ext uri="{FF2B5EF4-FFF2-40B4-BE49-F238E27FC236}">
              <a16:creationId xmlns:a16="http://schemas.microsoft.com/office/drawing/2014/main" id="{8AFCAFAB-9115-84E2-0DA0-D077C7039EFA}"/>
            </a:ext>
          </a:extLst>
        </cdr:cNvPr>
        <cdr:cNvSpPr/>
      </cdr:nvSpPr>
      <cdr:spPr>
        <a:xfrm xmlns:a="http://schemas.openxmlformats.org/drawingml/2006/main">
          <a:off x="1745066" y="2717176"/>
          <a:ext cx="437133" cy="452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133" h="452145">
              <a:moveTo>
                <a:pt x="146131" y="151149"/>
              </a:moveTo>
              <a:lnTo>
                <a:pt x="62355" y="64496"/>
              </a:lnTo>
              <a:lnTo>
                <a:pt x="0" y="0"/>
              </a:lnTo>
              <a:lnTo>
                <a:pt x="0" y="37504"/>
              </a:lnTo>
              <a:lnTo>
                <a:pt x="54726" y="94110"/>
              </a:lnTo>
              <a:lnTo>
                <a:pt x="132102" y="174142"/>
              </a:lnTo>
              <a:lnTo>
                <a:pt x="400874" y="452144"/>
              </a:lnTo>
              <a:lnTo>
                <a:pt x="437132" y="4521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0.76748</cdr:x>
      <cdr:y>0.84564</cdr:y>
    </cdr:from>
    <cdr:to>
      <cdr:x>0.82469</cdr:x>
      <cdr:y>0.90737</cdr:y>
    </cdr:to>
    <cdr:sp macro="" textlink="">
      <cdr:nvSpPr>
        <cdr:cNvPr id="265" name="FracNo 119 StartRow 2614">
          <a:extLst xmlns:a="http://schemas.openxmlformats.org/drawingml/2006/main">
            <a:ext uri="{FF2B5EF4-FFF2-40B4-BE49-F238E27FC236}">
              <a16:creationId xmlns:a16="http://schemas.microsoft.com/office/drawing/2014/main" id="{B353DC0A-F2BE-D8F2-1EC3-2ABFB8DF35D0}"/>
            </a:ext>
          </a:extLst>
        </cdr:cNvPr>
        <cdr:cNvSpPr/>
      </cdr:nvSpPr>
      <cdr:spPr>
        <a:xfrm xmlns:a="http://schemas.openxmlformats.org/drawingml/2006/main">
          <a:off x="5614255" y="6443802"/>
          <a:ext cx="418501" cy="470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501" h="470378">
              <a:moveTo>
                <a:pt x="218924" y="206430"/>
              </a:moveTo>
              <a:lnTo>
                <a:pt x="0" y="432873"/>
              </a:lnTo>
              <a:lnTo>
                <a:pt x="0" y="470377"/>
              </a:lnTo>
              <a:lnTo>
                <a:pt x="218924" y="243933"/>
              </a:lnTo>
              <a:lnTo>
                <a:pt x="418500" y="37503"/>
              </a:lnTo>
              <a:lnTo>
                <a:pt x="418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0.73028</cdr:x>
      <cdr:y>0.43115</cdr:y>
    </cdr:from>
    <cdr:to>
      <cdr:x>0.78736</cdr:x>
      <cdr:y>0.49274</cdr:y>
    </cdr:to>
    <cdr:sp macro="" textlink="">
      <cdr:nvSpPr>
        <cdr:cNvPr id="266" name="FracNo 581 StartRow 2623">
          <a:extLst xmlns:a="http://schemas.openxmlformats.org/drawingml/2006/main">
            <a:ext uri="{FF2B5EF4-FFF2-40B4-BE49-F238E27FC236}">
              <a16:creationId xmlns:a16="http://schemas.microsoft.com/office/drawing/2014/main" id="{A128CB61-6F12-BCF2-6C4D-339473D1C861}"/>
            </a:ext>
          </a:extLst>
        </cdr:cNvPr>
        <cdr:cNvSpPr/>
      </cdr:nvSpPr>
      <cdr:spPr>
        <a:xfrm xmlns:a="http://schemas.openxmlformats.org/drawingml/2006/main">
          <a:off x="5342162" y="3285364"/>
          <a:ext cx="417499" cy="469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499" h="469340">
              <a:moveTo>
                <a:pt x="182348" y="280728"/>
              </a:moveTo>
              <a:lnTo>
                <a:pt x="0" y="469339"/>
              </a:lnTo>
              <a:lnTo>
                <a:pt x="0" y="431835"/>
              </a:lnTo>
              <a:lnTo>
                <a:pt x="182348" y="243224"/>
              </a:lnTo>
              <a:lnTo>
                <a:pt x="417498" y="0"/>
              </a:lnTo>
              <a:lnTo>
                <a:pt x="41749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0.74494</cdr:x>
      <cdr:y>0.4457</cdr:y>
    </cdr:from>
    <cdr:to>
      <cdr:x>0.80201</cdr:x>
      <cdr:y>0.5073</cdr:y>
    </cdr:to>
    <cdr:sp macro="" textlink="">
      <cdr:nvSpPr>
        <cdr:cNvPr id="267" name="FracNo 811 StartRow 2632">
          <a:extLst xmlns:a="http://schemas.openxmlformats.org/drawingml/2006/main">
            <a:ext uri="{FF2B5EF4-FFF2-40B4-BE49-F238E27FC236}">
              <a16:creationId xmlns:a16="http://schemas.microsoft.com/office/drawing/2014/main" id="{D55E4393-7FE4-6E90-28A8-556496DB0A3A}"/>
            </a:ext>
          </a:extLst>
        </cdr:cNvPr>
        <cdr:cNvSpPr/>
      </cdr:nvSpPr>
      <cdr:spPr>
        <a:xfrm xmlns:a="http://schemas.openxmlformats.org/drawingml/2006/main">
          <a:off x="5449386" y="3396270"/>
          <a:ext cx="417499" cy="469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499" h="469341">
              <a:moveTo>
                <a:pt x="16995" y="451760"/>
              </a:moveTo>
              <a:lnTo>
                <a:pt x="0" y="469340"/>
              </a:lnTo>
              <a:lnTo>
                <a:pt x="0" y="431836"/>
              </a:lnTo>
              <a:lnTo>
                <a:pt x="16995" y="414257"/>
              </a:lnTo>
              <a:lnTo>
                <a:pt x="417498" y="0"/>
              </a:lnTo>
              <a:lnTo>
                <a:pt x="41749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0.76913</cdr:x>
      <cdr:y>0.23178</cdr:y>
    </cdr:from>
    <cdr:to>
      <cdr:x>0.82862</cdr:x>
      <cdr:y>0.29085</cdr:y>
    </cdr:to>
    <cdr:sp macro="" textlink="">
      <cdr:nvSpPr>
        <cdr:cNvPr id="268" name="FracNo 836 StartRow 2641">
          <a:extLst xmlns:a="http://schemas.openxmlformats.org/drawingml/2006/main">
            <a:ext uri="{FF2B5EF4-FFF2-40B4-BE49-F238E27FC236}">
              <a16:creationId xmlns:a16="http://schemas.microsoft.com/office/drawing/2014/main" id="{61D7CBBF-2032-CC58-4A69-CC26AF44EDB8}"/>
            </a:ext>
          </a:extLst>
        </cdr:cNvPr>
        <cdr:cNvSpPr/>
      </cdr:nvSpPr>
      <cdr:spPr>
        <a:xfrm xmlns:a="http://schemas.openxmlformats.org/drawingml/2006/main">
          <a:off x="5626314" y="1766130"/>
          <a:ext cx="435210" cy="450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210" h="450157">
              <a:moveTo>
                <a:pt x="170801" y="214171"/>
              </a:moveTo>
              <a:lnTo>
                <a:pt x="0" y="37504"/>
              </a:lnTo>
              <a:lnTo>
                <a:pt x="0" y="0"/>
              </a:lnTo>
              <a:lnTo>
                <a:pt x="186325" y="192724"/>
              </a:lnTo>
              <a:lnTo>
                <a:pt x="435209" y="450156"/>
              </a:lnTo>
              <a:lnTo>
                <a:pt x="398950" y="4501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0.16683</cdr:x>
      <cdr:y>0.41643</cdr:y>
    </cdr:from>
    <cdr:to>
      <cdr:x>0.22864</cdr:x>
      <cdr:y>0.47289</cdr:y>
    </cdr:to>
    <cdr:sp macro="" textlink="">
      <cdr:nvSpPr>
        <cdr:cNvPr id="269" name="FracNo 1123 StartRow 2650">
          <a:extLst xmlns:a="http://schemas.openxmlformats.org/drawingml/2006/main">
            <a:ext uri="{FF2B5EF4-FFF2-40B4-BE49-F238E27FC236}">
              <a16:creationId xmlns:a16="http://schemas.microsoft.com/office/drawing/2014/main" id="{B3E227C2-9761-0809-57B2-B0FB78A536CE}"/>
            </a:ext>
          </a:extLst>
        </cdr:cNvPr>
        <cdr:cNvSpPr/>
      </cdr:nvSpPr>
      <cdr:spPr>
        <a:xfrm xmlns:a="http://schemas.openxmlformats.org/drawingml/2006/main">
          <a:off x="1220411" y="3173232"/>
          <a:ext cx="452165" cy="430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165" h="430189">
              <a:moveTo>
                <a:pt x="57386" y="408335"/>
              </a:moveTo>
              <a:lnTo>
                <a:pt x="36259" y="430188"/>
              </a:lnTo>
              <a:lnTo>
                <a:pt x="0" y="430188"/>
              </a:lnTo>
              <a:lnTo>
                <a:pt x="21128" y="408335"/>
              </a:lnTo>
              <a:lnTo>
                <a:pt x="415905" y="0"/>
              </a:lnTo>
              <a:lnTo>
                <a:pt x="4521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0.62893</cdr:x>
      <cdr:y>0.53399</cdr:y>
    </cdr:from>
    <cdr:to>
      <cdr:x>0.69066</cdr:x>
      <cdr:y>0.59036</cdr:y>
    </cdr:to>
    <cdr:sp macro="" textlink="">
      <cdr:nvSpPr>
        <cdr:cNvPr id="270" name="FracNo 677 StartRow 2659">
          <a:extLst xmlns:a="http://schemas.openxmlformats.org/drawingml/2006/main">
            <a:ext uri="{FF2B5EF4-FFF2-40B4-BE49-F238E27FC236}">
              <a16:creationId xmlns:a16="http://schemas.microsoft.com/office/drawing/2014/main" id="{1DE19825-6668-2F5A-4BC7-974F81C50530}"/>
            </a:ext>
          </a:extLst>
        </cdr:cNvPr>
        <cdr:cNvSpPr/>
      </cdr:nvSpPr>
      <cdr:spPr>
        <a:xfrm xmlns:a="http://schemas.openxmlformats.org/drawingml/2006/main">
          <a:off x="4600766" y="4069010"/>
          <a:ext cx="451549" cy="429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549" h="429553">
              <a:moveTo>
                <a:pt x="206114" y="253863"/>
              </a:moveTo>
              <a:lnTo>
                <a:pt x="36258" y="429552"/>
              </a:lnTo>
              <a:lnTo>
                <a:pt x="0" y="429552"/>
              </a:lnTo>
              <a:lnTo>
                <a:pt x="184188" y="239039"/>
              </a:lnTo>
              <a:lnTo>
                <a:pt x="209346" y="213017"/>
              </a:lnTo>
              <a:lnTo>
                <a:pt x="415290" y="0"/>
              </a:lnTo>
              <a:lnTo>
                <a:pt x="451548" y="0"/>
              </a:lnTo>
              <a:lnTo>
                <a:pt x="229316" y="2298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</cdr:x>
      <cdr:y>0.52418</cdr:y>
    </cdr:from>
    <cdr:to>
      <cdr:x>0.68078</cdr:x>
      <cdr:y>0.58547</cdr:y>
    </cdr:to>
    <cdr:sp macro="" textlink="">
      <cdr:nvSpPr>
        <cdr:cNvPr id="271" name="FracNo 676 StartRow 2670">
          <a:extLst xmlns:a="http://schemas.openxmlformats.org/drawingml/2006/main">
            <a:ext uri="{FF2B5EF4-FFF2-40B4-BE49-F238E27FC236}">
              <a16:creationId xmlns:a16="http://schemas.microsoft.com/office/drawing/2014/main" id="{2197EF2D-8F60-7B90-BA70-F87E1FAB096B}"/>
            </a:ext>
          </a:extLst>
        </cdr:cNvPr>
        <cdr:cNvSpPr/>
      </cdr:nvSpPr>
      <cdr:spPr>
        <a:xfrm xmlns:a="http://schemas.openxmlformats.org/drawingml/2006/main">
          <a:off x="4564717" y="3994220"/>
          <a:ext cx="415292" cy="467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292" h="467057">
              <a:moveTo>
                <a:pt x="132174" y="292840"/>
              </a:moveTo>
              <a:lnTo>
                <a:pt x="0" y="429552"/>
              </a:lnTo>
              <a:lnTo>
                <a:pt x="0" y="467056"/>
              </a:lnTo>
              <a:lnTo>
                <a:pt x="137636" y="324694"/>
              </a:lnTo>
              <a:lnTo>
                <a:pt x="260549" y="197559"/>
              </a:lnTo>
              <a:lnTo>
                <a:pt x="415291" y="37504"/>
              </a:lnTo>
              <a:lnTo>
                <a:pt x="415291" y="0"/>
              </a:lnTo>
              <a:lnTo>
                <a:pt x="250210" y="1707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0.6488</cdr:x>
      <cdr:y>0.87128</cdr:y>
    </cdr:from>
    <cdr:to>
      <cdr:x>0.70804</cdr:x>
      <cdr:y>0.9301</cdr:y>
    </cdr:to>
    <cdr:sp macro="" textlink="">
      <cdr:nvSpPr>
        <cdr:cNvPr id="272" name="FracNo 972 StartRow 2681">
          <a:extLst xmlns:a="http://schemas.openxmlformats.org/drawingml/2006/main">
            <a:ext uri="{FF2B5EF4-FFF2-40B4-BE49-F238E27FC236}">
              <a16:creationId xmlns:a16="http://schemas.microsoft.com/office/drawing/2014/main" id="{24D725EC-6B2C-B751-7EBA-64ADDF5BD82F}"/>
            </a:ext>
          </a:extLst>
        </cdr:cNvPr>
        <cdr:cNvSpPr/>
      </cdr:nvSpPr>
      <cdr:spPr>
        <a:xfrm xmlns:a="http://schemas.openxmlformats.org/drawingml/2006/main">
          <a:off x="4746084" y="6639150"/>
          <a:ext cx="433335" cy="448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335" h="448216">
              <a:moveTo>
                <a:pt x="167654" y="173411"/>
              </a:moveTo>
              <a:lnTo>
                <a:pt x="78207" y="80893"/>
              </a:lnTo>
              <a:lnTo>
                <a:pt x="0" y="0"/>
              </a:lnTo>
              <a:lnTo>
                <a:pt x="0" y="37503"/>
              </a:lnTo>
              <a:lnTo>
                <a:pt x="69818" y="109719"/>
              </a:lnTo>
              <a:lnTo>
                <a:pt x="152246" y="194977"/>
              </a:lnTo>
              <a:lnTo>
                <a:pt x="397075" y="448215"/>
              </a:lnTo>
              <a:lnTo>
                <a:pt x="433334" y="4482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0.25055</cdr:x>
      <cdr:y>0.73029</cdr:y>
    </cdr:from>
    <cdr:to>
      <cdr:x>0.30956</cdr:x>
      <cdr:y>0.78889</cdr:y>
    </cdr:to>
    <cdr:sp macro="" textlink="">
      <cdr:nvSpPr>
        <cdr:cNvPr id="273" name="FracNo 769 StartRow 2692">
          <a:extLst xmlns:a="http://schemas.openxmlformats.org/drawingml/2006/main">
            <a:ext uri="{FF2B5EF4-FFF2-40B4-BE49-F238E27FC236}">
              <a16:creationId xmlns:a16="http://schemas.microsoft.com/office/drawing/2014/main" id="{982D8BF6-369C-190B-DE74-2AB7120744A5}"/>
            </a:ext>
          </a:extLst>
        </cdr:cNvPr>
        <cdr:cNvSpPr/>
      </cdr:nvSpPr>
      <cdr:spPr>
        <a:xfrm xmlns:a="http://schemas.openxmlformats.org/drawingml/2006/main">
          <a:off x="1832827" y="5564829"/>
          <a:ext cx="431682" cy="446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682" h="446507">
              <a:moveTo>
                <a:pt x="291297" y="163958"/>
              </a:moveTo>
              <a:lnTo>
                <a:pt x="18129" y="446506"/>
              </a:lnTo>
              <a:lnTo>
                <a:pt x="0" y="427754"/>
              </a:lnTo>
              <a:lnTo>
                <a:pt x="273168" y="145206"/>
              </a:lnTo>
              <a:lnTo>
                <a:pt x="413552" y="0"/>
              </a:lnTo>
              <a:lnTo>
                <a:pt x="4316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0.46279</cdr:x>
      <cdr:y>0.12485</cdr:y>
    </cdr:from>
    <cdr:to>
      <cdr:x>0.5218</cdr:x>
      <cdr:y>0.18344</cdr:y>
    </cdr:to>
    <cdr:sp macro="" textlink="">
      <cdr:nvSpPr>
        <cdr:cNvPr id="274" name="FracNo 181 StartRow 2701">
          <a:extLst xmlns:a="http://schemas.openxmlformats.org/drawingml/2006/main">
            <a:ext uri="{FF2B5EF4-FFF2-40B4-BE49-F238E27FC236}">
              <a16:creationId xmlns:a16="http://schemas.microsoft.com/office/drawing/2014/main" id="{D8B6C08D-49B7-2F5B-5F16-3CEFB2681BBF}"/>
            </a:ext>
          </a:extLst>
        </cdr:cNvPr>
        <cdr:cNvSpPr/>
      </cdr:nvSpPr>
      <cdr:spPr>
        <a:xfrm xmlns:a="http://schemas.openxmlformats.org/drawingml/2006/main">
          <a:off x="3385422" y="951327"/>
          <a:ext cx="431657" cy="446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657" h="446480">
              <a:moveTo>
                <a:pt x="281289" y="193034"/>
              </a:moveTo>
              <a:lnTo>
                <a:pt x="36259" y="446479"/>
              </a:lnTo>
              <a:lnTo>
                <a:pt x="0" y="446479"/>
              </a:lnTo>
              <a:lnTo>
                <a:pt x="267501" y="169793"/>
              </a:lnTo>
              <a:lnTo>
                <a:pt x="431656" y="0"/>
              </a:lnTo>
              <a:lnTo>
                <a:pt x="43165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0.78341</cdr:x>
      <cdr:y>0.49886</cdr:y>
    </cdr:from>
    <cdr:to>
      <cdr:x>0.84238</cdr:x>
      <cdr:y>0.55742</cdr:y>
    </cdr:to>
    <cdr:sp macro="" textlink="">
      <cdr:nvSpPr>
        <cdr:cNvPr id="275" name="FracNo 783 StartRow 2710">
          <a:extLst xmlns:a="http://schemas.openxmlformats.org/drawingml/2006/main">
            <a:ext uri="{FF2B5EF4-FFF2-40B4-BE49-F238E27FC236}">
              <a16:creationId xmlns:a16="http://schemas.microsoft.com/office/drawing/2014/main" id="{7D6FA05D-3681-3EDA-B1AA-661362A5D530}"/>
            </a:ext>
          </a:extLst>
        </cdr:cNvPr>
        <cdr:cNvSpPr/>
      </cdr:nvSpPr>
      <cdr:spPr>
        <a:xfrm xmlns:a="http://schemas.openxmlformats.org/drawingml/2006/main">
          <a:off x="5730794" y="3801332"/>
          <a:ext cx="431394" cy="446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394" h="446210">
              <a:moveTo>
                <a:pt x="230246" y="189303"/>
              </a:moveTo>
              <a:lnTo>
                <a:pt x="0" y="427457"/>
              </a:lnTo>
              <a:lnTo>
                <a:pt x="18129" y="446209"/>
              </a:lnTo>
              <a:lnTo>
                <a:pt x="248376" y="208055"/>
              </a:lnTo>
              <a:lnTo>
                <a:pt x="431393" y="18752"/>
              </a:lnTo>
              <a:lnTo>
                <a:pt x="4132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0.11294</cdr:x>
      <cdr:y>0.15023</cdr:y>
    </cdr:from>
    <cdr:to>
      <cdr:x>0.17188</cdr:x>
      <cdr:y>0.20875</cdr:y>
    </cdr:to>
    <cdr:sp macro="" textlink="">
      <cdr:nvSpPr>
        <cdr:cNvPr id="276" name="FracNo 794 StartRow 2719">
          <a:extLst xmlns:a="http://schemas.openxmlformats.org/drawingml/2006/main">
            <a:ext uri="{FF2B5EF4-FFF2-40B4-BE49-F238E27FC236}">
              <a16:creationId xmlns:a16="http://schemas.microsoft.com/office/drawing/2014/main" id="{13739D49-902D-9E90-B857-5D84B84222D1}"/>
            </a:ext>
          </a:extLst>
        </cdr:cNvPr>
        <cdr:cNvSpPr/>
      </cdr:nvSpPr>
      <cdr:spPr>
        <a:xfrm xmlns:a="http://schemas.openxmlformats.org/drawingml/2006/main">
          <a:off x="826205" y="1144747"/>
          <a:ext cx="431105" cy="445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105" h="445911">
              <a:moveTo>
                <a:pt x="52200" y="53992"/>
              </a:moveTo>
              <a:lnTo>
                <a:pt x="0" y="0"/>
              </a:lnTo>
              <a:lnTo>
                <a:pt x="0" y="37504"/>
              </a:lnTo>
              <a:lnTo>
                <a:pt x="47809" y="86955"/>
              </a:lnTo>
              <a:lnTo>
                <a:pt x="394846" y="445910"/>
              </a:lnTo>
              <a:lnTo>
                <a:pt x="431104" y="4459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0.8241</cdr:x>
      <cdr:y>0.22794</cdr:y>
    </cdr:from>
    <cdr:to>
      <cdr:x>0.88278</cdr:x>
      <cdr:y>0.28621</cdr:y>
    </cdr:to>
    <cdr:sp macro="" textlink="">
      <cdr:nvSpPr>
        <cdr:cNvPr id="277" name="FracNo 541 StartRow 2728">
          <a:extLst xmlns:a="http://schemas.openxmlformats.org/drawingml/2006/main">
            <a:ext uri="{FF2B5EF4-FFF2-40B4-BE49-F238E27FC236}">
              <a16:creationId xmlns:a16="http://schemas.microsoft.com/office/drawing/2014/main" id="{78A1C997-8082-4757-98AA-4C4B89DFCC53}"/>
            </a:ext>
          </a:extLst>
        </cdr:cNvPr>
        <cdr:cNvSpPr/>
      </cdr:nvSpPr>
      <cdr:spPr>
        <a:xfrm xmlns:a="http://schemas.openxmlformats.org/drawingml/2006/main">
          <a:off x="6028465" y="1736918"/>
          <a:ext cx="429230" cy="443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230" h="443972">
              <a:moveTo>
                <a:pt x="324963" y="298620"/>
              </a:moveTo>
              <a:lnTo>
                <a:pt x="36258" y="0"/>
              </a:lnTo>
              <a:lnTo>
                <a:pt x="0" y="0"/>
              </a:lnTo>
              <a:lnTo>
                <a:pt x="315343" y="326173"/>
              </a:lnTo>
              <a:lnTo>
                <a:pt x="429229" y="443971"/>
              </a:lnTo>
              <a:lnTo>
                <a:pt x="429229" y="406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0.26219</cdr:x>
      <cdr:y>0.6036</cdr:y>
    </cdr:from>
    <cdr:to>
      <cdr:x>0.31962</cdr:x>
      <cdr:y>0.6631</cdr:y>
    </cdr:to>
    <cdr:sp macro="" textlink="">
      <cdr:nvSpPr>
        <cdr:cNvPr id="278" name="FracNo 1066 StartRow 2737">
          <a:extLst xmlns:a="http://schemas.openxmlformats.org/drawingml/2006/main">
            <a:ext uri="{FF2B5EF4-FFF2-40B4-BE49-F238E27FC236}">
              <a16:creationId xmlns:a16="http://schemas.microsoft.com/office/drawing/2014/main" id="{1C6D62AF-5F69-02BF-FCA3-2003870EC871}"/>
            </a:ext>
          </a:extLst>
        </cdr:cNvPr>
        <cdr:cNvSpPr/>
      </cdr:nvSpPr>
      <cdr:spPr>
        <a:xfrm xmlns:a="http://schemas.openxmlformats.org/drawingml/2006/main">
          <a:off x="1917940" y="4599470"/>
          <a:ext cx="420140" cy="453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140" h="453320">
              <a:moveTo>
                <a:pt x="313711" y="343236"/>
              </a:moveTo>
              <a:lnTo>
                <a:pt x="0" y="18752"/>
              </a:lnTo>
              <a:lnTo>
                <a:pt x="18129" y="0"/>
              </a:lnTo>
              <a:lnTo>
                <a:pt x="330203" y="322791"/>
              </a:lnTo>
              <a:lnTo>
                <a:pt x="339304" y="332205"/>
              </a:lnTo>
              <a:lnTo>
                <a:pt x="420139" y="415815"/>
              </a:lnTo>
              <a:lnTo>
                <a:pt x="420139" y="453319"/>
              </a:lnTo>
              <a:lnTo>
                <a:pt x="322860" y="3526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0.19638</cdr:x>
      <cdr:y>0.44263</cdr:y>
    </cdr:from>
    <cdr:to>
      <cdr:x>0.25502</cdr:x>
      <cdr:y>0.50086</cdr:y>
    </cdr:to>
    <cdr:sp macro="" textlink="">
      <cdr:nvSpPr>
        <cdr:cNvPr id="279" name="FracNo 999 StartRow 2748">
          <a:extLst xmlns:a="http://schemas.openxmlformats.org/drawingml/2006/main">
            <a:ext uri="{FF2B5EF4-FFF2-40B4-BE49-F238E27FC236}">
              <a16:creationId xmlns:a16="http://schemas.microsoft.com/office/drawing/2014/main" id="{DD818461-ABED-6C17-A2A9-EB2CE19BF01D}"/>
            </a:ext>
          </a:extLst>
        </cdr:cNvPr>
        <cdr:cNvSpPr/>
      </cdr:nvSpPr>
      <cdr:spPr>
        <a:xfrm xmlns:a="http://schemas.openxmlformats.org/drawingml/2006/main">
          <a:off x="1436523" y="3372816"/>
          <a:ext cx="429011" cy="443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011" h="443744">
              <a:moveTo>
                <a:pt x="391247" y="39060"/>
              </a:moveTo>
              <a:lnTo>
                <a:pt x="0" y="443743"/>
              </a:lnTo>
              <a:lnTo>
                <a:pt x="0" y="406239"/>
              </a:lnTo>
              <a:lnTo>
                <a:pt x="358180" y="35759"/>
              </a:lnTo>
              <a:lnTo>
                <a:pt x="392752" y="0"/>
              </a:lnTo>
              <a:lnTo>
                <a:pt x="4290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0.64557</cdr:x>
      <cdr:y>0.2888</cdr:y>
    </cdr:from>
    <cdr:to>
      <cdr:x>0.70171</cdr:x>
      <cdr:y>0.34947</cdr:y>
    </cdr:to>
    <cdr:sp macro="" textlink="">
      <cdr:nvSpPr>
        <cdr:cNvPr id="280" name="FracNo 919 StartRow 2757">
          <a:extLst xmlns:a="http://schemas.openxmlformats.org/drawingml/2006/main">
            <a:ext uri="{FF2B5EF4-FFF2-40B4-BE49-F238E27FC236}">
              <a16:creationId xmlns:a16="http://schemas.microsoft.com/office/drawing/2014/main" id="{C284AE36-6285-AD85-C13F-4591CD9F874A}"/>
            </a:ext>
          </a:extLst>
        </cdr:cNvPr>
        <cdr:cNvSpPr/>
      </cdr:nvSpPr>
      <cdr:spPr>
        <a:xfrm xmlns:a="http://schemas.openxmlformats.org/drawingml/2006/main">
          <a:off x="4722483" y="2200689"/>
          <a:ext cx="410696" cy="462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696" h="462304">
              <a:moveTo>
                <a:pt x="65277" y="67519"/>
              </a:moveTo>
              <a:lnTo>
                <a:pt x="0" y="0"/>
              </a:lnTo>
              <a:lnTo>
                <a:pt x="0" y="37504"/>
              </a:lnTo>
              <a:lnTo>
                <a:pt x="55276" y="94677"/>
              </a:lnTo>
              <a:lnTo>
                <a:pt x="89515" y="130093"/>
              </a:lnTo>
              <a:lnTo>
                <a:pt x="410695" y="462303"/>
              </a:lnTo>
              <a:lnTo>
                <a:pt x="410695" y="424799"/>
              </a:lnTo>
              <a:lnTo>
                <a:pt x="105713" y="1093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0.62682</cdr:x>
      <cdr:y>0.58852</cdr:y>
    </cdr:from>
    <cdr:to>
      <cdr:x>0.68406</cdr:x>
      <cdr:y>0.64781</cdr:y>
    </cdr:to>
    <cdr:sp macro="" textlink="">
      <cdr:nvSpPr>
        <cdr:cNvPr id="281" name="FracNo 661 StartRow 2768">
          <a:extLst xmlns:a="http://schemas.openxmlformats.org/drawingml/2006/main">
            <a:ext uri="{FF2B5EF4-FFF2-40B4-BE49-F238E27FC236}">
              <a16:creationId xmlns:a16="http://schemas.microsoft.com/office/drawing/2014/main" id="{7370E3FC-1AAE-47F9-4456-0154EF643203}"/>
            </a:ext>
          </a:extLst>
        </cdr:cNvPr>
        <cdr:cNvSpPr/>
      </cdr:nvSpPr>
      <cdr:spPr>
        <a:xfrm xmlns:a="http://schemas.openxmlformats.org/drawingml/2006/main">
          <a:off x="4585331" y="4484508"/>
          <a:ext cx="418671" cy="451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671" h="451801">
              <a:moveTo>
                <a:pt x="212071" y="194942"/>
              </a:moveTo>
              <a:lnTo>
                <a:pt x="0" y="414296"/>
              </a:lnTo>
              <a:lnTo>
                <a:pt x="0" y="451800"/>
              </a:lnTo>
              <a:lnTo>
                <a:pt x="229105" y="214826"/>
              </a:lnTo>
              <a:lnTo>
                <a:pt x="243830" y="199595"/>
              </a:lnTo>
              <a:lnTo>
                <a:pt x="418670" y="18752"/>
              </a:lnTo>
              <a:lnTo>
                <a:pt x="400540" y="0"/>
              </a:lnTo>
              <a:lnTo>
                <a:pt x="225701" y="1808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0.44168</cdr:x>
      <cdr:y>0.80618</cdr:y>
    </cdr:from>
    <cdr:to>
      <cdr:x>0.50013</cdr:x>
      <cdr:y>0.86423</cdr:y>
    </cdr:to>
    <cdr:sp macro="" textlink="">
      <cdr:nvSpPr>
        <cdr:cNvPr id="282" name="FracNo 436 StartRow 2779">
          <a:extLst xmlns:a="http://schemas.openxmlformats.org/drawingml/2006/main">
            <a:ext uri="{FF2B5EF4-FFF2-40B4-BE49-F238E27FC236}">
              <a16:creationId xmlns:a16="http://schemas.microsoft.com/office/drawing/2014/main" id="{8A821F9A-5A62-3021-F8E2-CF1CA908FA96}"/>
            </a:ext>
          </a:extLst>
        </cdr:cNvPr>
        <cdr:cNvSpPr/>
      </cdr:nvSpPr>
      <cdr:spPr>
        <a:xfrm xmlns:a="http://schemas.openxmlformats.org/drawingml/2006/main">
          <a:off x="3230969" y="6143127"/>
          <a:ext cx="427589" cy="442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7589" h="442273">
              <a:moveTo>
                <a:pt x="113752" y="287110"/>
              </a:moveTo>
              <a:lnTo>
                <a:pt x="0" y="404768"/>
              </a:lnTo>
              <a:lnTo>
                <a:pt x="0" y="442272"/>
              </a:lnTo>
              <a:lnTo>
                <a:pt x="124291" y="313713"/>
              </a:lnTo>
              <a:lnTo>
                <a:pt x="427588" y="0"/>
              </a:lnTo>
              <a:lnTo>
                <a:pt x="391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0.87254</cdr:x>
      <cdr:y>0.87208</cdr:y>
    </cdr:from>
    <cdr:to>
      <cdr:x>0.93097</cdr:x>
      <cdr:y>0.9301</cdr:y>
    </cdr:to>
    <cdr:sp macro="" textlink="">
      <cdr:nvSpPr>
        <cdr:cNvPr id="283" name="FracNo 838 StartRow 2788">
          <a:extLst xmlns:a="http://schemas.openxmlformats.org/drawingml/2006/main">
            <a:ext uri="{FF2B5EF4-FFF2-40B4-BE49-F238E27FC236}">
              <a16:creationId xmlns:a16="http://schemas.microsoft.com/office/drawing/2014/main" id="{019E98BE-DA9A-7D3F-61E9-DFBE6F7F019B}"/>
            </a:ext>
          </a:extLst>
        </cdr:cNvPr>
        <cdr:cNvSpPr/>
      </cdr:nvSpPr>
      <cdr:spPr>
        <a:xfrm xmlns:a="http://schemas.openxmlformats.org/drawingml/2006/main">
          <a:off x="6382780" y="6645215"/>
          <a:ext cx="427470" cy="442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7470" h="442151">
              <a:moveTo>
                <a:pt x="204504" y="249031"/>
              </a:moveTo>
              <a:lnTo>
                <a:pt x="0" y="37504"/>
              </a:lnTo>
              <a:lnTo>
                <a:pt x="0" y="0"/>
              </a:lnTo>
              <a:lnTo>
                <a:pt x="223458" y="231132"/>
              </a:lnTo>
              <a:lnTo>
                <a:pt x="427469" y="442150"/>
              </a:lnTo>
              <a:lnTo>
                <a:pt x="391210" y="4421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0.18719</cdr:y>
    </cdr:from>
    <cdr:to>
      <cdr:x>0.15017</cdr:x>
      <cdr:y>0.24513</cdr:y>
    </cdr:to>
    <cdr:sp macro="" textlink="">
      <cdr:nvSpPr>
        <cdr:cNvPr id="284" name="FracNo 263 StartRow 2797">
          <a:extLst xmlns:a="http://schemas.openxmlformats.org/drawingml/2006/main">
            <a:ext uri="{FF2B5EF4-FFF2-40B4-BE49-F238E27FC236}">
              <a16:creationId xmlns:a16="http://schemas.microsoft.com/office/drawing/2014/main" id="{F776FB38-A0C5-90B7-3EAF-E45BCF4932DD}"/>
            </a:ext>
          </a:extLst>
        </cdr:cNvPr>
        <cdr:cNvSpPr/>
      </cdr:nvSpPr>
      <cdr:spPr>
        <a:xfrm xmlns:a="http://schemas.openxmlformats.org/drawingml/2006/main">
          <a:off x="671676" y="1426413"/>
          <a:ext cx="426843" cy="441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843" h="441502">
              <a:moveTo>
                <a:pt x="29946" y="410526"/>
              </a:moveTo>
              <a:lnTo>
                <a:pt x="0" y="441501"/>
              </a:lnTo>
              <a:lnTo>
                <a:pt x="0" y="403997"/>
              </a:lnTo>
              <a:lnTo>
                <a:pt x="27402" y="375654"/>
              </a:lnTo>
              <a:lnTo>
                <a:pt x="390584" y="0"/>
              </a:lnTo>
              <a:lnTo>
                <a:pt x="426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0.22862</cdr:x>
      <cdr:y>0.30925</cdr:y>
    </cdr:from>
    <cdr:to>
      <cdr:x>0.28559</cdr:x>
      <cdr:y>0.36828</cdr:y>
    </cdr:to>
    <cdr:sp macro="" textlink="">
      <cdr:nvSpPr>
        <cdr:cNvPr id="285" name="FracNo 308 StartRow 2806">
          <a:extLst xmlns:a="http://schemas.openxmlformats.org/drawingml/2006/main">
            <a:ext uri="{FF2B5EF4-FFF2-40B4-BE49-F238E27FC236}">
              <a16:creationId xmlns:a16="http://schemas.microsoft.com/office/drawing/2014/main" id="{0782DE6B-5F4B-8DFC-5733-79D26B99D9AF}"/>
            </a:ext>
          </a:extLst>
        </cdr:cNvPr>
        <cdr:cNvSpPr/>
      </cdr:nvSpPr>
      <cdr:spPr>
        <a:xfrm xmlns:a="http://schemas.openxmlformats.org/drawingml/2006/main">
          <a:off x="1672407" y="2356508"/>
          <a:ext cx="416710" cy="449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710" h="449772">
              <a:moveTo>
                <a:pt x="207873" y="233764"/>
              </a:moveTo>
              <a:lnTo>
                <a:pt x="0" y="18752"/>
              </a:lnTo>
              <a:lnTo>
                <a:pt x="18130" y="0"/>
              </a:lnTo>
              <a:lnTo>
                <a:pt x="216959" y="205658"/>
              </a:lnTo>
              <a:lnTo>
                <a:pt x="416709" y="412268"/>
              </a:lnTo>
              <a:lnTo>
                <a:pt x="416709" y="4497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0.21172</cdr:x>
      <cdr:y>0.73316</cdr:y>
    </cdr:from>
    <cdr:to>
      <cdr:x>0.26985</cdr:x>
      <cdr:y>0.79089</cdr:y>
    </cdr:to>
    <cdr:sp macro="" textlink="">
      <cdr:nvSpPr>
        <cdr:cNvPr id="286" name="FracNo 1008 StartRow 2815">
          <a:extLst xmlns:a="http://schemas.openxmlformats.org/drawingml/2006/main">
            <a:ext uri="{FF2B5EF4-FFF2-40B4-BE49-F238E27FC236}">
              <a16:creationId xmlns:a16="http://schemas.microsoft.com/office/drawing/2014/main" id="{5833E68A-D5EC-96D1-48B1-B93203EDC622}"/>
            </a:ext>
          </a:extLst>
        </cdr:cNvPr>
        <cdr:cNvSpPr/>
      </cdr:nvSpPr>
      <cdr:spPr>
        <a:xfrm xmlns:a="http://schemas.openxmlformats.org/drawingml/2006/main">
          <a:off x="1548790" y="5586705"/>
          <a:ext cx="425241" cy="439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241" h="439845">
              <a:moveTo>
                <a:pt x="250451" y="143289"/>
              </a:moveTo>
              <a:lnTo>
                <a:pt x="0" y="402340"/>
              </a:lnTo>
              <a:lnTo>
                <a:pt x="0" y="439844"/>
              </a:lnTo>
              <a:lnTo>
                <a:pt x="273796" y="156645"/>
              </a:lnTo>
              <a:lnTo>
                <a:pt x="425240" y="0"/>
              </a:lnTo>
              <a:lnTo>
                <a:pt x="38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0.21507</cdr:x>
      <cdr:y>0.73649</cdr:y>
    </cdr:from>
    <cdr:to>
      <cdr:x>0.2732</cdr:x>
      <cdr:y>0.79421</cdr:y>
    </cdr:to>
    <cdr:sp macro="" textlink="">
      <cdr:nvSpPr>
        <cdr:cNvPr id="287" name="FracNo 29 StartRow 2824">
          <a:extLst xmlns:a="http://schemas.openxmlformats.org/drawingml/2006/main">
            <a:ext uri="{FF2B5EF4-FFF2-40B4-BE49-F238E27FC236}">
              <a16:creationId xmlns:a16="http://schemas.microsoft.com/office/drawing/2014/main" id="{CBD18DFC-2AE8-10D4-BF20-9409AF761FEC}"/>
            </a:ext>
          </a:extLst>
        </cdr:cNvPr>
        <cdr:cNvSpPr/>
      </cdr:nvSpPr>
      <cdr:spPr>
        <a:xfrm xmlns:a="http://schemas.openxmlformats.org/drawingml/2006/main">
          <a:off x="1573283" y="5612039"/>
          <a:ext cx="425242" cy="439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242" h="439845">
              <a:moveTo>
                <a:pt x="121967" y="276185"/>
              </a:moveTo>
              <a:lnTo>
                <a:pt x="0" y="402340"/>
              </a:lnTo>
              <a:lnTo>
                <a:pt x="0" y="439844"/>
              </a:lnTo>
              <a:lnTo>
                <a:pt x="133336" y="301930"/>
              </a:lnTo>
              <a:lnTo>
                <a:pt x="425241" y="0"/>
              </a:lnTo>
              <a:lnTo>
                <a:pt x="38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0.20517</cdr:x>
      <cdr:y>0.72666</cdr:y>
    </cdr:from>
    <cdr:to>
      <cdr:x>0.26331</cdr:x>
      <cdr:y>0.78438</cdr:y>
    </cdr:to>
    <cdr:sp macro="" textlink="">
      <cdr:nvSpPr>
        <cdr:cNvPr id="288" name="FracNo 28 StartRow 2833">
          <a:extLst xmlns:a="http://schemas.openxmlformats.org/drawingml/2006/main">
            <a:ext uri="{FF2B5EF4-FFF2-40B4-BE49-F238E27FC236}">
              <a16:creationId xmlns:a16="http://schemas.microsoft.com/office/drawing/2014/main" id="{B4373A96-7B8E-D593-FA98-78E6A5D5D9C4}"/>
            </a:ext>
          </a:extLst>
        </cdr:cNvPr>
        <cdr:cNvSpPr/>
      </cdr:nvSpPr>
      <cdr:spPr>
        <a:xfrm xmlns:a="http://schemas.openxmlformats.org/drawingml/2006/main">
          <a:off x="1500893" y="5537164"/>
          <a:ext cx="425242" cy="43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242" h="439844">
              <a:moveTo>
                <a:pt x="280728" y="186978"/>
              </a:moveTo>
              <a:lnTo>
                <a:pt x="36259" y="439843"/>
              </a:lnTo>
              <a:lnTo>
                <a:pt x="0" y="439843"/>
              </a:lnTo>
              <a:lnTo>
                <a:pt x="267258" y="163408"/>
              </a:lnTo>
              <a:lnTo>
                <a:pt x="425241" y="0"/>
              </a:lnTo>
              <a:lnTo>
                <a:pt x="425241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0.58889</cdr:x>
      <cdr:y>0.10681</cdr:y>
    </cdr:from>
    <cdr:to>
      <cdr:x>0.64799</cdr:x>
      <cdr:y>0.16304</cdr:y>
    </cdr:to>
    <cdr:sp macro="" textlink="">
      <cdr:nvSpPr>
        <cdr:cNvPr id="289" name="FracNo 842 StartRow 2842">
          <a:extLst xmlns:a="http://schemas.openxmlformats.org/drawingml/2006/main">
            <a:ext uri="{FF2B5EF4-FFF2-40B4-BE49-F238E27FC236}">
              <a16:creationId xmlns:a16="http://schemas.microsoft.com/office/drawing/2014/main" id="{6D9D75FD-9A52-D7A5-E607-6680B87B0193}"/>
            </a:ext>
          </a:extLst>
        </cdr:cNvPr>
        <cdr:cNvSpPr/>
      </cdr:nvSpPr>
      <cdr:spPr>
        <a:xfrm xmlns:a="http://schemas.openxmlformats.org/drawingml/2006/main">
          <a:off x="4307815" y="813901"/>
          <a:ext cx="432338" cy="428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338" h="428434">
              <a:moveTo>
                <a:pt x="44708" y="64997"/>
              </a:moveTo>
              <a:lnTo>
                <a:pt x="0" y="18752"/>
              </a:lnTo>
              <a:lnTo>
                <a:pt x="18129" y="0"/>
              </a:lnTo>
              <a:lnTo>
                <a:pt x="64884" y="48361"/>
              </a:lnTo>
              <a:lnTo>
                <a:pt x="432337" y="428433"/>
              </a:lnTo>
              <a:lnTo>
                <a:pt x="396078" y="4284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0.66341</cdr:x>
      <cdr:y>0.8046</cdr:y>
    </cdr:from>
    <cdr:to>
      <cdr:x>0.72246</cdr:x>
      <cdr:y>0.86078</cdr:y>
    </cdr:to>
    <cdr:sp macro="" textlink="">
      <cdr:nvSpPr>
        <cdr:cNvPr id="290" name="FracNo 106 StartRow 2851">
          <a:extLst xmlns:a="http://schemas.openxmlformats.org/drawingml/2006/main">
            <a:ext uri="{FF2B5EF4-FFF2-40B4-BE49-F238E27FC236}">
              <a16:creationId xmlns:a16="http://schemas.microsoft.com/office/drawing/2014/main" id="{9FD171BA-5C69-EC7F-81E9-A146854ACBE4}"/>
            </a:ext>
          </a:extLst>
        </cdr:cNvPr>
        <cdr:cNvSpPr/>
      </cdr:nvSpPr>
      <cdr:spPr>
        <a:xfrm xmlns:a="http://schemas.openxmlformats.org/drawingml/2006/main">
          <a:off x="4852984" y="6131056"/>
          <a:ext cx="431977" cy="428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977" h="428059">
              <a:moveTo>
                <a:pt x="56690" y="369423"/>
              </a:moveTo>
              <a:lnTo>
                <a:pt x="0" y="428058"/>
              </a:lnTo>
              <a:lnTo>
                <a:pt x="36259" y="428058"/>
              </a:lnTo>
              <a:lnTo>
                <a:pt x="90465" y="371991"/>
              </a:lnTo>
              <a:lnTo>
                <a:pt x="431976" y="18752"/>
              </a:lnTo>
              <a:lnTo>
                <a:pt x="4138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0.18468</cdr:x>
      <cdr:y>0.32043</cdr:y>
    </cdr:from>
    <cdr:to>
      <cdr:x>0.24236</cdr:x>
      <cdr:y>0.3777</cdr:y>
    </cdr:to>
    <cdr:sp macro="" textlink="">
      <cdr:nvSpPr>
        <cdr:cNvPr id="291" name="FracNo 261 StartRow 2860">
          <a:extLst xmlns:a="http://schemas.openxmlformats.org/drawingml/2006/main">
            <a:ext uri="{FF2B5EF4-FFF2-40B4-BE49-F238E27FC236}">
              <a16:creationId xmlns:a16="http://schemas.microsoft.com/office/drawing/2014/main" id="{F162D7AC-3D44-B7BB-F0C4-C093ECF533C5}"/>
            </a:ext>
          </a:extLst>
        </cdr:cNvPr>
        <cdr:cNvSpPr/>
      </cdr:nvSpPr>
      <cdr:spPr>
        <a:xfrm xmlns:a="http://schemas.openxmlformats.org/drawingml/2006/main">
          <a:off x="1350964" y="2441677"/>
          <a:ext cx="421914" cy="436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914" h="436403">
              <a:moveTo>
                <a:pt x="169351" y="223732"/>
              </a:moveTo>
              <a:lnTo>
                <a:pt x="57660" y="339258"/>
              </a:lnTo>
              <a:lnTo>
                <a:pt x="0" y="398899"/>
              </a:lnTo>
              <a:lnTo>
                <a:pt x="0" y="436402"/>
              </a:lnTo>
              <a:lnTo>
                <a:pt x="63863" y="370346"/>
              </a:lnTo>
              <a:lnTo>
                <a:pt x="185789" y="244233"/>
              </a:lnTo>
              <a:lnTo>
                <a:pt x="421913" y="0"/>
              </a:lnTo>
              <a:lnTo>
                <a:pt x="385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0.7317</cdr:x>
      <cdr:y>0.55696</cdr:y>
    </cdr:from>
    <cdr:to>
      <cdr:x>0.7879</cdr:x>
      <cdr:y>0.61522</cdr:y>
    </cdr:to>
    <cdr:sp macro="" textlink="">
      <cdr:nvSpPr>
        <cdr:cNvPr id="292" name="FracNo 587 StartRow 2871">
          <a:extLst xmlns:a="http://schemas.openxmlformats.org/drawingml/2006/main">
            <a:ext uri="{FF2B5EF4-FFF2-40B4-BE49-F238E27FC236}">
              <a16:creationId xmlns:a16="http://schemas.microsoft.com/office/drawing/2014/main" id="{8F904FE1-F91B-5A65-6EC2-90CF816960B4}"/>
            </a:ext>
          </a:extLst>
        </cdr:cNvPr>
        <cdr:cNvSpPr/>
      </cdr:nvSpPr>
      <cdr:spPr>
        <a:xfrm xmlns:a="http://schemas.openxmlformats.org/drawingml/2006/main">
          <a:off x="5352546" y="4244020"/>
          <a:ext cx="411103" cy="443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1103" h="443972">
              <a:moveTo>
                <a:pt x="169328" y="268828"/>
              </a:moveTo>
              <a:lnTo>
                <a:pt x="0" y="443971"/>
              </a:lnTo>
              <a:lnTo>
                <a:pt x="0" y="406468"/>
              </a:lnTo>
              <a:lnTo>
                <a:pt x="161860" y="239048"/>
              </a:lnTo>
              <a:lnTo>
                <a:pt x="392973" y="0"/>
              </a:lnTo>
              <a:lnTo>
                <a:pt x="41110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0.32391</cdr:x>
      <cdr:y>0.87316</cdr:y>
    </cdr:from>
    <cdr:to>
      <cdr:x>0.38126</cdr:x>
      <cdr:y>0.9301</cdr:y>
    </cdr:to>
    <cdr:sp macro="" textlink="">
      <cdr:nvSpPr>
        <cdr:cNvPr id="293" name="FracNo 924 StartRow 2880">
          <a:extLst xmlns:a="http://schemas.openxmlformats.org/drawingml/2006/main">
            <a:ext uri="{FF2B5EF4-FFF2-40B4-BE49-F238E27FC236}">
              <a16:creationId xmlns:a16="http://schemas.microsoft.com/office/drawing/2014/main" id="{DA6FB020-9BA0-45AC-8475-5B34B905033D}"/>
            </a:ext>
          </a:extLst>
        </cdr:cNvPr>
        <cdr:cNvSpPr/>
      </cdr:nvSpPr>
      <cdr:spPr>
        <a:xfrm xmlns:a="http://schemas.openxmlformats.org/drawingml/2006/main">
          <a:off x="2369495" y="6653455"/>
          <a:ext cx="419505" cy="433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505" h="433911">
              <a:moveTo>
                <a:pt x="139841" y="289267"/>
              </a:moveTo>
              <a:lnTo>
                <a:pt x="0" y="433910"/>
              </a:lnTo>
              <a:lnTo>
                <a:pt x="36258" y="433910"/>
              </a:lnTo>
              <a:lnTo>
                <a:pt x="163664" y="302129"/>
              </a:lnTo>
              <a:lnTo>
                <a:pt x="377851" y="80587"/>
              </a:lnTo>
              <a:lnTo>
                <a:pt x="419504" y="37503"/>
              </a:lnTo>
              <a:lnTo>
                <a:pt x="419504" y="0"/>
              </a:lnTo>
              <a:lnTo>
                <a:pt x="374932" y="461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0.72347</cdr:x>
      <cdr:y>0.13626</cdr:y>
    </cdr:from>
    <cdr:to>
      <cdr:x>0.78202</cdr:x>
      <cdr:y>0.19194</cdr:y>
    </cdr:to>
    <cdr:sp macro="" textlink="">
      <cdr:nvSpPr>
        <cdr:cNvPr id="294" name="FracNo 559 StartRow 2891">
          <a:extLst xmlns:a="http://schemas.openxmlformats.org/drawingml/2006/main">
            <a:ext uri="{FF2B5EF4-FFF2-40B4-BE49-F238E27FC236}">
              <a16:creationId xmlns:a16="http://schemas.microsoft.com/office/drawing/2014/main" id="{DE390148-C433-7B3F-A05E-8AFA337ABE5B}"/>
            </a:ext>
          </a:extLst>
        </cdr:cNvPr>
        <cdr:cNvSpPr/>
      </cdr:nvSpPr>
      <cdr:spPr>
        <a:xfrm xmlns:a="http://schemas.openxmlformats.org/drawingml/2006/main">
          <a:off x="5292325" y="1038333"/>
          <a:ext cx="428311" cy="424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311" h="424268">
              <a:moveTo>
                <a:pt x="286131" y="295958"/>
              </a:moveTo>
              <a:lnTo>
                <a:pt x="0" y="0"/>
              </a:lnTo>
              <a:lnTo>
                <a:pt x="36258" y="0"/>
              </a:lnTo>
              <a:lnTo>
                <a:pt x="309743" y="282877"/>
              </a:lnTo>
              <a:lnTo>
                <a:pt x="428310" y="405516"/>
              </a:lnTo>
              <a:lnTo>
                <a:pt x="410180" y="4242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0.82398</cdr:x>
      <cdr:y>0.87566</cdr:y>
    </cdr:from>
    <cdr:to>
      <cdr:x>0.88376</cdr:x>
      <cdr:y>0.9301</cdr:y>
    </cdr:to>
    <cdr:sp macro="" textlink="">
      <cdr:nvSpPr>
        <cdr:cNvPr id="295" name="FracNo 790 StartRow 2900">
          <a:extLst xmlns:a="http://schemas.openxmlformats.org/drawingml/2006/main">
            <a:ext uri="{FF2B5EF4-FFF2-40B4-BE49-F238E27FC236}">
              <a16:creationId xmlns:a16="http://schemas.microsoft.com/office/drawing/2014/main" id="{B4D141A4-FB84-61D3-7738-142AAF010933}"/>
            </a:ext>
          </a:extLst>
        </cdr:cNvPr>
        <cdr:cNvSpPr/>
      </cdr:nvSpPr>
      <cdr:spPr>
        <a:xfrm xmlns:a="http://schemas.openxmlformats.org/drawingml/2006/main">
          <a:off x="6027552" y="6672535"/>
          <a:ext cx="437316" cy="414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316" h="414831">
              <a:moveTo>
                <a:pt x="229227" y="199595"/>
              </a:moveTo>
              <a:lnTo>
                <a:pt x="36258" y="0"/>
              </a:lnTo>
              <a:lnTo>
                <a:pt x="0" y="0"/>
              </a:lnTo>
              <a:lnTo>
                <a:pt x="192968" y="199595"/>
              </a:lnTo>
              <a:lnTo>
                <a:pt x="401057" y="414830"/>
              </a:lnTo>
              <a:lnTo>
                <a:pt x="437315" y="4148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0.8401</cdr:y>
    </cdr:from>
    <cdr:to>
      <cdr:x>0.1491</cdr:x>
      <cdr:y>0.89697</cdr:y>
    </cdr:to>
    <cdr:sp macro="" textlink="">
      <cdr:nvSpPr>
        <cdr:cNvPr id="296" name="FracNo 32 StartRow 2909">
          <a:extLst xmlns:a="http://schemas.openxmlformats.org/drawingml/2006/main">
            <a:ext uri="{FF2B5EF4-FFF2-40B4-BE49-F238E27FC236}">
              <a16:creationId xmlns:a16="http://schemas.microsoft.com/office/drawing/2014/main" id="{8EE71B26-C68A-3284-9831-2916184C5BBD}"/>
            </a:ext>
          </a:extLst>
        </cdr:cNvPr>
        <cdr:cNvSpPr/>
      </cdr:nvSpPr>
      <cdr:spPr>
        <a:xfrm xmlns:a="http://schemas.openxmlformats.org/drawingml/2006/main">
          <a:off x="671676" y="6401530"/>
          <a:ext cx="418997" cy="433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997" h="433386">
              <a:moveTo>
                <a:pt x="31038" y="401281"/>
              </a:moveTo>
              <a:lnTo>
                <a:pt x="0" y="433385"/>
              </a:lnTo>
              <a:lnTo>
                <a:pt x="0" y="395881"/>
              </a:lnTo>
              <a:lnTo>
                <a:pt x="28352" y="366555"/>
              </a:lnTo>
              <a:lnTo>
                <a:pt x="382738" y="0"/>
              </a:lnTo>
              <a:lnTo>
                <a:pt x="418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0.18562</cdr:x>
      <cdr:y>0.48526</cdr:y>
    </cdr:from>
    <cdr:to>
      <cdr:x>0.24017</cdr:x>
      <cdr:y>0.54434</cdr:y>
    </cdr:to>
    <cdr:sp macro="" textlink="">
      <cdr:nvSpPr>
        <cdr:cNvPr id="297" name="FracNo 394 StartRow 2918">
          <a:extLst xmlns:a="http://schemas.openxmlformats.org/drawingml/2006/main">
            <a:ext uri="{FF2B5EF4-FFF2-40B4-BE49-F238E27FC236}">
              <a16:creationId xmlns:a16="http://schemas.microsoft.com/office/drawing/2014/main" id="{5FFD18F3-5D75-7E52-63E6-FF789DC70EC8}"/>
            </a:ext>
          </a:extLst>
        </cdr:cNvPr>
        <cdr:cNvSpPr/>
      </cdr:nvSpPr>
      <cdr:spPr>
        <a:xfrm xmlns:a="http://schemas.openxmlformats.org/drawingml/2006/main">
          <a:off x="1357855" y="3697685"/>
          <a:ext cx="399004" cy="450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004" h="450210">
              <a:moveTo>
                <a:pt x="342490" y="391755"/>
              </a:moveTo>
              <a:lnTo>
                <a:pt x="0" y="37504"/>
              </a:lnTo>
              <a:lnTo>
                <a:pt x="0" y="0"/>
              </a:lnTo>
              <a:lnTo>
                <a:pt x="342490" y="354252"/>
              </a:lnTo>
              <a:lnTo>
                <a:pt x="399003" y="412706"/>
              </a:lnTo>
              <a:lnTo>
                <a:pt x="399003" y="4502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0.34987</cdr:x>
      <cdr:y>0.64012</cdr:y>
    </cdr:from>
    <cdr:to>
      <cdr:x>0.4043</cdr:x>
      <cdr:y>0.6991</cdr:y>
    </cdr:to>
    <cdr:sp macro="" textlink="">
      <cdr:nvSpPr>
        <cdr:cNvPr id="298" name="FracNo 67 StartRow 2927">
          <a:extLst xmlns:a="http://schemas.openxmlformats.org/drawingml/2006/main">
            <a:ext uri="{FF2B5EF4-FFF2-40B4-BE49-F238E27FC236}">
              <a16:creationId xmlns:a16="http://schemas.microsoft.com/office/drawing/2014/main" id="{F9B58BA7-496D-1AC9-4C2A-FF0A191354A4}"/>
            </a:ext>
          </a:extLst>
        </cdr:cNvPr>
        <cdr:cNvSpPr/>
      </cdr:nvSpPr>
      <cdr:spPr>
        <a:xfrm xmlns:a="http://schemas.openxmlformats.org/drawingml/2006/main">
          <a:off x="2559333" y="4877738"/>
          <a:ext cx="398229" cy="449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229" h="449409">
              <a:moveTo>
                <a:pt x="112672" y="116541"/>
              </a:moveTo>
              <a:lnTo>
                <a:pt x="47621" y="49257"/>
              </a:lnTo>
              <a:lnTo>
                <a:pt x="0" y="0"/>
              </a:lnTo>
              <a:lnTo>
                <a:pt x="0" y="37504"/>
              </a:lnTo>
              <a:lnTo>
                <a:pt x="40226" y="79111"/>
              </a:lnTo>
              <a:lnTo>
                <a:pt x="102679" y="143709"/>
              </a:lnTo>
              <a:lnTo>
                <a:pt x="179950" y="223633"/>
              </a:lnTo>
              <a:lnTo>
                <a:pt x="398228" y="449408"/>
              </a:lnTo>
              <a:lnTo>
                <a:pt x="398228" y="411904"/>
              </a:lnTo>
              <a:lnTo>
                <a:pt x="193157" y="1997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0.33345</cdr:x>
      <cdr:y>0.65642</cdr:y>
    </cdr:from>
    <cdr:to>
      <cdr:x>0.38789</cdr:x>
      <cdr:y>0.7154</cdr:y>
    </cdr:to>
    <cdr:sp macro="" textlink="">
      <cdr:nvSpPr>
        <cdr:cNvPr id="299" name="FracNo 1020 StartRow 2940">
          <a:extLst xmlns:a="http://schemas.openxmlformats.org/drawingml/2006/main">
            <a:ext uri="{FF2B5EF4-FFF2-40B4-BE49-F238E27FC236}">
              <a16:creationId xmlns:a16="http://schemas.microsoft.com/office/drawing/2014/main" id="{9584A521-6ED0-D4A4-1DDA-DA6F84F3AA71}"/>
            </a:ext>
          </a:extLst>
        </cdr:cNvPr>
        <cdr:cNvSpPr/>
      </cdr:nvSpPr>
      <cdr:spPr>
        <a:xfrm xmlns:a="http://schemas.openxmlformats.org/drawingml/2006/main">
          <a:off x="2439265" y="5001930"/>
          <a:ext cx="398229" cy="449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229" h="449408">
              <a:moveTo>
                <a:pt x="55860" y="57777"/>
              </a:moveTo>
              <a:lnTo>
                <a:pt x="0" y="0"/>
              </a:lnTo>
              <a:lnTo>
                <a:pt x="0" y="37503"/>
              </a:lnTo>
              <a:lnTo>
                <a:pt x="54984" y="94375"/>
              </a:lnTo>
              <a:lnTo>
                <a:pt x="304199" y="352149"/>
              </a:lnTo>
              <a:lnTo>
                <a:pt x="398228" y="449407"/>
              </a:lnTo>
              <a:lnTo>
                <a:pt x="398228" y="411903"/>
              </a:lnTo>
              <a:lnTo>
                <a:pt x="309044" y="3196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0.14803</cdr:x>
      <cdr:y>0.14099</cdr:y>
    </cdr:from>
    <cdr:to>
      <cdr:x>0.20338</cdr:x>
      <cdr:y>0.19841</cdr:y>
    </cdr:to>
    <cdr:sp macro="" textlink="">
      <cdr:nvSpPr>
        <cdr:cNvPr id="300" name="FracNo 307 StartRow 2951">
          <a:extLst xmlns:a="http://schemas.openxmlformats.org/drawingml/2006/main">
            <a:ext uri="{FF2B5EF4-FFF2-40B4-BE49-F238E27FC236}">
              <a16:creationId xmlns:a16="http://schemas.microsoft.com/office/drawing/2014/main" id="{2332DB00-A75B-C22B-012F-43016BFE9F7D}"/>
            </a:ext>
          </a:extLst>
        </cdr:cNvPr>
        <cdr:cNvSpPr/>
      </cdr:nvSpPr>
      <cdr:spPr>
        <a:xfrm xmlns:a="http://schemas.openxmlformats.org/drawingml/2006/main">
          <a:off x="1082880" y="1074320"/>
          <a:ext cx="404876" cy="437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876" h="437533">
              <a:moveTo>
                <a:pt x="243910" y="252286"/>
              </a:moveTo>
              <a:lnTo>
                <a:pt x="0" y="0"/>
              </a:lnTo>
              <a:lnTo>
                <a:pt x="0" y="37504"/>
              </a:lnTo>
              <a:lnTo>
                <a:pt x="232988" y="278493"/>
              </a:lnTo>
              <a:lnTo>
                <a:pt x="386746" y="437532"/>
              </a:lnTo>
              <a:lnTo>
                <a:pt x="404875" y="4187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0.86355</cdr:x>
      <cdr:y>0.4025</cdr:y>
    </cdr:from>
    <cdr:to>
      <cdr:x>0.91849</cdr:x>
      <cdr:y>0.45952</cdr:y>
    </cdr:to>
    <cdr:sp macro="" textlink="">
      <cdr:nvSpPr>
        <cdr:cNvPr id="301" name="FracNo 595 StartRow 2960">
          <a:extLst xmlns:a="http://schemas.openxmlformats.org/drawingml/2006/main">
            <a:ext uri="{FF2B5EF4-FFF2-40B4-BE49-F238E27FC236}">
              <a16:creationId xmlns:a16="http://schemas.microsoft.com/office/drawing/2014/main" id="{FEFB8CF8-E49C-D21A-AF1F-9B4E720CC287}"/>
            </a:ext>
          </a:extLst>
        </cdr:cNvPr>
        <cdr:cNvSpPr/>
      </cdr:nvSpPr>
      <cdr:spPr>
        <a:xfrm xmlns:a="http://schemas.openxmlformats.org/drawingml/2006/main">
          <a:off x="6317012" y="3067066"/>
          <a:ext cx="401945" cy="434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945" h="434500">
              <a:moveTo>
                <a:pt x="279035" y="108377"/>
              </a:moveTo>
              <a:lnTo>
                <a:pt x="0" y="396995"/>
              </a:lnTo>
              <a:lnTo>
                <a:pt x="0" y="434499"/>
              </a:lnTo>
              <a:lnTo>
                <a:pt x="292216" y="132248"/>
              </a:lnTo>
              <a:lnTo>
                <a:pt x="401944" y="18752"/>
              </a:lnTo>
              <a:lnTo>
                <a:pt x="3838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0.51827</cdr:x>
      <cdr:y>0.80832</cdr:y>
    </cdr:from>
    <cdr:to>
      <cdr:x>0.57689</cdr:x>
      <cdr:y>0.8616</cdr:y>
    </cdr:to>
    <cdr:sp macro="" textlink="">
      <cdr:nvSpPr>
        <cdr:cNvPr id="302" name="FracNo 438 StartRow 2969">
          <a:extLst xmlns:a="http://schemas.openxmlformats.org/drawingml/2006/main">
            <a:ext uri="{FF2B5EF4-FFF2-40B4-BE49-F238E27FC236}">
              <a16:creationId xmlns:a16="http://schemas.microsoft.com/office/drawing/2014/main" id="{76DE8FE7-F12A-1DF6-27D8-183D89904F60}"/>
            </a:ext>
          </a:extLst>
        </cdr:cNvPr>
        <cdr:cNvSpPr/>
      </cdr:nvSpPr>
      <cdr:spPr>
        <a:xfrm xmlns:a="http://schemas.openxmlformats.org/drawingml/2006/main">
          <a:off x="3791237" y="6159372"/>
          <a:ext cx="428820" cy="406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820" h="406044">
              <a:moveTo>
                <a:pt x="103590" y="298895"/>
              </a:moveTo>
              <a:lnTo>
                <a:pt x="0" y="406043"/>
              </a:lnTo>
              <a:lnTo>
                <a:pt x="36258" y="406043"/>
              </a:lnTo>
              <a:lnTo>
                <a:pt x="139849" y="298895"/>
              </a:lnTo>
              <a:lnTo>
                <a:pt x="428819" y="0"/>
              </a:lnTo>
              <a:lnTo>
                <a:pt x="392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0.54129</cdr:x>
      <cdr:y>0.83118</cdr:y>
    </cdr:from>
    <cdr:to>
      <cdr:x>0.59991</cdr:x>
      <cdr:y>0.88447</cdr:y>
    </cdr:to>
    <cdr:sp macro="" textlink="">
      <cdr:nvSpPr>
        <cdr:cNvPr id="303" name="FracNo 1161 StartRow 2978">
          <a:extLst xmlns:a="http://schemas.openxmlformats.org/drawingml/2006/main">
            <a:ext uri="{FF2B5EF4-FFF2-40B4-BE49-F238E27FC236}">
              <a16:creationId xmlns:a16="http://schemas.microsoft.com/office/drawing/2014/main" id="{3B223BB9-854B-F04B-C2DD-39A9791D051F}"/>
            </a:ext>
          </a:extLst>
        </cdr:cNvPr>
        <cdr:cNvSpPr/>
      </cdr:nvSpPr>
      <cdr:spPr>
        <a:xfrm xmlns:a="http://schemas.openxmlformats.org/drawingml/2006/main">
          <a:off x="3959676" y="6333597"/>
          <a:ext cx="428820" cy="406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820" h="406043">
              <a:moveTo>
                <a:pt x="125538" y="276193"/>
              </a:moveTo>
              <a:lnTo>
                <a:pt x="0" y="406042"/>
              </a:lnTo>
              <a:lnTo>
                <a:pt x="36259" y="406042"/>
              </a:lnTo>
              <a:lnTo>
                <a:pt x="161797" y="276193"/>
              </a:lnTo>
              <a:lnTo>
                <a:pt x="428819" y="0"/>
              </a:lnTo>
              <a:lnTo>
                <a:pt x="392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0.52532</cdr:x>
      <cdr:y>0.8104</cdr:y>
    </cdr:from>
    <cdr:to>
      <cdr:x>0.57899</cdr:x>
      <cdr:y>0.86861</cdr:y>
    </cdr:to>
    <cdr:sp macro="" textlink="">
      <cdr:nvSpPr>
        <cdr:cNvPr id="304" name="FracNo 440 StartRow 2987">
          <a:extLst xmlns:a="http://schemas.openxmlformats.org/drawingml/2006/main">
            <a:ext uri="{FF2B5EF4-FFF2-40B4-BE49-F238E27FC236}">
              <a16:creationId xmlns:a16="http://schemas.microsoft.com/office/drawing/2014/main" id="{B9A5F0CE-353E-6E91-B341-6624CE153A9F}"/>
            </a:ext>
          </a:extLst>
        </cdr:cNvPr>
        <cdr:cNvSpPr/>
      </cdr:nvSpPr>
      <cdr:spPr>
        <a:xfrm xmlns:a="http://schemas.openxmlformats.org/drawingml/2006/main">
          <a:off x="3842830" y="6175234"/>
          <a:ext cx="392562" cy="443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562" h="443547">
              <a:moveTo>
                <a:pt x="30644" y="411851"/>
              </a:moveTo>
              <a:lnTo>
                <a:pt x="0" y="443546"/>
              </a:lnTo>
              <a:lnTo>
                <a:pt x="0" y="406043"/>
              </a:lnTo>
              <a:lnTo>
                <a:pt x="30644" y="374347"/>
              </a:lnTo>
              <a:lnTo>
                <a:pt x="392561" y="0"/>
              </a:lnTo>
              <a:lnTo>
                <a:pt x="39256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0.51552</cdr:x>
      <cdr:y>0.80067</cdr:y>
    </cdr:from>
    <cdr:to>
      <cdr:x>0.56918</cdr:x>
      <cdr:y>0.85887</cdr:y>
    </cdr:to>
    <cdr:sp macro="" textlink="">
      <cdr:nvSpPr>
        <cdr:cNvPr id="305" name="FracNo 431 StartRow 2996">
          <a:extLst xmlns:a="http://schemas.openxmlformats.org/drawingml/2006/main">
            <a:ext uri="{FF2B5EF4-FFF2-40B4-BE49-F238E27FC236}">
              <a16:creationId xmlns:a16="http://schemas.microsoft.com/office/drawing/2014/main" id="{54D62936-ACA1-C633-9699-56374CB4C1F0}"/>
            </a:ext>
          </a:extLst>
        </cdr:cNvPr>
        <cdr:cNvSpPr/>
      </cdr:nvSpPr>
      <cdr:spPr>
        <a:xfrm xmlns:a="http://schemas.openxmlformats.org/drawingml/2006/main">
          <a:off x="3771128" y="6101069"/>
          <a:ext cx="392562" cy="443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562" h="443548">
              <a:moveTo>
                <a:pt x="205665" y="230818"/>
              </a:moveTo>
              <a:lnTo>
                <a:pt x="0" y="443547"/>
              </a:lnTo>
              <a:lnTo>
                <a:pt x="0" y="406043"/>
              </a:lnTo>
              <a:lnTo>
                <a:pt x="205665" y="193314"/>
              </a:lnTo>
              <a:lnTo>
                <a:pt x="392561" y="0"/>
              </a:lnTo>
              <a:lnTo>
                <a:pt x="39256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0.45434</cdr:x>
      <cdr:y>0.08544</cdr:y>
    </cdr:from>
    <cdr:to>
      <cdr:x>0.51287</cdr:x>
      <cdr:y>0.13864</cdr:y>
    </cdr:to>
    <cdr:sp macro="" textlink="">
      <cdr:nvSpPr>
        <cdr:cNvPr id="306" name="FracNo 1048 StartRow 3005">
          <a:extLst xmlns:a="http://schemas.openxmlformats.org/drawingml/2006/main">
            <a:ext uri="{FF2B5EF4-FFF2-40B4-BE49-F238E27FC236}">
              <a16:creationId xmlns:a16="http://schemas.microsoft.com/office/drawing/2014/main" id="{0F682784-4F6D-51C7-57A2-311310FCBD85}"/>
            </a:ext>
          </a:extLst>
        </cdr:cNvPr>
        <cdr:cNvSpPr/>
      </cdr:nvSpPr>
      <cdr:spPr>
        <a:xfrm xmlns:a="http://schemas.openxmlformats.org/drawingml/2006/main">
          <a:off x="3323563" y="651036"/>
          <a:ext cx="428177" cy="405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177" h="405378">
              <a:moveTo>
                <a:pt x="328668" y="302451"/>
              </a:moveTo>
              <a:lnTo>
                <a:pt x="36258" y="0"/>
              </a:lnTo>
              <a:lnTo>
                <a:pt x="0" y="0"/>
              </a:lnTo>
              <a:lnTo>
                <a:pt x="292409" y="302451"/>
              </a:lnTo>
              <a:lnTo>
                <a:pt x="391918" y="405377"/>
              </a:lnTo>
              <a:lnTo>
                <a:pt x="428176" y="4053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0.64919</cdr:x>
      <cdr:y>0.28521</cdr:y>
    </cdr:from>
    <cdr:to>
      <cdr:x>0.70645</cdr:x>
      <cdr:y>0.33962</cdr:y>
    </cdr:to>
    <cdr:sp macro="" textlink="">
      <cdr:nvSpPr>
        <cdr:cNvPr id="307" name="FracNo 549 StartRow 3014">
          <a:extLst xmlns:a="http://schemas.openxmlformats.org/drawingml/2006/main">
            <a:ext uri="{FF2B5EF4-FFF2-40B4-BE49-F238E27FC236}">
              <a16:creationId xmlns:a16="http://schemas.microsoft.com/office/drawing/2014/main" id="{975510B0-0C64-4C14-E16A-C1DC7328562B}"/>
            </a:ext>
          </a:extLst>
        </cdr:cNvPr>
        <cdr:cNvSpPr/>
      </cdr:nvSpPr>
      <cdr:spPr>
        <a:xfrm xmlns:a="http://schemas.openxmlformats.org/drawingml/2006/main">
          <a:off x="4748933" y="2173332"/>
          <a:ext cx="418917" cy="414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917" h="414551">
              <a:moveTo>
                <a:pt x="185379" y="191745"/>
              </a:moveTo>
              <a:lnTo>
                <a:pt x="55700" y="57613"/>
              </a:lnTo>
              <a:lnTo>
                <a:pt x="0" y="0"/>
              </a:lnTo>
              <a:lnTo>
                <a:pt x="36259" y="0"/>
              </a:lnTo>
              <a:lnTo>
                <a:pt x="86627" y="52098"/>
              </a:lnTo>
              <a:lnTo>
                <a:pt x="211496" y="181255"/>
              </a:lnTo>
              <a:lnTo>
                <a:pt x="418916" y="395798"/>
              </a:lnTo>
              <a:lnTo>
                <a:pt x="400786" y="4145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0.27875</cdr:x>
      <cdr:y>0.75843</cdr:y>
    </cdr:from>
    <cdr:to>
      <cdr:x>0.33476</cdr:x>
      <cdr:y>0.81405</cdr:y>
    </cdr:to>
    <cdr:sp macro="" textlink="">
      <cdr:nvSpPr>
        <cdr:cNvPr id="308" name="FracNo 65 StartRow 3025">
          <a:extLst xmlns:a="http://schemas.openxmlformats.org/drawingml/2006/main">
            <a:ext uri="{FF2B5EF4-FFF2-40B4-BE49-F238E27FC236}">
              <a16:creationId xmlns:a16="http://schemas.microsoft.com/office/drawing/2014/main" id="{BD2DDC08-489D-95BF-56CE-4DB3B7A319CD}"/>
            </a:ext>
          </a:extLst>
        </cdr:cNvPr>
        <cdr:cNvSpPr/>
      </cdr:nvSpPr>
      <cdr:spPr>
        <a:xfrm xmlns:a="http://schemas.openxmlformats.org/drawingml/2006/main">
          <a:off x="2039077" y="5779250"/>
          <a:ext cx="409738" cy="423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9738" h="423810">
              <a:moveTo>
                <a:pt x="164268" y="207413"/>
              </a:moveTo>
              <a:lnTo>
                <a:pt x="0" y="37504"/>
              </a:lnTo>
              <a:lnTo>
                <a:pt x="0" y="0"/>
              </a:lnTo>
              <a:lnTo>
                <a:pt x="180215" y="186405"/>
              </a:lnTo>
              <a:lnTo>
                <a:pt x="409737" y="423809"/>
              </a:lnTo>
              <a:lnTo>
                <a:pt x="373479" y="4238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0.32577</cdr:x>
      <cdr:y>0.76749</cdr:y>
    </cdr:from>
    <cdr:to>
      <cdr:x>0.38164</cdr:x>
      <cdr:y>0.82298</cdr:y>
    </cdr:to>
    <cdr:sp macro="" textlink="">
      <cdr:nvSpPr>
        <cdr:cNvPr id="309" name="FracNo 22 StartRow 3034">
          <a:extLst xmlns:a="http://schemas.openxmlformats.org/drawingml/2006/main">
            <a:ext uri="{FF2B5EF4-FFF2-40B4-BE49-F238E27FC236}">
              <a16:creationId xmlns:a16="http://schemas.microsoft.com/office/drawing/2014/main" id="{26A5C210-AF7F-A5E0-1C27-52F636E1C356}"/>
            </a:ext>
          </a:extLst>
        </cdr:cNvPr>
        <cdr:cNvSpPr/>
      </cdr:nvSpPr>
      <cdr:spPr>
        <a:xfrm xmlns:a="http://schemas.openxmlformats.org/drawingml/2006/main">
          <a:off x="2383056" y="5848292"/>
          <a:ext cx="408748" cy="422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748" h="422785">
              <a:moveTo>
                <a:pt x="218696" y="159074"/>
              </a:moveTo>
              <a:lnTo>
                <a:pt x="0" y="385280"/>
              </a:lnTo>
              <a:lnTo>
                <a:pt x="0" y="422784"/>
              </a:lnTo>
              <a:lnTo>
                <a:pt x="239626" y="174929"/>
              </a:lnTo>
              <a:lnTo>
                <a:pt x="379400" y="30355"/>
              </a:lnTo>
              <a:lnTo>
                <a:pt x="408747" y="0"/>
              </a:lnTo>
              <a:lnTo>
                <a:pt x="372488" y="0"/>
              </a:lnTo>
              <a:lnTo>
                <a:pt x="346261" y="271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0.69318</cdr:x>
      <cdr:y>0.7075</cdr:y>
    </cdr:from>
    <cdr:to>
      <cdr:x>0.75148</cdr:x>
      <cdr:y>0.76047</cdr:y>
    </cdr:to>
    <cdr:sp macro="" textlink="">
      <cdr:nvSpPr>
        <cdr:cNvPr id="310" name="FracNo 724 StartRow 3045">
          <a:extLst xmlns:a="http://schemas.openxmlformats.org/drawingml/2006/main">
            <a:ext uri="{FF2B5EF4-FFF2-40B4-BE49-F238E27FC236}">
              <a16:creationId xmlns:a16="http://schemas.microsoft.com/office/drawing/2014/main" id="{86313F7D-BCE6-687B-C232-4263FA2FC2EE}"/>
            </a:ext>
          </a:extLst>
        </cdr:cNvPr>
        <cdr:cNvSpPr/>
      </cdr:nvSpPr>
      <cdr:spPr>
        <a:xfrm xmlns:a="http://schemas.openxmlformats.org/drawingml/2006/main">
          <a:off x="5070736" y="5391152"/>
          <a:ext cx="426505" cy="403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505" h="403648">
              <a:moveTo>
                <a:pt x="226391" y="196662"/>
              </a:moveTo>
              <a:lnTo>
                <a:pt x="36258" y="0"/>
              </a:lnTo>
              <a:lnTo>
                <a:pt x="0" y="0"/>
              </a:lnTo>
              <a:lnTo>
                <a:pt x="190132" y="196662"/>
              </a:lnTo>
              <a:lnTo>
                <a:pt x="390245" y="403647"/>
              </a:lnTo>
              <a:lnTo>
                <a:pt x="426504" y="4036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0.84959</cdr:x>
      <cdr:y>0.74193</cdr:y>
    </cdr:from>
    <cdr:to>
      <cdr:x>0.9029</cdr:x>
      <cdr:y>0.79979</cdr:y>
    </cdr:to>
    <cdr:sp macro="" textlink="">
      <cdr:nvSpPr>
        <cdr:cNvPr id="311" name="FracNo 806 StartRow 3054">
          <a:extLst xmlns:a="http://schemas.openxmlformats.org/drawingml/2006/main">
            <a:ext uri="{FF2B5EF4-FFF2-40B4-BE49-F238E27FC236}">
              <a16:creationId xmlns:a16="http://schemas.microsoft.com/office/drawing/2014/main" id="{CBE583A5-89F3-6C39-6A40-837FF8B242AC}"/>
            </a:ext>
          </a:extLst>
        </cdr:cNvPr>
        <cdr:cNvSpPr/>
      </cdr:nvSpPr>
      <cdr:spPr>
        <a:xfrm xmlns:a="http://schemas.openxmlformats.org/drawingml/2006/main">
          <a:off x="6214898" y="5653529"/>
          <a:ext cx="389964" cy="440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964" h="440860">
              <a:moveTo>
                <a:pt x="309453" y="357584"/>
              </a:moveTo>
              <a:lnTo>
                <a:pt x="0" y="37503"/>
              </a:lnTo>
              <a:lnTo>
                <a:pt x="0" y="0"/>
              </a:lnTo>
              <a:lnTo>
                <a:pt x="309453" y="320080"/>
              </a:lnTo>
              <a:lnTo>
                <a:pt x="389963" y="403356"/>
              </a:lnTo>
              <a:lnTo>
                <a:pt x="389963" y="4408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0.5508</cdr:x>
      <cdr:y>0.62144</cdr:y>
    </cdr:from>
    <cdr:to>
      <cdr:x>0.60522</cdr:x>
      <cdr:y>0.67793</cdr:y>
    </cdr:to>
    <cdr:sp macro="" textlink="">
      <cdr:nvSpPr>
        <cdr:cNvPr id="312" name="FracNo 428 StartRow 3063">
          <a:extLst xmlns:a="http://schemas.openxmlformats.org/drawingml/2006/main">
            <a:ext uri="{FF2B5EF4-FFF2-40B4-BE49-F238E27FC236}">
              <a16:creationId xmlns:a16="http://schemas.microsoft.com/office/drawing/2014/main" id="{8E990D38-93DA-9A54-8F46-BAD2EE18DC51}"/>
            </a:ext>
          </a:extLst>
        </cdr:cNvPr>
        <cdr:cNvSpPr/>
      </cdr:nvSpPr>
      <cdr:spPr>
        <a:xfrm xmlns:a="http://schemas.openxmlformats.org/drawingml/2006/main">
          <a:off x="4029220" y="4735336"/>
          <a:ext cx="398072" cy="4304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072" h="430494">
              <a:moveTo>
                <a:pt x="181582" y="223924"/>
              </a:moveTo>
              <a:lnTo>
                <a:pt x="0" y="411741"/>
              </a:lnTo>
              <a:lnTo>
                <a:pt x="18129" y="430493"/>
              </a:lnTo>
              <a:lnTo>
                <a:pt x="197678" y="244778"/>
              </a:lnTo>
              <a:lnTo>
                <a:pt x="224370" y="217169"/>
              </a:lnTo>
              <a:lnTo>
                <a:pt x="398071" y="37504"/>
              </a:lnTo>
              <a:lnTo>
                <a:pt x="398071" y="0"/>
              </a:lnTo>
              <a:lnTo>
                <a:pt x="208576" y="1960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0.31935</cdr:x>
      <cdr:y>0.71887</cdr:y>
    </cdr:from>
    <cdr:to>
      <cdr:x>0.37746</cdr:x>
      <cdr:y>0.77164</cdr:y>
    </cdr:to>
    <cdr:sp macro="" textlink="">
      <cdr:nvSpPr>
        <cdr:cNvPr id="313" name="FracNo 1187 StartRow 3074">
          <a:extLst xmlns:a="http://schemas.openxmlformats.org/drawingml/2006/main">
            <a:ext uri="{FF2B5EF4-FFF2-40B4-BE49-F238E27FC236}">
              <a16:creationId xmlns:a16="http://schemas.microsoft.com/office/drawing/2014/main" id="{043B0439-E3C3-0656-0ADB-138719D58371}"/>
            </a:ext>
          </a:extLst>
        </cdr:cNvPr>
        <cdr:cNvSpPr/>
      </cdr:nvSpPr>
      <cdr:spPr>
        <a:xfrm xmlns:a="http://schemas.openxmlformats.org/drawingml/2006/main">
          <a:off x="2336140" y="5477765"/>
          <a:ext cx="425074" cy="402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074" h="402168">
              <a:moveTo>
                <a:pt x="158720" y="164170"/>
              </a:moveTo>
              <a:lnTo>
                <a:pt x="0" y="0"/>
              </a:lnTo>
              <a:lnTo>
                <a:pt x="36259" y="0"/>
              </a:lnTo>
              <a:lnTo>
                <a:pt x="194978" y="164170"/>
              </a:lnTo>
              <a:lnTo>
                <a:pt x="425073" y="402167"/>
              </a:lnTo>
              <a:lnTo>
                <a:pt x="388815" y="4021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0.78876</cdr:x>
      <cdr:y>0.15287</cdr:y>
    </cdr:from>
    <cdr:to>
      <cdr:x>0.8443</cdr:x>
      <cdr:y>0.20803</cdr:y>
    </cdr:to>
    <cdr:sp macro="" textlink="">
      <cdr:nvSpPr>
        <cdr:cNvPr id="314" name="FracNo 824 StartRow 3083">
          <a:extLst xmlns:a="http://schemas.openxmlformats.org/drawingml/2006/main">
            <a:ext uri="{FF2B5EF4-FFF2-40B4-BE49-F238E27FC236}">
              <a16:creationId xmlns:a16="http://schemas.microsoft.com/office/drawing/2014/main" id="{B153F2A9-81D1-4618-3700-F6C03CA80B47}"/>
            </a:ext>
          </a:extLst>
        </cdr:cNvPr>
        <cdr:cNvSpPr/>
      </cdr:nvSpPr>
      <cdr:spPr>
        <a:xfrm xmlns:a="http://schemas.openxmlformats.org/drawingml/2006/main">
          <a:off x="5769911" y="1164904"/>
          <a:ext cx="406326" cy="420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326" h="420280">
              <a:moveTo>
                <a:pt x="292224" y="264755"/>
              </a:moveTo>
              <a:lnTo>
                <a:pt x="36258" y="0"/>
              </a:lnTo>
              <a:lnTo>
                <a:pt x="0" y="0"/>
              </a:lnTo>
              <a:lnTo>
                <a:pt x="281044" y="290696"/>
              </a:lnTo>
              <a:lnTo>
                <a:pt x="406325" y="420279"/>
              </a:lnTo>
              <a:lnTo>
                <a:pt x="406325" y="3827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0.77924</cdr:x>
      <cdr:y>0.16232</cdr:y>
    </cdr:from>
    <cdr:to>
      <cdr:x>0.83479</cdr:x>
      <cdr:y>0.21748</cdr:y>
    </cdr:to>
    <cdr:sp macro="" textlink="">
      <cdr:nvSpPr>
        <cdr:cNvPr id="315" name="FracNo 545 StartRow 3092">
          <a:extLst xmlns:a="http://schemas.openxmlformats.org/drawingml/2006/main">
            <a:ext uri="{FF2B5EF4-FFF2-40B4-BE49-F238E27FC236}">
              <a16:creationId xmlns:a16="http://schemas.microsoft.com/office/drawing/2014/main" id="{18E9F0FA-3148-B713-53E0-E8A4855FD408}"/>
            </a:ext>
          </a:extLst>
        </cdr:cNvPr>
        <cdr:cNvSpPr/>
      </cdr:nvSpPr>
      <cdr:spPr>
        <a:xfrm xmlns:a="http://schemas.openxmlformats.org/drawingml/2006/main">
          <a:off x="5700293" y="1236912"/>
          <a:ext cx="406327" cy="420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327" h="420281">
              <a:moveTo>
                <a:pt x="312389" y="360621"/>
              </a:moveTo>
              <a:lnTo>
                <a:pt x="0" y="37504"/>
              </a:lnTo>
              <a:lnTo>
                <a:pt x="0" y="0"/>
              </a:lnTo>
              <a:lnTo>
                <a:pt x="342996" y="354775"/>
              </a:lnTo>
              <a:lnTo>
                <a:pt x="406326" y="420280"/>
              </a:lnTo>
              <a:lnTo>
                <a:pt x="370067" y="4202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0.28262</cdr:x>
      <cdr:y>0.12718</cdr:y>
    </cdr:from>
    <cdr:to>
      <cdr:x>0.33568</cdr:x>
      <cdr:y>0.18479</cdr:y>
    </cdr:to>
    <cdr:sp macro="" textlink="">
      <cdr:nvSpPr>
        <cdr:cNvPr id="316" name="FracNo 275 StartRow 3101">
          <a:extLst xmlns:a="http://schemas.openxmlformats.org/drawingml/2006/main">
            <a:ext uri="{FF2B5EF4-FFF2-40B4-BE49-F238E27FC236}">
              <a16:creationId xmlns:a16="http://schemas.microsoft.com/office/drawing/2014/main" id="{A5457C43-40DC-AEBE-68B4-81EFDDE1629C}"/>
            </a:ext>
          </a:extLst>
        </cdr:cNvPr>
        <cdr:cNvSpPr/>
      </cdr:nvSpPr>
      <cdr:spPr>
        <a:xfrm xmlns:a="http://schemas.openxmlformats.org/drawingml/2006/main">
          <a:off x="2067450" y="969112"/>
          <a:ext cx="388142" cy="438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142" h="438976">
              <a:moveTo>
                <a:pt x="127664" y="269422"/>
              </a:moveTo>
              <a:lnTo>
                <a:pt x="0" y="401471"/>
              </a:lnTo>
              <a:lnTo>
                <a:pt x="0" y="438975"/>
              </a:lnTo>
              <a:lnTo>
                <a:pt x="127664" y="306926"/>
              </a:lnTo>
              <a:lnTo>
                <a:pt x="388141" y="37504"/>
              </a:lnTo>
              <a:lnTo>
                <a:pt x="3881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0.27849</cdr:x>
      <cdr:y>0.12308</cdr:y>
    </cdr:from>
    <cdr:to>
      <cdr:x>0.33155</cdr:x>
      <cdr:y>0.18068</cdr:y>
    </cdr:to>
    <cdr:sp macro="" textlink="">
      <cdr:nvSpPr>
        <cdr:cNvPr id="317" name="FracNo 825 StartRow 3110">
          <a:extLst xmlns:a="http://schemas.openxmlformats.org/drawingml/2006/main">
            <a:ext uri="{FF2B5EF4-FFF2-40B4-BE49-F238E27FC236}">
              <a16:creationId xmlns:a16="http://schemas.microsoft.com/office/drawing/2014/main" id="{A5CB4276-8BF2-6124-FF64-AD2B7D517893}"/>
            </a:ext>
          </a:extLst>
        </cdr:cNvPr>
        <cdr:cNvSpPr/>
      </cdr:nvSpPr>
      <cdr:spPr>
        <a:xfrm xmlns:a="http://schemas.openxmlformats.org/drawingml/2006/main">
          <a:off x="2037216" y="937840"/>
          <a:ext cx="388143" cy="438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143" h="438976">
              <a:moveTo>
                <a:pt x="137230" y="259528"/>
              </a:moveTo>
              <a:lnTo>
                <a:pt x="0" y="401471"/>
              </a:lnTo>
              <a:lnTo>
                <a:pt x="0" y="438975"/>
              </a:lnTo>
              <a:lnTo>
                <a:pt x="137230" y="297032"/>
              </a:lnTo>
              <a:lnTo>
                <a:pt x="388142" y="37504"/>
              </a:lnTo>
              <a:lnTo>
                <a:pt x="388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0.45345</cdr:y>
    </cdr:from>
    <cdr:to>
      <cdr:x>0.1448</cdr:x>
      <cdr:y>0.51098</cdr:y>
    </cdr:to>
    <cdr:sp macro="" textlink="">
      <cdr:nvSpPr>
        <cdr:cNvPr id="318" name="FracNo 359 StartRow 3119">
          <a:extLst xmlns:a="http://schemas.openxmlformats.org/drawingml/2006/main">
            <a:ext uri="{FF2B5EF4-FFF2-40B4-BE49-F238E27FC236}">
              <a16:creationId xmlns:a16="http://schemas.microsoft.com/office/drawing/2014/main" id="{38C233FC-1A6F-5C24-E07F-4B969ED8314C}"/>
            </a:ext>
          </a:extLst>
        </cdr:cNvPr>
        <cdr:cNvSpPr/>
      </cdr:nvSpPr>
      <cdr:spPr>
        <a:xfrm xmlns:a="http://schemas.openxmlformats.org/drawingml/2006/main">
          <a:off x="671676" y="3455291"/>
          <a:ext cx="387565" cy="438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565" h="438379">
              <a:moveTo>
                <a:pt x="25842" y="411648"/>
              </a:moveTo>
              <a:lnTo>
                <a:pt x="0" y="438378"/>
              </a:lnTo>
              <a:lnTo>
                <a:pt x="0" y="400874"/>
              </a:lnTo>
              <a:lnTo>
                <a:pt x="25842" y="374144"/>
              </a:lnTo>
              <a:lnTo>
                <a:pt x="387564" y="0"/>
              </a:lnTo>
              <a:lnTo>
                <a:pt x="38756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0.73351</cdr:x>
      <cdr:y>0.2514</cdr:y>
    </cdr:from>
    <cdr:to>
      <cdr:x>0.78889</cdr:x>
      <cdr:y>0.30639</cdr:y>
    </cdr:to>
    <cdr:sp macro="" textlink="">
      <cdr:nvSpPr>
        <cdr:cNvPr id="319" name="FracNo 510 StartRow 3128">
          <a:extLst xmlns:a="http://schemas.openxmlformats.org/drawingml/2006/main">
            <a:ext uri="{FF2B5EF4-FFF2-40B4-BE49-F238E27FC236}">
              <a16:creationId xmlns:a16="http://schemas.microsoft.com/office/drawing/2014/main" id="{DE6A4060-7B9A-16AE-C0A3-E598879D8AF4}"/>
            </a:ext>
          </a:extLst>
        </cdr:cNvPr>
        <cdr:cNvSpPr/>
      </cdr:nvSpPr>
      <cdr:spPr>
        <a:xfrm xmlns:a="http://schemas.openxmlformats.org/drawingml/2006/main">
          <a:off x="5365789" y="1915682"/>
          <a:ext cx="405112" cy="419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5112" h="419024">
              <a:moveTo>
                <a:pt x="219038" y="229966"/>
              </a:moveTo>
              <a:lnTo>
                <a:pt x="36258" y="419023"/>
              </a:lnTo>
              <a:lnTo>
                <a:pt x="0" y="419023"/>
              </a:lnTo>
              <a:lnTo>
                <a:pt x="200746" y="211382"/>
              </a:lnTo>
              <a:lnTo>
                <a:pt x="405111" y="0"/>
              </a:lnTo>
              <a:lnTo>
                <a:pt x="405111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0.80866</cdr:x>
      <cdr:y>0.30575</cdr:y>
    </cdr:from>
    <cdr:to>
      <cdr:x>0.8627</cdr:x>
      <cdr:y>0.36187</cdr:y>
    </cdr:to>
    <cdr:sp macro="" textlink="">
      <cdr:nvSpPr>
        <cdr:cNvPr id="320" name="FracNo 560 StartRow 3137">
          <a:extLst xmlns:a="http://schemas.openxmlformats.org/drawingml/2006/main">
            <a:ext uri="{FF2B5EF4-FFF2-40B4-BE49-F238E27FC236}">
              <a16:creationId xmlns:a16="http://schemas.microsoft.com/office/drawing/2014/main" id="{CC579749-74DA-70D2-CC90-E9FA970612C0}"/>
            </a:ext>
          </a:extLst>
        </cdr:cNvPr>
        <cdr:cNvSpPr/>
      </cdr:nvSpPr>
      <cdr:spPr>
        <a:xfrm xmlns:a="http://schemas.openxmlformats.org/drawingml/2006/main">
          <a:off x="5915539" y="2329779"/>
          <a:ext cx="395320" cy="427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320" h="427648">
              <a:moveTo>
                <a:pt x="92773" y="95959"/>
              </a:moveTo>
              <a:lnTo>
                <a:pt x="0" y="0"/>
              </a:lnTo>
              <a:lnTo>
                <a:pt x="0" y="37504"/>
              </a:lnTo>
              <a:lnTo>
                <a:pt x="88518" y="129062"/>
              </a:lnTo>
              <a:lnTo>
                <a:pt x="377190" y="427647"/>
              </a:lnTo>
              <a:lnTo>
                <a:pt x="395319" y="4088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0.82994</cdr:x>
      <cdr:y>0.21737</cdr:y>
    </cdr:from>
    <cdr:to>
      <cdr:x>0.88516</cdr:x>
      <cdr:y>0.27221</cdr:y>
    </cdr:to>
    <cdr:sp macro="" textlink="">
      <cdr:nvSpPr>
        <cdr:cNvPr id="321" name="FracNo 543 StartRow 3146">
          <a:extLst xmlns:a="http://schemas.openxmlformats.org/drawingml/2006/main">
            <a:ext uri="{FF2B5EF4-FFF2-40B4-BE49-F238E27FC236}">
              <a16:creationId xmlns:a16="http://schemas.microsoft.com/office/drawing/2014/main" id="{3A6C5D59-78B5-E7CE-DB83-531AE7ED509D}"/>
            </a:ext>
          </a:extLst>
        </cdr:cNvPr>
        <cdr:cNvSpPr/>
      </cdr:nvSpPr>
      <cdr:spPr>
        <a:xfrm xmlns:a="http://schemas.openxmlformats.org/drawingml/2006/main">
          <a:off x="6071145" y="1656379"/>
          <a:ext cx="403966" cy="417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966" h="417839">
              <a:moveTo>
                <a:pt x="143647" y="148580"/>
              </a:moveTo>
              <a:lnTo>
                <a:pt x="0" y="0"/>
              </a:lnTo>
              <a:lnTo>
                <a:pt x="0" y="37504"/>
              </a:lnTo>
              <a:lnTo>
                <a:pt x="130754" y="172748"/>
              </a:lnTo>
              <a:lnTo>
                <a:pt x="367706" y="417838"/>
              </a:lnTo>
              <a:lnTo>
                <a:pt x="403965" y="417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0.89005</cdr:x>
      <cdr:y>0.61981</cdr:y>
    </cdr:from>
    <cdr:to>
      <cdr:x>0.94246</cdr:x>
      <cdr:y>0.67678</cdr:y>
    </cdr:to>
    <cdr:sp macro="" textlink="">
      <cdr:nvSpPr>
        <cdr:cNvPr id="322" name="FracNo 109 StartRow 3155">
          <a:extLst xmlns:a="http://schemas.openxmlformats.org/drawingml/2006/main">
            <a:ext uri="{FF2B5EF4-FFF2-40B4-BE49-F238E27FC236}">
              <a16:creationId xmlns:a16="http://schemas.microsoft.com/office/drawing/2014/main" id="{E177CB5B-A227-EA10-57DD-68ABE9AF85EF}"/>
            </a:ext>
          </a:extLst>
        </cdr:cNvPr>
        <cdr:cNvSpPr/>
      </cdr:nvSpPr>
      <cdr:spPr>
        <a:xfrm xmlns:a="http://schemas.openxmlformats.org/drawingml/2006/main">
          <a:off x="6510869" y="4722952"/>
          <a:ext cx="383439" cy="434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439" h="434111">
              <a:moveTo>
                <a:pt x="179694" y="248244"/>
              </a:moveTo>
              <a:lnTo>
                <a:pt x="0" y="434110"/>
              </a:lnTo>
              <a:lnTo>
                <a:pt x="0" y="396606"/>
              </a:lnTo>
              <a:lnTo>
                <a:pt x="164634" y="226319"/>
              </a:lnTo>
              <a:lnTo>
                <a:pt x="181562" y="208809"/>
              </a:lnTo>
              <a:lnTo>
                <a:pt x="383438" y="0"/>
              </a:lnTo>
              <a:lnTo>
                <a:pt x="383438" y="37504"/>
              </a:lnTo>
              <a:lnTo>
                <a:pt x="198173" y="2291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0.52016</cdr:x>
      <cdr:y>0.32048</cdr:y>
    </cdr:from>
    <cdr:to>
      <cdr:x>0.57499</cdr:x>
      <cdr:y>0.37492</cdr:y>
    </cdr:to>
    <cdr:sp macro="" textlink="">
      <cdr:nvSpPr>
        <cdr:cNvPr id="323" name="FracNo 782 StartRow 3166">
          <a:extLst xmlns:a="http://schemas.openxmlformats.org/drawingml/2006/main">
            <a:ext uri="{FF2B5EF4-FFF2-40B4-BE49-F238E27FC236}">
              <a16:creationId xmlns:a16="http://schemas.microsoft.com/office/drawing/2014/main" id="{C6AE2D7E-157C-9ABA-84E5-C140A36F7C9B}"/>
            </a:ext>
          </a:extLst>
        </cdr:cNvPr>
        <cdr:cNvSpPr/>
      </cdr:nvSpPr>
      <cdr:spPr>
        <a:xfrm xmlns:a="http://schemas.openxmlformats.org/drawingml/2006/main">
          <a:off x="3805097" y="2442026"/>
          <a:ext cx="401095" cy="414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095" h="414870">
              <a:moveTo>
                <a:pt x="299352" y="309632"/>
              </a:moveTo>
              <a:lnTo>
                <a:pt x="0" y="0"/>
              </a:lnTo>
              <a:lnTo>
                <a:pt x="36258" y="0"/>
              </a:lnTo>
              <a:lnTo>
                <a:pt x="311611" y="284809"/>
              </a:lnTo>
              <a:lnTo>
                <a:pt x="364633" y="339651"/>
              </a:lnTo>
              <a:lnTo>
                <a:pt x="401094" y="377365"/>
              </a:lnTo>
              <a:lnTo>
                <a:pt x="401094" y="414869"/>
              </a:lnTo>
              <a:lnTo>
                <a:pt x="356995" y="3692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0.44553</cdr:x>
      <cdr:y>0.65146</cdr:y>
    </cdr:from>
    <cdr:to>
      <cdr:x>0.50022</cdr:x>
      <cdr:y>0.70577</cdr:y>
    </cdr:to>
    <cdr:sp macro="" textlink="">
      <cdr:nvSpPr>
        <cdr:cNvPr id="324" name="FracNo 1122 StartRow 3177">
          <a:extLst xmlns:a="http://schemas.openxmlformats.org/drawingml/2006/main">
            <a:ext uri="{FF2B5EF4-FFF2-40B4-BE49-F238E27FC236}">
              <a16:creationId xmlns:a16="http://schemas.microsoft.com/office/drawing/2014/main" id="{78A671B5-ABBF-615F-C0B7-C65DB3A7A63F}"/>
            </a:ext>
          </a:extLst>
        </cdr:cNvPr>
        <cdr:cNvSpPr/>
      </cdr:nvSpPr>
      <cdr:spPr>
        <a:xfrm xmlns:a="http://schemas.openxmlformats.org/drawingml/2006/main">
          <a:off x="3259135" y="4964109"/>
          <a:ext cx="400084" cy="413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084" h="413823">
              <a:moveTo>
                <a:pt x="171570" y="236360"/>
              </a:moveTo>
              <a:lnTo>
                <a:pt x="0" y="413822"/>
              </a:lnTo>
              <a:lnTo>
                <a:pt x="0" y="376319"/>
              </a:lnTo>
              <a:lnTo>
                <a:pt x="156021" y="214939"/>
              </a:lnTo>
              <a:lnTo>
                <a:pt x="363825" y="0"/>
              </a:lnTo>
              <a:lnTo>
                <a:pt x="4000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0.41627</cdr:x>
      <cdr:y>0.6224</cdr:y>
    </cdr:from>
    <cdr:to>
      <cdr:x>0.47096</cdr:x>
      <cdr:y>0.67671</cdr:y>
    </cdr:to>
    <cdr:sp macro="" textlink="">
      <cdr:nvSpPr>
        <cdr:cNvPr id="325" name="FracNo 1182 StartRow 3186">
          <a:extLst xmlns:a="http://schemas.openxmlformats.org/drawingml/2006/main">
            <a:ext uri="{FF2B5EF4-FFF2-40B4-BE49-F238E27FC236}">
              <a16:creationId xmlns:a16="http://schemas.microsoft.com/office/drawing/2014/main" id="{2F6924EE-76AF-A82F-FEA9-6690B0FCC08D}"/>
            </a:ext>
          </a:extLst>
        </cdr:cNvPr>
        <cdr:cNvSpPr/>
      </cdr:nvSpPr>
      <cdr:spPr>
        <a:xfrm xmlns:a="http://schemas.openxmlformats.org/drawingml/2006/main">
          <a:off x="3045090" y="4742713"/>
          <a:ext cx="400084" cy="413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084" h="413824">
              <a:moveTo>
                <a:pt x="284129" y="119936"/>
              </a:moveTo>
              <a:lnTo>
                <a:pt x="214377" y="192083"/>
              </a:lnTo>
              <a:lnTo>
                <a:pt x="0" y="413823"/>
              </a:lnTo>
              <a:lnTo>
                <a:pt x="36258" y="413823"/>
              </a:lnTo>
              <a:lnTo>
                <a:pt x="236857" y="206335"/>
              </a:lnTo>
              <a:lnTo>
                <a:pt x="298166" y="142921"/>
              </a:lnTo>
              <a:lnTo>
                <a:pt x="400083" y="37503"/>
              </a:lnTo>
              <a:lnTo>
                <a:pt x="4000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0.62771</cdr:x>
      <cdr:y>0.48349</cdr:y>
    </cdr:from>
    <cdr:to>
      <cdr:x>0.68109</cdr:x>
      <cdr:y>0.53895</cdr:y>
    </cdr:to>
    <cdr:sp macro="" textlink="">
      <cdr:nvSpPr>
        <cdr:cNvPr id="326" name="FracNo 759 StartRow 3197">
          <a:extLst xmlns:a="http://schemas.openxmlformats.org/drawingml/2006/main">
            <a:ext uri="{FF2B5EF4-FFF2-40B4-BE49-F238E27FC236}">
              <a16:creationId xmlns:a16="http://schemas.microsoft.com/office/drawing/2014/main" id="{3E487F76-A552-2C44-9BC2-B5019670B3AF}"/>
            </a:ext>
          </a:extLst>
        </cdr:cNvPr>
        <cdr:cNvSpPr/>
      </cdr:nvSpPr>
      <cdr:spPr>
        <a:xfrm xmlns:a="http://schemas.openxmlformats.org/drawingml/2006/main">
          <a:off x="4591827" y="3684190"/>
          <a:ext cx="390479" cy="4226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479" h="422640">
              <a:moveTo>
                <a:pt x="137213" y="280713"/>
              </a:moveTo>
              <a:lnTo>
                <a:pt x="0" y="422639"/>
              </a:lnTo>
              <a:lnTo>
                <a:pt x="0" y="385136"/>
              </a:lnTo>
              <a:lnTo>
                <a:pt x="126732" y="254051"/>
              </a:lnTo>
              <a:lnTo>
                <a:pt x="219205" y="158402"/>
              </a:lnTo>
              <a:lnTo>
                <a:pt x="372348" y="0"/>
              </a:lnTo>
              <a:lnTo>
                <a:pt x="390478" y="18752"/>
              </a:lnTo>
              <a:lnTo>
                <a:pt x="237334" y="1771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0.88794</cdr:x>
      <cdr:y>0.26453</cdr:y>
    </cdr:from>
    <cdr:to>
      <cdr:x>0.94246</cdr:x>
      <cdr:y>0.31867</cdr:y>
    </cdr:to>
    <cdr:sp macro="" textlink="">
      <cdr:nvSpPr>
        <cdr:cNvPr id="327" name="FracNo 546 StartRow 3208">
          <a:extLst xmlns:a="http://schemas.openxmlformats.org/drawingml/2006/main">
            <a:ext uri="{FF2B5EF4-FFF2-40B4-BE49-F238E27FC236}">
              <a16:creationId xmlns:a16="http://schemas.microsoft.com/office/drawing/2014/main" id="{0AFD690C-6EEE-7FD7-E7D5-7DFA9E316C6F}"/>
            </a:ext>
          </a:extLst>
        </cdr:cNvPr>
        <cdr:cNvSpPr/>
      </cdr:nvSpPr>
      <cdr:spPr>
        <a:xfrm xmlns:a="http://schemas.openxmlformats.org/drawingml/2006/main">
          <a:off x="6495438" y="2015687"/>
          <a:ext cx="398870" cy="412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870" h="412569">
              <a:moveTo>
                <a:pt x="211081" y="180827"/>
              </a:moveTo>
              <a:lnTo>
                <a:pt x="36258" y="0"/>
              </a:lnTo>
              <a:lnTo>
                <a:pt x="0" y="0"/>
              </a:lnTo>
              <a:lnTo>
                <a:pt x="192303" y="198908"/>
              </a:lnTo>
              <a:lnTo>
                <a:pt x="398869" y="412568"/>
              </a:lnTo>
              <a:lnTo>
                <a:pt x="398869" y="3750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0.74852</cdr:x>
      <cdr:y>0.5936</cdr:y>
    </cdr:from>
    <cdr:to>
      <cdr:x>0.80297</cdr:x>
      <cdr:y>0.64767</cdr:y>
    </cdr:to>
    <cdr:sp macro="" textlink="">
      <cdr:nvSpPr>
        <cdr:cNvPr id="328" name="FracNo 622 StartRow 3217">
          <a:extLst xmlns:a="http://schemas.openxmlformats.org/drawingml/2006/main">
            <a:ext uri="{FF2B5EF4-FFF2-40B4-BE49-F238E27FC236}">
              <a16:creationId xmlns:a16="http://schemas.microsoft.com/office/drawing/2014/main" id="{B2B0E173-8760-90F8-6CFA-CC8DB9A440AE}"/>
            </a:ext>
          </a:extLst>
        </cdr:cNvPr>
        <cdr:cNvSpPr/>
      </cdr:nvSpPr>
      <cdr:spPr>
        <a:xfrm xmlns:a="http://schemas.openxmlformats.org/drawingml/2006/main">
          <a:off x="5475550" y="4523259"/>
          <a:ext cx="398304" cy="411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304" h="411983">
              <a:moveTo>
                <a:pt x="135444" y="177599"/>
              </a:moveTo>
              <a:lnTo>
                <a:pt x="0" y="37504"/>
              </a:lnTo>
              <a:lnTo>
                <a:pt x="0" y="0"/>
              </a:lnTo>
              <a:lnTo>
                <a:pt x="149009" y="154126"/>
              </a:lnTo>
              <a:lnTo>
                <a:pt x="398303" y="411982"/>
              </a:lnTo>
              <a:lnTo>
                <a:pt x="362045" y="4119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0.15835</cdr:x>
      <cdr:y>0.80263</cdr:y>
    </cdr:from>
    <cdr:to>
      <cdr:x>0.21524</cdr:x>
      <cdr:y>0.8542</cdr:y>
    </cdr:to>
    <cdr:sp macro="" textlink="">
      <cdr:nvSpPr>
        <cdr:cNvPr id="329" name="FracNo 1019 StartRow 3226">
          <a:extLst xmlns:a="http://schemas.openxmlformats.org/drawingml/2006/main">
            <a:ext uri="{FF2B5EF4-FFF2-40B4-BE49-F238E27FC236}">
              <a16:creationId xmlns:a16="http://schemas.microsoft.com/office/drawing/2014/main" id="{3E886EDE-6437-D36B-52D7-0B59956936AC}"/>
            </a:ext>
          </a:extLst>
        </cdr:cNvPr>
        <cdr:cNvSpPr/>
      </cdr:nvSpPr>
      <cdr:spPr>
        <a:xfrm xmlns:a="http://schemas.openxmlformats.org/drawingml/2006/main">
          <a:off x="1158330" y="6116058"/>
          <a:ext cx="416168" cy="392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168" h="392958">
              <a:moveTo>
                <a:pt x="87259" y="340205"/>
              </a:moveTo>
              <a:lnTo>
                <a:pt x="36258" y="392957"/>
              </a:lnTo>
              <a:lnTo>
                <a:pt x="0" y="392957"/>
              </a:lnTo>
              <a:lnTo>
                <a:pt x="51000" y="340205"/>
              </a:lnTo>
              <a:lnTo>
                <a:pt x="379909" y="0"/>
              </a:lnTo>
              <a:lnTo>
                <a:pt x="4161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0.44133</cdr:x>
      <cdr:y>0.08544</cdr:y>
    </cdr:from>
    <cdr:to>
      <cdr:x>0.49692</cdr:x>
      <cdr:y>0.13818</cdr:y>
    </cdr:to>
    <cdr:sp macro="" textlink="">
      <cdr:nvSpPr>
        <cdr:cNvPr id="330" name="FracNo 239 StartRow 3235">
          <a:extLst xmlns:a="http://schemas.openxmlformats.org/drawingml/2006/main">
            <a:ext uri="{FF2B5EF4-FFF2-40B4-BE49-F238E27FC236}">
              <a16:creationId xmlns:a16="http://schemas.microsoft.com/office/drawing/2014/main" id="{9697D08F-C733-E64D-6B40-B63531C638E7}"/>
            </a:ext>
          </a:extLst>
        </cdr:cNvPr>
        <cdr:cNvSpPr/>
      </cdr:nvSpPr>
      <cdr:spPr>
        <a:xfrm xmlns:a="http://schemas.openxmlformats.org/drawingml/2006/main">
          <a:off x="3228440" y="651036"/>
          <a:ext cx="406660" cy="401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660" h="401874">
              <a:moveTo>
                <a:pt x="101040" y="67006"/>
              </a:moveTo>
              <a:lnTo>
                <a:pt x="36258" y="0"/>
              </a:lnTo>
              <a:lnTo>
                <a:pt x="0" y="0"/>
              </a:lnTo>
              <a:lnTo>
                <a:pt x="67952" y="70286"/>
              </a:lnTo>
              <a:lnTo>
                <a:pt x="388530" y="401873"/>
              </a:lnTo>
              <a:lnTo>
                <a:pt x="406659" y="3831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0.17546</cdr:x>
      <cdr:y>0.53149</cdr:y>
    </cdr:from>
    <cdr:to>
      <cdr:x>0.23218</cdr:x>
      <cdr:y>0.5829</cdr:y>
    </cdr:to>
    <cdr:sp macro="" textlink="">
      <cdr:nvSpPr>
        <cdr:cNvPr id="331" name="FracNo 349 StartRow 3244">
          <a:extLst xmlns:a="http://schemas.openxmlformats.org/drawingml/2006/main">
            <a:ext uri="{FF2B5EF4-FFF2-40B4-BE49-F238E27FC236}">
              <a16:creationId xmlns:a16="http://schemas.microsoft.com/office/drawing/2014/main" id="{A7F71702-6970-0974-B867-9E951DA5639A}"/>
            </a:ext>
          </a:extLst>
        </cdr:cNvPr>
        <cdr:cNvSpPr/>
      </cdr:nvSpPr>
      <cdr:spPr>
        <a:xfrm xmlns:a="http://schemas.openxmlformats.org/drawingml/2006/main">
          <a:off x="1283496" y="4049977"/>
          <a:ext cx="414955" cy="391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955" h="391702">
              <a:moveTo>
                <a:pt x="323122" y="57482"/>
              </a:moveTo>
              <a:lnTo>
                <a:pt x="0" y="391701"/>
              </a:lnTo>
              <a:lnTo>
                <a:pt x="36259" y="391701"/>
              </a:lnTo>
              <a:lnTo>
                <a:pt x="359381" y="57482"/>
              </a:lnTo>
              <a:lnTo>
                <a:pt x="414954" y="0"/>
              </a:lnTo>
              <a:lnTo>
                <a:pt x="3786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0.18108</cdr:x>
      <cdr:y>0.53708</cdr:y>
    </cdr:from>
    <cdr:to>
      <cdr:x>0.23781</cdr:x>
      <cdr:y>0.58848</cdr:y>
    </cdr:to>
    <cdr:sp macro="" textlink="">
      <cdr:nvSpPr>
        <cdr:cNvPr id="332" name="FracNo 969 StartRow 3253">
          <a:extLst xmlns:a="http://schemas.openxmlformats.org/drawingml/2006/main">
            <a:ext uri="{FF2B5EF4-FFF2-40B4-BE49-F238E27FC236}">
              <a16:creationId xmlns:a16="http://schemas.microsoft.com/office/drawing/2014/main" id="{FC40434A-7152-A742-AD39-FEA19FA497CE}"/>
            </a:ext>
          </a:extLst>
        </cdr:cNvPr>
        <cdr:cNvSpPr/>
      </cdr:nvSpPr>
      <cdr:spPr>
        <a:xfrm xmlns:a="http://schemas.openxmlformats.org/drawingml/2006/main">
          <a:off x="1324643" y="4092537"/>
          <a:ext cx="414955" cy="391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955" h="391701">
              <a:moveTo>
                <a:pt x="168414" y="217502"/>
              </a:moveTo>
              <a:lnTo>
                <a:pt x="0" y="391700"/>
              </a:lnTo>
              <a:lnTo>
                <a:pt x="36258" y="391700"/>
              </a:lnTo>
              <a:lnTo>
                <a:pt x="204672" y="217502"/>
              </a:lnTo>
              <a:lnTo>
                <a:pt x="414954" y="0"/>
              </a:lnTo>
              <a:lnTo>
                <a:pt x="3786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0.63074</cdr:x>
      <cdr:y>0.1481</cdr:y>
    </cdr:from>
    <cdr:to>
      <cdr:x>0.68741</cdr:x>
      <cdr:y>0.19946</cdr:y>
    </cdr:to>
    <cdr:sp macro="" textlink="">
      <cdr:nvSpPr>
        <cdr:cNvPr id="333" name="FracNo 199 StartRow 3262">
          <a:extLst xmlns:a="http://schemas.openxmlformats.org/drawingml/2006/main">
            <a:ext uri="{FF2B5EF4-FFF2-40B4-BE49-F238E27FC236}">
              <a16:creationId xmlns:a16="http://schemas.microsoft.com/office/drawing/2014/main" id="{B3AC11D9-779E-9DE9-0550-089671329A6B}"/>
            </a:ext>
          </a:extLst>
        </cdr:cNvPr>
        <cdr:cNvSpPr/>
      </cdr:nvSpPr>
      <cdr:spPr>
        <a:xfrm xmlns:a="http://schemas.openxmlformats.org/drawingml/2006/main">
          <a:off x="4613961" y="1128526"/>
          <a:ext cx="414594" cy="391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594" h="391328">
              <a:moveTo>
                <a:pt x="174810" y="210514"/>
              </a:moveTo>
              <a:lnTo>
                <a:pt x="0" y="391327"/>
              </a:lnTo>
              <a:lnTo>
                <a:pt x="36259" y="391327"/>
              </a:lnTo>
              <a:lnTo>
                <a:pt x="196485" y="225598"/>
              </a:lnTo>
              <a:lnTo>
                <a:pt x="216081" y="205329"/>
              </a:lnTo>
              <a:lnTo>
                <a:pt x="414593" y="0"/>
              </a:lnTo>
              <a:lnTo>
                <a:pt x="378334" y="0"/>
              </a:lnTo>
              <a:lnTo>
                <a:pt x="196190" y="1883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0.70167</cdr:x>
      <cdr:y>0.63056</cdr:y>
    </cdr:from>
    <cdr:to>
      <cdr:x>0.75572</cdr:x>
      <cdr:y>0.68423</cdr:y>
    </cdr:to>
    <cdr:sp macro="" textlink="">
      <cdr:nvSpPr>
        <cdr:cNvPr id="334" name="FracNo 157 StartRow 3273">
          <a:extLst xmlns:a="http://schemas.openxmlformats.org/drawingml/2006/main">
            <a:ext uri="{FF2B5EF4-FFF2-40B4-BE49-F238E27FC236}">
              <a16:creationId xmlns:a16="http://schemas.microsoft.com/office/drawing/2014/main" id="{688BB261-F7B4-9DD2-B98F-1008852D0B16}"/>
            </a:ext>
          </a:extLst>
        </cdr:cNvPr>
        <cdr:cNvSpPr/>
      </cdr:nvSpPr>
      <cdr:spPr>
        <a:xfrm xmlns:a="http://schemas.openxmlformats.org/drawingml/2006/main">
          <a:off x="5132880" y="4804868"/>
          <a:ext cx="395394" cy="408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394" h="408972">
              <a:moveTo>
                <a:pt x="267855" y="277054"/>
              </a:moveTo>
              <a:lnTo>
                <a:pt x="137189" y="141900"/>
              </a:lnTo>
              <a:lnTo>
                <a:pt x="0" y="0"/>
              </a:lnTo>
              <a:lnTo>
                <a:pt x="36259" y="0"/>
              </a:lnTo>
              <a:lnTo>
                <a:pt x="164077" y="132208"/>
              </a:lnTo>
              <a:lnTo>
                <a:pt x="281137" y="253288"/>
              </a:lnTo>
              <a:lnTo>
                <a:pt x="395393" y="371467"/>
              </a:lnTo>
              <a:lnTo>
                <a:pt x="395393" y="408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0.44217</cdr:x>
      <cdr:y>0.4621</cdr:y>
    </cdr:from>
    <cdr:to>
      <cdr:x>0.49621</cdr:x>
      <cdr:y>0.51576</cdr:y>
    </cdr:to>
    <cdr:sp macro="" textlink="">
      <cdr:nvSpPr>
        <cdr:cNvPr id="335" name="FracNo 856 StartRow 3284">
          <a:extLst xmlns:a="http://schemas.openxmlformats.org/drawingml/2006/main">
            <a:ext uri="{FF2B5EF4-FFF2-40B4-BE49-F238E27FC236}">
              <a16:creationId xmlns:a16="http://schemas.microsoft.com/office/drawing/2014/main" id="{937043E3-54E1-32B7-8805-52D66F8B7549}"/>
            </a:ext>
          </a:extLst>
        </cdr:cNvPr>
        <cdr:cNvSpPr/>
      </cdr:nvSpPr>
      <cdr:spPr>
        <a:xfrm xmlns:a="http://schemas.openxmlformats.org/drawingml/2006/main">
          <a:off x="3234550" y="3521234"/>
          <a:ext cx="395289" cy="408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289" h="408864">
              <a:moveTo>
                <a:pt x="337158" y="348736"/>
              </a:moveTo>
              <a:lnTo>
                <a:pt x="0" y="0"/>
              </a:lnTo>
              <a:lnTo>
                <a:pt x="36258" y="0"/>
              </a:lnTo>
              <a:lnTo>
                <a:pt x="342490" y="316748"/>
              </a:lnTo>
              <a:lnTo>
                <a:pt x="395288" y="371359"/>
              </a:lnTo>
              <a:lnTo>
                <a:pt x="395288" y="4088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0.71313</cdr:x>
      <cdr:y>0.80889</cdr:y>
    </cdr:from>
    <cdr:to>
      <cdr:x>0.76687</cdr:x>
      <cdr:y>0.86226</cdr:y>
    </cdr:to>
    <cdr:sp macro="" textlink="">
      <cdr:nvSpPr>
        <cdr:cNvPr id="336" name="FracNo 1150 StartRow 3293">
          <a:extLst xmlns:a="http://schemas.openxmlformats.org/drawingml/2006/main">
            <a:ext uri="{FF2B5EF4-FFF2-40B4-BE49-F238E27FC236}">
              <a16:creationId xmlns:a16="http://schemas.microsoft.com/office/drawing/2014/main" id="{67265043-1BFC-06FF-C365-5A7D7DE05D15}"/>
            </a:ext>
          </a:extLst>
        </cdr:cNvPr>
        <cdr:cNvSpPr/>
      </cdr:nvSpPr>
      <cdr:spPr>
        <a:xfrm xmlns:a="http://schemas.openxmlformats.org/drawingml/2006/main">
          <a:off x="5216658" y="6163761"/>
          <a:ext cx="393122" cy="406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122" h="406623">
              <a:moveTo>
                <a:pt x="57891" y="346743"/>
              </a:moveTo>
              <a:lnTo>
                <a:pt x="0" y="406622"/>
              </a:lnTo>
              <a:lnTo>
                <a:pt x="36258" y="406622"/>
              </a:lnTo>
              <a:lnTo>
                <a:pt x="88810" y="352266"/>
              </a:lnTo>
              <a:lnTo>
                <a:pt x="393121" y="37504"/>
              </a:lnTo>
              <a:lnTo>
                <a:pt x="393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0.83846</cdr:x>
      <cdr:y>0.6075</cdr:y>
    </cdr:from>
    <cdr:to>
      <cdr:x>0.88959</cdr:x>
      <cdr:y>0.66319</cdr:y>
    </cdr:to>
    <cdr:sp macro="" textlink="">
      <cdr:nvSpPr>
        <cdr:cNvPr id="337" name="FracNo 634 StartRow 3302">
          <a:extLst xmlns:a="http://schemas.openxmlformats.org/drawingml/2006/main">
            <a:ext uri="{FF2B5EF4-FFF2-40B4-BE49-F238E27FC236}">
              <a16:creationId xmlns:a16="http://schemas.microsoft.com/office/drawing/2014/main" id="{EE7A388D-181C-5962-8A53-1F386EA0BD3F}"/>
            </a:ext>
          </a:extLst>
        </cdr:cNvPr>
        <cdr:cNvSpPr/>
      </cdr:nvSpPr>
      <cdr:spPr>
        <a:xfrm xmlns:a="http://schemas.openxmlformats.org/drawingml/2006/main">
          <a:off x="6133522" y="4629152"/>
          <a:ext cx="374021" cy="424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021" h="424370">
              <a:moveTo>
                <a:pt x="186521" y="192926"/>
              </a:moveTo>
              <a:lnTo>
                <a:pt x="0" y="0"/>
              </a:lnTo>
              <a:lnTo>
                <a:pt x="0" y="37503"/>
              </a:lnTo>
              <a:lnTo>
                <a:pt x="180991" y="224711"/>
              </a:lnTo>
              <a:lnTo>
                <a:pt x="279980" y="327099"/>
              </a:lnTo>
              <a:lnTo>
                <a:pt x="374020" y="424369"/>
              </a:lnTo>
              <a:lnTo>
                <a:pt x="374020" y="386865"/>
              </a:lnTo>
              <a:lnTo>
                <a:pt x="288533" y="2984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0.65924</cdr:x>
      <cdr:y>0.43592</cdr:y>
    </cdr:from>
    <cdr:to>
      <cdr:x>0.71034</cdr:x>
      <cdr:y>0.49158</cdr:y>
    </cdr:to>
    <cdr:sp macro="" textlink="">
      <cdr:nvSpPr>
        <cdr:cNvPr id="338" name="FracNo 633 StartRow 3313">
          <a:extLst xmlns:a="http://schemas.openxmlformats.org/drawingml/2006/main">
            <a:ext uri="{FF2B5EF4-FFF2-40B4-BE49-F238E27FC236}">
              <a16:creationId xmlns:a16="http://schemas.microsoft.com/office/drawing/2014/main" id="{7F85C5A6-D57A-57A6-1656-FB4AC5647A8A}"/>
            </a:ext>
          </a:extLst>
        </cdr:cNvPr>
        <cdr:cNvSpPr/>
      </cdr:nvSpPr>
      <cdr:spPr>
        <a:xfrm xmlns:a="http://schemas.openxmlformats.org/drawingml/2006/main">
          <a:off x="4822437" y="3321702"/>
          <a:ext cx="373833" cy="4241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833" h="424175">
              <a:moveTo>
                <a:pt x="48180" y="87338"/>
              </a:moveTo>
              <a:lnTo>
                <a:pt x="0" y="37504"/>
              </a:lnTo>
              <a:lnTo>
                <a:pt x="0" y="0"/>
              </a:lnTo>
              <a:lnTo>
                <a:pt x="48180" y="49834"/>
              </a:lnTo>
              <a:lnTo>
                <a:pt x="373832" y="386670"/>
              </a:lnTo>
              <a:lnTo>
                <a:pt x="373832" y="4241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0.35351</cdr:x>
      <cdr:y>0.209</cdr:y>
    </cdr:from>
    <cdr:to>
      <cdr:x>0.40681</cdr:x>
      <cdr:y>0.26193</cdr:y>
    </cdr:to>
    <cdr:sp macro="" textlink="">
      <cdr:nvSpPr>
        <cdr:cNvPr id="339" name="FracNo 974 StartRow 3322">
          <a:extLst xmlns:a="http://schemas.openxmlformats.org/drawingml/2006/main">
            <a:ext uri="{FF2B5EF4-FFF2-40B4-BE49-F238E27FC236}">
              <a16:creationId xmlns:a16="http://schemas.microsoft.com/office/drawing/2014/main" id="{D2F4D1B6-3AE6-D38E-5204-75A5B3BE161B}"/>
            </a:ext>
          </a:extLst>
        </cdr:cNvPr>
        <cdr:cNvSpPr/>
      </cdr:nvSpPr>
      <cdr:spPr>
        <a:xfrm xmlns:a="http://schemas.openxmlformats.org/drawingml/2006/main">
          <a:off x="2585970" y="1592549"/>
          <a:ext cx="389951" cy="403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951" h="403342">
              <a:moveTo>
                <a:pt x="236203" y="206811"/>
              </a:moveTo>
              <a:lnTo>
                <a:pt x="171914" y="140314"/>
              </a:lnTo>
              <a:lnTo>
                <a:pt x="36258" y="0"/>
              </a:lnTo>
              <a:lnTo>
                <a:pt x="0" y="0"/>
              </a:lnTo>
              <a:lnTo>
                <a:pt x="147919" y="152999"/>
              </a:lnTo>
              <a:lnTo>
                <a:pt x="219283" y="226814"/>
              </a:lnTo>
              <a:lnTo>
                <a:pt x="389950" y="403341"/>
              </a:lnTo>
              <a:lnTo>
                <a:pt x="389950" y="3658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0.45019</cdr:x>
      <cdr:y>0.16601</cdr:y>
    </cdr:from>
    <cdr:to>
      <cdr:x>0.50077</cdr:x>
      <cdr:y>0.22115</cdr:y>
    </cdr:to>
    <cdr:sp macro="" textlink="">
      <cdr:nvSpPr>
        <cdr:cNvPr id="340" name="FracNo 237 StartRow 3333">
          <a:extLst xmlns:a="http://schemas.openxmlformats.org/drawingml/2006/main">
            <a:ext uri="{FF2B5EF4-FFF2-40B4-BE49-F238E27FC236}">
              <a16:creationId xmlns:a16="http://schemas.microsoft.com/office/drawing/2014/main" id="{8B4A7143-0B8D-8A2C-0412-3E2C0BF8B48A}"/>
            </a:ext>
          </a:extLst>
        </cdr:cNvPr>
        <cdr:cNvSpPr/>
      </cdr:nvSpPr>
      <cdr:spPr>
        <a:xfrm xmlns:a="http://schemas.openxmlformats.org/drawingml/2006/main">
          <a:off x="3293262" y="1264977"/>
          <a:ext cx="369983" cy="420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983" h="420193">
              <a:moveTo>
                <a:pt x="146483" y="151513"/>
              </a:moveTo>
              <a:lnTo>
                <a:pt x="0" y="0"/>
              </a:lnTo>
              <a:lnTo>
                <a:pt x="0" y="37504"/>
              </a:lnTo>
              <a:lnTo>
                <a:pt x="146483" y="189017"/>
              </a:lnTo>
              <a:lnTo>
                <a:pt x="369982" y="420192"/>
              </a:lnTo>
              <a:lnTo>
                <a:pt x="369982" y="3826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0.64927</cdr:x>
      <cdr:y>0.35042</cdr:y>
    </cdr:from>
    <cdr:to>
      <cdr:x>0.70347</cdr:x>
      <cdr:y>0.40178</cdr:y>
    </cdr:to>
    <cdr:sp macro="" textlink="">
      <cdr:nvSpPr>
        <cdr:cNvPr id="341" name="FracNo 600 StartRow 3342">
          <a:extLst xmlns:a="http://schemas.openxmlformats.org/drawingml/2006/main">
            <a:ext uri="{FF2B5EF4-FFF2-40B4-BE49-F238E27FC236}">
              <a16:creationId xmlns:a16="http://schemas.microsoft.com/office/drawing/2014/main" id="{90AFCA16-0099-3C40-2CA7-029401D97A65}"/>
            </a:ext>
          </a:extLst>
        </cdr:cNvPr>
        <cdr:cNvSpPr/>
      </cdr:nvSpPr>
      <cdr:spPr>
        <a:xfrm xmlns:a="http://schemas.openxmlformats.org/drawingml/2006/main">
          <a:off x="4749569" y="2670230"/>
          <a:ext cx="396480" cy="391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6480" h="391344">
              <a:moveTo>
                <a:pt x="203267" y="218599"/>
              </a:moveTo>
              <a:lnTo>
                <a:pt x="85920" y="339976"/>
              </a:lnTo>
              <a:lnTo>
                <a:pt x="36259" y="391343"/>
              </a:lnTo>
              <a:lnTo>
                <a:pt x="0" y="391343"/>
              </a:lnTo>
              <a:lnTo>
                <a:pt x="55136" y="334313"/>
              </a:lnTo>
              <a:lnTo>
                <a:pt x="179999" y="205162"/>
              </a:lnTo>
              <a:lnTo>
                <a:pt x="265357" y="116873"/>
              </a:lnTo>
              <a:lnTo>
                <a:pt x="378349" y="0"/>
              </a:lnTo>
              <a:lnTo>
                <a:pt x="396479" y="18752"/>
              </a:lnTo>
              <a:lnTo>
                <a:pt x="283486" y="1356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0.37557</cdr:x>
      <cdr:y>0.86064</cdr:y>
    </cdr:from>
    <cdr:to>
      <cdr:x>0.42722</cdr:x>
      <cdr:y>0.91439</cdr:y>
    </cdr:to>
    <cdr:sp macro="" textlink="">
      <cdr:nvSpPr>
        <cdr:cNvPr id="342" name="FracNo 845 StartRow 3355">
          <a:extLst xmlns:a="http://schemas.openxmlformats.org/drawingml/2006/main">
            <a:ext uri="{FF2B5EF4-FFF2-40B4-BE49-F238E27FC236}">
              <a16:creationId xmlns:a16="http://schemas.microsoft.com/office/drawing/2014/main" id="{EE63F793-5A5D-CCBC-323D-DB7AD45CC6DF}"/>
            </a:ext>
          </a:extLst>
        </cdr:cNvPr>
        <cdr:cNvSpPr/>
      </cdr:nvSpPr>
      <cdr:spPr>
        <a:xfrm xmlns:a="http://schemas.openxmlformats.org/drawingml/2006/main">
          <a:off x="2747377" y="6558082"/>
          <a:ext cx="377836" cy="409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7836" h="409564">
              <a:moveTo>
                <a:pt x="346638" y="13517"/>
              </a:moveTo>
              <a:lnTo>
                <a:pt x="0" y="372059"/>
              </a:lnTo>
              <a:lnTo>
                <a:pt x="0" y="409563"/>
              </a:lnTo>
              <a:lnTo>
                <a:pt x="364109" y="32950"/>
              </a:lnTo>
              <a:lnTo>
                <a:pt x="377835" y="18752"/>
              </a:lnTo>
              <a:lnTo>
                <a:pt x="3597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0.61854</cdr:x>
      <cdr:y>0.18735</cdr:y>
    </cdr:from>
    <cdr:to>
      <cdr:x>0.67389</cdr:x>
      <cdr:y>0.23738</cdr:y>
    </cdr:to>
    <cdr:sp macro="" textlink="">
      <cdr:nvSpPr>
        <cdr:cNvPr id="343" name="FracNo 224 StartRow 3364">
          <a:extLst xmlns:a="http://schemas.openxmlformats.org/drawingml/2006/main">
            <a:ext uri="{FF2B5EF4-FFF2-40B4-BE49-F238E27FC236}">
              <a16:creationId xmlns:a16="http://schemas.microsoft.com/office/drawing/2014/main" id="{E994366F-848A-0101-51BD-FE19310C8FCE}"/>
            </a:ext>
          </a:extLst>
        </cdr:cNvPr>
        <cdr:cNvSpPr/>
      </cdr:nvSpPr>
      <cdr:spPr>
        <a:xfrm xmlns:a="http://schemas.openxmlformats.org/drawingml/2006/main">
          <a:off x="4524775" y="1427603"/>
          <a:ext cx="404833" cy="381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833" h="381232">
              <a:moveTo>
                <a:pt x="248515" y="257050"/>
              </a:moveTo>
              <a:lnTo>
                <a:pt x="0" y="0"/>
              </a:lnTo>
              <a:lnTo>
                <a:pt x="36259" y="0"/>
              </a:lnTo>
              <a:lnTo>
                <a:pt x="273243" y="245123"/>
              </a:lnTo>
              <a:lnTo>
                <a:pt x="306868" y="279903"/>
              </a:lnTo>
              <a:lnTo>
                <a:pt x="404832" y="381231"/>
              </a:lnTo>
              <a:lnTo>
                <a:pt x="368573" y="381231"/>
              </a:lnTo>
              <a:lnTo>
                <a:pt x="283776" y="2935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0.08941</cdr:x>
      <cdr:y>0.1212</cdr:y>
    </cdr:from>
    <cdr:to>
      <cdr:x>0.14217</cdr:x>
      <cdr:y>0.1736</cdr:y>
    </cdr:to>
    <cdr:sp macro="" textlink="">
      <cdr:nvSpPr>
        <cdr:cNvPr id="344" name="FracNo 265 StartRow 3375">
          <a:extLst xmlns:a="http://schemas.openxmlformats.org/drawingml/2006/main">
            <a:ext uri="{FF2B5EF4-FFF2-40B4-BE49-F238E27FC236}">
              <a16:creationId xmlns:a16="http://schemas.microsoft.com/office/drawing/2014/main" id="{B8E93228-509E-84B7-AC0A-B6A1D01DE322}"/>
            </a:ext>
          </a:extLst>
        </cdr:cNvPr>
        <cdr:cNvSpPr/>
      </cdr:nvSpPr>
      <cdr:spPr>
        <a:xfrm xmlns:a="http://schemas.openxmlformats.org/drawingml/2006/main">
          <a:off x="654059" y="923582"/>
          <a:ext cx="385970" cy="399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970" h="399224">
              <a:moveTo>
                <a:pt x="118284" y="276877"/>
              </a:moveTo>
              <a:lnTo>
                <a:pt x="0" y="399223"/>
              </a:lnTo>
              <a:lnTo>
                <a:pt x="36259" y="399223"/>
              </a:lnTo>
              <a:lnTo>
                <a:pt x="143430" y="288371"/>
              </a:lnTo>
              <a:lnTo>
                <a:pt x="385969" y="37504"/>
              </a:lnTo>
              <a:lnTo>
                <a:pt x="3859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0.22724</cdr:x>
      <cdr:y>0.17721</cdr:y>
    </cdr:from>
    <cdr:to>
      <cdr:x>0.27995</cdr:x>
      <cdr:y>0.22954</cdr:y>
    </cdr:to>
    <cdr:sp macro="" textlink="">
      <cdr:nvSpPr>
        <cdr:cNvPr id="345" name="FracNo 276 StartRow 3384">
          <a:extLst xmlns:a="http://schemas.openxmlformats.org/drawingml/2006/main">
            <a:ext uri="{FF2B5EF4-FFF2-40B4-BE49-F238E27FC236}">
              <a16:creationId xmlns:a16="http://schemas.microsoft.com/office/drawing/2014/main" id="{CF570175-A0A2-89A6-BBD8-936BE286E3FE}"/>
            </a:ext>
          </a:extLst>
        </cdr:cNvPr>
        <cdr:cNvSpPr/>
      </cdr:nvSpPr>
      <cdr:spPr>
        <a:xfrm xmlns:a="http://schemas.openxmlformats.org/drawingml/2006/main">
          <a:off x="1662327" y="1350327"/>
          <a:ext cx="385540" cy="398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540" h="398780">
              <a:moveTo>
                <a:pt x="122389" y="272187"/>
              </a:moveTo>
              <a:lnTo>
                <a:pt x="0" y="398779"/>
              </a:lnTo>
              <a:lnTo>
                <a:pt x="36258" y="398779"/>
              </a:lnTo>
              <a:lnTo>
                <a:pt x="147137" y="284092"/>
              </a:lnTo>
              <a:lnTo>
                <a:pt x="385539" y="37504"/>
              </a:lnTo>
              <a:lnTo>
                <a:pt x="3855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0.28235</cdr:x>
      <cdr:y>0.52284</cdr:y>
    </cdr:from>
    <cdr:to>
      <cdr:x>0.33601</cdr:x>
      <cdr:y>0.57365</cdr:y>
    </cdr:to>
    <cdr:sp macro="" textlink="">
      <cdr:nvSpPr>
        <cdr:cNvPr id="346" name="FracNo 740 StartRow 3393">
          <a:extLst xmlns:a="http://schemas.openxmlformats.org/drawingml/2006/main">
            <a:ext uri="{FF2B5EF4-FFF2-40B4-BE49-F238E27FC236}">
              <a16:creationId xmlns:a16="http://schemas.microsoft.com/office/drawing/2014/main" id="{EEE68CA3-9772-59AF-91CD-99053F83D8E5}"/>
            </a:ext>
          </a:extLst>
        </cdr:cNvPr>
        <cdr:cNvSpPr/>
      </cdr:nvSpPr>
      <cdr:spPr>
        <a:xfrm xmlns:a="http://schemas.openxmlformats.org/drawingml/2006/main">
          <a:off x="2065448" y="3984019"/>
          <a:ext cx="392502" cy="387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502" h="387230">
              <a:moveTo>
                <a:pt x="21228" y="346520"/>
              </a:moveTo>
              <a:lnTo>
                <a:pt x="0" y="368477"/>
              </a:lnTo>
              <a:lnTo>
                <a:pt x="18129" y="387229"/>
              </a:lnTo>
              <a:lnTo>
                <a:pt x="40437" y="364155"/>
              </a:lnTo>
              <a:lnTo>
                <a:pt x="392501" y="0"/>
              </a:lnTo>
              <a:lnTo>
                <a:pt x="356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0.28869</cdr:x>
      <cdr:y>0.08544</cdr:y>
    </cdr:from>
    <cdr:to>
      <cdr:x>0.34339</cdr:x>
      <cdr:y>0.13483</cdr:y>
    </cdr:to>
    <cdr:sp macro="" textlink="">
      <cdr:nvSpPr>
        <cdr:cNvPr id="347" name="FracNo 830 StartRow 3402">
          <a:extLst xmlns:a="http://schemas.openxmlformats.org/drawingml/2006/main">
            <a:ext uri="{FF2B5EF4-FFF2-40B4-BE49-F238E27FC236}">
              <a16:creationId xmlns:a16="http://schemas.microsoft.com/office/drawing/2014/main" id="{F7283643-5447-F7D5-2495-6FBBB7673EAF}"/>
            </a:ext>
          </a:extLst>
        </cdr:cNvPr>
        <cdr:cNvSpPr/>
      </cdr:nvSpPr>
      <cdr:spPr>
        <a:xfrm xmlns:a="http://schemas.openxmlformats.org/drawingml/2006/main">
          <a:off x="2111817" y="651036"/>
          <a:ext cx="400152" cy="376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152" h="376390">
              <a:moveTo>
                <a:pt x="158836" y="126787"/>
              </a:moveTo>
              <a:lnTo>
                <a:pt x="36258" y="0"/>
              </a:lnTo>
              <a:lnTo>
                <a:pt x="0" y="0"/>
              </a:lnTo>
              <a:lnTo>
                <a:pt x="122577" y="126787"/>
              </a:lnTo>
              <a:lnTo>
                <a:pt x="363893" y="376389"/>
              </a:lnTo>
              <a:lnTo>
                <a:pt x="400151" y="3763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0.45964</cdr:x>
      <cdr:y>0.72971</cdr:y>
    </cdr:from>
    <cdr:to>
      <cdr:x>0.50935</cdr:x>
      <cdr:y>0.784</cdr:y>
    </cdr:to>
    <cdr:sp macro="" textlink="">
      <cdr:nvSpPr>
        <cdr:cNvPr id="348" name="FracNo 764 StartRow 3411">
          <a:extLst xmlns:a="http://schemas.openxmlformats.org/drawingml/2006/main">
            <a:ext uri="{FF2B5EF4-FFF2-40B4-BE49-F238E27FC236}">
              <a16:creationId xmlns:a16="http://schemas.microsoft.com/office/drawing/2014/main" id="{1EBBA6E9-E396-F5A7-E162-2719A4AD0EAB}"/>
            </a:ext>
          </a:extLst>
        </cdr:cNvPr>
        <cdr:cNvSpPr/>
      </cdr:nvSpPr>
      <cdr:spPr>
        <a:xfrm xmlns:a="http://schemas.openxmlformats.org/drawingml/2006/main">
          <a:off x="3362357" y="5560411"/>
          <a:ext cx="363642" cy="413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642" h="413633">
              <a:moveTo>
                <a:pt x="106789" y="265673"/>
              </a:moveTo>
              <a:lnTo>
                <a:pt x="0" y="376129"/>
              </a:lnTo>
              <a:lnTo>
                <a:pt x="0" y="413632"/>
              </a:lnTo>
              <a:lnTo>
                <a:pt x="106789" y="303177"/>
              </a:lnTo>
              <a:lnTo>
                <a:pt x="363641" y="37503"/>
              </a:lnTo>
              <a:lnTo>
                <a:pt x="3636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0.54304</cdr:y>
    </cdr:from>
    <cdr:to>
      <cdr:x>0.1436</cdr:x>
      <cdr:y>0.59447</cdr:y>
    </cdr:to>
    <cdr:sp macro="" textlink="">
      <cdr:nvSpPr>
        <cdr:cNvPr id="349" name="FracNo 348 StartRow 3420">
          <a:extLst xmlns:a="http://schemas.openxmlformats.org/drawingml/2006/main">
            <a:ext uri="{FF2B5EF4-FFF2-40B4-BE49-F238E27FC236}">
              <a16:creationId xmlns:a16="http://schemas.microsoft.com/office/drawing/2014/main" id="{9191881F-F4A3-D225-7DFA-8524C809EA65}"/>
            </a:ext>
          </a:extLst>
        </cdr:cNvPr>
        <cdr:cNvSpPr/>
      </cdr:nvSpPr>
      <cdr:spPr>
        <a:xfrm xmlns:a="http://schemas.openxmlformats.org/drawingml/2006/main">
          <a:off x="671676" y="4137999"/>
          <a:ext cx="378819" cy="391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819" h="391829">
              <a:moveTo>
                <a:pt x="180930" y="167181"/>
              </a:moveTo>
              <a:lnTo>
                <a:pt x="0" y="354324"/>
              </a:lnTo>
              <a:lnTo>
                <a:pt x="0" y="391828"/>
              </a:lnTo>
              <a:lnTo>
                <a:pt x="200080" y="184876"/>
              </a:lnTo>
              <a:lnTo>
                <a:pt x="378818" y="0"/>
              </a:lnTo>
              <a:lnTo>
                <a:pt x="342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0.12966</cdr:x>
      <cdr:y>0.39071</cdr:y>
    </cdr:from>
    <cdr:to>
      <cdr:x>0.18018</cdr:x>
      <cdr:y>0.44334</cdr:y>
    </cdr:to>
    <cdr:sp macro="" textlink="">
      <cdr:nvSpPr>
        <cdr:cNvPr id="350" name="FracNo 341 StartRow 3429">
          <a:extLst xmlns:a="http://schemas.openxmlformats.org/drawingml/2006/main">
            <a:ext uri="{FF2B5EF4-FFF2-40B4-BE49-F238E27FC236}">
              <a16:creationId xmlns:a16="http://schemas.microsoft.com/office/drawing/2014/main" id="{A5B8960A-B30A-321B-E754-EA460C01D292}"/>
            </a:ext>
          </a:extLst>
        </cdr:cNvPr>
        <cdr:cNvSpPr/>
      </cdr:nvSpPr>
      <cdr:spPr>
        <a:xfrm xmlns:a="http://schemas.openxmlformats.org/drawingml/2006/main">
          <a:off x="948485" y="2977225"/>
          <a:ext cx="369569" cy="401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569" h="401012">
              <a:moveTo>
                <a:pt x="285361" y="105851"/>
              </a:moveTo>
              <a:lnTo>
                <a:pt x="0" y="401011"/>
              </a:lnTo>
              <a:lnTo>
                <a:pt x="0" y="363508"/>
              </a:lnTo>
              <a:lnTo>
                <a:pt x="271362" y="82827"/>
              </a:lnTo>
              <a:lnTo>
                <a:pt x="351439" y="0"/>
              </a:lnTo>
              <a:lnTo>
                <a:pt x="3695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0.49983</cdr:x>
      <cdr:y>0.67502</cdr:y>
    </cdr:from>
    <cdr:to>
      <cdr:x>0.55283</cdr:x>
      <cdr:y>0.72518</cdr:y>
    </cdr:to>
    <cdr:sp macro="" textlink="">
      <cdr:nvSpPr>
        <cdr:cNvPr id="351" name="FracNo 827 StartRow 3438">
          <a:extLst xmlns:a="http://schemas.openxmlformats.org/drawingml/2006/main">
            <a:ext uri="{FF2B5EF4-FFF2-40B4-BE49-F238E27FC236}">
              <a16:creationId xmlns:a16="http://schemas.microsoft.com/office/drawing/2014/main" id="{E56DAD91-136F-1604-8BA6-62AC2845323C}"/>
            </a:ext>
          </a:extLst>
        </cdr:cNvPr>
        <cdr:cNvSpPr/>
      </cdr:nvSpPr>
      <cdr:spPr>
        <a:xfrm xmlns:a="http://schemas.openxmlformats.org/drawingml/2006/main">
          <a:off x="3656364" y="5143652"/>
          <a:ext cx="387675" cy="382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675" h="382237">
              <a:moveTo>
                <a:pt x="236168" y="175461"/>
              </a:moveTo>
              <a:lnTo>
                <a:pt x="36258" y="382236"/>
              </a:lnTo>
              <a:lnTo>
                <a:pt x="0" y="382236"/>
              </a:lnTo>
              <a:lnTo>
                <a:pt x="210223" y="164793"/>
              </a:lnTo>
              <a:lnTo>
                <a:pt x="369545" y="0"/>
              </a:lnTo>
              <a:lnTo>
                <a:pt x="3876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0.711</cdr:x>
      <cdr:y>0.6213</cdr:y>
    </cdr:from>
    <cdr:to>
      <cdr:x>0.76026</cdr:x>
      <cdr:y>0.67514</cdr:y>
    </cdr:to>
    <cdr:sp macro="" textlink="">
      <cdr:nvSpPr>
        <cdr:cNvPr id="352" name="FracNo 755 StartRow 3447">
          <a:extLst xmlns:a="http://schemas.openxmlformats.org/drawingml/2006/main">
            <a:ext uri="{FF2B5EF4-FFF2-40B4-BE49-F238E27FC236}">
              <a16:creationId xmlns:a16="http://schemas.microsoft.com/office/drawing/2014/main" id="{21CD2291-D756-341F-121A-ABF500C79B0D}"/>
            </a:ext>
          </a:extLst>
        </cdr:cNvPr>
        <cdr:cNvSpPr/>
      </cdr:nvSpPr>
      <cdr:spPr>
        <a:xfrm xmlns:a="http://schemas.openxmlformats.org/drawingml/2006/main">
          <a:off x="5201112" y="4734294"/>
          <a:ext cx="360365" cy="410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365" h="410245">
              <a:moveTo>
                <a:pt x="80317" y="83076"/>
              </a:moveTo>
              <a:lnTo>
                <a:pt x="0" y="0"/>
              </a:lnTo>
              <a:lnTo>
                <a:pt x="0" y="37503"/>
              </a:lnTo>
              <a:lnTo>
                <a:pt x="75451" y="115546"/>
              </a:lnTo>
              <a:lnTo>
                <a:pt x="176901" y="220480"/>
              </a:lnTo>
              <a:lnTo>
                <a:pt x="360364" y="410244"/>
              </a:lnTo>
              <a:lnTo>
                <a:pt x="360364" y="372740"/>
              </a:lnTo>
              <a:lnTo>
                <a:pt x="188309" y="1947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0.79074</cdr:x>
      <cdr:y>0.369</cdr:y>
    </cdr:from>
    <cdr:to>
      <cdr:x>0.8446</cdr:x>
      <cdr:y>0.41756</cdr:y>
    </cdr:to>
    <cdr:sp macro="" textlink="">
      <cdr:nvSpPr>
        <cdr:cNvPr id="353" name="FracNo 883 StartRow 3458">
          <a:extLst xmlns:a="http://schemas.openxmlformats.org/drawingml/2006/main">
            <a:ext uri="{FF2B5EF4-FFF2-40B4-BE49-F238E27FC236}">
              <a16:creationId xmlns:a16="http://schemas.microsoft.com/office/drawing/2014/main" id="{0D157130-3296-7CCD-A2DC-803509389CA2}"/>
            </a:ext>
          </a:extLst>
        </cdr:cNvPr>
        <cdr:cNvSpPr/>
      </cdr:nvSpPr>
      <cdr:spPr>
        <a:xfrm xmlns:a="http://schemas.openxmlformats.org/drawingml/2006/main">
          <a:off x="5784445" y="2811807"/>
          <a:ext cx="393999" cy="3700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999" h="370026">
              <a:moveTo>
                <a:pt x="177562" y="186364"/>
              </a:moveTo>
              <a:lnTo>
                <a:pt x="0" y="370025"/>
              </a:lnTo>
              <a:lnTo>
                <a:pt x="36258" y="370025"/>
              </a:lnTo>
              <a:lnTo>
                <a:pt x="213821" y="186364"/>
              </a:lnTo>
              <a:lnTo>
                <a:pt x="393998" y="0"/>
              </a:lnTo>
              <a:lnTo>
                <a:pt x="357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0.1195</cdr:x>
      <cdr:y>0.88162</cdr:y>
    </cdr:from>
    <cdr:to>
      <cdr:x>0.17329</cdr:x>
      <cdr:y>0.9301</cdr:y>
    </cdr:to>
    <cdr:sp macro="" textlink="">
      <cdr:nvSpPr>
        <cdr:cNvPr id="354" name="FracNo 69 StartRow 3467">
          <a:extLst xmlns:a="http://schemas.openxmlformats.org/drawingml/2006/main">
            <a:ext uri="{FF2B5EF4-FFF2-40B4-BE49-F238E27FC236}">
              <a16:creationId xmlns:a16="http://schemas.microsoft.com/office/drawing/2014/main" id="{73537F5C-B21C-86D2-F965-679308D73112}"/>
            </a:ext>
          </a:extLst>
        </cdr:cNvPr>
        <cdr:cNvSpPr/>
      </cdr:nvSpPr>
      <cdr:spPr>
        <a:xfrm xmlns:a="http://schemas.openxmlformats.org/drawingml/2006/main">
          <a:off x="874199" y="6717910"/>
          <a:ext cx="393448" cy="369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448" h="369456">
              <a:moveTo>
                <a:pt x="220491" y="190560"/>
              </a:moveTo>
              <a:lnTo>
                <a:pt x="36258" y="0"/>
              </a:lnTo>
              <a:lnTo>
                <a:pt x="0" y="0"/>
              </a:lnTo>
              <a:lnTo>
                <a:pt x="184233" y="190560"/>
              </a:lnTo>
              <a:lnTo>
                <a:pt x="357188" y="369455"/>
              </a:lnTo>
              <a:lnTo>
                <a:pt x="393447" y="3694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0.82001</cdr:x>
      <cdr:y>0.45783</cdr:y>
    </cdr:from>
    <cdr:to>
      <cdr:x>0.87358</cdr:x>
      <cdr:y>0.5061</cdr:y>
    </cdr:to>
    <cdr:sp macro="" textlink="">
      <cdr:nvSpPr>
        <cdr:cNvPr id="355" name="FracNo 754 StartRow 3476">
          <a:extLst xmlns:a="http://schemas.openxmlformats.org/drawingml/2006/main">
            <a:ext uri="{FF2B5EF4-FFF2-40B4-BE49-F238E27FC236}">
              <a16:creationId xmlns:a16="http://schemas.microsoft.com/office/drawing/2014/main" id="{E3F2ABCD-3456-36DF-FDAF-76556E6160F2}"/>
            </a:ext>
          </a:extLst>
        </cdr:cNvPr>
        <cdr:cNvSpPr/>
      </cdr:nvSpPr>
      <cdr:spPr>
        <a:xfrm xmlns:a="http://schemas.openxmlformats.org/drawingml/2006/main">
          <a:off x="5998506" y="3488647"/>
          <a:ext cx="391906" cy="367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906" h="367862">
              <a:moveTo>
                <a:pt x="238652" y="209345"/>
              </a:moveTo>
              <a:lnTo>
                <a:pt x="36258" y="0"/>
              </a:lnTo>
              <a:lnTo>
                <a:pt x="0" y="0"/>
              </a:lnTo>
              <a:lnTo>
                <a:pt x="202394" y="209345"/>
              </a:lnTo>
              <a:lnTo>
                <a:pt x="355647" y="367861"/>
              </a:lnTo>
              <a:lnTo>
                <a:pt x="391905" y="3678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0.12167</cdr:x>
      <cdr:y>0.64564</cdr:y>
    </cdr:from>
    <cdr:to>
      <cdr:x>0.17268</cdr:x>
      <cdr:y>0.69629</cdr:y>
    </cdr:to>
    <cdr:sp macro="" textlink="">
      <cdr:nvSpPr>
        <cdr:cNvPr id="356" name="FracNo 868 StartRow 3485">
          <a:extLst xmlns:a="http://schemas.openxmlformats.org/drawingml/2006/main">
            <a:ext uri="{FF2B5EF4-FFF2-40B4-BE49-F238E27FC236}">
              <a16:creationId xmlns:a16="http://schemas.microsoft.com/office/drawing/2014/main" id="{858899FA-E160-6BC8-1D7F-A998306F4AAF}"/>
            </a:ext>
          </a:extLst>
        </cdr:cNvPr>
        <cdr:cNvSpPr/>
      </cdr:nvSpPr>
      <cdr:spPr>
        <a:xfrm xmlns:a="http://schemas.openxmlformats.org/drawingml/2006/main">
          <a:off x="890050" y="4919757"/>
          <a:ext cx="373169" cy="385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169" h="385984">
              <a:moveTo>
                <a:pt x="317966" y="57098"/>
              </a:moveTo>
              <a:lnTo>
                <a:pt x="0" y="385983"/>
              </a:lnTo>
              <a:lnTo>
                <a:pt x="36259" y="385983"/>
              </a:lnTo>
              <a:lnTo>
                <a:pt x="323992" y="88368"/>
              </a:lnTo>
              <a:lnTo>
                <a:pt x="370441" y="40324"/>
              </a:lnTo>
              <a:lnTo>
                <a:pt x="373168" y="37504"/>
              </a:lnTo>
              <a:lnTo>
                <a:pt x="373168" y="0"/>
              </a:lnTo>
              <a:lnTo>
                <a:pt x="369295" y="40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0.09022</cdr:x>
      <cdr:y>0.35996</cdr:y>
    </cdr:from>
    <cdr:to>
      <cdr:x>0.14355</cdr:x>
      <cdr:y>0.408</cdr:y>
    </cdr:to>
    <cdr:sp macro="" textlink="">
      <cdr:nvSpPr>
        <cdr:cNvPr id="357" name="FracNo 399 StartRow 3496">
          <a:extLst xmlns:a="http://schemas.openxmlformats.org/drawingml/2006/main">
            <a:ext uri="{FF2B5EF4-FFF2-40B4-BE49-F238E27FC236}">
              <a16:creationId xmlns:a16="http://schemas.microsoft.com/office/drawing/2014/main" id="{5C0815BB-3473-9AA4-2A6D-882D21C0D8C7}"/>
            </a:ext>
          </a:extLst>
        </cdr:cNvPr>
        <cdr:cNvSpPr/>
      </cdr:nvSpPr>
      <cdr:spPr>
        <a:xfrm xmlns:a="http://schemas.openxmlformats.org/drawingml/2006/main">
          <a:off x="660002" y="2742929"/>
          <a:ext cx="390108" cy="366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108" h="366001">
              <a:moveTo>
                <a:pt x="255367" y="226632"/>
              </a:moveTo>
              <a:lnTo>
                <a:pt x="85898" y="51344"/>
              </a:lnTo>
              <a:lnTo>
                <a:pt x="36259" y="0"/>
              </a:lnTo>
              <a:lnTo>
                <a:pt x="0" y="0"/>
              </a:lnTo>
              <a:lnTo>
                <a:pt x="53905" y="55756"/>
              </a:lnTo>
              <a:lnTo>
                <a:pt x="220997" y="228587"/>
              </a:lnTo>
              <a:lnTo>
                <a:pt x="353849" y="366000"/>
              </a:lnTo>
              <a:lnTo>
                <a:pt x="390107" y="3660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0.09328</cdr:x>
      <cdr:y>0.35693</cdr:y>
    </cdr:from>
    <cdr:to>
      <cdr:x>0.1466</cdr:x>
      <cdr:y>0.40497</cdr:y>
    </cdr:to>
    <cdr:sp macro="" textlink="">
      <cdr:nvSpPr>
        <cdr:cNvPr id="358" name="FracNo 1045 StartRow 3507">
          <a:extLst xmlns:a="http://schemas.openxmlformats.org/drawingml/2006/main">
            <a:ext uri="{FF2B5EF4-FFF2-40B4-BE49-F238E27FC236}">
              <a16:creationId xmlns:a16="http://schemas.microsoft.com/office/drawing/2014/main" id="{E31221E5-4832-A9B1-A55F-FD9B49C3FDD4}"/>
            </a:ext>
          </a:extLst>
        </cdr:cNvPr>
        <cdr:cNvSpPr/>
      </cdr:nvSpPr>
      <cdr:spPr>
        <a:xfrm xmlns:a="http://schemas.openxmlformats.org/drawingml/2006/main">
          <a:off x="682327" y="2719838"/>
          <a:ext cx="390108" cy="366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108" h="366002">
              <a:moveTo>
                <a:pt x="118629" y="85199"/>
              </a:moveTo>
              <a:lnTo>
                <a:pt x="102847" y="68876"/>
              </a:lnTo>
              <a:lnTo>
                <a:pt x="36258" y="0"/>
              </a:lnTo>
              <a:lnTo>
                <a:pt x="0" y="0"/>
              </a:lnTo>
              <a:lnTo>
                <a:pt x="81604" y="84406"/>
              </a:lnTo>
              <a:lnTo>
                <a:pt x="96560" y="99876"/>
              </a:lnTo>
              <a:lnTo>
                <a:pt x="353848" y="366001"/>
              </a:lnTo>
              <a:lnTo>
                <a:pt x="390107" y="366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0.56362</cdr:x>
      <cdr:y>0.52085</cdr:y>
    </cdr:from>
    <cdr:to>
      <cdr:x>0.61444</cdr:x>
      <cdr:y>0.57131</cdr:y>
    </cdr:to>
    <cdr:sp macro="" textlink="">
      <cdr:nvSpPr>
        <cdr:cNvPr id="359" name="FracNo 670 StartRow 3518">
          <a:extLst xmlns:a="http://schemas.openxmlformats.org/drawingml/2006/main">
            <a:ext uri="{FF2B5EF4-FFF2-40B4-BE49-F238E27FC236}">
              <a16:creationId xmlns:a16="http://schemas.microsoft.com/office/drawing/2014/main" id="{195FAE13-F7A0-1B3A-7189-C9CFC01D7C0B}"/>
            </a:ext>
          </a:extLst>
        </cdr:cNvPr>
        <cdr:cNvSpPr/>
      </cdr:nvSpPr>
      <cdr:spPr>
        <a:xfrm xmlns:a="http://schemas.openxmlformats.org/drawingml/2006/main">
          <a:off x="4122961" y="3968886"/>
          <a:ext cx="371762" cy="384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762" h="384528">
              <a:moveTo>
                <a:pt x="132822" y="284647"/>
              </a:moveTo>
              <a:lnTo>
                <a:pt x="36258" y="384527"/>
              </a:lnTo>
              <a:lnTo>
                <a:pt x="0" y="384527"/>
              </a:lnTo>
              <a:lnTo>
                <a:pt x="107000" y="273853"/>
              </a:lnTo>
              <a:lnTo>
                <a:pt x="371761" y="0"/>
              </a:lnTo>
              <a:lnTo>
                <a:pt x="371761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0.68365</cdr:x>
      <cdr:y>0.65683</cdr:y>
    </cdr:from>
    <cdr:to>
      <cdr:x>0.73309</cdr:x>
      <cdr:y>0.70838</cdr:y>
    </cdr:to>
    <cdr:sp macro="" textlink="">
      <cdr:nvSpPr>
        <cdr:cNvPr id="360" name="FracNo 115 StartRow 3527">
          <a:extLst xmlns:a="http://schemas.openxmlformats.org/drawingml/2006/main">
            <a:ext uri="{FF2B5EF4-FFF2-40B4-BE49-F238E27FC236}">
              <a16:creationId xmlns:a16="http://schemas.microsoft.com/office/drawing/2014/main" id="{387ECD25-A20A-12B1-F442-F13E24B92600}"/>
            </a:ext>
          </a:extLst>
        </cdr:cNvPr>
        <cdr:cNvSpPr/>
      </cdr:nvSpPr>
      <cdr:spPr>
        <a:xfrm xmlns:a="http://schemas.openxmlformats.org/drawingml/2006/main">
          <a:off x="5001049" y="5005067"/>
          <a:ext cx="361642" cy="392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642" h="392814">
              <a:moveTo>
                <a:pt x="146996" y="259521"/>
              </a:moveTo>
              <a:lnTo>
                <a:pt x="18129" y="392813"/>
              </a:lnTo>
              <a:lnTo>
                <a:pt x="0" y="374061"/>
              </a:lnTo>
              <a:lnTo>
                <a:pt x="135668" y="233734"/>
              </a:lnTo>
              <a:lnTo>
                <a:pt x="361641" y="0"/>
              </a:lnTo>
              <a:lnTo>
                <a:pt x="36164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0.79805</cdr:x>
      <cdr:y>0.54203</cdr:y>
    </cdr:from>
    <cdr:to>
      <cdr:x>0.84869</cdr:x>
      <cdr:y>0.59232</cdr:y>
    </cdr:to>
    <cdr:sp macro="" textlink="">
      <cdr:nvSpPr>
        <cdr:cNvPr id="361" name="FracNo 753 StartRow 3536">
          <a:extLst xmlns:a="http://schemas.openxmlformats.org/drawingml/2006/main">
            <a:ext uri="{FF2B5EF4-FFF2-40B4-BE49-F238E27FC236}">
              <a16:creationId xmlns:a16="http://schemas.microsoft.com/office/drawing/2014/main" id="{EDBBE399-7915-7B1A-503C-9A5BA8013CB8}"/>
            </a:ext>
          </a:extLst>
        </cdr:cNvPr>
        <cdr:cNvSpPr/>
      </cdr:nvSpPr>
      <cdr:spPr>
        <a:xfrm xmlns:a="http://schemas.openxmlformats.org/drawingml/2006/main">
          <a:off x="5837872" y="4130299"/>
          <a:ext cx="370434" cy="383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434" h="383156">
              <a:moveTo>
                <a:pt x="121934" y="257033"/>
              </a:moveTo>
              <a:lnTo>
                <a:pt x="0" y="383155"/>
              </a:lnTo>
              <a:lnTo>
                <a:pt x="0" y="345652"/>
              </a:lnTo>
              <a:lnTo>
                <a:pt x="109999" y="231874"/>
              </a:lnTo>
              <a:lnTo>
                <a:pt x="334175" y="0"/>
              </a:lnTo>
              <a:lnTo>
                <a:pt x="3704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0.50972</cdr:x>
      <cdr:y>0.33085</cdr:y>
    </cdr:from>
    <cdr:to>
      <cdr:x>0.56275</cdr:x>
      <cdr:y>0.37859</cdr:y>
    </cdr:to>
    <cdr:sp macro="" textlink="">
      <cdr:nvSpPr>
        <cdr:cNvPr id="362" name="FracNo 229 StartRow 3545">
          <a:extLst xmlns:a="http://schemas.openxmlformats.org/drawingml/2006/main">
            <a:ext uri="{FF2B5EF4-FFF2-40B4-BE49-F238E27FC236}">
              <a16:creationId xmlns:a16="http://schemas.microsoft.com/office/drawing/2014/main" id="{CA789AE7-BD90-9EF2-DA31-AE5AF314022C}"/>
            </a:ext>
          </a:extLst>
        </cdr:cNvPr>
        <cdr:cNvSpPr/>
      </cdr:nvSpPr>
      <cdr:spPr>
        <a:xfrm xmlns:a="http://schemas.openxmlformats.org/drawingml/2006/main">
          <a:off x="3728688" y="2521059"/>
          <a:ext cx="387954" cy="363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954" h="363773">
              <a:moveTo>
                <a:pt x="200749" y="207643"/>
              </a:moveTo>
              <a:lnTo>
                <a:pt x="0" y="0"/>
              </a:lnTo>
              <a:lnTo>
                <a:pt x="36259" y="0"/>
              </a:lnTo>
              <a:lnTo>
                <a:pt x="229598" y="199979"/>
              </a:lnTo>
              <a:lnTo>
                <a:pt x="297527" y="270241"/>
              </a:lnTo>
              <a:lnTo>
                <a:pt x="387953" y="363772"/>
              </a:lnTo>
              <a:lnTo>
                <a:pt x="351694" y="363772"/>
              </a:lnTo>
              <a:lnTo>
                <a:pt x="271283" y="2805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0.74638</cdr:x>
      <cdr:y>0.20664</cdr:y>
    </cdr:from>
    <cdr:to>
      <cdr:x>0.79444</cdr:x>
      <cdr:y>0.25928</cdr:y>
    </cdr:to>
    <cdr:sp macro="" textlink="">
      <cdr:nvSpPr>
        <cdr:cNvPr id="363" name="FracNo 849 StartRow 3556">
          <a:extLst xmlns:a="http://schemas.openxmlformats.org/drawingml/2006/main">
            <a:ext uri="{FF2B5EF4-FFF2-40B4-BE49-F238E27FC236}">
              <a16:creationId xmlns:a16="http://schemas.microsoft.com/office/drawing/2014/main" id="{E6FD0A11-3F9A-E40A-34F1-0B1718FA68C1}"/>
            </a:ext>
          </a:extLst>
        </cdr:cNvPr>
        <cdr:cNvSpPr/>
      </cdr:nvSpPr>
      <cdr:spPr>
        <a:xfrm xmlns:a="http://schemas.openxmlformats.org/drawingml/2006/main">
          <a:off x="5459926" y="1574572"/>
          <a:ext cx="351587" cy="401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587" h="401165">
              <a:moveTo>
                <a:pt x="52258" y="347112"/>
              </a:moveTo>
              <a:lnTo>
                <a:pt x="0" y="401164"/>
              </a:lnTo>
              <a:lnTo>
                <a:pt x="0" y="363660"/>
              </a:lnTo>
              <a:lnTo>
                <a:pt x="52258" y="309608"/>
              </a:lnTo>
              <a:lnTo>
                <a:pt x="351586" y="0"/>
              </a:lnTo>
              <a:lnTo>
                <a:pt x="35158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0.22096</cdr:x>
      <cdr:y>0.86693</cdr:y>
    </cdr:from>
    <cdr:to>
      <cdr:x>0.27144</cdr:x>
      <cdr:y>0.91705</cdr:y>
    </cdr:to>
    <cdr:sp macro="" textlink="">
      <cdr:nvSpPr>
        <cdr:cNvPr id="364" name="FracNo 62 StartRow 3565">
          <a:extLst xmlns:a="http://schemas.openxmlformats.org/drawingml/2006/main">
            <a:ext uri="{FF2B5EF4-FFF2-40B4-BE49-F238E27FC236}">
              <a16:creationId xmlns:a16="http://schemas.microsoft.com/office/drawing/2014/main" id="{D7E04024-DCD4-3857-573F-C89002D1EBDF}"/>
            </a:ext>
          </a:extLst>
        </cdr:cNvPr>
        <cdr:cNvSpPr/>
      </cdr:nvSpPr>
      <cdr:spPr>
        <a:xfrm xmlns:a="http://schemas.openxmlformats.org/drawingml/2006/main">
          <a:off x="1616368" y="6605980"/>
          <a:ext cx="369279" cy="381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279" h="381961">
              <a:moveTo>
                <a:pt x="183704" y="190014"/>
              </a:moveTo>
              <a:lnTo>
                <a:pt x="0" y="0"/>
              </a:lnTo>
              <a:lnTo>
                <a:pt x="0" y="37504"/>
              </a:lnTo>
              <a:lnTo>
                <a:pt x="165667" y="208860"/>
              </a:lnTo>
              <a:lnTo>
                <a:pt x="333020" y="381960"/>
              </a:lnTo>
              <a:lnTo>
                <a:pt x="369278" y="3819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</cdr:x>
      <cdr:y>0.86292</cdr:y>
    </cdr:from>
    <cdr:to>
      <cdr:x>0.27548</cdr:x>
      <cdr:y>0.91304</cdr:y>
    </cdr:to>
    <cdr:sp macro="" textlink="">
      <cdr:nvSpPr>
        <cdr:cNvPr id="365" name="FracNo 72 StartRow 3574">
          <a:extLst xmlns:a="http://schemas.openxmlformats.org/drawingml/2006/main">
            <a:ext uri="{FF2B5EF4-FFF2-40B4-BE49-F238E27FC236}">
              <a16:creationId xmlns:a16="http://schemas.microsoft.com/office/drawing/2014/main" id="{59EF6245-7A84-C7A2-0296-589F66C221C6}"/>
            </a:ext>
          </a:extLst>
        </cdr:cNvPr>
        <cdr:cNvSpPr/>
      </cdr:nvSpPr>
      <cdr:spPr>
        <a:xfrm xmlns:a="http://schemas.openxmlformats.org/drawingml/2006/main">
          <a:off x="1645908" y="6575426"/>
          <a:ext cx="369279" cy="3819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279" h="381960">
              <a:moveTo>
                <a:pt x="260082" y="269014"/>
              </a:moveTo>
              <a:lnTo>
                <a:pt x="0" y="0"/>
              </a:lnTo>
              <a:lnTo>
                <a:pt x="36259" y="0"/>
              </a:lnTo>
              <a:lnTo>
                <a:pt x="270804" y="242600"/>
              </a:lnTo>
              <a:lnTo>
                <a:pt x="369278" y="344455"/>
              </a:lnTo>
              <a:lnTo>
                <a:pt x="369278" y="3819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0.2099</cdr:x>
      <cdr:y>0.87791</cdr:y>
    </cdr:from>
    <cdr:to>
      <cdr:x>0.26038</cdr:x>
      <cdr:y>0.92803</cdr:y>
    </cdr:to>
    <cdr:sp macro="" textlink="">
      <cdr:nvSpPr>
        <cdr:cNvPr id="366" name="FracNo 63 StartRow 3583">
          <a:extLst xmlns:a="http://schemas.openxmlformats.org/drawingml/2006/main">
            <a:ext uri="{FF2B5EF4-FFF2-40B4-BE49-F238E27FC236}">
              <a16:creationId xmlns:a16="http://schemas.microsoft.com/office/drawing/2014/main" id="{4D7FE7B0-F9C4-252C-2BE6-83A7F84C0036}"/>
            </a:ext>
          </a:extLst>
        </cdr:cNvPr>
        <cdr:cNvSpPr/>
      </cdr:nvSpPr>
      <cdr:spPr>
        <a:xfrm xmlns:a="http://schemas.openxmlformats.org/drawingml/2006/main">
          <a:off x="1535481" y="6689645"/>
          <a:ext cx="369279" cy="381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279" h="381962">
              <a:moveTo>
                <a:pt x="281139" y="290794"/>
              </a:moveTo>
              <a:lnTo>
                <a:pt x="0" y="0"/>
              </a:lnTo>
              <a:lnTo>
                <a:pt x="0" y="37504"/>
              </a:lnTo>
              <a:lnTo>
                <a:pt x="253534" y="299745"/>
              </a:lnTo>
              <a:lnTo>
                <a:pt x="333019" y="381961"/>
              </a:lnTo>
              <a:lnTo>
                <a:pt x="369278" y="3819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0.41091</cdr:y>
    </cdr:from>
    <cdr:to>
      <cdr:x>0.14221</cdr:x>
      <cdr:y>0.46095</cdr:y>
    </cdr:to>
    <cdr:sp macro="" textlink="">
      <cdr:nvSpPr>
        <cdr:cNvPr id="367" name="FracNo 1081 StartRow 3592">
          <a:extLst xmlns:a="http://schemas.openxmlformats.org/drawingml/2006/main">
            <a:ext uri="{FF2B5EF4-FFF2-40B4-BE49-F238E27FC236}">
              <a16:creationId xmlns:a16="http://schemas.microsoft.com/office/drawing/2014/main" id="{47AE65FA-1BA9-1437-FF4E-72D6E0F80983}"/>
            </a:ext>
          </a:extLst>
        </cdr:cNvPr>
        <cdr:cNvSpPr/>
      </cdr:nvSpPr>
      <cdr:spPr>
        <a:xfrm xmlns:a="http://schemas.openxmlformats.org/drawingml/2006/main">
          <a:off x="671676" y="3131148"/>
          <a:ext cx="368603" cy="381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603" h="381261">
              <a:moveTo>
                <a:pt x="66656" y="68945"/>
              </a:moveTo>
              <a:lnTo>
                <a:pt x="0" y="0"/>
              </a:lnTo>
              <a:lnTo>
                <a:pt x="0" y="37503"/>
              </a:lnTo>
              <a:lnTo>
                <a:pt x="60099" y="99667"/>
              </a:lnTo>
              <a:lnTo>
                <a:pt x="332343" y="381260"/>
              </a:lnTo>
              <a:lnTo>
                <a:pt x="368602" y="3812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0.61249</cdr:y>
    </cdr:from>
    <cdr:to>
      <cdr:x>0.1393</cdr:x>
      <cdr:y>0.66456</cdr:y>
    </cdr:to>
    <cdr:sp macro="" textlink="">
      <cdr:nvSpPr>
        <cdr:cNvPr id="368" name="FracNo 1165 StartRow 3601">
          <a:extLst xmlns:a="http://schemas.openxmlformats.org/drawingml/2006/main">
            <a:ext uri="{FF2B5EF4-FFF2-40B4-BE49-F238E27FC236}">
              <a16:creationId xmlns:a16="http://schemas.microsoft.com/office/drawing/2014/main" id="{AE694366-5C51-4829-DC36-3CF685BDC278}"/>
            </a:ext>
          </a:extLst>
        </cdr:cNvPr>
        <cdr:cNvSpPr/>
      </cdr:nvSpPr>
      <cdr:spPr>
        <a:xfrm xmlns:a="http://schemas.openxmlformats.org/drawingml/2006/main">
          <a:off x="671676" y="4667165"/>
          <a:ext cx="347337" cy="39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337" h="396770">
              <a:moveTo>
                <a:pt x="115735" y="239555"/>
              </a:moveTo>
              <a:lnTo>
                <a:pt x="92441" y="263649"/>
              </a:lnTo>
              <a:lnTo>
                <a:pt x="0" y="359265"/>
              </a:lnTo>
              <a:lnTo>
                <a:pt x="0" y="396769"/>
              </a:lnTo>
              <a:lnTo>
                <a:pt x="107222" y="285865"/>
              </a:lnTo>
              <a:lnTo>
                <a:pt x="129165" y="263168"/>
              </a:lnTo>
              <a:lnTo>
                <a:pt x="347336" y="37504"/>
              </a:lnTo>
              <a:lnTo>
                <a:pt x="3473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0.73529</cdr:x>
      <cdr:y>0.38872</cdr:y>
    </cdr:from>
    <cdr:to>
      <cdr:x>0.78393</cdr:x>
      <cdr:y>0.43947</cdr:y>
    </cdr:to>
    <cdr:sp macro="" textlink="">
      <cdr:nvSpPr>
        <cdr:cNvPr id="369" name="FracNo 625 StartRow 3612">
          <a:extLst xmlns:a="http://schemas.openxmlformats.org/drawingml/2006/main">
            <a:ext uri="{FF2B5EF4-FFF2-40B4-BE49-F238E27FC236}">
              <a16:creationId xmlns:a16="http://schemas.microsoft.com/office/drawing/2014/main" id="{A4735A4E-0231-DECA-3C84-A01855C8A02C}"/>
            </a:ext>
          </a:extLst>
        </cdr:cNvPr>
        <cdr:cNvSpPr/>
      </cdr:nvSpPr>
      <cdr:spPr>
        <a:xfrm xmlns:a="http://schemas.openxmlformats.org/drawingml/2006/main">
          <a:off x="5378819" y="2962015"/>
          <a:ext cx="355793" cy="386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793" h="386763">
              <a:moveTo>
                <a:pt x="3675" y="22552"/>
              </a:moveTo>
              <a:lnTo>
                <a:pt x="0" y="18751"/>
              </a:lnTo>
              <a:lnTo>
                <a:pt x="18129" y="0"/>
              </a:lnTo>
              <a:lnTo>
                <a:pt x="21616" y="3606"/>
              </a:lnTo>
              <a:lnTo>
                <a:pt x="355792" y="349258"/>
              </a:lnTo>
              <a:lnTo>
                <a:pt x="355792" y="3867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0.42876</cdr:x>
      <cdr:y>0.8514</cdr:y>
    </cdr:from>
    <cdr:to>
      <cdr:x>0.47988</cdr:x>
      <cdr:y>0.89969</cdr:y>
    </cdr:to>
    <cdr:sp macro="" textlink="">
      <cdr:nvSpPr>
        <cdr:cNvPr id="370" name="FracNo 768 StartRow 3621">
          <a:extLst xmlns:a="http://schemas.openxmlformats.org/drawingml/2006/main">
            <a:ext uri="{FF2B5EF4-FFF2-40B4-BE49-F238E27FC236}">
              <a16:creationId xmlns:a16="http://schemas.microsoft.com/office/drawing/2014/main" id="{040DD8EA-59FE-32F1-9706-7F3E7C3B2044}"/>
            </a:ext>
          </a:extLst>
        </cdr:cNvPr>
        <cdr:cNvSpPr/>
      </cdr:nvSpPr>
      <cdr:spPr>
        <a:xfrm xmlns:a="http://schemas.openxmlformats.org/drawingml/2006/main">
          <a:off x="3136501" y="6487687"/>
          <a:ext cx="373887" cy="367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887" h="367975">
              <a:moveTo>
                <a:pt x="206635" y="176226"/>
              </a:moveTo>
              <a:lnTo>
                <a:pt x="36259" y="0"/>
              </a:lnTo>
              <a:lnTo>
                <a:pt x="0" y="0"/>
              </a:lnTo>
              <a:lnTo>
                <a:pt x="179525" y="185689"/>
              </a:lnTo>
              <a:lnTo>
                <a:pt x="355757" y="367974"/>
              </a:lnTo>
              <a:lnTo>
                <a:pt x="373886" y="3492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0.24509</cdr:x>
      <cdr:y>0.77452</cdr:y>
    </cdr:from>
    <cdr:to>
      <cdr:x>0.29494</cdr:x>
      <cdr:y>0.82402</cdr:y>
    </cdr:to>
    <cdr:sp macro="" textlink="">
      <cdr:nvSpPr>
        <cdr:cNvPr id="371" name="FracNo 925 StartRow 3630">
          <a:extLst xmlns:a="http://schemas.openxmlformats.org/drawingml/2006/main">
            <a:ext uri="{FF2B5EF4-FFF2-40B4-BE49-F238E27FC236}">
              <a16:creationId xmlns:a16="http://schemas.microsoft.com/office/drawing/2014/main" id="{CD56D3FB-4AE5-19DA-AEF7-D46A205045B2}"/>
            </a:ext>
          </a:extLst>
        </cdr:cNvPr>
        <cdr:cNvSpPr/>
      </cdr:nvSpPr>
      <cdr:spPr>
        <a:xfrm xmlns:a="http://schemas.openxmlformats.org/drawingml/2006/main">
          <a:off x="1792893" y="5901823"/>
          <a:ext cx="364688" cy="377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688" h="377213">
              <a:moveTo>
                <a:pt x="258244" y="72596"/>
              </a:moveTo>
              <a:lnTo>
                <a:pt x="0" y="339708"/>
              </a:lnTo>
              <a:lnTo>
                <a:pt x="0" y="377212"/>
              </a:lnTo>
              <a:lnTo>
                <a:pt x="286754" y="80610"/>
              </a:lnTo>
              <a:lnTo>
                <a:pt x="364687" y="0"/>
              </a:lnTo>
              <a:lnTo>
                <a:pt x="3284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0.30601</cdr:x>
      <cdr:y>0.3571</cdr:y>
    </cdr:from>
    <cdr:to>
      <cdr:x>0.35709</cdr:x>
      <cdr:y>0.40537</cdr:y>
    </cdr:to>
    <cdr:sp macro="" textlink="">
      <cdr:nvSpPr>
        <cdr:cNvPr id="372" name="FracNo 385 StartRow 3639">
          <a:extLst xmlns:a="http://schemas.openxmlformats.org/drawingml/2006/main">
            <a:ext uri="{FF2B5EF4-FFF2-40B4-BE49-F238E27FC236}">
              <a16:creationId xmlns:a16="http://schemas.microsoft.com/office/drawing/2014/main" id="{6867641F-29EA-5FF0-9418-B7502737D896}"/>
            </a:ext>
          </a:extLst>
        </cdr:cNvPr>
        <cdr:cNvSpPr/>
      </cdr:nvSpPr>
      <cdr:spPr>
        <a:xfrm xmlns:a="http://schemas.openxmlformats.org/drawingml/2006/main">
          <a:off x="2238506" y="2721125"/>
          <a:ext cx="373704" cy="367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704" h="367786">
              <a:moveTo>
                <a:pt x="252507" y="261179"/>
              </a:moveTo>
              <a:lnTo>
                <a:pt x="75539" y="78133"/>
              </a:lnTo>
              <a:lnTo>
                <a:pt x="0" y="0"/>
              </a:lnTo>
              <a:lnTo>
                <a:pt x="36258" y="0"/>
              </a:lnTo>
              <a:lnTo>
                <a:pt x="106424" y="72575"/>
              </a:lnTo>
              <a:lnTo>
                <a:pt x="275331" y="247282"/>
              </a:lnTo>
              <a:lnTo>
                <a:pt x="373703" y="349033"/>
              </a:lnTo>
              <a:lnTo>
                <a:pt x="355574" y="3677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0.74882</cdr:x>
      <cdr:y>0.36517</cdr:y>
    </cdr:from>
    <cdr:to>
      <cdr:x>0.80112</cdr:x>
      <cdr:y>0.41218</cdr:y>
    </cdr:to>
    <cdr:sp macro="" textlink="">
      <cdr:nvSpPr>
        <cdr:cNvPr id="373" name="FracNo 915 StartRow 3650">
          <a:extLst xmlns:a="http://schemas.openxmlformats.org/drawingml/2006/main">
            <a:ext uri="{FF2B5EF4-FFF2-40B4-BE49-F238E27FC236}">
              <a16:creationId xmlns:a16="http://schemas.microsoft.com/office/drawing/2014/main" id="{4FACEABB-B972-48F8-E03A-CECF62762A89}"/>
            </a:ext>
          </a:extLst>
        </cdr:cNvPr>
        <cdr:cNvSpPr/>
      </cdr:nvSpPr>
      <cdr:spPr>
        <a:xfrm xmlns:a="http://schemas.openxmlformats.org/drawingml/2006/main">
          <a:off x="5477781" y="2782571"/>
          <a:ext cx="382594" cy="358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594" h="358229">
              <a:moveTo>
                <a:pt x="263827" y="272888"/>
              </a:moveTo>
              <a:lnTo>
                <a:pt x="13908" y="14386"/>
              </a:lnTo>
              <a:lnTo>
                <a:pt x="0" y="0"/>
              </a:lnTo>
              <a:lnTo>
                <a:pt x="36258" y="0"/>
              </a:lnTo>
              <a:lnTo>
                <a:pt x="49242" y="13430"/>
              </a:lnTo>
              <a:lnTo>
                <a:pt x="299856" y="272650"/>
              </a:lnTo>
              <a:lnTo>
                <a:pt x="382593" y="358228"/>
              </a:lnTo>
              <a:lnTo>
                <a:pt x="346334" y="3582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0.78149</cdr:x>
      <cdr:y>0.33273</cdr:y>
    </cdr:from>
    <cdr:to>
      <cdr:x>0.82883</cdr:x>
      <cdr:y>0.38467</cdr:y>
    </cdr:to>
    <cdr:sp macro="" textlink="">
      <cdr:nvSpPr>
        <cdr:cNvPr id="374" name="FracNo 1115 StartRow 3661">
          <a:extLst xmlns:a="http://schemas.openxmlformats.org/drawingml/2006/main">
            <a:ext uri="{FF2B5EF4-FFF2-40B4-BE49-F238E27FC236}">
              <a16:creationId xmlns:a16="http://schemas.microsoft.com/office/drawing/2014/main" id="{97680D5C-A2EB-144D-CE52-B8CE018ACE46}"/>
            </a:ext>
          </a:extLst>
        </cdr:cNvPr>
        <cdr:cNvSpPr/>
      </cdr:nvSpPr>
      <cdr:spPr>
        <a:xfrm xmlns:a="http://schemas.openxmlformats.org/drawingml/2006/main">
          <a:off x="5716726" y="2535420"/>
          <a:ext cx="346335" cy="39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335" h="395733">
              <a:moveTo>
                <a:pt x="45164" y="46715"/>
              </a:moveTo>
              <a:lnTo>
                <a:pt x="0" y="0"/>
              </a:lnTo>
              <a:lnTo>
                <a:pt x="0" y="37504"/>
              </a:lnTo>
              <a:lnTo>
                <a:pt x="43885" y="82896"/>
              </a:lnTo>
              <a:lnTo>
                <a:pt x="230896" y="276329"/>
              </a:lnTo>
              <a:lnTo>
                <a:pt x="346334" y="395732"/>
              </a:lnTo>
              <a:lnTo>
                <a:pt x="346334" y="358228"/>
              </a:lnTo>
              <a:lnTo>
                <a:pt x="237628" y="245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0.75959</cdr:x>
      <cdr:y>0.35448</cdr:y>
    </cdr:from>
    <cdr:to>
      <cdr:x>0.80693</cdr:x>
      <cdr:y>0.40641</cdr:y>
    </cdr:to>
    <cdr:sp macro="" textlink="">
      <cdr:nvSpPr>
        <cdr:cNvPr id="375" name="FracNo 1090 StartRow 3672">
          <a:extLst xmlns:a="http://schemas.openxmlformats.org/drawingml/2006/main">
            <a:ext uri="{FF2B5EF4-FFF2-40B4-BE49-F238E27FC236}">
              <a16:creationId xmlns:a16="http://schemas.microsoft.com/office/drawing/2014/main" id="{C234D291-CF24-CB7F-DEEA-86F49D2C9626}"/>
            </a:ext>
          </a:extLst>
        </cdr:cNvPr>
        <cdr:cNvSpPr/>
      </cdr:nvSpPr>
      <cdr:spPr>
        <a:xfrm xmlns:a="http://schemas.openxmlformats.org/drawingml/2006/main">
          <a:off x="5556522" y="2701125"/>
          <a:ext cx="346336" cy="39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336" h="395733">
              <a:moveTo>
                <a:pt x="76973" y="79617"/>
              </a:moveTo>
              <a:lnTo>
                <a:pt x="0" y="0"/>
              </a:lnTo>
              <a:lnTo>
                <a:pt x="0" y="37504"/>
              </a:lnTo>
              <a:lnTo>
                <a:pt x="60473" y="100054"/>
              </a:lnTo>
              <a:lnTo>
                <a:pt x="65168" y="104910"/>
              </a:lnTo>
              <a:lnTo>
                <a:pt x="346335" y="395732"/>
              </a:lnTo>
              <a:lnTo>
                <a:pt x="346335" y="358229"/>
              </a:lnTo>
              <a:lnTo>
                <a:pt x="82949" y="857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0.77018</cdr:x>
      <cdr:y>0.34396</cdr:y>
    </cdr:from>
    <cdr:to>
      <cdr:x>0.81752</cdr:x>
      <cdr:y>0.3959</cdr:y>
    </cdr:to>
    <cdr:sp macro="" textlink="">
      <cdr:nvSpPr>
        <cdr:cNvPr id="376" name="FracNo 1128 StartRow 3683">
          <a:extLst xmlns:a="http://schemas.openxmlformats.org/drawingml/2006/main">
            <a:ext uri="{FF2B5EF4-FFF2-40B4-BE49-F238E27FC236}">
              <a16:creationId xmlns:a16="http://schemas.microsoft.com/office/drawing/2014/main" id="{D793E489-8407-F223-D355-7334AEC12929}"/>
            </a:ext>
          </a:extLst>
        </cdr:cNvPr>
        <cdr:cNvSpPr/>
      </cdr:nvSpPr>
      <cdr:spPr>
        <a:xfrm xmlns:a="http://schemas.openxmlformats.org/drawingml/2006/main">
          <a:off x="5633992" y="2620996"/>
          <a:ext cx="346335" cy="395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335" h="395732">
              <a:moveTo>
                <a:pt x="315598" y="326436"/>
              </a:moveTo>
              <a:lnTo>
                <a:pt x="155889" y="161243"/>
              </a:lnTo>
              <a:lnTo>
                <a:pt x="0" y="0"/>
              </a:lnTo>
              <a:lnTo>
                <a:pt x="0" y="37503"/>
              </a:lnTo>
              <a:lnTo>
                <a:pt x="147165" y="189723"/>
              </a:lnTo>
              <a:lnTo>
                <a:pt x="314190" y="362483"/>
              </a:lnTo>
              <a:lnTo>
                <a:pt x="346334" y="395731"/>
              </a:lnTo>
              <a:lnTo>
                <a:pt x="346334" y="3582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</cdr:x>
      <cdr:y>0.72441</cdr:y>
    </cdr:from>
    <cdr:to>
      <cdr:x>0.20138</cdr:x>
      <cdr:y>0.77491</cdr:y>
    </cdr:to>
    <cdr:sp macro="" textlink="">
      <cdr:nvSpPr>
        <cdr:cNvPr id="377" name="FracNo 77 StartRow 3694">
          <a:extLst xmlns:a="http://schemas.openxmlformats.org/drawingml/2006/main">
            <a:ext uri="{FF2B5EF4-FFF2-40B4-BE49-F238E27FC236}">
              <a16:creationId xmlns:a16="http://schemas.microsoft.com/office/drawing/2014/main" id="{E5E49F11-D573-9896-72D7-1AB1DBFB07B4}"/>
            </a:ext>
          </a:extLst>
        </cdr:cNvPr>
        <cdr:cNvSpPr/>
      </cdr:nvSpPr>
      <cdr:spPr>
        <a:xfrm xmlns:a="http://schemas.openxmlformats.org/drawingml/2006/main">
          <a:off x="1119255" y="5520005"/>
          <a:ext cx="353901" cy="384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901" h="384806">
              <a:moveTo>
                <a:pt x="214952" y="241086"/>
              </a:moveTo>
              <a:lnTo>
                <a:pt x="0" y="18752"/>
              </a:lnTo>
              <a:lnTo>
                <a:pt x="18130" y="0"/>
              </a:lnTo>
              <a:lnTo>
                <a:pt x="222070" y="210944"/>
              </a:lnTo>
              <a:lnTo>
                <a:pt x="353900" y="347302"/>
              </a:lnTo>
              <a:lnTo>
                <a:pt x="353900" y="3848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0.37859</cdr:x>
      <cdr:y>0.7189</cdr:y>
    </cdr:from>
    <cdr:to>
      <cdr:x>0.42695</cdr:x>
      <cdr:y>0.76938</cdr:y>
    </cdr:to>
    <cdr:sp macro="" textlink="">
      <cdr:nvSpPr>
        <cdr:cNvPr id="378" name="FracNo 425 StartRow 3703">
          <a:extLst xmlns:a="http://schemas.openxmlformats.org/drawingml/2006/main">
            <a:ext uri="{FF2B5EF4-FFF2-40B4-BE49-F238E27FC236}">
              <a16:creationId xmlns:a16="http://schemas.microsoft.com/office/drawing/2014/main" id="{438D7D16-9598-EE44-3D90-8DF004EC54CB}"/>
            </a:ext>
          </a:extLst>
        </cdr:cNvPr>
        <cdr:cNvSpPr/>
      </cdr:nvSpPr>
      <cdr:spPr>
        <a:xfrm xmlns:a="http://schemas.openxmlformats.org/drawingml/2006/main">
          <a:off x="2769464" y="5478023"/>
          <a:ext cx="353767" cy="384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767" h="384668">
              <a:moveTo>
                <a:pt x="227639" y="149211"/>
              </a:moveTo>
              <a:lnTo>
                <a:pt x="0" y="384667"/>
              </a:lnTo>
              <a:lnTo>
                <a:pt x="0" y="347163"/>
              </a:lnTo>
              <a:lnTo>
                <a:pt x="215973" y="123774"/>
              </a:lnTo>
              <a:lnTo>
                <a:pt x="335637" y="0"/>
              </a:lnTo>
              <a:lnTo>
                <a:pt x="3537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0.12644</cdr:x>
      <cdr:y>0.7836</cdr:y>
    </cdr:from>
    <cdr:to>
      <cdr:x>0.17845</cdr:x>
      <cdr:y>0.83033</cdr:y>
    </cdr:to>
    <cdr:sp macro="" textlink="">
      <cdr:nvSpPr>
        <cdr:cNvPr id="379" name="FracNo 869 StartRow 3712">
          <a:extLst xmlns:a="http://schemas.openxmlformats.org/drawingml/2006/main">
            <a:ext uri="{FF2B5EF4-FFF2-40B4-BE49-F238E27FC236}">
              <a16:creationId xmlns:a16="http://schemas.microsoft.com/office/drawing/2014/main" id="{1FF18BE0-72D8-4B0A-E653-8E9543CB71E5}"/>
            </a:ext>
          </a:extLst>
        </cdr:cNvPr>
        <cdr:cNvSpPr/>
      </cdr:nvSpPr>
      <cdr:spPr>
        <a:xfrm xmlns:a="http://schemas.openxmlformats.org/drawingml/2006/main">
          <a:off x="924912" y="5971070"/>
          <a:ext cx="380475" cy="356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475" h="356038">
              <a:moveTo>
                <a:pt x="184419" y="190752"/>
              </a:moveTo>
              <a:lnTo>
                <a:pt x="0" y="0"/>
              </a:lnTo>
              <a:lnTo>
                <a:pt x="36259" y="0"/>
              </a:lnTo>
              <a:lnTo>
                <a:pt x="220677" y="190752"/>
              </a:lnTo>
              <a:lnTo>
                <a:pt x="380474" y="356037"/>
              </a:lnTo>
              <a:lnTo>
                <a:pt x="344216" y="3560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0.83574</cdr:x>
      <cdr:y>0.83571</cdr:y>
    </cdr:from>
    <cdr:to>
      <cdr:x>0.88278</cdr:x>
      <cdr:y>0.88734</cdr:y>
    </cdr:to>
    <cdr:sp macro="" textlink="">
      <cdr:nvSpPr>
        <cdr:cNvPr id="380" name="FracNo 1125 StartRow 3721">
          <a:extLst xmlns:a="http://schemas.openxmlformats.org/drawingml/2006/main">
            <a:ext uri="{FF2B5EF4-FFF2-40B4-BE49-F238E27FC236}">
              <a16:creationId xmlns:a16="http://schemas.microsoft.com/office/drawing/2014/main" id="{96184C65-A660-6AC1-4B8B-81641146F555}"/>
            </a:ext>
          </a:extLst>
        </cdr:cNvPr>
        <cdr:cNvSpPr/>
      </cdr:nvSpPr>
      <cdr:spPr>
        <a:xfrm xmlns:a="http://schemas.openxmlformats.org/drawingml/2006/main">
          <a:off x="6113584" y="6368091"/>
          <a:ext cx="344110" cy="3934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110" h="393431">
              <a:moveTo>
                <a:pt x="62211" y="291580"/>
              </a:moveTo>
              <a:lnTo>
                <a:pt x="0" y="355926"/>
              </a:lnTo>
              <a:lnTo>
                <a:pt x="0" y="393430"/>
              </a:lnTo>
              <a:lnTo>
                <a:pt x="62211" y="329083"/>
              </a:lnTo>
              <a:lnTo>
                <a:pt x="344109" y="37504"/>
              </a:lnTo>
              <a:lnTo>
                <a:pt x="3441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</cdr:x>
      <cdr:y>0.53632</cdr:y>
    </cdr:from>
    <cdr:to>
      <cdr:x>0.3689</cdr:x>
      <cdr:y>0.58537</cdr:y>
    </cdr:to>
    <cdr:sp macro="" textlink="">
      <cdr:nvSpPr>
        <cdr:cNvPr id="381" name="FracNo 354 StartRow 3730">
          <a:extLst xmlns:a="http://schemas.openxmlformats.org/drawingml/2006/main">
            <a:ext uri="{FF2B5EF4-FFF2-40B4-BE49-F238E27FC236}">
              <a16:creationId xmlns:a16="http://schemas.microsoft.com/office/drawing/2014/main" id="{3266C54F-AA18-BCAC-8A4A-7081511B404F}"/>
            </a:ext>
          </a:extLst>
        </cdr:cNvPr>
        <cdr:cNvSpPr/>
      </cdr:nvSpPr>
      <cdr:spPr>
        <a:xfrm xmlns:a="http://schemas.openxmlformats.org/drawingml/2006/main">
          <a:off x="2337219" y="4086759"/>
          <a:ext cx="361361" cy="373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361" h="373771">
              <a:moveTo>
                <a:pt x="178709" y="151420"/>
              </a:moveTo>
              <a:lnTo>
                <a:pt x="0" y="336266"/>
              </a:lnTo>
              <a:lnTo>
                <a:pt x="0" y="373770"/>
              </a:lnTo>
              <a:lnTo>
                <a:pt x="198641" y="168308"/>
              </a:lnTo>
              <a:lnTo>
                <a:pt x="361360" y="0"/>
              </a:lnTo>
              <a:lnTo>
                <a:pt x="3251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0.32306</cdr:x>
      <cdr:y>0.53985</cdr:y>
    </cdr:from>
    <cdr:to>
      <cdr:x>0.37246</cdr:x>
      <cdr:y>0.5889</cdr:y>
    </cdr:to>
    <cdr:sp macro="" textlink="">
      <cdr:nvSpPr>
        <cdr:cNvPr id="382" name="FracNo 1193 StartRow 3739">
          <a:extLst xmlns:a="http://schemas.openxmlformats.org/drawingml/2006/main">
            <a:ext uri="{FF2B5EF4-FFF2-40B4-BE49-F238E27FC236}">
              <a16:creationId xmlns:a16="http://schemas.microsoft.com/office/drawing/2014/main" id="{CE3A6AB5-1E3C-52A7-14D0-60CDFBB9583B}"/>
            </a:ext>
          </a:extLst>
        </cdr:cNvPr>
        <cdr:cNvSpPr/>
      </cdr:nvSpPr>
      <cdr:spPr>
        <a:xfrm xmlns:a="http://schemas.openxmlformats.org/drawingml/2006/main">
          <a:off x="2363246" y="4113680"/>
          <a:ext cx="361361" cy="373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361" h="373771">
              <a:moveTo>
                <a:pt x="75591" y="258079"/>
              </a:moveTo>
              <a:lnTo>
                <a:pt x="0" y="336266"/>
              </a:lnTo>
              <a:lnTo>
                <a:pt x="0" y="373770"/>
              </a:lnTo>
              <a:lnTo>
                <a:pt x="84022" y="286863"/>
              </a:lnTo>
              <a:lnTo>
                <a:pt x="361360" y="0"/>
              </a:lnTo>
              <a:lnTo>
                <a:pt x="3251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0.69187</cdr:x>
      <cdr:y>0.66235</cdr:y>
    </cdr:from>
    <cdr:to>
      <cdr:x>0.73865</cdr:x>
      <cdr:y>0.71372</cdr:y>
    </cdr:to>
    <cdr:sp macro="" textlink="">
      <cdr:nvSpPr>
        <cdr:cNvPr id="383" name="FracNo 722 StartRow 3748">
          <a:extLst xmlns:a="http://schemas.openxmlformats.org/drawingml/2006/main">
            <a:ext uri="{FF2B5EF4-FFF2-40B4-BE49-F238E27FC236}">
              <a16:creationId xmlns:a16="http://schemas.microsoft.com/office/drawing/2014/main" id="{56759A82-8809-2183-28EF-C0D22F7BAA4E}"/>
            </a:ext>
          </a:extLst>
        </cdr:cNvPr>
        <cdr:cNvSpPr/>
      </cdr:nvSpPr>
      <cdr:spPr>
        <a:xfrm xmlns:a="http://schemas.openxmlformats.org/drawingml/2006/main">
          <a:off x="5061189" y="5047119"/>
          <a:ext cx="342159" cy="391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159" h="391412">
              <a:moveTo>
                <a:pt x="174038" y="211396"/>
              </a:moveTo>
              <a:lnTo>
                <a:pt x="0" y="391411"/>
              </a:lnTo>
              <a:lnTo>
                <a:pt x="0" y="353908"/>
              </a:lnTo>
              <a:lnTo>
                <a:pt x="174038" y="173892"/>
              </a:lnTo>
              <a:lnTo>
                <a:pt x="342158" y="0"/>
              </a:lnTo>
              <a:lnTo>
                <a:pt x="34215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0.71314</cdr:x>
      <cdr:y>0.41219</cdr:y>
    </cdr:from>
    <cdr:to>
      <cdr:x>0.75979</cdr:x>
      <cdr:y>0.46344</cdr:y>
    </cdr:to>
    <cdr:sp macro="" textlink="">
      <cdr:nvSpPr>
        <cdr:cNvPr id="384" name="FracNo 833 StartRow 3757">
          <a:extLst xmlns:a="http://schemas.openxmlformats.org/drawingml/2006/main">
            <a:ext uri="{FF2B5EF4-FFF2-40B4-BE49-F238E27FC236}">
              <a16:creationId xmlns:a16="http://schemas.microsoft.com/office/drawing/2014/main" id="{BE3E11E3-9B31-B038-11A5-2260E18AE8F8}"/>
            </a:ext>
          </a:extLst>
        </cdr:cNvPr>
        <cdr:cNvSpPr/>
      </cdr:nvSpPr>
      <cdr:spPr>
        <a:xfrm xmlns:a="http://schemas.openxmlformats.org/drawingml/2006/main">
          <a:off x="5216726" y="3140894"/>
          <a:ext cx="341305" cy="390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305" h="390529">
              <a:moveTo>
                <a:pt x="238641" y="284339"/>
              </a:moveTo>
              <a:lnTo>
                <a:pt x="0" y="37503"/>
              </a:lnTo>
              <a:lnTo>
                <a:pt x="0" y="0"/>
              </a:lnTo>
              <a:lnTo>
                <a:pt x="238641" y="246835"/>
              </a:lnTo>
              <a:lnTo>
                <a:pt x="341304" y="353024"/>
              </a:lnTo>
              <a:lnTo>
                <a:pt x="341304" y="3905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0.48398</cdr:x>
      <cdr:y>0.70944</cdr:y>
    </cdr:from>
    <cdr:to>
      <cdr:x>0.53302</cdr:x>
      <cdr:y>0.75814</cdr:y>
    </cdr:to>
    <cdr:sp macro="" textlink="">
      <cdr:nvSpPr>
        <cdr:cNvPr id="385" name="FracNo 471 StartRow 3766">
          <a:extLst xmlns:a="http://schemas.openxmlformats.org/drawingml/2006/main">
            <a:ext uri="{FF2B5EF4-FFF2-40B4-BE49-F238E27FC236}">
              <a16:creationId xmlns:a16="http://schemas.microsoft.com/office/drawing/2014/main" id="{F5098757-40AA-4D50-8A1C-053A1A8321E7}"/>
            </a:ext>
          </a:extLst>
        </cdr:cNvPr>
        <cdr:cNvSpPr/>
      </cdr:nvSpPr>
      <cdr:spPr>
        <a:xfrm xmlns:a="http://schemas.openxmlformats.org/drawingml/2006/main">
          <a:off x="3540380" y="5405921"/>
          <a:ext cx="358771" cy="3710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71" h="371092">
              <a:moveTo>
                <a:pt x="319879" y="293361"/>
              </a:moveTo>
              <a:lnTo>
                <a:pt x="36258" y="0"/>
              </a:lnTo>
              <a:lnTo>
                <a:pt x="0" y="0"/>
              </a:lnTo>
              <a:lnTo>
                <a:pt x="315507" y="326342"/>
              </a:lnTo>
              <a:lnTo>
                <a:pt x="358770" y="371091"/>
              </a:lnTo>
              <a:lnTo>
                <a:pt x="358770" y="3335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0.43609</cdr:x>
      <cdr:y>0.71001</cdr:y>
    </cdr:from>
    <cdr:to>
      <cdr:x>0.48512</cdr:x>
      <cdr:y>0.7587</cdr:y>
    </cdr:to>
    <cdr:sp macro="" textlink="">
      <cdr:nvSpPr>
        <cdr:cNvPr id="386" name="FracNo 1120 StartRow 3775">
          <a:extLst xmlns:a="http://schemas.openxmlformats.org/drawingml/2006/main">
            <a:ext uri="{FF2B5EF4-FFF2-40B4-BE49-F238E27FC236}">
              <a16:creationId xmlns:a16="http://schemas.microsoft.com/office/drawing/2014/main" id="{9758BB50-8328-5AAD-3B53-80F48B0B976B}"/>
            </a:ext>
          </a:extLst>
        </cdr:cNvPr>
        <cdr:cNvSpPr/>
      </cdr:nvSpPr>
      <cdr:spPr>
        <a:xfrm xmlns:a="http://schemas.openxmlformats.org/drawingml/2006/main">
          <a:off x="3190078" y="5410283"/>
          <a:ext cx="358662" cy="370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662" h="370979">
              <a:moveTo>
                <a:pt x="259682" y="231096"/>
              </a:moveTo>
              <a:lnTo>
                <a:pt x="36258" y="0"/>
              </a:lnTo>
              <a:lnTo>
                <a:pt x="0" y="0"/>
              </a:lnTo>
              <a:lnTo>
                <a:pt x="248550" y="257085"/>
              </a:lnTo>
              <a:lnTo>
                <a:pt x="358661" y="370978"/>
              </a:lnTo>
              <a:lnTo>
                <a:pt x="358661" y="3334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0.43005</cdr:x>
      <cdr:y>0.716</cdr:y>
    </cdr:from>
    <cdr:to>
      <cdr:x>0.47908</cdr:x>
      <cdr:y>0.76469</cdr:y>
    </cdr:to>
    <cdr:sp macro="" textlink="">
      <cdr:nvSpPr>
        <cdr:cNvPr id="387" name="FracNo 1097 StartRow 3784">
          <a:extLst xmlns:a="http://schemas.openxmlformats.org/drawingml/2006/main">
            <a:ext uri="{FF2B5EF4-FFF2-40B4-BE49-F238E27FC236}">
              <a16:creationId xmlns:a16="http://schemas.microsoft.com/office/drawing/2014/main" id="{9E8E0479-EEE0-8541-8625-C8F0324CC6DB}"/>
            </a:ext>
          </a:extLst>
        </cdr:cNvPr>
        <cdr:cNvSpPr/>
      </cdr:nvSpPr>
      <cdr:spPr>
        <a:xfrm xmlns:a="http://schemas.openxmlformats.org/drawingml/2006/main">
          <a:off x="3145925" y="5455951"/>
          <a:ext cx="358663" cy="370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663" h="370980">
              <a:moveTo>
                <a:pt x="79416" y="44639"/>
              </a:moveTo>
              <a:lnTo>
                <a:pt x="36259" y="0"/>
              </a:lnTo>
              <a:lnTo>
                <a:pt x="0" y="0"/>
              </a:lnTo>
              <a:lnTo>
                <a:pt x="48010" y="49659"/>
              </a:lnTo>
              <a:lnTo>
                <a:pt x="358662" y="370979"/>
              </a:lnTo>
              <a:lnTo>
                <a:pt x="358662" y="333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</cdr:x>
      <cdr:y>0.17921</cdr:y>
    </cdr:from>
    <cdr:to>
      <cdr:x>0.45154</cdr:x>
      <cdr:y>0.22887</cdr:y>
    </cdr:to>
    <cdr:sp macro="" textlink="">
      <cdr:nvSpPr>
        <cdr:cNvPr id="388" name="FracNo 730 StartRow 3793">
          <a:extLst xmlns:a="http://schemas.openxmlformats.org/drawingml/2006/main">
            <a:ext uri="{FF2B5EF4-FFF2-40B4-BE49-F238E27FC236}">
              <a16:creationId xmlns:a16="http://schemas.microsoft.com/office/drawing/2014/main" id="{E8801CE1-63C8-57BC-4985-C8A43EC6590A}"/>
            </a:ext>
          </a:extLst>
        </cdr:cNvPr>
        <cdr:cNvSpPr/>
      </cdr:nvSpPr>
      <cdr:spPr>
        <a:xfrm xmlns:a="http://schemas.openxmlformats.org/drawingml/2006/main">
          <a:off x="2955348" y="1365545"/>
          <a:ext cx="347740" cy="378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740" h="378434">
              <a:moveTo>
                <a:pt x="209827" y="217033"/>
              </a:moveTo>
              <a:lnTo>
                <a:pt x="0" y="0"/>
              </a:lnTo>
              <a:lnTo>
                <a:pt x="0" y="37504"/>
              </a:lnTo>
              <a:lnTo>
                <a:pt x="198888" y="243222"/>
              </a:lnTo>
              <a:lnTo>
                <a:pt x="329610" y="378433"/>
              </a:lnTo>
              <a:lnTo>
                <a:pt x="347739" y="3596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0.58613</cdr:x>
      <cdr:y>0.77869</cdr:y>
    </cdr:from>
    <cdr:to>
      <cdr:x>0.63365</cdr:x>
      <cdr:y>0.82832</cdr:y>
    </cdr:to>
    <cdr:sp macro="" textlink="">
      <cdr:nvSpPr>
        <cdr:cNvPr id="389" name="FracNo 477 StartRow 3802">
          <a:extLst xmlns:a="http://schemas.openxmlformats.org/drawingml/2006/main">
            <a:ext uri="{FF2B5EF4-FFF2-40B4-BE49-F238E27FC236}">
              <a16:creationId xmlns:a16="http://schemas.microsoft.com/office/drawing/2014/main" id="{DB517C92-5FFD-2FDB-5149-ECEBC33561BE}"/>
            </a:ext>
          </a:extLst>
        </cdr:cNvPr>
        <cdr:cNvSpPr/>
      </cdr:nvSpPr>
      <cdr:spPr>
        <a:xfrm xmlns:a="http://schemas.openxmlformats.org/drawingml/2006/main">
          <a:off x="4287693" y="5933587"/>
          <a:ext cx="347561" cy="378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561" h="378249">
              <a:moveTo>
                <a:pt x="59287" y="80074"/>
              </a:moveTo>
              <a:lnTo>
                <a:pt x="0" y="18752"/>
              </a:lnTo>
              <a:lnTo>
                <a:pt x="18129" y="0"/>
              </a:lnTo>
              <a:lnTo>
                <a:pt x="74323" y="58124"/>
              </a:lnTo>
              <a:lnTo>
                <a:pt x="347560" y="340744"/>
              </a:lnTo>
              <a:lnTo>
                <a:pt x="347560" y="3782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0.19603</cdr:x>
      <cdr:y>0.7272</cdr:y>
    </cdr:from>
    <cdr:to>
      <cdr:x>0.24447</cdr:x>
      <cdr:y>0.7753</cdr:y>
    </cdr:to>
    <cdr:sp macro="" textlink="">
      <cdr:nvSpPr>
        <cdr:cNvPr id="390" name="FracNo 819 StartRow 3811">
          <a:extLst xmlns:a="http://schemas.openxmlformats.org/drawingml/2006/main">
            <a:ext uri="{FF2B5EF4-FFF2-40B4-BE49-F238E27FC236}">
              <a16:creationId xmlns:a16="http://schemas.microsoft.com/office/drawing/2014/main" id="{2251D31F-6A67-34F2-251F-32AF3848C94C}"/>
            </a:ext>
          </a:extLst>
        </cdr:cNvPr>
        <cdr:cNvSpPr/>
      </cdr:nvSpPr>
      <cdr:spPr>
        <a:xfrm xmlns:a="http://schemas.openxmlformats.org/drawingml/2006/main">
          <a:off x="1433995" y="5541297"/>
          <a:ext cx="354346" cy="366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346" h="366515">
              <a:moveTo>
                <a:pt x="158534" y="240039"/>
              </a:moveTo>
              <a:lnTo>
                <a:pt x="36258" y="366514"/>
              </a:lnTo>
              <a:lnTo>
                <a:pt x="0" y="366514"/>
              </a:lnTo>
              <a:lnTo>
                <a:pt x="136214" y="225623"/>
              </a:lnTo>
              <a:lnTo>
                <a:pt x="354345" y="0"/>
              </a:lnTo>
              <a:lnTo>
                <a:pt x="35434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0.09909</cdr:x>
      <cdr:y>0.49884</cdr:y>
    </cdr:from>
    <cdr:to>
      <cdr:x>0.14629</cdr:x>
      <cdr:y>0.54817</cdr:y>
    </cdr:to>
    <cdr:sp macro="" textlink="">
      <cdr:nvSpPr>
        <cdr:cNvPr id="391" name="FracNo 389 StartRow 3820">
          <a:extLst xmlns:a="http://schemas.openxmlformats.org/drawingml/2006/main">
            <a:ext uri="{FF2B5EF4-FFF2-40B4-BE49-F238E27FC236}">
              <a16:creationId xmlns:a16="http://schemas.microsoft.com/office/drawing/2014/main" id="{11C3F671-7984-7A84-1224-E09ED02B8F60}"/>
            </a:ext>
          </a:extLst>
        </cdr:cNvPr>
        <cdr:cNvSpPr/>
      </cdr:nvSpPr>
      <cdr:spPr>
        <a:xfrm xmlns:a="http://schemas.openxmlformats.org/drawingml/2006/main">
          <a:off x="724847" y="3801168"/>
          <a:ext cx="345269" cy="375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269" h="375879">
              <a:moveTo>
                <a:pt x="135035" y="177176"/>
              </a:moveTo>
              <a:lnTo>
                <a:pt x="0" y="37504"/>
              </a:lnTo>
              <a:lnTo>
                <a:pt x="0" y="0"/>
              </a:lnTo>
              <a:lnTo>
                <a:pt x="142518" y="147413"/>
              </a:lnTo>
              <a:lnTo>
                <a:pt x="345268" y="357126"/>
              </a:lnTo>
              <a:lnTo>
                <a:pt x="327139" y="3758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0.18524</cdr:x>
      <cdr:y>0.08544</cdr:y>
    </cdr:from>
    <cdr:to>
      <cdr:x>0.23366</cdr:x>
      <cdr:y>0.13352</cdr:y>
    </cdr:to>
    <cdr:sp macro="" textlink="">
      <cdr:nvSpPr>
        <cdr:cNvPr id="392" name="FracNo 318 StartRow 3829">
          <a:extLst xmlns:a="http://schemas.openxmlformats.org/drawingml/2006/main">
            <a:ext uri="{FF2B5EF4-FFF2-40B4-BE49-F238E27FC236}">
              <a16:creationId xmlns:a16="http://schemas.microsoft.com/office/drawing/2014/main" id="{76235067-A2BD-4D7D-D3CE-DE0485A3655F}"/>
            </a:ext>
          </a:extLst>
        </cdr:cNvPr>
        <cdr:cNvSpPr/>
      </cdr:nvSpPr>
      <cdr:spPr>
        <a:xfrm xmlns:a="http://schemas.openxmlformats.org/drawingml/2006/main">
          <a:off x="1355078" y="651036"/>
          <a:ext cx="354191" cy="366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191" h="366355">
              <a:moveTo>
                <a:pt x="228745" y="199097"/>
              </a:moveTo>
              <a:lnTo>
                <a:pt x="36258" y="0"/>
              </a:lnTo>
              <a:lnTo>
                <a:pt x="0" y="0"/>
              </a:lnTo>
              <a:lnTo>
                <a:pt x="214439" y="221803"/>
              </a:lnTo>
              <a:lnTo>
                <a:pt x="354190" y="366354"/>
              </a:lnTo>
              <a:lnTo>
                <a:pt x="354190" y="3288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0.42223</cdr:x>
      <cdr:y>0.12991</cdr:y>
    </cdr:from>
    <cdr:to>
      <cdr:x>0.46807</cdr:x>
      <cdr:y>0.18034</cdr:y>
    </cdr:to>
    <cdr:sp macro="" textlink="">
      <cdr:nvSpPr>
        <cdr:cNvPr id="393" name="FracNo 197 StartRow 3838">
          <a:extLst xmlns:a="http://schemas.openxmlformats.org/drawingml/2006/main">
            <a:ext uri="{FF2B5EF4-FFF2-40B4-BE49-F238E27FC236}">
              <a16:creationId xmlns:a16="http://schemas.microsoft.com/office/drawing/2014/main" id="{C841E8FA-E6D0-63DB-B648-A14EC0AAA382}"/>
            </a:ext>
          </a:extLst>
        </cdr:cNvPr>
        <cdr:cNvSpPr/>
      </cdr:nvSpPr>
      <cdr:spPr>
        <a:xfrm xmlns:a="http://schemas.openxmlformats.org/drawingml/2006/main">
          <a:off x="3088725" y="989913"/>
          <a:ext cx="335268" cy="384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268" h="384285">
              <a:moveTo>
                <a:pt x="186470" y="191410"/>
              </a:moveTo>
              <a:lnTo>
                <a:pt x="0" y="384284"/>
              </a:lnTo>
              <a:lnTo>
                <a:pt x="0" y="346780"/>
              </a:lnTo>
              <a:lnTo>
                <a:pt x="186470" y="153907"/>
              </a:lnTo>
              <a:lnTo>
                <a:pt x="335267" y="0"/>
              </a:lnTo>
              <a:lnTo>
                <a:pt x="335267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0.429</cdr:x>
      <cdr:y>0.14155</cdr:y>
    </cdr:from>
    <cdr:to>
      <cdr:x>0.47978</cdr:x>
      <cdr:y>0.18706</cdr:y>
    </cdr:to>
    <cdr:sp macro="" textlink="">
      <cdr:nvSpPr>
        <cdr:cNvPr id="394" name="FracNo 186 StartRow 3847">
          <a:extLst xmlns:a="http://schemas.openxmlformats.org/drawingml/2006/main">
            <a:ext uri="{FF2B5EF4-FFF2-40B4-BE49-F238E27FC236}">
              <a16:creationId xmlns:a16="http://schemas.microsoft.com/office/drawing/2014/main" id="{0F255F82-49F3-AD3A-4696-2BADD6061896}"/>
            </a:ext>
          </a:extLst>
        </cdr:cNvPr>
        <cdr:cNvSpPr/>
      </cdr:nvSpPr>
      <cdr:spPr>
        <a:xfrm xmlns:a="http://schemas.openxmlformats.org/drawingml/2006/main">
          <a:off x="3138197" y="1078587"/>
          <a:ext cx="371526" cy="346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526" h="346782">
              <a:moveTo>
                <a:pt x="104304" y="238894"/>
              </a:moveTo>
              <a:lnTo>
                <a:pt x="0" y="346781"/>
              </a:lnTo>
              <a:lnTo>
                <a:pt x="36258" y="346781"/>
              </a:lnTo>
              <a:lnTo>
                <a:pt x="140563" y="238894"/>
              </a:lnTo>
              <a:lnTo>
                <a:pt x="371525" y="0"/>
              </a:lnTo>
              <a:lnTo>
                <a:pt x="3352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0.71026</cdr:x>
      <cdr:y>0.67795</cdr:y>
    </cdr:from>
    <cdr:to>
      <cdr:x>0.75957</cdr:x>
      <cdr:y>0.72446</cdr:y>
    </cdr:to>
    <cdr:sp macro="" textlink="">
      <cdr:nvSpPr>
        <cdr:cNvPr id="395" name="FracNo 104 StartRow 3856">
          <a:extLst xmlns:a="http://schemas.openxmlformats.org/drawingml/2006/main">
            <a:ext uri="{FF2B5EF4-FFF2-40B4-BE49-F238E27FC236}">
              <a16:creationId xmlns:a16="http://schemas.microsoft.com/office/drawing/2014/main" id="{EE0266E5-8586-C361-8C70-27C63F265A75}"/>
            </a:ext>
          </a:extLst>
        </cdr:cNvPr>
        <cdr:cNvSpPr/>
      </cdr:nvSpPr>
      <cdr:spPr>
        <a:xfrm xmlns:a="http://schemas.openxmlformats.org/drawingml/2006/main">
          <a:off x="5195662" y="5165953"/>
          <a:ext cx="360778" cy="354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778" h="354416">
              <a:moveTo>
                <a:pt x="288331" y="93686"/>
              </a:moveTo>
              <a:lnTo>
                <a:pt x="36259" y="354415"/>
              </a:lnTo>
              <a:lnTo>
                <a:pt x="0" y="354415"/>
              </a:lnTo>
              <a:lnTo>
                <a:pt x="266155" y="79120"/>
              </a:lnTo>
              <a:lnTo>
                <a:pt x="342648" y="0"/>
              </a:lnTo>
              <a:lnTo>
                <a:pt x="3607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0.11889</cdr:y>
    </cdr:from>
    <cdr:to>
      <cdr:x>0.13984</cdr:x>
      <cdr:y>0.16657</cdr:y>
    </cdr:to>
    <cdr:sp macro="" textlink="">
      <cdr:nvSpPr>
        <cdr:cNvPr id="396" name="FracNo 279 StartRow 3865">
          <a:extLst xmlns:a="http://schemas.openxmlformats.org/drawingml/2006/main">
            <a:ext uri="{FF2B5EF4-FFF2-40B4-BE49-F238E27FC236}">
              <a16:creationId xmlns:a16="http://schemas.microsoft.com/office/drawing/2014/main" id="{F7FD7DBC-3385-92D7-2D6E-555696C74458}"/>
            </a:ext>
          </a:extLst>
        </cdr:cNvPr>
        <cdr:cNvSpPr/>
      </cdr:nvSpPr>
      <cdr:spPr>
        <a:xfrm xmlns:a="http://schemas.openxmlformats.org/drawingml/2006/main">
          <a:off x="671676" y="905929"/>
          <a:ext cx="351286" cy="363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86" h="363350">
              <a:moveTo>
                <a:pt x="228287" y="127222"/>
              </a:moveTo>
              <a:lnTo>
                <a:pt x="0" y="363349"/>
              </a:lnTo>
              <a:lnTo>
                <a:pt x="0" y="325845"/>
              </a:lnTo>
              <a:lnTo>
                <a:pt x="204724" y="114091"/>
              </a:lnTo>
              <a:lnTo>
                <a:pt x="315027" y="0"/>
              </a:lnTo>
              <a:lnTo>
                <a:pt x="351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0.86469</cdr:x>
      <cdr:y>0.54194</cdr:y>
    </cdr:from>
    <cdr:to>
      <cdr:x>0.91264</cdr:x>
      <cdr:y>0.58955</cdr:y>
    </cdr:to>
    <cdr:sp macro="" textlink="">
      <cdr:nvSpPr>
        <cdr:cNvPr id="397" name="FracNo 860 StartRow 3874">
          <a:extLst xmlns:a="http://schemas.openxmlformats.org/drawingml/2006/main">
            <a:ext uri="{FF2B5EF4-FFF2-40B4-BE49-F238E27FC236}">
              <a16:creationId xmlns:a16="http://schemas.microsoft.com/office/drawing/2014/main" id="{99F53E99-96C8-AF47-285B-15CD3D0EC151}"/>
            </a:ext>
          </a:extLst>
        </cdr:cNvPr>
        <cdr:cNvSpPr/>
      </cdr:nvSpPr>
      <cdr:spPr>
        <a:xfrm xmlns:a="http://schemas.openxmlformats.org/drawingml/2006/main">
          <a:off x="6325370" y="4129603"/>
          <a:ext cx="350744" cy="362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744" h="362790">
              <a:moveTo>
                <a:pt x="291889" y="301913"/>
              </a:moveTo>
              <a:lnTo>
                <a:pt x="0" y="0"/>
              </a:lnTo>
              <a:lnTo>
                <a:pt x="0" y="37503"/>
              </a:lnTo>
              <a:lnTo>
                <a:pt x="261715" y="308206"/>
              </a:lnTo>
              <a:lnTo>
                <a:pt x="314486" y="362789"/>
              </a:lnTo>
              <a:lnTo>
                <a:pt x="350743" y="362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0.71973</cdr:x>
      <cdr:y>0.47734</cdr:y>
    </cdr:from>
    <cdr:to>
      <cdr:x>0.76519</cdr:x>
      <cdr:y>0.5274</cdr:y>
    </cdr:to>
    <cdr:sp macro="" textlink="">
      <cdr:nvSpPr>
        <cdr:cNvPr id="398" name="FracNo 640 StartRow 3883">
          <a:extLst xmlns:a="http://schemas.openxmlformats.org/drawingml/2006/main">
            <a:ext uri="{FF2B5EF4-FFF2-40B4-BE49-F238E27FC236}">
              <a16:creationId xmlns:a16="http://schemas.microsoft.com/office/drawing/2014/main" id="{DDFDFE7E-26BF-395A-2C4D-9A334FF995C3}"/>
            </a:ext>
          </a:extLst>
        </cdr:cNvPr>
        <cdr:cNvSpPr/>
      </cdr:nvSpPr>
      <cdr:spPr>
        <a:xfrm xmlns:a="http://schemas.openxmlformats.org/drawingml/2006/main">
          <a:off x="5264948" y="3637334"/>
          <a:ext cx="332567" cy="381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567" h="381492">
              <a:moveTo>
                <a:pt x="222756" y="267909"/>
              </a:moveTo>
              <a:lnTo>
                <a:pt x="0" y="37504"/>
              </a:lnTo>
              <a:lnTo>
                <a:pt x="0" y="0"/>
              </a:lnTo>
              <a:lnTo>
                <a:pt x="222756" y="230405"/>
              </a:lnTo>
              <a:lnTo>
                <a:pt x="332566" y="343987"/>
              </a:lnTo>
              <a:lnTo>
                <a:pt x="332566" y="3814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0.25514</cdr:x>
      <cdr:y>0.69183</cdr:y>
    </cdr:from>
    <cdr:to>
      <cdr:x>0.30296</cdr:x>
      <cdr:y>0.73931</cdr:y>
    </cdr:to>
    <cdr:sp macro="" textlink="">
      <cdr:nvSpPr>
        <cdr:cNvPr id="399" name="FracNo 1230 StartRow 3892">
          <a:extLst xmlns:a="http://schemas.openxmlformats.org/drawingml/2006/main">
            <a:ext uri="{FF2B5EF4-FFF2-40B4-BE49-F238E27FC236}">
              <a16:creationId xmlns:a16="http://schemas.microsoft.com/office/drawing/2014/main" id="{3E1FDEBA-4F98-B41F-2B1E-9D2DE60635AF}"/>
            </a:ext>
          </a:extLst>
        </cdr:cNvPr>
        <cdr:cNvSpPr/>
      </cdr:nvSpPr>
      <cdr:spPr>
        <a:xfrm xmlns:a="http://schemas.openxmlformats.org/drawingml/2006/main">
          <a:off x="1866418" y="5271761"/>
          <a:ext cx="349780" cy="361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780" h="361792">
              <a:moveTo>
                <a:pt x="38406" y="39725"/>
              </a:moveTo>
              <a:lnTo>
                <a:pt x="0" y="0"/>
              </a:lnTo>
              <a:lnTo>
                <a:pt x="36258" y="0"/>
              </a:lnTo>
              <a:lnTo>
                <a:pt x="70684" y="35607"/>
              </a:lnTo>
              <a:lnTo>
                <a:pt x="349779" y="324287"/>
              </a:lnTo>
              <a:lnTo>
                <a:pt x="349779" y="3617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0.55079</cdr:x>
      <cdr:y>0.85836</cdr:y>
    </cdr:from>
    <cdr:to>
      <cdr:x>0.59732</cdr:x>
      <cdr:y>0.90703</cdr:y>
    </cdr:to>
    <cdr:sp macro="" textlink="">
      <cdr:nvSpPr>
        <cdr:cNvPr id="400" name="FracNo 434 StartRow 3901">
          <a:extLst xmlns:a="http://schemas.openxmlformats.org/drawingml/2006/main">
            <a:ext uri="{FF2B5EF4-FFF2-40B4-BE49-F238E27FC236}">
              <a16:creationId xmlns:a16="http://schemas.microsoft.com/office/drawing/2014/main" id="{0183ECAE-7A67-D91B-A9C3-4B9F8D3D6745}"/>
            </a:ext>
          </a:extLst>
        </cdr:cNvPr>
        <cdr:cNvSpPr/>
      </cdr:nvSpPr>
      <cdr:spPr>
        <a:xfrm xmlns:a="http://schemas.openxmlformats.org/drawingml/2006/main">
          <a:off x="4029134" y="6540711"/>
          <a:ext cx="340407" cy="370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407" h="370849">
              <a:moveTo>
                <a:pt x="222924" y="140269"/>
              </a:moveTo>
              <a:lnTo>
                <a:pt x="0" y="370848"/>
              </a:lnTo>
              <a:lnTo>
                <a:pt x="0" y="333344"/>
              </a:lnTo>
              <a:lnTo>
                <a:pt x="211052" y="115045"/>
              </a:lnTo>
              <a:lnTo>
                <a:pt x="322277" y="0"/>
              </a:lnTo>
              <a:lnTo>
                <a:pt x="3404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0.81717</cdr:x>
      <cdr:y>0.67186</cdr:y>
    </cdr:from>
    <cdr:to>
      <cdr:x>0.86367</cdr:x>
      <cdr:y>0.72049</cdr:y>
    </cdr:to>
    <cdr:sp macro="" textlink="">
      <cdr:nvSpPr>
        <cdr:cNvPr id="401" name="FracNo 155 StartRow 3910">
          <a:extLst xmlns:a="http://schemas.openxmlformats.org/drawingml/2006/main">
            <a:ext uri="{FF2B5EF4-FFF2-40B4-BE49-F238E27FC236}">
              <a16:creationId xmlns:a16="http://schemas.microsoft.com/office/drawing/2014/main" id="{745E901E-4C18-975F-5FB6-BEE0C42AB3FA}"/>
            </a:ext>
          </a:extLst>
        </cdr:cNvPr>
        <cdr:cNvSpPr/>
      </cdr:nvSpPr>
      <cdr:spPr>
        <a:xfrm xmlns:a="http://schemas.openxmlformats.org/drawingml/2006/main">
          <a:off x="5977793" y="5119565"/>
          <a:ext cx="340130" cy="37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130" h="370562">
              <a:moveTo>
                <a:pt x="21054" y="3025"/>
              </a:moveTo>
              <a:lnTo>
                <a:pt x="18129" y="0"/>
              </a:lnTo>
              <a:lnTo>
                <a:pt x="0" y="18752"/>
              </a:lnTo>
              <a:lnTo>
                <a:pt x="3089" y="21947"/>
              </a:lnTo>
              <a:lnTo>
                <a:pt x="340129" y="370561"/>
              </a:lnTo>
              <a:lnTo>
                <a:pt x="340129" y="3330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0.74138</cdr:x>
      <cdr:y>0.78851</cdr:y>
    </cdr:from>
    <cdr:to>
      <cdr:x>0.79147</cdr:x>
      <cdr:y>0.83333</cdr:y>
    </cdr:to>
    <cdr:sp macro="" textlink="">
      <cdr:nvSpPr>
        <cdr:cNvPr id="402" name="FracNo 852 StartRow 3919">
          <a:extLst xmlns:a="http://schemas.openxmlformats.org/drawingml/2006/main">
            <a:ext uri="{FF2B5EF4-FFF2-40B4-BE49-F238E27FC236}">
              <a16:creationId xmlns:a16="http://schemas.microsoft.com/office/drawing/2014/main" id="{33E68075-9B54-D706-E297-FCB2249BA256}"/>
            </a:ext>
          </a:extLst>
        </cdr:cNvPr>
        <cdr:cNvSpPr/>
      </cdr:nvSpPr>
      <cdr:spPr>
        <a:xfrm xmlns:a="http://schemas.openxmlformats.org/drawingml/2006/main">
          <a:off x="5423353" y="6008436"/>
          <a:ext cx="366443" cy="341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443" h="341524">
              <a:moveTo>
                <a:pt x="287629" y="260004"/>
              </a:moveTo>
              <a:lnTo>
                <a:pt x="36259" y="0"/>
              </a:lnTo>
              <a:lnTo>
                <a:pt x="0" y="0"/>
              </a:lnTo>
              <a:lnTo>
                <a:pt x="251371" y="260004"/>
              </a:lnTo>
              <a:lnTo>
                <a:pt x="330184" y="341523"/>
              </a:lnTo>
              <a:lnTo>
                <a:pt x="366442" y="3415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0.45879</cdr:x>
      <cdr:y>0.25087</cdr:y>
    </cdr:from>
    <cdr:to>
      <cdr:x>0.50887</cdr:x>
      <cdr:y>0.29568</cdr:y>
    </cdr:to>
    <cdr:sp macro="" textlink="">
      <cdr:nvSpPr>
        <cdr:cNvPr id="403" name="FracNo 228 StartRow 3928">
          <a:extLst xmlns:a="http://schemas.openxmlformats.org/drawingml/2006/main">
            <a:ext uri="{FF2B5EF4-FFF2-40B4-BE49-F238E27FC236}">
              <a16:creationId xmlns:a16="http://schemas.microsoft.com/office/drawing/2014/main" id="{FC46CBC9-FB3C-09B4-B03F-EEB32A35EB01}"/>
            </a:ext>
          </a:extLst>
        </cdr:cNvPr>
        <cdr:cNvSpPr/>
      </cdr:nvSpPr>
      <cdr:spPr>
        <a:xfrm xmlns:a="http://schemas.openxmlformats.org/drawingml/2006/main">
          <a:off x="3356132" y="1911630"/>
          <a:ext cx="366348" cy="341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348" h="341426">
              <a:moveTo>
                <a:pt x="206809" y="213912"/>
              </a:moveTo>
              <a:lnTo>
                <a:pt x="0" y="0"/>
              </a:lnTo>
              <a:lnTo>
                <a:pt x="36259" y="0"/>
              </a:lnTo>
              <a:lnTo>
                <a:pt x="243068" y="213912"/>
              </a:lnTo>
              <a:lnTo>
                <a:pt x="366347" y="341425"/>
              </a:lnTo>
              <a:lnTo>
                <a:pt x="330089" y="3414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0.42883</cdr:x>
      <cdr:y>0.37949</cdr:y>
    </cdr:from>
    <cdr:to>
      <cdr:x>0.47638</cdr:x>
      <cdr:y>0.4267</cdr:y>
    </cdr:to>
    <cdr:sp macro="" textlink="">
      <cdr:nvSpPr>
        <cdr:cNvPr id="404" name="FracNo 1014 StartRow 3937">
          <a:extLst xmlns:a="http://schemas.openxmlformats.org/drawingml/2006/main">
            <a:ext uri="{FF2B5EF4-FFF2-40B4-BE49-F238E27FC236}">
              <a16:creationId xmlns:a16="http://schemas.microsoft.com/office/drawing/2014/main" id="{455A7FC8-0EF6-3B6A-29BF-3DB49209BD74}"/>
            </a:ext>
          </a:extLst>
        </cdr:cNvPr>
        <cdr:cNvSpPr/>
      </cdr:nvSpPr>
      <cdr:spPr>
        <a:xfrm xmlns:a="http://schemas.openxmlformats.org/drawingml/2006/main">
          <a:off x="3136974" y="2891681"/>
          <a:ext cx="347854" cy="359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854" h="359799">
              <a:moveTo>
                <a:pt x="81054" y="238458"/>
              </a:moveTo>
              <a:lnTo>
                <a:pt x="0" y="322295"/>
              </a:lnTo>
              <a:lnTo>
                <a:pt x="0" y="359798"/>
              </a:lnTo>
              <a:lnTo>
                <a:pt x="90486" y="266206"/>
              </a:lnTo>
              <a:lnTo>
                <a:pt x="347853" y="0"/>
              </a:lnTo>
              <a:lnTo>
                <a:pt x="311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0.44491</cdr:x>
      <cdr:y>0.39545</cdr:y>
    </cdr:from>
    <cdr:to>
      <cdr:x>0.49246</cdr:x>
      <cdr:y>0.44267</cdr:y>
    </cdr:to>
    <cdr:sp macro="" textlink="">
      <cdr:nvSpPr>
        <cdr:cNvPr id="405" name="FracNo 873 StartRow 3946">
          <a:extLst xmlns:a="http://schemas.openxmlformats.org/drawingml/2006/main">
            <a:ext uri="{FF2B5EF4-FFF2-40B4-BE49-F238E27FC236}">
              <a16:creationId xmlns:a16="http://schemas.microsoft.com/office/drawing/2014/main" id="{CF9B8B4D-BB9B-3BAA-5BC5-7785A5190E9A}"/>
            </a:ext>
          </a:extLst>
        </cdr:cNvPr>
        <cdr:cNvSpPr/>
      </cdr:nvSpPr>
      <cdr:spPr>
        <a:xfrm xmlns:a="http://schemas.openxmlformats.org/drawingml/2006/main">
          <a:off x="3254618" y="3013365"/>
          <a:ext cx="347853" cy="359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853" h="359799">
              <a:moveTo>
                <a:pt x="116699" y="201587"/>
              </a:moveTo>
              <a:lnTo>
                <a:pt x="0" y="322294"/>
              </a:lnTo>
              <a:lnTo>
                <a:pt x="0" y="359798"/>
              </a:lnTo>
              <a:lnTo>
                <a:pt x="130279" y="225045"/>
              </a:lnTo>
              <a:lnTo>
                <a:pt x="347852" y="0"/>
              </a:lnTo>
              <a:lnTo>
                <a:pt x="311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0.46269</cdr:x>
      <cdr:y>0.4201</cdr:y>
    </cdr:from>
    <cdr:to>
      <cdr:x>0.50773</cdr:x>
      <cdr:y>0.46974</cdr:y>
    </cdr:to>
    <cdr:sp macro="" textlink="">
      <cdr:nvSpPr>
        <cdr:cNvPr id="406" name="FracNo 897 StartRow 3955">
          <a:extLst xmlns:a="http://schemas.openxmlformats.org/drawingml/2006/main">
            <a:ext uri="{FF2B5EF4-FFF2-40B4-BE49-F238E27FC236}">
              <a16:creationId xmlns:a16="http://schemas.microsoft.com/office/drawing/2014/main" id="{7EA02DA2-83CF-ED14-42B1-F82930E8BA1E}"/>
            </a:ext>
          </a:extLst>
        </cdr:cNvPr>
        <cdr:cNvSpPr/>
      </cdr:nvSpPr>
      <cdr:spPr>
        <a:xfrm xmlns:a="http://schemas.openxmlformats.org/drawingml/2006/main">
          <a:off x="3384671" y="3201139"/>
          <a:ext cx="329453" cy="378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453" h="378271">
              <a:moveTo>
                <a:pt x="302624" y="313017"/>
              </a:moveTo>
              <a:lnTo>
                <a:pt x="0" y="0"/>
              </a:lnTo>
              <a:lnTo>
                <a:pt x="0" y="37504"/>
              </a:lnTo>
              <a:lnTo>
                <a:pt x="302624" y="350521"/>
              </a:lnTo>
              <a:lnTo>
                <a:pt x="329452" y="378270"/>
              </a:lnTo>
              <a:lnTo>
                <a:pt x="329452" y="3407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0.5391</cdr:x>
      <cdr:y>0.30168</cdr:y>
    </cdr:from>
    <cdr:to>
      <cdr:x>0.58654</cdr:x>
      <cdr:y>0.34878</cdr:y>
    </cdr:to>
    <cdr:sp macro="" textlink="">
      <cdr:nvSpPr>
        <cdr:cNvPr id="407" name="FracNo 223 StartRow 3964">
          <a:extLst xmlns:a="http://schemas.openxmlformats.org/drawingml/2006/main">
            <a:ext uri="{FF2B5EF4-FFF2-40B4-BE49-F238E27FC236}">
              <a16:creationId xmlns:a16="http://schemas.microsoft.com/office/drawing/2014/main" id="{6D9F2284-3384-B463-ED98-368D43865BF3}"/>
            </a:ext>
          </a:extLst>
        </cdr:cNvPr>
        <cdr:cNvSpPr/>
      </cdr:nvSpPr>
      <cdr:spPr>
        <a:xfrm xmlns:a="http://schemas.openxmlformats.org/drawingml/2006/main">
          <a:off x="3943593" y="2298774"/>
          <a:ext cx="347041" cy="358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041" h="358959">
              <a:moveTo>
                <a:pt x="289823" y="299776"/>
              </a:moveTo>
              <a:lnTo>
                <a:pt x="0" y="0"/>
              </a:lnTo>
              <a:lnTo>
                <a:pt x="36258" y="0"/>
              </a:lnTo>
              <a:lnTo>
                <a:pt x="295801" y="268455"/>
              </a:lnTo>
              <a:lnTo>
                <a:pt x="347040" y="321454"/>
              </a:lnTo>
              <a:lnTo>
                <a:pt x="347040" y="3589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0.30034</cdr:x>
      <cdr:y>0.17266</cdr:y>
    </cdr:from>
    <cdr:to>
      <cdr:x>0.34522</cdr:x>
      <cdr:y>0.22214</cdr:y>
    </cdr:to>
    <cdr:sp macro="" textlink="">
      <cdr:nvSpPr>
        <cdr:cNvPr id="408" name="FracNo 780 StartRow 3973">
          <a:extLst xmlns:a="http://schemas.openxmlformats.org/drawingml/2006/main">
            <a:ext uri="{FF2B5EF4-FFF2-40B4-BE49-F238E27FC236}">
              <a16:creationId xmlns:a16="http://schemas.microsoft.com/office/drawing/2014/main" id="{DC526173-CD55-65C4-D67B-5E7940F0B4FE}"/>
            </a:ext>
          </a:extLst>
        </cdr:cNvPr>
        <cdr:cNvSpPr/>
      </cdr:nvSpPr>
      <cdr:spPr>
        <a:xfrm xmlns:a="http://schemas.openxmlformats.org/drawingml/2006/main">
          <a:off x="2197070" y="1315634"/>
          <a:ext cx="328311" cy="377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311" h="377090">
              <a:moveTo>
                <a:pt x="254110" y="300341"/>
              </a:moveTo>
              <a:lnTo>
                <a:pt x="0" y="37504"/>
              </a:lnTo>
              <a:lnTo>
                <a:pt x="0" y="0"/>
              </a:lnTo>
              <a:lnTo>
                <a:pt x="254110" y="262837"/>
              </a:lnTo>
              <a:lnTo>
                <a:pt x="328310" y="339586"/>
              </a:lnTo>
              <a:lnTo>
                <a:pt x="328310" y="3770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0.60441</cdr:x>
      <cdr:y>0.5109</cdr:y>
    </cdr:from>
    <cdr:to>
      <cdr:x>0.65176</cdr:x>
      <cdr:y>0.55791</cdr:y>
    </cdr:to>
    <cdr:sp macro="" textlink="">
      <cdr:nvSpPr>
        <cdr:cNvPr id="409" name="FracNo 705 StartRow 3982">
          <a:extLst xmlns:a="http://schemas.openxmlformats.org/drawingml/2006/main">
            <a:ext uri="{FF2B5EF4-FFF2-40B4-BE49-F238E27FC236}">
              <a16:creationId xmlns:a16="http://schemas.microsoft.com/office/drawing/2014/main" id="{73B43FE7-A33D-9C76-1049-5B94F746B324}"/>
            </a:ext>
          </a:extLst>
        </cdr:cNvPr>
        <cdr:cNvSpPr/>
      </cdr:nvSpPr>
      <cdr:spPr>
        <a:xfrm xmlns:a="http://schemas.openxmlformats.org/drawingml/2006/main">
          <a:off x="4421403" y="3893049"/>
          <a:ext cx="346339" cy="358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339" h="358232">
              <a:moveTo>
                <a:pt x="260262" y="306704"/>
              </a:moveTo>
              <a:lnTo>
                <a:pt x="0" y="37504"/>
              </a:lnTo>
              <a:lnTo>
                <a:pt x="0" y="0"/>
              </a:lnTo>
              <a:lnTo>
                <a:pt x="290696" y="300678"/>
              </a:lnTo>
              <a:lnTo>
                <a:pt x="346338" y="358231"/>
              </a:lnTo>
              <a:lnTo>
                <a:pt x="310080" y="3582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0.50001</cdr:x>
      <cdr:y>0.60676</cdr:y>
    </cdr:from>
    <cdr:to>
      <cdr:x>0.54483</cdr:x>
      <cdr:y>0.65617</cdr:y>
    </cdr:to>
    <cdr:sp macro="" textlink="">
      <cdr:nvSpPr>
        <cdr:cNvPr id="410" name="FracNo 927 StartRow 3991">
          <a:extLst xmlns:a="http://schemas.openxmlformats.org/drawingml/2006/main">
            <a:ext uri="{FF2B5EF4-FFF2-40B4-BE49-F238E27FC236}">
              <a16:creationId xmlns:a16="http://schemas.microsoft.com/office/drawing/2014/main" id="{80A07E20-4DB9-09C3-AA41-D95089DDC744}"/>
            </a:ext>
          </a:extLst>
        </cdr:cNvPr>
        <cdr:cNvSpPr/>
      </cdr:nvSpPr>
      <cdr:spPr>
        <a:xfrm xmlns:a="http://schemas.openxmlformats.org/drawingml/2006/main">
          <a:off x="3657709" y="4623489"/>
          <a:ext cx="327803" cy="376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803" h="376563">
              <a:moveTo>
                <a:pt x="38379" y="299361"/>
              </a:moveTo>
              <a:lnTo>
                <a:pt x="30523" y="307487"/>
              </a:lnTo>
              <a:lnTo>
                <a:pt x="0" y="339059"/>
              </a:lnTo>
              <a:lnTo>
                <a:pt x="0" y="376562"/>
              </a:lnTo>
              <a:lnTo>
                <a:pt x="45617" y="329379"/>
              </a:lnTo>
              <a:lnTo>
                <a:pt x="53074" y="321665"/>
              </a:lnTo>
              <a:lnTo>
                <a:pt x="327802" y="37504"/>
              </a:lnTo>
              <a:lnTo>
                <a:pt x="327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0.51727</cdr:x>
      <cdr:y>0.62389</cdr:y>
    </cdr:from>
    <cdr:to>
      <cdr:x>0.56208</cdr:x>
      <cdr:y>0.67331</cdr:y>
    </cdr:to>
    <cdr:sp macro="" textlink="">
      <cdr:nvSpPr>
        <cdr:cNvPr id="411" name="FracNo 1104 StartRow 4002">
          <a:extLst xmlns:a="http://schemas.openxmlformats.org/drawingml/2006/main">
            <a:ext uri="{FF2B5EF4-FFF2-40B4-BE49-F238E27FC236}">
              <a16:creationId xmlns:a16="http://schemas.microsoft.com/office/drawing/2014/main" id="{CD537363-B2D9-3174-D026-EFCEB6412527}"/>
            </a:ext>
          </a:extLst>
        </cdr:cNvPr>
        <cdr:cNvSpPr/>
      </cdr:nvSpPr>
      <cdr:spPr>
        <a:xfrm xmlns:a="http://schemas.openxmlformats.org/drawingml/2006/main">
          <a:off x="3783923" y="4754037"/>
          <a:ext cx="327803" cy="376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803" h="376564">
              <a:moveTo>
                <a:pt x="316500" y="11690"/>
              </a:moveTo>
              <a:lnTo>
                <a:pt x="159584" y="173995"/>
              </a:lnTo>
              <a:lnTo>
                <a:pt x="0" y="339059"/>
              </a:lnTo>
              <a:lnTo>
                <a:pt x="0" y="376563"/>
              </a:lnTo>
              <a:lnTo>
                <a:pt x="168985" y="201775"/>
              </a:lnTo>
              <a:lnTo>
                <a:pt x="317132" y="48540"/>
              </a:lnTo>
              <a:lnTo>
                <a:pt x="327802" y="37504"/>
              </a:lnTo>
              <a:lnTo>
                <a:pt x="327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0.51282</cdr:x>
      <cdr:y>0.61947</cdr:y>
    </cdr:from>
    <cdr:to>
      <cdr:x>0.55763</cdr:x>
      <cdr:y>0.66889</cdr:y>
    </cdr:to>
    <cdr:sp macro="" textlink="">
      <cdr:nvSpPr>
        <cdr:cNvPr id="412" name="FracNo 1209 StartRow 4013">
          <a:extLst xmlns:a="http://schemas.openxmlformats.org/drawingml/2006/main">
            <a:ext uri="{FF2B5EF4-FFF2-40B4-BE49-F238E27FC236}">
              <a16:creationId xmlns:a16="http://schemas.microsoft.com/office/drawing/2014/main" id="{FBC13A4B-7184-52C7-1C47-4610BF32E2D2}"/>
            </a:ext>
          </a:extLst>
        </cdr:cNvPr>
        <cdr:cNvSpPr/>
      </cdr:nvSpPr>
      <cdr:spPr>
        <a:xfrm xmlns:a="http://schemas.openxmlformats.org/drawingml/2006/main">
          <a:off x="3751398" y="4720396"/>
          <a:ext cx="327803" cy="376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803" h="376563">
              <a:moveTo>
                <a:pt x="110058" y="225222"/>
              </a:moveTo>
              <a:lnTo>
                <a:pt x="0" y="339058"/>
              </a:lnTo>
              <a:lnTo>
                <a:pt x="0" y="376562"/>
              </a:lnTo>
              <a:lnTo>
                <a:pt x="125149" y="247115"/>
              </a:lnTo>
              <a:lnTo>
                <a:pt x="140214" y="231534"/>
              </a:lnTo>
              <a:lnTo>
                <a:pt x="327802" y="37503"/>
              </a:lnTo>
              <a:lnTo>
                <a:pt x="327802" y="0"/>
              </a:lnTo>
              <a:lnTo>
                <a:pt x="123306" y="2115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0.60975</cdr:y>
    </cdr:from>
    <cdr:to>
      <cdr:x>0.13654</cdr:x>
      <cdr:y>0.65908</cdr:y>
    </cdr:to>
    <cdr:sp macro="" textlink="">
      <cdr:nvSpPr>
        <cdr:cNvPr id="413" name="FracNo 1199 StartRow 4024">
          <a:extLst xmlns:a="http://schemas.openxmlformats.org/drawingml/2006/main">
            <a:ext uri="{FF2B5EF4-FFF2-40B4-BE49-F238E27FC236}">
              <a16:creationId xmlns:a16="http://schemas.microsoft.com/office/drawing/2014/main" id="{B4A71529-8190-B689-3386-FFC9B0A7F5F4}"/>
            </a:ext>
          </a:extLst>
        </cdr:cNvPr>
        <cdr:cNvSpPr/>
      </cdr:nvSpPr>
      <cdr:spPr>
        <a:xfrm xmlns:a="http://schemas.openxmlformats.org/drawingml/2006/main">
          <a:off x="671676" y="4646288"/>
          <a:ext cx="327154" cy="375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154" h="375893">
              <a:moveTo>
                <a:pt x="105878" y="228875"/>
              </a:moveTo>
              <a:lnTo>
                <a:pt x="54557" y="281957"/>
              </a:lnTo>
              <a:lnTo>
                <a:pt x="0" y="338388"/>
              </a:lnTo>
              <a:lnTo>
                <a:pt x="0" y="375892"/>
              </a:lnTo>
              <a:lnTo>
                <a:pt x="64370" y="309311"/>
              </a:lnTo>
              <a:lnTo>
                <a:pt x="113843" y="258139"/>
              </a:lnTo>
              <a:lnTo>
                <a:pt x="327153" y="37504"/>
              </a:lnTo>
              <a:lnTo>
                <a:pt x="3271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0.77266</cdr:x>
      <cdr:y>0.77051</cdr:y>
    </cdr:from>
    <cdr:to>
      <cdr:x>0.81712</cdr:x>
      <cdr:y>0.81957</cdr:y>
    </cdr:to>
    <cdr:sp macro="" textlink="">
      <cdr:nvSpPr>
        <cdr:cNvPr id="414" name="FracNo 112 StartRow 4035">
          <a:extLst xmlns:a="http://schemas.openxmlformats.org/drawingml/2006/main">
            <a:ext uri="{FF2B5EF4-FFF2-40B4-BE49-F238E27FC236}">
              <a16:creationId xmlns:a16="http://schemas.microsoft.com/office/drawing/2014/main" id="{170755C1-C893-712F-74DA-9816F4822632}"/>
            </a:ext>
          </a:extLst>
        </cdr:cNvPr>
        <cdr:cNvSpPr/>
      </cdr:nvSpPr>
      <cdr:spPr>
        <a:xfrm xmlns:a="http://schemas.openxmlformats.org/drawingml/2006/main">
          <a:off x="5652192" y="5871280"/>
          <a:ext cx="325185" cy="373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185" h="373856">
              <a:moveTo>
                <a:pt x="130094" y="201790"/>
              </a:moveTo>
              <a:lnTo>
                <a:pt x="0" y="336351"/>
              </a:lnTo>
              <a:lnTo>
                <a:pt x="0" y="373855"/>
              </a:lnTo>
              <a:lnTo>
                <a:pt x="130094" y="239294"/>
              </a:lnTo>
              <a:lnTo>
                <a:pt x="325184" y="37504"/>
              </a:lnTo>
              <a:lnTo>
                <a:pt x="3251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0.78244</cdr:x>
      <cdr:y>0.78514</cdr:y>
    </cdr:from>
    <cdr:to>
      <cdr:x>0.83185</cdr:x>
      <cdr:y>0.82928</cdr:y>
    </cdr:to>
    <cdr:sp macro="" textlink="">
      <cdr:nvSpPr>
        <cdr:cNvPr id="415" name="FracNo 1132 StartRow 4044">
          <a:extLst xmlns:a="http://schemas.openxmlformats.org/drawingml/2006/main">
            <a:ext uri="{FF2B5EF4-FFF2-40B4-BE49-F238E27FC236}">
              <a16:creationId xmlns:a16="http://schemas.microsoft.com/office/drawing/2014/main" id="{4AD5DB14-CBE1-A80C-E2F5-676377B5DD6A}"/>
            </a:ext>
          </a:extLst>
        </cdr:cNvPr>
        <cdr:cNvSpPr/>
      </cdr:nvSpPr>
      <cdr:spPr>
        <a:xfrm xmlns:a="http://schemas.openxmlformats.org/drawingml/2006/main">
          <a:off x="5723736" y="5982784"/>
          <a:ext cx="361444" cy="336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444" h="336352">
              <a:moveTo>
                <a:pt x="197152" y="169933"/>
              </a:moveTo>
              <a:lnTo>
                <a:pt x="36259" y="336351"/>
              </a:lnTo>
              <a:lnTo>
                <a:pt x="0" y="336351"/>
              </a:lnTo>
              <a:lnTo>
                <a:pt x="160893" y="169933"/>
              </a:lnTo>
              <a:lnTo>
                <a:pt x="325184" y="0"/>
              </a:lnTo>
              <a:lnTo>
                <a:pt x="3614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0.53006</cdr:x>
      <cdr:y>0.48561</cdr:y>
    </cdr:from>
    <cdr:to>
      <cdr:x>0.57684</cdr:x>
      <cdr:y>0.53207</cdr:y>
    </cdr:to>
    <cdr:sp macro="" textlink="">
      <cdr:nvSpPr>
        <cdr:cNvPr id="416" name="FracNo 799 StartRow 4053">
          <a:extLst xmlns:a="http://schemas.openxmlformats.org/drawingml/2006/main">
            <a:ext uri="{FF2B5EF4-FFF2-40B4-BE49-F238E27FC236}">
              <a16:creationId xmlns:a16="http://schemas.microsoft.com/office/drawing/2014/main" id="{54BEA5AD-0131-C956-1C2C-A157C94D3181}"/>
            </a:ext>
          </a:extLst>
        </cdr:cNvPr>
        <cdr:cNvSpPr/>
      </cdr:nvSpPr>
      <cdr:spPr>
        <a:xfrm xmlns:a="http://schemas.openxmlformats.org/drawingml/2006/main">
          <a:off x="3877466" y="3700376"/>
          <a:ext cx="342213" cy="353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213" h="353965">
              <a:moveTo>
                <a:pt x="125442" y="224214"/>
              </a:moveTo>
              <a:lnTo>
                <a:pt x="0" y="353964"/>
              </a:lnTo>
              <a:lnTo>
                <a:pt x="0" y="316460"/>
              </a:lnTo>
              <a:lnTo>
                <a:pt x="112151" y="200458"/>
              </a:lnTo>
              <a:lnTo>
                <a:pt x="305953" y="0"/>
              </a:lnTo>
              <a:lnTo>
                <a:pt x="3422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0.85658</cdr:x>
      <cdr:y>0.20829</cdr:y>
    </cdr:from>
    <cdr:to>
      <cdr:x>0.90305</cdr:x>
      <cdr:y>0.25444</cdr:y>
    </cdr:to>
    <cdr:sp macro="" textlink="">
      <cdr:nvSpPr>
        <cdr:cNvPr id="417" name="FracNo 902 StartRow 4062">
          <a:extLst xmlns:a="http://schemas.openxmlformats.org/drawingml/2006/main">
            <a:ext uri="{FF2B5EF4-FFF2-40B4-BE49-F238E27FC236}">
              <a16:creationId xmlns:a16="http://schemas.microsoft.com/office/drawing/2014/main" id="{A2168347-25CE-DEAB-DAE8-80B7676838DA}"/>
            </a:ext>
          </a:extLst>
        </cdr:cNvPr>
        <cdr:cNvSpPr/>
      </cdr:nvSpPr>
      <cdr:spPr>
        <a:xfrm xmlns:a="http://schemas.openxmlformats.org/drawingml/2006/main">
          <a:off x="6266075" y="1587189"/>
          <a:ext cx="339947" cy="351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947" h="351622">
              <a:moveTo>
                <a:pt x="120770" y="124918"/>
              </a:moveTo>
              <a:lnTo>
                <a:pt x="0" y="0"/>
              </a:lnTo>
              <a:lnTo>
                <a:pt x="0" y="37504"/>
              </a:lnTo>
              <a:lnTo>
                <a:pt x="107888" y="149097"/>
              </a:lnTo>
              <a:lnTo>
                <a:pt x="303688" y="351621"/>
              </a:lnTo>
              <a:lnTo>
                <a:pt x="339946" y="3516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0.64243</cdr:x>
      <cdr:y>0.56019</cdr:y>
    </cdr:from>
    <cdr:to>
      <cdr:x>0.69128</cdr:x>
      <cdr:y>0.60377</cdr:y>
    </cdr:to>
    <cdr:sp macro="" textlink="">
      <cdr:nvSpPr>
        <cdr:cNvPr id="418" name="FracNo 1053 StartRow 4071">
          <a:extLst xmlns:a="http://schemas.openxmlformats.org/drawingml/2006/main">
            <a:ext uri="{FF2B5EF4-FFF2-40B4-BE49-F238E27FC236}">
              <a16:creationId xmlns:a16="http://schemas.microsoft.com/office/drawing/2014/main" id="{0728BA75-6353-5CFF-BFE5-2ACE46BB9213}"/>
            </a:ext>
          </a:extLst>
        </cdr:cNvPr>
        <cdr:cNvSpPr/>
      </cdr:nvSpPr>
      <cdr:spPr>
        <a:xfrm xmlns:a="http://schemas.openxmlformats.org/drawingml/2006/main">
          <a:off x="4699529" y="4268639"/>
          <a:ext cx="357311" cy="332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311" h="332079">
              <a:moveTo>
                <a:pt x="90245" y="276237"/>
              </a:moveTo>
              <a:lnTo>
                <a:pt x="36258" y="332078"/>
              </a:lnTo>
              <a:lnTo>
                <a:pt x="0" y="332078"/>
              </a:lnTo>
              <a:lnTo>
                <a:pt x="62568" y="267362"/>
              </a:lnTo>
              <a:lnTo>
                <a:pt x="109980" y="218321"/>
              </a:lnTo>
              <a:lnTo>
                <a:pt x="321052" y="0"/>
              </a:lnTo>
              <a:lnTo>
                <a:pt x="357310" y="0"/>
              </a:lnTo>
              <a:lnTo>
                <a:pt x="131156" y="2339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0.16098</cdr:x>
      <cdr:y>0.7557</cdr:y>
    </cdr:from>
    <cdr:to>
      <cdr:x>0.20977</cdr:x>
      <cdr:y>0.79923</cdr:y>
    </cdr:to>
    <cdr:sp macro="" textlink="">
      <cdr:nvSpPr>
        <cdr:cNvPr id="419" name="FracNo 1202 StartRow 4082">
          <a:extLst xmlns:a="http://schemas.openxmlformats.org/drawingml/2006/main">
            <a:ext uri="{FF2B5EF4-FFF2-40B4-BE49-F238E27FC236}">
              <a16:creationId xmlns:a16="http://schemas.microsoft.com/office/drawing/2014/main" id="{3D5253E1-F5FC-2290-268D-AB9F5B60D36C}"/>
            </a:ext>
          </a:extLst>
        </cdr:cNvPr>
        <cdr:cNvSpPr/>
      </cdr:nvSpPr>
      <cdr:spPr>
        <a:xfrm xmlns:a="http://schemas.openxmlformats.org/drawingml/2006/main">
          <a:off x="1177565" y="5758402"/>
          <a:ext cx="356952" cy="331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952" h="331707">
              <a:moveTo>
                <a:pt x="186144" y="192537"/>
              </a:moveTo>
              <a:lnTo>
                <a:pt x="0" y="0"/>
              </a:lnTo>
              <a:lnTo>
                <a:pt x="36258" y="0"/>
              </a:lnTo>
              <a:lnTo>
                <a:pt x="222403" y="192537"/>
              </a:lnTo>
              <a:lnTo>
                <a:pt x="356951" y="331706"/>
              </a:lnTo>
              <a:lnTo>
                <a:pt x="320692" y="3317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0.44956</cdr:x>
      <cdr:y>0.44077</cdr:y>
    </cdr:from>
    <cdr:to>
      <cdr:x>0.49585</cdr:x>
      <cdr:y>0.48673</cdr:y>
    </cdr:to>
    <cdr:sp macro="" textlink="">
      <cdr:nvSpPr>
        <cdr:cNvPr id="420" name="FracNo 704 StartRow 4091">
          <a:extLst xmlns:a="http://schemas.openxmlformats.org/drawingml/2006/main">
            <a:ext uri="{FF2B5EF4-FFF2-40B4-BE49-F238E27FC236}">
              <a16:creationId xmlns:a16="http://schemas.microsoft.com/office/drawing/2014/main" id="{8EC7D4BD-249C-B8E2-DAD9-D249F42185D1}"/>
            </a:ext>
          </a:extLst>
        </cdr:cNvPr>
        <cdr:cNvSpPr/>
      </cdr:nvSpPr>
      <cdr:spPr>
        <a:xfrm xmlns:a="http://schemas.openxmlformats.org/drawingml/2006/main">
          <a:off x="3288605" y="3358659"/>
          <a:ext cx="338628" cy="350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628" h="350257">
              <a:moveTo>
                <a:pt x="224274" y="213224"/>
              </a:moveTo>
              <a:lnTo>
                <a:pt x="18129" y="0"/>
              </a:lnTo>
              <a:lnTo>
                <a:pt x="0" y="18752"/>
              </a:lnTo>
              <a:lnTo>
                <a:pt x="206144" y="231976"/>
              </a:lnTo>
              <a:lnTo>
                <a:pt x="320498" y="350256"/>
              </a:lnTo>
              <a:lnTo>
                <a:pt x="338627" y="3315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0.3029</cdr:x>
      <cdr:y>0.47587</cdr:y>
    </cdr:from>
    <cdr:to>
      <cdr:x>0.35042</cdr:x>
      <cdr:y>0.52059</cdr:y>
    </cdr:to>
    <cdr:sp macro="" textlink="">
      <cdr:nvSpPr>
        <cdr:cNvPr id="421" name="FracNo 743 StartRow 4100">
          <a:extLst xmlns:a="http://schemas.openxmlformats.org/drawingml/2006/main">
            <a:ext uri="{FF2B5EF4-FFF2-40B4-BE49-F238E27FC236}">
              <a16:creationId xmlns:a16="http://schemas.microsoft.com/office/drawing/2014/main" id="{72B03481-3A75-6ED0-9F65-40D1B8C49BAA}"/>
            </a:ext>
          </a:extLst>
        </cdr:cNvPr>
        <cdr:cNvSpPr/>
      </cdr:nvSpPr>
      <cdr:spPr>
        <a:xfrm xmlns:a="http://schemas.openxmlformats.org/drawingml/2006/main">
          <a:off x="2215751" y="3626106"/>
          <a:ext cx="347612" cy="340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612" h="340798">
              <a:moveTo>
                <a:pt x="229961" y="237859"/>
              </a:moveTo>
              <a:lnTo>
                <a:pt x="0" y="0"/>
              </a:lnTo>
              <a:lnTo>
                <a:pt x="36258" y="0"/>
              </a:lnTo>
              <a:lnTo>
                <a:pt x="253566" y="224771"/>
              </a:lnTo>
              <a:lnTo>
                <a:pt x="347611" y="322045"/>
              </a:lnTo>
              <a:lnTo>
                <a:pt x="329481" y="3407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0.2813</cdr:x>
      <cdr:y>0.20672</cdr:y>
    </cdr:from>
    <cdr:to>
      <cdr:x>0.32502</cdr:x>
      <cdr:y>0.25505</cdr:y>
    </cdr:to>
    <cdr:sp macro="" textlink="">
      <cdr:nvSpPr>
        <cdr:cNvPr id="422" name="FracNo 1043 StartRow 4109">
          <a:extLst xmlns:a="http://schemas.openxmlformats.org/drawingml/2006/main">
            <a:ext uri="{FF2B5EF4-FFF2-40B4-BE49-F238E27FC236}">
              <a16:creationId xmlns:a16="http://schemas.microsoft.com/office/drawing/2014/main" id="{A866BE94-54FD-9717-4D2A-976CEE639271}"/>
            </a:ext>
          </a:extLst>
        </cdr:cNvPr>
        <cdr:cNvSpPr/>
      </cdr:nvSpPr>
      <cdr:spPr>
        <a:xfrm xmlns:a="http://schemas.openxmlformats.org/drawingml/2006/main">
          <a:off x="2057759" y="1575185"/>
          <a:ext cx="319844" cy="3683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844" h="368331">
              <a:moveTo>
                <a:pt x="130482" y="172467"/>
              </a:moveTo>
              <a:lnTo>
                <a:pt x="0" y="37503"/>
              </a:lnTo>
              <a:lnTo>
                <a:pt x="0" y="0"/>
              </a:lnTo>
              <a:lnTo>
                <a:pt x="130482" y="134963"/>
              </a:lnTo>
              <a:lnTo>
                <a:pt x="319843" y="330826"/>
              </a:lnTo>
              <a:lnTo>
                <a:pt x="319843" y="3683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0.27735</cdr:x>
      <cdr:y>0.21064</cdr:y>
    </cdr:from>
    <cdr:to>
      <cdr:x>0.32107</cdr:x>
      <cdr:y>0.25898</cdr:y>
    </cdr:to>
    <cdr:sp macro="" textlink="">
      <cdr:nvSpPr>
        <cdr:cNvPr id="423" name="FracNo 1032 StartRow 4118">
          <a:extLst xmlns:a="http://schemas.openxmlformats.org/drawingml/2006/main">
            <a:ext uri="{FF2B5EF4-FFF2-40B4-BE49-F238E27FC236}">
              <a16:creationId xmlns:a16="http://schemas.microsoft.com/office/drawing/2014/main" id="{F9FD43F6-7140-36F4-6947-FF99EBD76786}"/>
            </a:ext>
          </a:extLst>
        </cdr:cNvPr>
        <cdr:cNvSpPr/>
      </cdr:nvSpPr>
      <cdr:spPr>
        <a:xfrm xmlns:a="http://schemas.openxmlformats.org/drawingml/2006/main">
          <a:off x="2028847" y="1605089"/>
          <a:ext cx="319844" cy="368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844" h="368332">
              <a:moveTo>
                <a:pt x="303000" y="350909"/>
              </a:moveTo>
              <a:lnTo>
                <a:pt x="0" y="37504"/>
              </a:lnTo>
              <a:lnTo>
                <a:pt x="0" y="0"/>
              </a:lnTo>
              <a:lnTo>
                <a:pt x="303000" y="313405"/>
              </a:lnTo>
              <a:lnTo>
                <a:pt x="319843" y="330827"/>
              </a:lnTo>
              <a:lnTo>
                <a:pt x="319843" y="3683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0.56271</cdr:x>
      <cdr:y>0.51516</cdr:y>
    </cdr:from>
    <cdr:to>
      <cdr:x>0.6087</cdr:x>
      <cdr:y>0.56083</cdr:y>
    </cdr:to>
    <cdr:sp macro="" textlink="">
      <cdr:nvSpPr>
        <cdr:cNvPr id="424" name="FracNo 1206 StartRow 4127">
          <a:extLst xmlns:a="http://schemas.openxmlformats.org/drawingml/2006/main">
            <a:ext uri="{FF2B5EF4-FFF2-40B4-BE49-F238E27FC236}">
              <a16:creationId xmlns:a16="http://schemas.microsoft.com/office/drawing/2014/main" id="{94A32CA4-0FEC-C2D2-B04E-E8EC632AC3CB}"/>
            </a:ext>
          </a:extLst>
        </cdr:cNvPr>
        <cdr:cNvSpPr/>
      </cdr:nvSpPr>
      <cdr:spPr>
        <a:xfrm xmlns:a="http://schemas.openxmlformats.org/drawingml/2006/main">
          <a:off x="4116336" y="3925515"/>
          <a:ext cx="336456" cy="348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456" h="348010">
              <a:moveTo>
                <a:pt x="128659" y="252435"/>
              </a:moveTo>
              <a:lnTo>
                <a:pt x="36258" y="348009"/>
              </a:lnTo>
              <a:lnTo>
                <a:pt x="0" y="348009"/>
              </a:lnTo>
              <a:lnTo>
                <a:pt x="103561" y="240891"/>
              </a:lnTo>
              <a:lnTo>
                <a:pt x="336455" y="0"/>
              </a:lnTo>
              <a:lnTo>
                <a:pt x="33645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0.81513</cdr:x>
      <cdr:y>0.88445</cdr:y>
    </cdr:from>
    <cdr:to>
      <cdr:x>0.86111</cdr:x>
      <cdr:y>0.9301</cdr:y>
    </cdr:to>
    <cdr:sp macro="" textlink="">
      <cdr:nvSpPr>
        <cdr:cNvPr id="425" name="FracNo 1102 StartRow 4136">
          <a:extLst xmlns:a="http://schemas.openxmlformats.org/drawingml/2006/main">
            <a:ext uri="{FF2B5EF4-FFF2-40B4-BE49-F238E27FC236}">
              <a16:creationId xmlns:a16="http://schemas.microsoft.com/office/drawing/2014/main" id="{E9A7004A-A647-B270-3E60-94EA5BD682B6}"/>
            </a:ext>
          </a:extLst>
        </cdr:cNvPr>
        <cdr:cNvSpPr/>
      </cdr:nvSpPr>
      <cdr:spPr>
        <a:xfrm xmlns:a="http://schemas.openxmlformats.org/drawingml/2006/main">
          <a:off x="5962833" y="6739475"/>
          <a:ext cx="336340" cy="347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340" h="347891">
              <a:moveTo>
                <a:pt x="105227" y="146344"/>
              </a:moveTo>
              <a:lnTo>
                <a:pt x="0" y="37504"/>
              </a:lnTo>
              <a:lnTo>
                <a:pt x="0" y="0"/>
              </a:lnTo>
              <a:lnTo>
                <a:pt x="117942" y="121991"/>
              </a:lnTo>
              <a:lnTo>
                <a:pt x="336339" y="347890"/>
              </a:lnTo>
              <a:lnTo>
                <a:pt x="300081" y="3478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0.67282</cdr:x>
      <cdr:y>0.54678</cdr:y>
    </cdr:from>
    <cdr:to>
      <cdr:x>0.72126</cdr:x>
      <cdr:y>0.58996</cdr:y>
    </cdr:to>
    <cdr:sp macro="" textlink="">
      <cdr:nvSpPr>
        <cdr:cNvPr id="426" name="FracNo 756 StartRow 4145">
          <a:extLst xmlns:a="http://schemas.openxmlformats.org/drawingml/2006/main">
            <a:ext uri="{FF2B5EF4-FFF2-40B4-BE49-F238E27FC236}">
              <a16:creationId xmlns:a16="http://schemas.microsoft.com/office/drawing/2014/main" id="{70F89E3C-5252-13E0-ABA4-5ACDA5461C2D}"/>
            </a:ext>
          </a:extLst>
        </cdr:cNvPr>
        <cdr:cNvSpPr/>
      </cdr:nvSpPr>
      <cdr:spPr>
        <a:xfrm xmlns:a="http://schemas.openxmlformats.org/drawingml/2006/main">
          <a:off x="4921818" y="4166484"/>
          <a:ext cx="354370" cy="329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370" h="329037">
              <a:moveTo>
                <a:pt x="258820" y="230205"/>
              </a:moveTo>
              <a:lnTo>
                <a:pt x="36258" y="0"/>
              </a:lnTo>
              <a:lnTo>
                <a:pt x="0" y="0"/>
              </a:lnTo>
              <a:lnTo>
                <a:pt x="222561" y="230205"/>
              </a:lnTo>
              <a:lnTo>
                <a:pt x="318111" y="329036"/>
              </a:lnTo>
              <a:lnTo>
                <a:pt x="354369" y="3290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0.44645</cdr:x>
      <cdr:y>0.76843</cdr:y>
    </cdr:from>
    <cdr:to>
      <cdr:x>0.49106</cdr:x>
      <cdr:y>0.81519</cdr:y>
    </cdr:to>
    <cdr:sp macro="" textlink="">
      <cdr:nvSpPr>
        <cdr:cNvPr id="427" name="FracNo 802 StartRow 4154">
          <a:extLst xmlns:a="http://schemas.openxmlformats.org/drawingml/2006/main">
            <a:ext uri="{FF2B5EF4-FFF2-40B4-BE49-F238E27FC236}">
              <a16:creationId xmlns:a16="http://schemas.microsoft.com/office/drawing/2014/main" id="{067C8E60-5824-134E-B667-3A5639DA90D4}"/>
            </a:ext>
          </a:extLst>
        </cdr:cNvPr>
        <cdr:cNvSpPr/>
      </cdr:nvSpPr>
      <cdr:spPr>
        <a:xfrm xmlns:a="http://schemas.openxmlformats.org/drawingml/2006/main">
          <a:off x="3265838" y="5855458"/>
          <a:ext cx="326355" cy="3563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355" h="356315">
              <a:moveTo>
                <a:pt x="40739" y="23386"/>
              </a:moveTo>
              <a:lnTo>
                <a:pt x="18130" y="0"/>
              </a:lnTo>
              <a:lnTo>
                <a:pt x="0" y="18752"/>
              </a:lnTo>
              <a:lnTo>
                <a:pt x="23940" y="43514"/>
              </a:lnTo>
              <a:lnTo>
                <a:pt x="326354" y="356314"/>
              </a:lnTo>
              <a:lnTo>
                <a:pt x="326354" y="3188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0.89677</cdr:x>
      <cdr:y>0.85568</cdr:y>
    </cdr:from>
    <cdr:to>
      <cdr:x>0.94246</cdr:x>
      <cdr:y>0.90106</cdr:y>
    </cdr:to>
    <cdr:sp macro="" textlink="">
      <cdr:nvSpPr>
        <cdr:cNvPr id="428" name="FracNo 805 StartRow 4163">
          <a:extLst xmlns:a="http://schemas.openxmlformats.org/drawingml/2006/main">
            <a:ext uri="{FF2B5EF4-FFF2-40B4-BE49-F238E27FC236}">
              <a16:creationId xmlns:a16="http://schemas.microsoft.com/office/drawing/2014/main" id="{CF177BE9-BF8C-C072-02EB-FEBFD6A79B7C}"/>
            </a:ext>
          </a:extLst>
        </cdr:cNvPr>
        <cdr:cNvSpPr/>
      </cdr:nvSpPr>
      <cdr:spPr>
        <a:xfrm xmlns:a="http://schemas.openxmlformats.org/drawingml/2006/main">
          <a:off x="6560026" y="6520291"/>
          <a:ext cx="334282" cy="345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282" h="345762">
              <a:moveTo>
                <a:pt x="134493" y="206650"/>
              </a:moveTo>
              <a:lnTo>
                <a:pt x="0" y="345761"/>
              </a:lnTo>
              <a:lnTo>
                <a:pt x="36258" y="345761"/>
              </a:lnTo>
              <a:lnTo>
                <a:pt x="156163" y="221739"/>
              </a:lnTo>
              <a:lnTo>
                <a:pt x="334281" y="37504"/>
              </a:lnTo>
              <a:lnTo>
                <a:pt x="334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0.57316</cdr:x>
      <cdr:y>0.58902</cdr:y>
    </cdr:from>
    <cdr:to>
      <cdr:x>0.61879</cdr:x>
      <cdr:y>0.63433</cdr:y>
    </cdr:to>
    <cdr:sp macro="" textlink="">
      <cdr:nvSpPr>
        <cdr:cNvPr id="429" name="FracNo 665 StartRow 4172">
          <a:extLst xmlns:a="http://schemas.openxmlformats.org/drawingml/2006/main">
            <a:ext uri="{FF2B5EF4-FFF2-40B4-BE49-F238E27FC236}">
              <a16:creationId xmlns:a16="http://schemas.microsoft.com/office/drawing/2014/main" id="{54BB484A-2338-D9A3-BC2B-713530A3A65D}"/>
            </a:ext>
          </a:extLst>
        </cdr:cNvPr>
        <cdr:cNvSpPr/>
      </cdr:nvSpPr>
      <cdr:spPr>
        <a:xfrm xmlns:a="http://schemas.openxmlformats.org/drawingml/2006/main">
          <a:off x="4192751" y="4488345"/>
          <a:ext cx="333802" cy="345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3802" h="345266">
              <a:moveTo>
                <a:pt x="159444" y="180344"/>
              </a:moveTo>
              <a:lnTo>
                <a:pt x="0" y="345265"/>
              </a:lnTo>
              <a:lnTo>
                <a:pt x="0" y="307761"/>
              </a:lnTo>
              <a:lnTo>
                <a:pt x="142125" y="160755"/>
              </a:lnTo>
              <a:lnTo>
                <a:pt x="297543" y="0"/>
              </a:lnTo>
              <a:lnTo>
                <a:pt x="3338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0.57674</cdr:x>
      <cdr:y>0.12528</cdr:y>
    </cdr:from>
    <cdr:to>
      <cdr:x>0.61987</cdr:x>
      <cdr:y>0.17303</cdr:y>
    </cdr:to>
    <cdr:sp macro="" textlink="">
      <cdr:nvSpPr>
        <cdr:cNvPr id="430" name="FracNo 1143 StartRow 4181">
          <a:extLst xmlns:a="http://schemas.openxmlformats.org/drawingml/2006/main">
            <a:ext uri="{FF2B5EF4-FFF2-40B4-BE49-F238E27FC236}">
              <a16:creationId xmlns:a16="http://schemas.microsoft.com/office/drawing/2014/main" id="{09BB1723-5C09-4960-E496-B37B63FE3160}"/>
            </a:ext>
          </a:extLst>
        </cdr:cNvPr>
        <cdr:cNvSpPr/>
      </cdr:nvSpPr>
      <cdr:spPr>
        <a:xfrm xmlns:a="http://schemas.openxmlformats.org/drawingml/2006/main">
          <a:off x="4218947" y="954611"/>
          <a:ext cx="315530" cy="363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530" h="363869">
              <a:moveTo>
                <a:pt x="241019" y="249296"/>
              </a:moveTo>
              <a:lnTo>
                <a:pt x="0" y="0"/>
              </a:lnTo>
              <a:lnTo>
                <a:pt x="0" y="37504"/>
              </a:lnTo>
              <a:lnTo>
                <a:pt x="241019" y="286800"/>
              </a:lnTo>
              <a:lnTo>
                <a:pt x="315529" y="363868"/>
              </a:lnTo>
              <a:lnTo>
                <a:pt x="315529" y="3263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0.31198</cdr:x>
      <cdr:y>0.82679</cdr:y>
    </cdr:from>
    <cdr:to>
      <cdr:x>0.35489</cdr:x>
      <cdr:y>0.87432</cdr:y>
    </cdr:to>
    <cdr:sp macro="" textlink="">
      <cdr:nvSpPr>
        <cdr:cNvPr id="431" name="FracNo 963 StartRow 4190">
          <a:extLst xmlns:a="http://schemas.openxmlformats.org/drawingml/2006/main">
            <a:ext uri="{FF2B5EF4-FFF2-40B4-BE49-F238E27FC236}">
              <a16:creationId xmlns:a16="http://schemas.microsoft.com/office/drawing/2014/main" id="{D25437DE-F4A1-C10B-B4D9-AEB3EA433D60}"/>
            </a:ext>
          </a:extLst>
        </cdr:cNvPr>
        <cdr:cNvSpPr/>
      </cdr:nvSpPr>
      <cdr:spPr>
        <a:xfrm xmlns:a="http://schemas.openxmlformats.org/drawingml/2006/main">
          <a:off x="2282191" y="6300119"/>
          <a:ext cx="313910" cy="362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910" h="362195">
              <a:moveTo>
                <a:pt x="144619" y="187090"/>
              </a:moveTo>
              <a:lnTo>
                <a:pt x="0" y="37504"/>
              </a:lnTo>
              <a:lnTo>
                <a:pt x="0" y="0"/>
              </a:lnTo>
              <a:lnTo>
                <a:pt x="144619" y="149586"/>
              </a:lnTo>
              <a:lnTo>
                <a:pt x="313909" y="324690"/>
              </a:lnTo>
              <a:lnTo>
                <a:pt x="313909" y="3621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0.582</cdr:x>
      <cdr:y>0.88637</cdr:y>
    </cdr:from>
    <cdr:to>
      <cdr:x>0.62852</cdr:x>
      <cdr:y>0.9301</cdr:y>
    </cdr:to>
    <cdr:sp macro="" textlink="">
      <cdr:nvSpPr>
        <cdr:cNvPr id="432" name="FracNo 433 StartRow 4199">
          <a:extLst xmlns:a="http://schemas.openxmlformats.org/drawingml/2006/main">
            <a:ext uri="{FF2B5EF4-FFF2-40B4-BE49-F238E27FC236}">
              <a16:creationId xmlns:a16="http://schemas.microsoft.com/office/drawing/2014/main" id="{9F108630-4E17-52A5-33DF-8C606B9E5936}"/>
            </a:ext>
          </a:extLst>
        </cdr:cNvPr>
        <cdr:cNvSpPr/>
      </cdr:nvSpPr>
      <cdr:spPr>
        <a:xfrm xmlns:a="http://schemas.openxmlformats.org/drawingml/2006/main">
          <a:off x="4257466" y="6754158"/>
          <a:ext cx="340275" cy="3332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275" h="333208">
              <a:moveTo>
                <a:pt x="328809" y="30611"/>
              </a:moveTo>
              <a:lnTo>
                <a:pt x="36259" y="333207"/>
              </a:lnTo>
              <a:lnTo>
                <a:pt x="0" y="333207"/>
              </a:lnTo>
              <a:lnTo>
                <a:pt x="309996" y="12566"/>
              </a:lnTo>
              <a:lnTo>
                <a:pt x="322145" y="0"/>
              </a:lnTo>
              <a:lnTo>
                <a:pt x="3402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0.59664</cdr:x>
      <cdr:y>0.81644</cdr:y>
    </cdr:from>
    <cdr:to>
      <cdr:x>0.64066</cdr:x>
      <cdr:y>0.86261</cdr:y>
    </cdr:to>
    <cdr:sp macro="" textlink="">
      <cdr:nvSpPr>
        <cdr:cNvPr id="433" name="FracNo 787 StartRow 4208">
          <a:extLst xmlns:a="http://schemas.openxmlformats.org/drawingml/2006/main">
            <a:ext uri="{FF2B5EF4-FFF2-40B4-BE49-F238E27FC236}">
              <a16:creationId xmlns:a16="http://schemas.microsoft.com/office/drawing/2014/main" id="{B551BD58-A726-C09C-8863-4D1BD9DB1738}"/>
            </a:ext>
          </a:extLst>
        </cdr:cNvPr>
        <cdr:cNvSpPr/>
      </cdr:nvSpPr>
      <cdr:spPr>
        <a:xfrm xmlns:a="http://schemas.openxmlformats.org/drawingml/2006/main">
          <a:off x="4364564" y="6221297"/>
          <a:ext cx="321963" cy="351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963" h="351772">
              <a:moveTo>
                <a:pt x="121832" y="244506"/>
              </a:moveTo>
              <a:lnTo>
                <a:pt x="18129" y="351771"/>
              </a:lnTo>
              <a:lnTo>
                <a:pt x="0" y="333018"/>
              </a:lnTo>
              <a:lnTo>
                <a:pt x="109891" y="219354"/>
              </a:lnTo>
              <a:lnTo>
                <a:pt x="321962" y="0"/>
              </a:lnTo>
              <a:lnTo>
                <a:pt x="32196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0.71602</cdr:x>
      <cdr:y>0.10001</cdr:y>
    </cdr:from>
    <cdr:to>
      <cdr:x>0.76246</cdr:x>
      <cdr:y>0.14366</cdr:y>
    </cdr:to>
    <cdr:sp macro="" textlink="">
      <cdr:nvSpPr>
        <cdr:cNvPr id="434" name="FracNo 746 StartRow 4217">
          <a:extLst xmlns:a="http://schemas.openxmlformats.org/drawingml/2006/main">
            <a:ext uri="{FF2B5EF4-FFF2-40B4-BE49-F238E27FC236}">
              <a16:creationId xmlns:a16="http://schemas.microsoft.com/office/drawing/2014/main" id="{D9404886-F669-C49C-26A0-B358A534CE55}"/>
            </a:ext>
          </a:extLst>
        </cdr:cNvPr>
        <cdr:cNvSpPr/>
      </cdr:nvSpPr>
      <cdr:spPr>
        <a:xfrm xmlns:a="http://schemas.openxmlformats.org/drawingml/2006/main">
          <a:off x="5237807" y="762056"/>
          <a:ext cx="339752" cy="332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752" h="332668">
              <a:moveTo>
                <a:pt x="37909" y="293456"/>
              </a:moveTo>
              <a:lnTo>
                <a:pt x="0" y="332667"/>
              </a:lnTo>
              <a:lnTo>
                <a:pt x="36259" y="332667"/>
              </a:lnTo>
              <a:lnTo>
                <a:pt x="72031" y="295666"/>
              </a:lnTo>
              <a:lnTo>
                <a:pt x="339751" y="18752"/>
              </a:lnTo>
              <a:lnTo>
                <a:pt x="321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0.28395</cdr:x>
      <cdr:y>0.72612</cdr:y>
    </cdr:from>
    <cdr:to>
      <cdr:x>0.33161</cdr:x>
      <cdr:y>0.76852</cdr:y>
    </cdr:to>
    <cdr:sp macro="" textlink="">
      <cdr:nvSpPr>
        <cdr:cNvPr id="435" name="FracNo 1201 StartRow 4226">
          <a:extLst xmlns:a="http://schemas.openxmlformats.org/drawingml/2006/main">
            <a:ext uri="{FF2B5EF4-FFF2-40B4-BE49-F238E27FC236}">
              <a16:creationId xmlns:a16="http://schemas.microsoft.com/office/drawing/2014/main" id="{82FBDC82-2AC8-A05A-83AB-481AA0B832CF}"/>
            </a:ext>
          </a:extLst>
        </cdr:cNvPr>
        <cdr:cNvSpPr/>
      </cdr:nvSpPr>
      <cdr:spPr>
        <a:xfrm xmlns:a="http://schemas.openxmlformats.org/drawingml/2006/main">
          <a:off x="2077169" y="5533027"/>
          <a:ext cx="348658" cy="323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658" h="323129">
              <a:moveTo>
                <a:pt x="132796" y="185771"/>
              </a:moveTo>
              <a:lnTo>
                <a:pt x="0" y="323128"/>
              </a:lnTo>
              <a:lnTo>
                <a:pt x="36259" y="323128"/>
              </a:lnTo>
              <a:lnTo>
                <a:pt x="169054" y="185771"/>
              </a:lnTo>
              <a:lnTo>
                <a:pt x="348657" y="0"/>
              </a:lnTo>
              <a:lnTo>
                <a:pt x="3123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0.32299</cdr:x>
      <cdr:y>0.41176</cdr:y>
    </cdr:from>
    <cdr:to>
      <cdr:x>0.36677</cdr:x>
      <cdr:y>0.45769</cdr:y>
    </cdr:to>
    <cdr:sp macro="" textlink="">
      <cdr:nvSpPr>
        <cdr:cNvPr id="436" name="FracNo 356 StartRow 4235">
          <a:extLst xmlns:a="http://schemas.openxmlformats.org/drawingml/2006/main">
            <a:ext uri="{FF2B5EF4-FFF2-40B4-BE49-F238E27FC236}">
              <a16:creationId xmlns:a16="http://schemas.microsoft.com/office/drawing/2014/main" id="{AC1F27CB-D2DF-667B-AE70-36C317943DE7}"/>
            </a:ext>
          </a:extLst>
        </cdr:cNvPr>
        <cdr:cNvSpPr/>
      </cdr:nvSpPr>
      <cdr:spPr>
        <a:xfrm xmlns:a="http://schemas.openxmlformats.org/drawingml/2006/main">
          <a:off x="2362737" y="3137642"/>
          <a:ext cx="320243" cy="349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243" h="349993">
              <a:moveTo>
                <a:pt x="204887" y="119318"/>
              </a:moveTo>
              <a:lnTo>
                <a:pt x="0" y="331240"/>
              </a:lnTo>
              <a:lnTo>
                <a:pt x="18130" y="349992"/>
              </a:lnTo>
              <a:lnTo>
                <a:pt x="211417" y="150067"/>
              </a:lnTo>
              <a:lnTo>
                <a:pt x="320242" y="37504"/>
              </a:lnTo>
              <a:lnTo>
                <a:pt x="3202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0.703</cdr:x>
      <cdr:y>0.49395</cdr:y>
    </cdr:from>
    <cdr:to>
      <cdr:x>0.74534</cdr:x>
      <cdr:y>0.54091</cdr:y>
    </cdr:to>
    <cdr:sp macro="" textlink="">
      <cdr:nvSpPr>
        <cdr:cNvPr id="437" name="FracNo 976 StartRow 4244">
          <a:extLst xmlns:a="http://schemas.openxmlformats.org/drawingml/2006/main">
            <a:ext uri="{FF2B5EF4-FFF2-40B4-BE49-F238E27FC236}">
              <a16:creationId xmlns:a16="http://schemas.microsoft.com/office/drawing/2014/main" id="{E4A1A28E-44E7-B7AA-C988-D0285B3BC74D}"/>
            </a:ext>
          </a:extLst>
        </cdr:cNvPr>
        <cdr:cNvSpPr/>
      </cdr:nvSpPr>
      <cdr:spPr>
        <a:xfrm xmlns:a="http://schemas.openxmlformats.org/drawingml/2006/main">
          <a:off x="5142574" y="3763911"/>
          <a:ext cx="309709" cy="357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709" h="357848">
              <a:moveTo>
                <a:pt x="118024" y="159581"/>
              </a:moveTo>
              <a:lnTo>
                <a:pt x="0" y="37503"/>
              </a:lnTo>
              <a:lnTo>
                <a:pt x="0" y="0"/>
              </a:lnTo>
              <a:lnTo>
                <a:pt x="118024" y="122077"/>
              </a:lnTo>
              <a:lnTo>
                <a:pt x="309708" y="320344"/>
              </a:lnTo>
              <a:lnTo>
                <a:pt x="309708" y="3578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0.20831</cdr:x>
      <cdr:y>0.79576</cdr:y>
    </cdr:from>
    <cdr:to>
      <cdr:x>0.25047</cdr:x>
      <cdr:y>0.84254</cdr:y>
    </cdr:to>
    <cdr:sp macro="" textlink="">
      <cdr:nvSpPr>
        <cdr:cNvPr id="438" name="FracNo 773 StartRow 4253">
          <a:extLst xmlns:a="http://schemas.openxmlformats.org/drawingml/2006/main">
            <a:ext uri="{FF2B5EF4-FFF2-40B4-BE49-F238E27FC236}">
              <a16:creationId xmlns:a16="http://schemas.microsoft.com/office/drawing/2014/main" id="{ECAF60F1-063B-96A2-1A64-3A3F9F4524A1}"/>
            </a:ext>
          </a:extLst>
        </cdr:cNvPr>
        <cdr:cNvSpPr/>
      </cdr:nvSpPr>
      <cdr:spPr>
        <a:xfrm xmlns:a="http://schemas.openxmlformats.org/drawingml/2006/main">
          <a:off x="1523833" y="6063654"/>
          <a:ext cx="308428" cy="356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428" h="356524">
              <a:moveTo>
                <a:pt x="147354" y="152415"/>
              </a:moveTo>
              <a:lnTo>
                <a:pt x="0" y="0"/>
              </a:lnTo>
              <a:lnTo>
                <a:pt x="0" y="37504"/>
              </a:lnTo>
              <a:lnTo>
                <a:pt x="147354" y="189919"/>
              </a:lnTo>
              <a:lnTo>
                <a:pt x="308427" y="356523"/>
              </a:lnTo>
              <a:lnTo>
                <a:pt x="308427" y="3190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0.51832</cdr:x>
      <cdr:y>0.76782</cdr:y>
    </cdr:from>
    <cdr:to>
      <cdr:x>0.56277</cdr:x>
      <cdr:y>0.81196</cdr:y>
    </cdr:to>
    <cdr:sp macro="" textlink="">
      <cdr:nvSpPr>
        <cdr:cNvPr id="439" name="FracNo 474 StartRow 4262">
          <a:extLst xmlns:a="http://schemas.openxmlformats.org/drawingml/2006/main">
            <a:ext uri="{FF2B5EF4-FFF2-40B4-BE49-F238E27FC236}">
              <a16:creationId xmlns:a16="http://schemas.microsoft.com/office/drawing/2014/main" id="{2BFB79ED-5D9E-E5B5-B7C8-0C0BC2422C67}"/>
            </a:ext>
          </a:extLst>
        </cdr:cNvPr>
        <cdr:cNvSpPr/>
      </cdr:nvSpPr>
      <cdr:spPr>
        <a:xfrm xmlns:a="http://schemas.openxmlformats.org/drawingml/2006/main">
          <a:off x="3791588" y="5850763"/>
          <a:ext cx="325179" cy="336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179" h="336346">
              <a:moveTo>
                <a:pt x="147665" y="152736"/>
              </a:moveTo>
              <a:lnTo>
                <a:pt x="0" y="0"/>
              </a:lnTo>
              <a:lnTo>
                <a:pt x="36259" y="0"/>
              </a:lnTo>
              <a:lnTo>
                <a:pt x="167458" y="135705"/>
              </a:lnTo>
              <a:lnTo>
                <a:pt x="325178" y="298841"/>
              </a:lnTo>
              <a:lnTo>
                <a:pt x="325178" y="3363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0.25083</cdr:x>
      <cdr:y>0.58581</cdr:y>
    </cdr:from>
    <cdr:to>
      <cdr:x>0.29527</cdr:x>
      <cdr:y>0.62993</cdr:y>
    </cdr:to>
    <cdr:sp macro="" textlink="">
      <cdr:nvSpPr>
        <cdr:cNvPr id="440" name="FracNo 397 StartRow 4271">
          <a:extLst xmlns:a="http://schemas.openxmlformats.org/drawingml/2006/main">
            <a:ext uri="{FF2B5EF4-FFF2-40B4-BE49-F238E27FC236}">
              <a16:creationId xmlns:a16="http://schemas.microsoft.com/office/drawing/2014/main" id="{B6C3095A-DA2D-5FB0-44C4-D6F47888D4FA}"/>
            </a:ext>
          </a:extLst>
        </cdr:cNvPr>
        <cdr:cNvSpPr/>
      </cdr:nvSpPr>
      <cdr:spPr>
        <a:xfrm xmlns:a="http://schemas.openxmlformats.org/drawingml/2006/main">
          <a:off x="1834890" y="4463893"/>
          <a:ext cx="325037" cy="3361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037" h="336199">
              <a:moveTo>
                <a:pt x="101944" y="124196"/>
              </a:moveTo>
              <a:lnTo>
                <a:pt x="0" y="18751"/>
              </a:lnTo>
              <a:lnTo>
                <a:pt x="18129" y="0"/>
              </a:lnTo>
              <a:lnTo>
                <a:pt x="120073" y="105444"/>
              </a:lnTo>
              <a:lnTo>
                <a:pt x="325036" y="317446"/>
              </a:lnTo>
              <a:lnTo>
                <a:pt x="306907" y="3361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0.4391</cdr:x>
      <cdr:y>0.27042</cdr:y>
    </cdr:from>
    <cdr:to>
      <cdr:x>0.48092</cdr:x>
      <cdr:y>0.31687</cdr:y>
    </cdr:to>
    <cdr:sp macro="" textlink="">
      <cdr:nvSpPr>
        <cdr:cNvPr id="441" name="FracNo 230 StartRow 4280">
          <a:extLst xmlns:a="http://schemas.openxmlformats.org/drawingml/2006/main">
            <a:ext uri="{FF2B5EF4-FFF2-40B4-BE49-F238E27FC236}">
              <a16:creationId xmlns:a16="http://schemas.microsoft.com/office/drawing/2014/main" id="{6041943E-E4A8-C3C0-3DC3-A1F1C3E5B260}"/>
            </a:ext>
          </a:extLst>
        </cdr:cNvPr>
        <cdr:cNvSpPr/>
      </cdr:nvSpPr>
      <cdr:spPr>
        <a:xfrm xmlns:a="http://schemas.openxmlformats.org/drawingml/2006/main">
          <a:off x="3212091" y="2060618"/>
          <a:ext cx="305907" cy="353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907" h="353917">
              <a:moveTo>
                <a:pt x="85309" y="88239"/>
              </a:moveTo>
              <a:lnTo>
                <a:pt x="0" y="0"/>
              </a:lnTo>
              <a:lnTo>
                <a:pt x="0" y="37504"/>
              </a:lnTo>
              <a:lnTo>
                <a:pt x="85309" y="125743"/>
              </a:lnTo>
              <a:lnTo>
                <a:pt x="305906" y="353916"/>
              </a:lnTo>
              <a:lnTo>
                <a:pt x="305906" y="3164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0.44367</cdr:x>
      <cdr:y>0.26588</cdr:y>
    </cdr:from>
    <cdr:to>
      <cdr:x>0.49045</cdr:x>
      <cdr:y>0.3074</cdr:y>
    </cdr:to>
    <cdr:sp macro="" textlink="">
      <cdr:nvSpPr>
        <cdr:cNvPr id="442" name="FracNo 854 StartRow 4289">
          <a:extLst xmlns:a="http://schemas.openxmlformats.org/drawingml/2006/main">
            <a:ext uri="{FF2B5EF4-FFF2-40B4-BE49-F238E27FC236}">
              <a16:creationId xmlns:a16="http://schemas.microsoft.com/office/drawing/2014/main" id="{A8E11A13-3DA7-7E16-E556-15C19F01B7B1}"/>
            </a:ext>
          </a:extLst>
        </cdr:cNvPr>
        <cdr:cNvSpPr/>
      </cdr:nvSpPr>
      <cdr:spPr>
        <a:xfrm xmlns:a="http://schemas.openxmlformats.org/drawingml/2006/main">
          <a:off x="3245559" y="2026000"/>
          <a:ext cx="342166" cy="316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166" h="316413">
              <a:moveTo>
                <a:pt x="33907" y="35071"/>
              </a:moveTo>
              <a:lnTo>
                <a:pt x="0" y="0"/>
              </a:lnTo>
              <a:lnTo>
                <a:pt x="36259" y="0"/>
              </a:lnTo>
              <a:lnTo>
                <a:pt x="70166" y="35071"/>
              </a:lnTo>
              <a:lnTo>
                <a:pt x="342165" y="316412"/>
              </a:lnTo>
              <a:lnTo>
                <a:pt x="305907" y="3164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0.44337</cdr:x>
      <cdr:y>0.26618</cdr:y>
    </cdr:from>
    <cdr:to>
      <cdr:x>0.48519</cdr:x>
      <cdr:y>0.31262</cdr:y>
    </cdr:to>
    <cdr:sp macro="" textlink="">
      <cdr:nvSpPr>
        <cdr:cNvPr id="443" name="FracNo 904 StartRow 4298">
          <a:extLst xmlns:a="http://schemas.openxmlformats.org/drawingml/2006/main">
            <a:ext uri="{FF2B5EF4-FFF2-40B4-BE49-F238E27FC236}">
              <a16:creationId xmlns:a16="http://schemas.microsoft.com/office/drawing/2014/main" id="{3C29645D-D2E5-03F7-3F0C-5C06BD4BF52E}"/>
            </a:ext>
          </a:extLst>
        </cdr:cNvPr>
        <cdr:cNvSpPr/>
      </cdr:nvSpPr>
      <cdr:spPr>
        <a:xfrm xmlns:a="http://schemas.openxmlformats.org/drawingml/2006/main">
          <a:off x="3243353" y="2028282"/>
          <a:ext cx="305908" cy="353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908" h="353917">
              <a:moveTo>
                <a:pt x="291930" y="301956"/>
              </a:moveTo>
              <a:lnTo>
                <a:pt x="0" y="0"/>
              </a:lnTo>
              <a:lnTo>
                <a:pt x="0" y="37504"/>
              </a:lnTo>
              <a:lnTo>
                <a:pt x="291930" y="339459"/>
              </a:lnTo>
              <a:lnTo>
                <a:pt x="305907" y="353916"/>
              </a:lnTo>
              <a:lnTo>
                <a:pt x="305907" y="3164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0.89817</cdr:x>
      <cdr:y>0.22</cdr:y>
    </cdr:from>
    <cdr:to>
      <cdr:x>0.94246</cdr:x>
      <cdr:y>0.26398</cdr:y>
    </cdr:to>
    <cdr:sp macro="" textlink="">
      <cdr:nvSpPr>
        <cdr:cNvPr id="444" name="FracNo 953 StartRow 4307">
          <a:extLst xmlns:a="http://schemas.openxmlformats.org/drawingml/2006/main">
            <a:ext uri="{FF2B5EF4-FFF2-40B4-BE49-F238E27FC236}">
              <a16:creationId xmlns:a16="http://schemas.microsoft.com/office/drawing/2014/main" id="{4809E55C-E321-F40A-31A2-C5EB35642A75}"/>
            </a:ext>
          </a:extLst>
        </cdr:cNvPr>
        <cdr:cNvSpPr/>
      </cdr:nvSpPr>
      <cdr:spPr>
        <a:xfrm xmlns:a="http://schemas.openxmlformats.org/drawingml/2006/main">
          <a:off x="6570325" y="1676381"/>
          <a:ext cx="323983" cy="335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983" h="335110">
              <a:moveTo>
                <a:pt x="213887" y="151380"/>
              </a:moveTo>
              <a:lnTo>
                <a:pt x="36258" y="335109"/>
              </a:lnTo>
              <a:lnTo>
                <a:pt x="0" y="335109"/>
              </a:lnTo>
              <a:lnTo>
                <a:pt x="200013" y="128227"/>
              </a:lnTo>
              <a:lnTo>
                <a:pt x="323982" y="0"/>
              </a:lnTo>
              <a:lnTo>
                <a:pt x="32398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0.21304</cdr:x>
      <cdr:y>0.16085</cdr:y>
    </cdr:from>
    <cdr:to>
      <cdr:x>0.25721</cdr:x>
      <cdr:y>0.20471</cdr:y>
    </cdr:to>
    <cdr:sp macro="" textlink="">
      <cdr:nvSpPr>
        <cdr:cNvPr id="445" name="FracNo 1131 StartRow 4316">
          <a:extLst xmlns:a="http://schemas.openxmlformats.org/drawingml/2006/main">
            <a:ext uri="{FF2B5EF4-FFF2-40B4-BE49-F238E27FC236}">
              <a16:creationId xmlns:a16="http://schemas.microsoft.com/office/drawing/2014/main" id="{E0CCC4AC-FBED-7C9C-614A-BCC7A55DF63D}"/>
            </a:ext>
          </a:extLst>
        </cdr:cNvPr>
        <cdr:cNvSpPr/>
      </cdr:nvSpPr>
      <cdr:spPr>
        <a:xfrm xmlns:a="http://schemas.openxmlformats.org/drawingml/2006/main">
          <a:off x="1558422" y="1225650"/>
          <a:ext cx="323121" cy="334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121" h="334217">
              <a:moveTo>
                <a:pt x="152058" y="119776"/>
              </a:moveTo>
              <a:lnTo>
                <a:pt x="36258" y="0"/>
              </a:lnTo>
              <a:lnTo>
                <a:pt x="0" y="0"/>
              </a:lnTo>
              <a:lnTo>
                <a:pt x="130436" y="134916"/>
              </a:lnTo>
              <a:lnTo>
                <a:pt x="323120" y="334216"/>
              </a:lnTo>
              <a:lnTo>
                <a:pt x="323120" y="2967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0.21598</cdr:x>
      <cdr:y>0.15793</cdr:y>
    </cdr:from>
    <cdr:to>
      <cdr:x>0.26015</cdr:x>
      <cdr:y>0.20179</cdr:y>
    </cdr:to>
    <cdr:sp macro="" textlink="">
      <cdr:nvSpPr>
        <cdr:cNvPr id="446" name="FracNo 890 StartRow 4325">
          <a:extLst xmlns:a="http://schemas.openxmlformats.org/drawingml/2006/main">
            <a:ext uri="{FF2B5EF4-FFF2-40B4-BE49-F238E27FC236}">
              <a16:creationId xmlns:a16="http://schemas.microsoft.com/office/drawing/2014/main" id="{1DFBC5AF-37E6-BC5C-AE6C-EBF3426AE76D}"/>
            </a:ext>
          </a:extLst>
        </cdr:cNvPr>
        <cdr:cNvSpPr/>
      </cdr:nvSpPr>
      <cdr:spPr>
        <a:xfrm xmlns:a="http://schemas.openxmlformats.org/drawingml/2006/main">
          <a:off x="1579921" y="1203412"/>
          <a:ext cx="323121" cy="334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121" h="334218">
              <a:moveTo>
                <a:pt x="309093" y="282204"/>
              </a:moveTo>
              <a:lnTo>
                <a:pt x="36259" y="0"/>
              </a:lnTo>
              <a:lnTo>
                <a:pt x="0" y="0"/>
              </a:lnTo>
              <a:lnTo>
                <a:pt x="307319" y="317873"/>
              </a:lnTo>
              <a:lnTo>
                <a:pt x="323120" y="334217"/>
              </a:lnTo>
              <a:lnTo>
                <a:pt x="323120" y="2967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0.70151</cdr:x>
      <cdr:y>0.08544</cdr:y>
    </cdr:from>
    <cdr:to>
      <cdr:x>0.74563</cdr:x>
      <cdr:y>0.12926</cdr:y>
    </cdr:to>
    <cdr:sp macro="" textlink="">
      <cdr:nvSpPr>
        <cdr:cNvPr id="447" name="FracNo 509 StartRow 4334">
          <a:extLst xmlns:a="http://schemas.openxmlformats.org/drawingml/2006/main">
            <a:ext uri="{FF2B5EF4-FFF2-40B4-BE49-F238E27FC236}">
              <a16:creationId xmlns:a16="http://schemas.microsoft.com/office/drawing/2014/main" id="{9E2DD736-3D32-54F8-1134-EAEB266AFC0D}"/>
            </a:ext>
          </a:extLst>
        </cdr:cNvPr>
        <cdr:cNvSpPr/>
      </cdr:nvSpPr>
      <cdr:spPr>
        <a:xfrm xmlns:a="http://schemas.openxmlformats.org/drawingml/2006/main">
          <a:off x="5131658" y="651036"/>
          <a:ext cx="322807" cy="333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807" h="333892">
              <a:moveTo>
                <a:pt x="246480" y="78946"/>
              </a:moveTo>
              <a:lnTo>
                <a:pt x="0" y="333891"/>
              </a:lnTo>
              <a:lnTo>
                <a:pt x="0" y="296388"/>
              </a:lnTo>
              <a:lnTo>
                <a:pt x="218795" y="70079"/>
              </a:lnTo>
              <a:lnTo>
                <a:pt x="286547" y="0"/>
              </a:lnTo>
              <a:lnTo>
                <a:pt x="3228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0.41713</cdr:x>
      <cdr:y>0.48696</cdr:y>
    </cdr:from>
    <cdr:to>
      <cdr:x>0.4612</cdr:x>
      <cdr:y>0.53072</cdr:y>
    </cdr:to>
    <cdr:sp macro="" textlink="">
      <cdr:nvSpPr>
        <cdr:cNvPr id="448" name="FracNo 712 StartRow 4343">
          <a:extLst xmlns:a="http://schemas.openxmlformats.org/drawingml/2006/main">
            <a:ext uri="{FF2B5EF4-FFF2-40B4-BE49-F238E27FC236}">
              <a16:creationId xmlns:a16="http://schemas.microsoft.com/office/drawing/2014/main" id="{F062C508-56F8-2944-EE42-F6FF0D6F3AB6}"/>
            </a:ext>
          </a:extLst>
        </cdr:cNvPr>
        <cdr:cNvSpPr/>
      </cdr:nvSpPr>
      <cdr:spPr>
        <a:xfrm xmlns:a="http://schemas.openxmlformats.org/drawingml/2006/main">
          <a:off x="3051400" y="3710673"/>
          <a:ext cx="322357" cy="333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357" h="333428">
              <a:moveTo>
                <a:pt x="185206" y="191567"/>
              </a:moveTo>
              <a:lnTo>
                <a:pt x="0" y="0"/>
              </a:lnTo>
              <a:lnTo>
                <a:pt x="36259" y="0"/>
              </a:lnTo>
              <a:lnTo>
                <a:pt x="200633" y="170019"/>
              </a:lnTo>
              <a:lnTo>
                <a:pt x="322356" y="295923"/>
              </a:lnTo>
              <a:lnTo>
                <a:pt x="322356" y="3334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0.61398</cdr:x>
      <cdr:y>0.57305</cdr:y>
    </cdr:from>
    <cdr:to>
      <cdr:x>0.6568</cdr:x>
      <cdr:y>0.61804</cdr:y>
    </cdr:to>
    <cdr:sp macro="" textlink="">
      <cdr:nvSpPr>
        <cdr:cNvPr id="449" name="FracNo 718 StartRow 4352">
          <a:extLst xmlns:a="http://schemas.openxmlformats.org/drawingml/2006/main">
            <a:ext uri="{FF2B5EF4-FFF2-40B4-BE49-F238E27FC236}">
              <a16:creationId xmlns:a16="http://schemas.microsoft.com/office/drawing/2014/main" id="{59533914-FAFE-5ADE-8692-8F88FFFE9F2E}"/>
            </a:ext>
          </a:extLst>
        </cdr:cNvPr>
        <cdr:cNvSpPr/>
      </cdr:nvSpPr>
      <cdr:spPr>
        <a:xfrm xmlns:a="http://schemas.openxmlformats.org/drawingml/2006/main">
          <a:off x="4491385" y="4366673"/>
          <a:ext cx="313270" cy="342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270" h="342780">
              <a:moveTo>
                <a:pt x="162315" y="149137"/>
              </a:moveTo>
              <a:lnTo>
                <a:pt x="18129" y="0"/>
              </a:lnTo>
              <a:lnTo>
                <a:pt x="0" y="18752"/>
              </a:lnTo>
              <a:lnTo>
                <a:pt x="153042" y="177050"/>
              </a:lnTo>
              <a:lnTo>
                <a:pt x="313269" y="342779"/>
              </a:lnTo>
              <a:lnTo>
                <a:pt x="313269" y="3052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0.47356</cdr:x>
      <cdr:y>0.24325</cdr:y>
    </cdr:from>
    <cdr:to>
      <cdr:x>0.5201</cdr:x>
      <cdr:y>0.28453</cdr:y>
    </cdr:to>
    <cdr:sp macro="" textlink="">
      <cdr:nvSpPr>
        <cdr:cNvPr id="450" name="FracNo 731 StartRow 4361">
          <a:extLst xmlns:a="http://schemas.openxmlformats.org/drawingml/2006/main">
            <a:ext uri="{FF2B5EF4-FFF2-40B4-BE49-F238E27FC236}">
              <a16:creationId xmlns:a16="http://schemas.microsoft.com/office/drawing/2014/main" id="{B3C8739A-72DB-DEE5-98B3-4DA13771C97A}"/>
            </a:ext>
          </a:extLst>
        </cdr:cNvPr>
        <cdr:cNvSpPr/>
      </cdr:nvSpPr>
      <cdr:spPr>
        <a:xfrm xmlns:a="http://schemas.openxmlformats.org/drawingml/2006/main">
          <a:off x="3464212" y="1853532"/>
          <a:ext cx="340393" cy="314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393" h="314579">
              <a:moveTo>
                <a:pt x="166902" y="172635"/>
              </a:moveTo>
              <a:lnTo>
                <a:pt x="0" y="0"/>
              </a:lnTo>
              <a:lnTo>
                <a:pt x="36258" y="0"/>
              </a:lnTo>
              <a:lnTo>
                <a:pt x="203161" y="172635"/>
              </a:lnTo>
              <a:lnTo>
                <a:pt x="340392" y="314578"/>
              </a:lnTo>
              <a:lnTo>
                <a:pt x="304134" y="3145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0.48245</cdr:x>
      <cdr:y>0.55442</cdr:y>
    </cdr:from>
    <cdr:to>
      <cdr:x>0.52759</cdr:x>
      <cdr:y>0.59678</cdr:y>
    </cdr:to>
    <cdr:sp macro="" textlink="">
      <cdr:nvSpPr>
        <cdr:cNvPr id="451" name="FracNo 662 StartRow 4370">
          <a:extLst xmlns:a="http://schemas.openxmlformats.org/drawingml/2006/main">
            <a:ext uri="{FF2B5EF4-FFF2-40B4-BE49-F238E27FC236}">
              <a16:creationId xmlns:a16="http://schemas.microsoft.com/office/drawing/2014/main" id="{B074B204-5169-531C-B69A-08233DB808BA}"/>
            </a:ext>
          </a:extLst>
        </cdr:cNvPr>
        <cdr:cNvSpPr/>
      </cdr:nvSpPr>
      <cdr:spPr>
        <a:xfrm xmlns:a="http://schemas.openxmlformats.org/drawingml/2006/main">
          <a:off x="3529211" y="4224692"/>
          <a:ext cx="330218" cy="322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218" h="322807">
              <a:moveTo>
                <a:pt x="64909" y="236916"/>
              </a:moveTo>
              <a:lnTo>
                <a:pt x="0" y="304054"/>
              </a:lnTo>
              <a:lnTo>
                <a:pt x="18129" y="322806"/>
              </a:lnTo>
              <a:lnTo>
                <a:pt x="87042" y="251527"/>
              </a:lnTo>
              <a:lnTo>
                <a:pt x="330217" y="0"/>
              </a:lnTo>
              <a:lnTo>
                <a:pt x="2939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0.50831</cdr:x>
      <cdr:y>0.46092</cdr:y>
    </cdr:from>
    <cdr:to>
      <cdr:x>0.55197</cdr:x>
      <cdr:y>0.50427</cdr:y>
    </cdr:to>
    <cdr:sp macro="" textlink="">
      <cdr:nvSpPr>
        <cdr:cNvPr id="452" name="FracNo 671 StartRow 4379">
          <a:extLst xmlns:a="http://schemas.openxmlformats.org/drawingml/2006/main">
            <a:ext uri="{FF2B5EF4-FFF2-40B4-BE49-F238E27FC236}">
              <a16:creationId xmlns:a16="http://schemas.microsoft.com/office/drawing/2014/main" id="{4649926D-8939-6DC4-0468-F470C6796CE8}"/>
            </a:ext>
          </a:extLst>
        </cdr:cNvPr>
        <cdr:cNvSpPr/>
      </cdr:nvSpPr>
      <cdr:spPr>
        <a:xfrm xmlns:a="http://schemas.openxmlformats.org/drawingml/2006/main">
          <a:off x="3718404" y="3512197"/>
          <a:ext cx="319345" cy="330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345" h="330312">
              <a:moveTo>
                <a:pt x="21027" y="308561"/>
              </a:moveTo>
              <a:lnTo>
                <a:pt x="0" y="330311"/>
              </a:lnTo>
              <a:lnTo>
                <a:pt x="36258" y="330311"/>
              </a:lnTo>
              <a:lnTo>
                <a:pt x="54899" y="311030"/>
              </a:lnTo>
              <a:lnTo>
                <a:pt x="319344" y="37504"/>
              </a:lnTo>
              <a:lnTo>
                <a:pt x="319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0.49842</cdr:x>
      <cdr:y>0.4511</cdr:y>
    </cdr:from>
    <cdr:to>
      <cdr:x>0.54208</cdr:x>
      <cdr:y>0.49445</cdr:y>
    </cdr:to>
    <cdr:sp macro="" textlink="">
      <cdr:nvSpPr>
        <cdr:cNvPr id="453" name="FracNo 878 StartRow 4388">
          <a:extLst xmlns:a="http://schemas.openxmlformats.org/drawingml/2006/main">
            <a:ext uri="{FF2B5EF4-FFF2-40B4-BE49-F238E27FC236}">
              <a16:creationId xmlns:a16="http://schemas.microsoft.com/office/drawing/2014/main" id="{D4DCB295-EF5A-EA74-9A3F-81A12BFFEA80}"/>
            </a:ext>
          </a:extLst>
        </cdr:cNvPr>
        <cdr:cNvSpPr/>
      </cdr:nvSpPr>
      <cdr:spPr>
        <a:xfrm xmlns:a="http://schemas.openxmlformats.org/drawingml/2006/main">
          <a:off x="3646051" y="3437360"/>
          <a:ext cx="319345" cy="330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345" h="330312">
              <a:moveTo>
                <a:pt x="46391" y="282327"/>
              </a:moveTo>
              <a:lnTo>
                <a:pt x="0" y="330311"/>
              </a:lnTo>
              <a:lnTo>
                <a:pt x="36258" y="330311"/>
              </a:lnTo>
              <a:lnTo>
                <a:pt x="77382" y="287775"/>
              </a:lnTo>
              <a:lnTo>
                <a:pt x="319344" y="37504"/>
              </a:lnTo>
              <a:lnTo>
                <a:pt x="319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0.25334</cdr:x>
      <cdr:y>0.88827</cdr:y>
    </cdr:from>
    <cdr:to>
      <cdr:x>0.29795</cdr:x>
      <cdr:y>0.9301</cdr:y>
    </cdr:to>
    <cdr:sp macro="" textlink="">
      <cdr:nvSpPr>
        <cdr:cNvPr id="454" name="FracNo 23 StartRow 4397">
          <a:extLst xmlns:a="http://schemas.openxmlformats.org/drawingml/2006/main">
            <a:ext uri="{FF2B5EF4-FFF2-40B4-BE49-F238E27FC236}">
              <a16:creationId xmlns:a16="http://schemas.microsoft.com/office/drawing/2014/main" id="{EFFFE5DE-3567-F062-5F13-F78BD1260879}"/>
            </a:ext>
          </a:extLst>
        </cdr:cNvPr>
        <cdr:cNvSpPr/>
      </cdr:nvSpPr>
      <cdr:spPr>
        <a:xfrm xmlns:a="http://schemas.openxmlformats.org/drawingml/2006/main">
          <a:off x="1853264" y="6768604"/>
          <a:ext cx="326308" cy="318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308" h="318762">
              <a:moveTo>
                <a:pt x="88986" y="264223"/>
              </a:moveTo>
              <a:lnTo>
                <a:pt x="36258" y="318761"/>
              </a:lnTo>
              <a:lnTo>
                <a:pt x="0" y="318761"/>
              </a:lnTo>
              <a:lnTo>
                <a:pt x="56023" y="260813"/>
              </a:lnTo>
              <a:lnTo>
                <a:pt x="308178" y="0"/>
              </a:lnTo>
              <a:lnTo>
                <a:pt x="32630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0.45027</cdr:x>
      <cdr:y>0.1147</cdr:y>
    </cdr:from>
    <cdr:to>
      <cdr:x>0.49238</cdr:x>
      <cdr:y>0.15898</cdr:y>
    </cdr:to>
    <cdr:sp macro="" textlink="">
      <cdr:nvSpPr>
        <cdr:cNvPr id="455" name="FracNo 225 StartRow 4406">
          <a:extLst xmlns:a="http://schemas.openxmlformats.org/drawingml/2006/main">
            <a:ext uri="{FF2B5EF4-FFF2-40B4-BE49-F238E27FC236}">
              <a16:creationId xmlns:a16="http://schemas.microsoft.com/office/drawing/2014/main" id="{FC4051AD-F8C3-24E2-1C07-0957183BCF1A}"/>
            </a:ext>
          </a:extLst>
        </cdr:cNvPr>
        <cdr:cNvSpPr/>
      </cdr:nvSpPr>
      <cdr:spPr>
        <a:xfrm xmlns:a="http://schemas.openxmlformats.org/drawingml/2006/main">
          <a:off x="3293808" y="874010"/>
          <a:ext cx="308076" cy="337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076" h="337407">
              <a:moveTo>
                <a:pt x="109166" y="131666"/>
              </a:moveTo>
              <a:lnTo>
                <a:pt x="0" y="18752"/>
              </a:lnTo>
              <a:lnTo>
                <a:pt x="18130" y="0"/>
              </a:lnTo>
              <a:lnTo>
                <a:pt x="120871" y="106270"/>
              </a:lnTo>
              <a:lnTo>
                <a:pt x="308075" y="299902"/>
              </a:lnTo>
              <a:lnTo>
                <a:pt x="308075" y="3374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0.5912</cdr:x>
      <cdr:y>0.69175</cdr:y>
    </cdr:from>
    <cdr:to>
      <cdr:x>0.63435</cdr:x>
      <cdr:y>0.73459</cdr:y>
    </cdr:to>
    <cdr:sp macro="" textlink="">
      <cdr:nvSpPr>
        <cdr:cNvPr id="456" name="FracNo 922 StartRow 4415">
          <a:extLst xmlns:a="http://schemas.openxmlformats.org/drawingml/2006/main">
            <a:ext uri="{FF2B5EF4-FFF2-40B4-BE49-F238E27FC236}">
              <a16:creationId xmlns:a16="http://schemas.microsoft.com/office/drawing/2014/main" id="{4BAF8F2E-BD3D-8311-F7EE-4E421D33D817}"/>
            </a:ext>
          </a:extLst>
        </cdr:cNvPr>
        <cdr:cNvSpPr/>
      </cdr:nvSpPr>
      <cdr:spPr>
        <a:xfrm xmlns:a="http://schemas.openxmlformats.org/drawingml/2006/main">
          <a:off x="4324764" y="5271113"/>
          <a:ext cx="315641" cy="326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641" h="326480">
              <a:moveTo>
                <a:pt x="264237" y="53169"/>
              </a:moveTo>
              <a:lnTo>
                <a:pt x="0" y="326479"/>
              </a:lnTo>
              <a:lnTo>
                <a:pt x="36259" y="326479"/>
              </a:lnTo>
              <a:lnTo>
                <a:pt x="270141" y="84565"/>
              </a:lnTo>
              <a:lnTo>
                <a:pt x="315640" y="37504"/>
              </a:lnTo>
              <a:lnTo>
                <a:pt x="315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0.5988</cdr:x>
      <cdr:y>0.69929</cdr:y>
    </cdr:from>
    <cdr:to>
      <cdr:x>0.64195</cdr:x>
      <cdr:y>0.74214</cdr:y>
    </cdr:to>
    <cdr:sp macro="" textlink="">
      <cdr:nvSpPr>
        <cdr:cNvPr id="457" name="FracNo 435 StartRow 4424">
          <a:extLst xmlns:a="http://schemas.openxmlformats.org/drawingml/2006/main">
            <a:ext uri="{FF2B5EF4-FFF2-40B4-BE49-F238E27FC236}">
              <a16:creationId xmlns:a16="http://schemas.microsoft.com/office/drawing/2014/main" id="{4DE9DBED-78D7-75BE-044D-AD6BBA0AA60E}"/>
            </a:ext>
          </a:extLst>
        </cdr:cNvPr>
        <cdr:cNvSpPr/>
      </cdr:nvSpPr>
      <cdr:spPr>
        <a:xfrm xmlns:a="http://schemas.openxmlformats.org/drawingml/2006/main">
          <a:off x="4380347" y="5328605"/>
          <a:ext cx="315641" cy="326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641" h="326480">
              <a:moveTo>
                <a:pt x="56247" y="268301"/>
              </a:moveTo>
              <a:lnTo>
                <a:pt x="0" y="326479"/>
              </a:lnTo>
              <a:lnTo>
                <a:pt x="36259" y="326479"/>
              </a:lnTo>
              <a:lnTo>
                <a:pt x="86044" y="274984"/>
              </a:lnTo>
              <a:lnTo>
                <a:pt x="315640" y="37504"/>
              </a:lnTo>
              <a:lnTo>
                <a:pt x="315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0.59005</cdr:x>
      <cdr:y>0.69061</cdr:y>
    </cdr:from>
    <cdr:to>
      <cdr:x>0.6332</cdr:x>
      <cdr:y>0.73345</cdr:y>
    </cdr:to>
    <cdr:sp macro="" textlink="">
      <cdr:nvSpPr>
        <cdr:cNvPr id="458" name="FracNo 1049 StartRow 4433">
          <a:extLst xmlns:a="http://schemas.openxmlformats.org/drawingml/2006/main">
            <a:ext uri="{FF2B5EF4-FFF2-40B4-BE49-F238E27FC236}">
              <a16:creationId xmlns:a16="http://schemas.microsoft.com/office/drawing/2014/main" id="{9DAD735A-DBFC-228E-7F67-2A93C13BBD36}"/>
            </a:ext>
          </a:extLst>
        </cdr:cNvPr>
        <cdr:cNvSpPr/>
      </cdr:nvSpPr>
      <cdr:spPr>
        <a:xfrm xmlns:a="http://schemas.openxmlformats.org/drawingml/2006/main">
          <a:off x="4316357" y="5262418"/>
          <a:ext cx="315641" cy="326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641" h="326480">
              <a:moveTo>
                <a:pt x="258436" y="59168"/>
              </a:moveTo>
              <a:lnTo>
                <a:pt x="0" y="326479"/>
              </a:lnTo>
              <a:lnTo>
                <a:pt x="0" y="288975"/>
              </a:lnTo>
              <a:lnTo>
                <a:pt x="228749" y="52372"/>
              </a:lnTo>
              <a:lnTo>
                <a:pt x="279381" y="0"/>
              </a:lnTo>
              <a:lnTo>
                <a:pt x="315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0.41222</cdr:x>
      <cdr:y>0.87308</cdr:y>
    </cdr:from>
    <cdr:to>
      <cdr:x>0.45631</cdr:x>
      <cdr:y>0.9144</cdr:y>
    </cdr:to>
    <cdr:sp macro="" textlink="">
      <cdr:nvSpPr>
        <cdr:cNvPr id="459" name="FracNo 476 StartRow 4442">
          <a:extLst xmlns:a="http://schemas.openxmlformats.org/drawingml/2006/main">
            <a:ext uri="{FF2B5EF4-FFF2-40B4-BE49-F238E27FC236}">
              <a16:creationId xmlns:a16="http://schemas.microsoft.com/office/drawing/2014/main" id="{02EDBD7D-0435-3750-9448-EF00C8C40FAF}"/>
            </a:ext>
          </a:extLst>
        </cdr:cNvPr>
        <cdr:cNvSpPr/>
      </cdr:nvSpPr>
      <cdr:spPr>
        <a:xfrm xmlns:a="http://schemas.openxmlformats.org/drawingml/2006/main">
          <a:off x="3015446" y="6652867"/>
          <a:ext cx="322563" cy="3148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563" h="314889">
              <a:moveTo>
                <a:pt x="272649" y="282012"/>
              </a:moveTo>
              <a:lnTo>
                <a:pt x="0" y="0"/>
              </a:lnTo>
              <a:lnTo>
                <a:pt x="36258" y="0"/>
              </a:lnTo>
              <a:lnTo>
                <a:pt x="292671" y="265218"/>
              </a:lnTo>
              <a:lnTo>
                <a:pt x="322562" y="296135"/>
              </a:lnTo>
              <a:lnTo>
                <a:pt x="304432" y="3148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0.41512</cdr:x>
      <cdr:y>0.87019</cdr:y>
    </cdr:from>
    <cdr:to>
      <cdr:x>0.45922</cdr:x>
      <cdr:y>0.91152</cdr:y>
    </cdr:to>
    <cdr:sp macro="" textlink="">
      <cdr:nvSpPr>
        <cdr:cNvPr id="460" name="FracNo 767 StartRow 4451">
          <a:extLst xmlns:a="http://schemas.openxmlformats.org/drawingml/2006/main">
            <a:ext uri="{FF2B5EF4-FFF2-40B4-BE49-F238E27FC236}">
              <a16:creationId xmlns:a16="http://schemas.microsoft.com/office/drawing/2014/main" id="{48CAF3BB-B25F-7DCE-A89F-0F419E5144F4}"/>
            </a:ext>
          </a:extLst>
        </cdr:cNvPr>
        <cdr:cNvSpPr/>
      </cdr:nvSpPr>
      <cdr:spPr>
        <a:xfrm xmlns:a="http://schemas.openxmlformats.org/drawingml/2006/main">
          <a:off x="3036722" y="6630860"/>
          <a:ext cx="322563" cy="314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563" h="314888">
              <a:moveTo>
                <a:pt x="223229" y="230896"/>
              </a:moveTo>
              <a:lnTo>
                <a:pt x="0" y="0"/>
              </a:lnTo>
              <a:lnTo>
                <a:pt x="36258" y="0"/>
              </a:lnTo>
              <a:lnTo>
                <a:pt x="246194" y="217145"/>
              </a:lnTo>
              <a:lnTo>
                <a:pt x="322562" y="296136"/>
              </a:lnTo>
              <a:lnTo>
                <a:pt x="304433" y="314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0.16882</cdr:x>
      <cdr:y>0.12658</cdr:y>
    </cdr:from>
    <cdr:to>
      <cdr:x>0.21403</cdr:x>
      <cdr:y>0.16655</cdr:y>
    </cdr:to>
    <cdr:sp macro="" textlink="">
      <cdr:nvSpPr>
        <cdr:cNvPr id="461" name="FracNo 264 StartRow 4460">
          <a:extLst xmlns:a="http://schemas.openxmlformats.org/drawingml/2006/main">
            <a:ext uri="{FF2B5EF4-FFF2-40B4-BE49-F238E27FC236}">
              <a16:creationId xmlns:a16="http://schemas.microsoft.com/office/drawing/2014/main" id="{F320816F-0561-410A-7985-32F41B7CF6B9}"/>
            </a:ext>
          </a:extLst>
        </cdr:cNvPr>
        <cdr:cNvSpPr/>
      </cdr:nvSpPr>
      <cdr:spPr>
        <a:xfrm xmlns:a="http://schemas.openxmlformats.org/drawingml/2006/main">
          <a:off x="1234945" y="964546"/>
          <a:ext cx="330713" cy="304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713" h="304567">
              <a:moveTo>
                <a:pt x="130582" y="207003"/>
              </a:moveTo>
              <a:lnTo>
                <a:pt x="36259" y="304566"/>
              </a:lnTo>
              <a:lnTo>
                <a:pt x="0" y="304566"/>
              </a:lnTo>
              <a:lnTo>
                <a:pt x="94324" y="207003"/>
              </a:lnTo>
              <a:lnTo>
                <a:pt x="294453" y="0"/>
              </a:lnTo>
              <a:lnTo>
                <a:pt x="3307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0.25363</cdr:x>
      <cdr:y>0.12054</cdr:y>
    </cdr:from>
    <cdr:to>
      <cdr:x>0.29635</cdr:x>
      <cdr:y>0.16295</cdr:y>
    </cdr:to>
    <cdr:sp macro="" textlink="">
      <cdr:nvSpPr>
        <cdr:cNvPr id="462" name="FracNo 311 StartRow 4469">
          <a:extLst xmlns:a="http://schemas.openxmlformats.org/drawingml/2006/main">
            <a:ext uri="{FF2B5EF4-FFF2-40B4-BE49-F238E27FC236}">
              <a16:creationId xmlns:a16="http://schemas.microsoft.com/office/drawing/2014/main" id="{46D29711-81FB-A917-1FDC-42EEF23ABC86}"/>
            </a:ext>
          </a:extLst>
        </cdr:cNvPr>
        <cdr:cNvSpPr/>
      </cdr:nvSpPr>
      <cdr:spPr>
        <a:xfrm xmlns:a="http://schemas.openxmlformats.org/drawingml/2006/main">
          <a:off x="1855385" y="918488"/>
          <a:ext cx="312472" cy="323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472" h="323203">
              <a:moveTo>
                <a:pt x="61265" y="100873"/>
              </a:moveTo>
              <a:lnTo>
                <a:pt x="0" y="37504"/>
              </a:lnTo>
              <a:lnTo>
                <a:pt x="0" y="0"/>
              </a:lnTo>
              <a:lnTo>
                <a:pt x="69308" y="71688"/>
              </a:lnTo>
              <a:lnTo>
                <a:pt x="312471" y="323202"/>
              </a:lnTo>
              <a:lnTo>
                <a:pt x="276212" y="3232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0.27649</cdr:x>
      <cdr:y>0.09784</cdr:y>
    </cdr:from>
    <cdr:to>
      <cdr:x>0.31921</cdr:x>
      <cdr:y>0.14025</cdr:y>
    </cdr:to>
    <cdr:sp macro="" textlink="">
      <cdr:nvSpPr>
        <cdr:cNvPr id="463" name="FracNo 864 StartRow 4478">
          <a:extLst xmlns:a="http://schemas.openxmlformats.org/drawingml/2006/main">
            <a:ext uri="{FF2B5EF4-FFF2-40B4-BE49-F238E27FC236}">
              <a16:creationId xmlns:a16="http://schemas.microsoft.com/office/drawing/2014/main" id="{53F3F837-9451-20C8-CCB5-175B5B0CE550}"/>
            </a:ext>
          </a:extLst>
        </cdr:cNvPr>
        <cdr:cNvSpPr/>
      </cdr:nvSpPr>
      <cdr:spPr>
        <a:xfrm xmlns:a="http://schemas.openxmlformats.org/drawingml/2006/main">
          <a:off x="2022616" y="745514"/>
          <a:ext cx="312472" cy="3232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472" h="323202">
              <a:moveTo>
                <a:pt x="224518" y="269732"/>
              </a:moveTo>
              <a:lnTo>
                <a:pt x="0" y="37504"/>
              </a:lnTo>
              <a:lnTo>
                <a:pt x="0" y="0"/>
              </a:lnTo>
              <a:lnTo>
                <a:pt x="253991" y="262713"/>
              </a:lnTo>
              <a:lnTo>
                <a:pt x="312471" y="323201"/>
              </a:lnTo>
              <a:lnTo>
                <a:pt x="276212" y="3232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0.79692</cdr:x>
      <cdr:y>0.823</cdr:y>
    </cdr:from>
    <cdr:to>
      <cdr:x>0.84193</cdr:x>
      <cdr:y>0.86276</cdr:y>
    </cdr:to>
    <cdr:sp macro="" textlink="">
      <cdr:nvSpPr>
        <cdr:cNvPr id="464" name="FracNo 148 StartRow 4487">
          <a:extLst xmlns:a="http://schemas.openxmlformats.org/drawingml/2006/main">
            <a:ext uri="{FF2B5EF4-FFF2-40B4-BE49-F238E27FC236}">
              <a16:creationId xmlns:a16="http://schemas.microsoft.com/office/drawing/2014/main" id="{F4A1B9A4-E9DF-C446-15C4-D7392EB36042}"/>
            </a:ext>
          </a:extLst>
        </cdr:cNvPr>
        <cdr:cNvSpPr/>
      </cdr:nvSpPr>
      <cdr:spPr>
        <a:xfrm xmlns:a="http://schemas.openxmlformats.org/drawingml/2006/main">
          <a:off x="5829653" y="6271228"/>
          <a:ext cx="329200" cy="303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200" h="303002">
              <a:moveTo>
                <a:pt x="197857" y="167147"/>
              </a:moveTo>
              <a:lnTo>
                <a:pt x="36259" y="0"/>
              </a:lnTo>
              <a:lnTo>
                <a:pt x="0" y="0"/>
              </a:lnTo>
              <a:lnTo>
                <a:pt x="161598" y="167147"/>
              </a:lnTo>
              <a:lnTo>
                <a:pt x="292941" y="303001"/>
              </a:lnTo>
              <a:lnTo>
                <a:pt x="329199" y="303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0.77768</cdr:x>
      <cdr:y>0.20544</cdr:y>
    </cdr:from>
    <cdr:to>
      <cdr:x>0.82266</cdr:x>
      <cdr:y>0.24519</cdr:y>
    </cdr:to>
    <cdr:sp macro="" textlink="">
      <cdr:nvSpPr>
        <cdr:cNvPr id="465" name="FracNo 520 StartRow 4496">
          <a:extLst xmlns:a="http://schemas.openxmlformats.org/drawingml/2006/main">
            <a:ext uri="{FF2B5EF4-FFF2-40B4-BE49-F238E27FC236}">
              <a16:creationId xmlns:a16="http://schemas.microsoft.com/office/drawing/2014/main" id="{7E139212-1F1B-5D0B-66B1-11ABB6AB2942}"/>
            </a:ext>
          </a:extLst>
        </cdr:cNvPr>
        <cdr:cNvSpPr/>
      </cdr:nvSpPr>
      <cdr:spPr>
        <a:xfrm xmlns:a="http://schemas.openxmlformats.org/drawingml/2006/main">
          <a:off x="5688867" y="1565467"/>
          <a:ext cx="329073" cy="302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073" h="302870">
              <a:moveTo>
                <a:pt x="168970" y="128096"/>
              </a:moveTo>
              <a:lnTo>
                <a:pt x="0" y="302869"/>
              </a:lnTo>
              <a:lnTo>
                <a:pt x="36258" y="302869"/>
              </a:lnTo>
              <a:lnTo>
                <a:pt x="205229" y="128096"/>
              </a:lnTo>
              <a:lnTo>
                <a:pt x="329072" y="0"/>
              </a:lnTo>
              <a:lnTo>
                <a:pt x="2928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0.49201</cdr:x>
      <cdr:y>0.48562</cdr:y>
    </cdr:from>
    <cdr:to>
      <cdr:x>0.53318</cdr:x>
      <cdr:y>0.52896</cdr:y>
    </cdr:to>
    <cdr:sp macro="" textlink="">
      <cdr:nvSpPr>
        <cdr:cNvPr id="466" name="FracNo 706 StartRow 4505">
          <a:extLst xmlns:a="http://schemas.openxmlformats.org/drawingml/2006/main">
            <a:ext uri="{FF2B5EF4-FFF2-40B4-BE49-F238E27FC236}">
              <a16:creationId xmlns:a16="http://schemas.microsoft.com/office/drawing/2014/main" id="{9F57FCF8-F9E1-7DA7-F0D7-5B349FA26015}"/>
            </a:ext>
          </a:extLst>
        </cdr:cNvPr>
        <cdr:cNvSpPr/>
      </cdr:nvSpPr>
      <cdr:spPr>
        <a:xfrm xmlns:a="http://schemas.openxmlformats.org/drawingml/2006/main">
          <a:off x="3599175" y="3700433"/>
          <a:ext cx="301160" cy="330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160" h="330255">
              <a:moveTo>
                <a:pt x="116771" y="139534"/>
              </a:moveTo>
              <a:lnTo>
                <a:pt x="0" y="18752"/>
              </a:lnTo>
              <a:lnTo>
                <a:pt x="18129" y="0"/>
              </a:lnTo>
              <a:lnTo>
                <a:pt x="127872" y="113511"/>
              </a:lnTo>
              <a:lnTo>
                <a:pt x="301159" y="292750"/>
              </a:lnTo>
              <a:lnTo>
                <a:pt x="301159" y="3302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0.36715</cdr:x>
      <cdr:y>0.62016</cdr:y>
    </cdr:from>
    <cdr:to>
      <cdr:x>0.4095</cdr:x>
      <cdr:y>0.66221</cdr:y>
    </cdr:to>
    <cdr:sp macro="" textlink="">
      <cdr:nvSpPr>
        <cdr:cNvPr id="467" name="FracNo 1061 StartRow 4514">
          <a:extLst xmlns:a="http://schemas.openxmlformats.org/drawingml/2006/main">
            <a:ext uri="{FF2B5EF4-FFF2-40B4-BE49-F238E27FC236}">
              <a16:creationId xmlns:a16="http://schemas.microsoft.com/office/drawing/2014/main" id="{B03E84B8-64D0-BB66-6F35-066242308AAE}"/>
            </a:ext>
          </a:extLst>
        </cdr:cNvPr>
        <cdr:cNvSpPr/>
      </cdr:nvSpPr>
      <cdr:spPr>
        <a:xfrm xmlns:a="http://schemas.openxmlformats.org/drawingml/2006/main">
          <a:off x="2685796" y="4725610"/>
          <a:ext cx="309799" cy="320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799" h="320438">
              <a:moveTo>
                <a:pt x="60148" y="295727"/>
              </a:moveTo>
              <a:lnTo>
                <a:pt x="36258" y="320437"/>
              </a:lnTo>
              <a:lnTo>
                <a:pt x="0" y="320437"/>
              </a:lnTo>
              <a:lnTo>
                <a:pt x="37056" y="282109"/>
              </a:lnTo>
              <a:lnTo>
                <a:pt x="51026" y="267659"/>
              </a:lnTo>
              <a:lnTo>
                <a:pt x="111864" y="204732"/>
              </a:lnTo>
              <a:lnTo>
                <a:pt x="309798" y="0"/>
              </a:lnTo>
              <a:lnTo>
                <a:pt x="309798" y="37504"/>
              </a:lnTo>
              <a:lnTo>
                <a:pt x="125731" y="227892"/>
              </a:lnTo>
              <a:lnTo>
                <a:pt x="69155" y="2864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0.82256</cdr:x>
      <cdr:y>0.51609</cdr:y>
    </cdr:from>
    <cdr:to>
      <cdr:x>0.86357</cdr:x>
      <cdr:y>0.55928</cdr:y>
    </cdr:to>
    <cdr:sp macro="" textlink="">
      <cdr:nvSpPr>
        <cdr:cNvPr id="468" name="FracNo 784 StartRow 4527">
          <a:extLst xmlns:a="http://schemas.openxmlformats.org/drawingml/2006/main">
            <a:ext uri="{FF2B5EF4-FFF2-40B4-BE49-F238E27FC236}">
              <a16:creationId xmlns:a16="http://schemas.microsoft.com/office/drawing/2014/main" id="{7538FE91-4A0A-3BE3-019B-334C44372E66}"/>
            </a:ext>
          </a:extLst>
        </cdr:cNvPr>
        <cdr:cNvSpPr/>
      </cdr:nvSpPr>
      <cdr:spPr>
        <a:xfrm xmlns:a="http://schemas.openxmlformats.org/drawingml/2006/main">
          <a:off x="6017159" y="3932589"/>
          <a:ext cx="300057" cy="3291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057" h="329114">
              <a:moveTo>
                <a:pt x="184440" y="190775"/>
              </a:moveTo>
              <a:lnTo>
                <a:pt x="0" y="0"/>
              </a:lnTo>
              <a:lnTo>
                <a:pt x="0" y="37504"/>
              </a:lnTo>
              <a:lnTo>
                <a:pt x="173296" y="216752"/>
              </a:lnTo>
              <a:lnTo>
                <a:pt x="281927" y="329113"/>
              </a:lnTo>
              <a:lnTo>
                <a:pt x="300056" y="3103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0.86186</cdr:x>
      <cdr:y>0.55606</cdr:y>
    </cdr:from>
    <cdr:to>
      <cdr:x>0.90288</cdr:x>
      <cdr:y>0.59924</cdr:y>
    </cdr:to>
    <cdr:sp macro="" textlink="">
      <cdr:nvSpPr>
        <cdr:cNvPr id="469" name="FracNo 623 StartRow 4536">
          <a:extLst xmlns:a="http://schemas.openxmlformats.org/drawingml/2006/main">
            <a:ext uri="{FF2B5EF4-FFF2-40B4-BE49-F238E27FC236}">
              <a16:creationId xmlns:a16="http://schemas.microsoft.com/office/drawing/2014/main" id="{365B44B9-DD2F-C038-09BE-CC1546E1F087}"/>
            </a:ext>
          </a:extLst>
        </cdr:cNvPr>
        <cdr:cNvSpPr/>
      </cdr:nvSpPr>
      <cdr:spPr>
        <a:xfrm xmlns:a="http://schemas.openxmlformats.org/drawingml/2006/main">
          <a:off x="6304693" y="4237150"/>
          <a:ext cx="300030" cy="329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030" h="329086">
              <a:moveTo>
                <a:pt x="122290" y="145242"/>
              </a:moveTo>
              <a:lnTo>
                <a:pt x="0" y="18752"/>
              </a:lnTo>
              <a:lnTo>
                <a:pt x="18129" y="0"/>
              </a:lnTo>
              <a:lnTo>
                <a:pt x="133030" y="118847"/>
              </a:lnTo>
              <a:lnTo>
                <a:pt x="300029" y="291582"/>
              </a:lnTo>
              <a:lnTo>
                <a:pt x="300029" y="3290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0.6984</cdr:x>
      <cdr:y>0.30722</cdr:y>
    </cdr:from>
    <cdr:to>
      <cdr:x>0.73931</cdr:x>
      <cdr:y>0.35031</cdr:y>
    </cdr:to>
    <cdr:sp macro="" textlink="">
      <cdr:nvSpPr>
        <cdr:cNvPr id="470" name="FracNo 506 StartRow 4545">
          <a:extLst xmlns:a="http://schemas.openxmlformats.org/drawingml/2006/main">
            <a:ext uri="{FF2B5EF4-FFF2-40B4-BE49-F238E27FC236}">
              <a16:creationId xmlns:a16="http://schemas.microsoft.com/office/drawing/2014/main" id="{2E0F6208-BDFF-AABE-F1CD-743F7C720F64}"/>
            </a:ext>
          </a:extLst>
        </cdr:cNvPr>
        <cdr:cNvSpPr/>
      </cdr:nvSpPr>
      <cdr:spPr>
        <a:xfrm xmlns:a="http://schemas.openxmlformats.org/drawingml/2006/main">
          <a:off x="5108920" y="2341045"/>
          <a:ext cx="299258" cy="328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258" h="328287">
              <a:moveTo>
                <a:pt x="203594" y="98948"/>
              </a:moveTo>
              <a:lnTo>
                <a:pt x="0" y="309534"/>
              </a:lnTo>
              <a:lnTo>
                <a:pt x="18129" y="328286"/>
              </a:lnTo>
              <a:lnTo>
                <a:pt x="209389" y="130458"/>
              </a:lnTo>
              <a:lnTo>
                <a:pt x="299257" y="37504"/>
              </a:lnTo>
              <a:lnTo>
                <a:pt x="2992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0.59792</cdr:x>
      <cdr:y>0.4386</cdr:y>
    </cdr:from>
    <cdr:to>
      <cdr:x>0.64253</cdr:x>
      <cdr:y>0.47797</cdr:y>
    </cdr:to>
    <cdr:sp macro="" textlink="">
      <cdr:nvSpPr>
        <cdr:cNvPr id="471" name="FracNo 1149 StartRow 4554">
          <a:extLst xmlns:a="http://schemas.openxmlformats.org/drawingml/2006/main">
            <a:ext uri="{FF2B5EF4-FFF2-40B4-BE49-F238E27FC236}">
              <a16:creationId xmlns:a16="http://schemas.microsoft.com/office/drawing/2014/main" id="{9259D620-2167-8D6E-37D3-AACCA16F47A7}"/>
            </a:ext>
          </a:extLst>
        </cdr:cNvPr>
        <cdr:cNvSpPr/>
      </cdr:nvSpPr>
      <cdr:spPr>
        <a:xfrm xmlns:a="http://schemas.openxmlformats.org/drawingml/2006/main">
          <a:off x="4373909" y="3342120"/>
          <a:ext cx="326325" cy="300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325" h="300028">
              <a:moveTo>
                <a:pt x="129480" y="96423"/>
              </a:moveTo>
              <a:lnTo>
                <a:pt x="36259" y="0"/>
              </a:lnTo>
              <a:lnTo>
                <a:pt x="0" y="0"/>
              </a:lnTo>
              <a:lnTo>
                <a:pt x="93222" y="96423"/>
              </a:lnTo>
              <a:lnTo>
                <a:pt x="290066" y="300027"/>
              </a:lnTo>
              <a:lnTo>
                <a:pt x="326324" y="3000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0.57945</cdr:x>
      <cdr:y>0.45694</cdr:y>
    </cdr:from>
    <cdr:to>
      <cdr:x>0.62405</cdr:x>
      <cdr:y>0.49632</cdr:y>
    </cdr:to>
    <cdr:sp macro="" textlink="">
      <cdr:nvSpPr>
        <cdr:cNvPr id="472" name="FracNo 1111 StartRow 4563">
          <a:extLst xmlns:a="http://schemas.openxmlformats.org/drawingml/2006/main">
            <a:ext uri="{FF2B5EF4-FFF2-40B4-BE49-F238E27FC236}">
              <a16:creationId xmlns:a16="http://schemas.microsoft.com/office/drawing/2014/main" id="{B59D8EBE-8736-D442-A64F-C8CB3561109E}"/>
            </a:ext>
          </a:extLst>
        </cdr:cNvPr>
        <cdr:cNvSpPr/>
      </cdr:nvSpPr>
      <cdr:spPr>
        <a:xfrm xmlns:a="http://schemas.openxmlformats.org/drawingml/2006/main">
          <a:off x="4238761" y="3481910"/>
          <a:ext cx="326325" cy="300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325" h="300028">
              <a:moveTo>
                <a:pt x="71069" y="36006"/>
              </a:moveTo>
              <a:lnTo>
                <a:pt x="36258" y="0"/>
              </a:lnTo>
              <a:lnTo>
                <a:pt x="0" y="0"/>
              </a:lnTo>
              <a:lnTo>
                <a:pt x="34810" y="36006"/>
              </a:lnTo>
              <a:lnTo>
                <a:pt x="290065" y="300027"/>
              </a:lnTo>
              <a:lnTo>
                <a:pt x="326324" y="3000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0.32099</cdr:x>
      <cdr:y>0.34222</cdr:y>
    </cdr:from>
    <cdr:to>
      <cdr:x>0.36052</cdr:x>
      <cdr:y>0.3864</cdr:y>
    </cdr:to>
    <cdr:sp macro="" textlink="">
      <cdr:nvSpPr>
        <cdr:cNvPr id="473" name="FracNo 862 StartRow 4572">
          <a:extLst xmlns:a="http://schemas.openxmlformats.org/drawingml/2006/main">
            <a:ext uri="{FF2B5EF4-FFF2-40B4-BE49-F238E27FC236}">
              <a16:creationId xmlns:a16="http://schemas.microsoft.com/office/drawing/2014/main" id="{0A5002C2-BFAA-E486-5BEE-1F6F81620D1B}"/>
            </a:ext>
          </a:extLst>
        </cdr:cNvPr>
        <cdr:cNvSpPr/>
      </cdr:nvSpPr>
      <cdr:spPr>
        <a:xfrm xmlns:a="http://schemas.openxmlformats.org/drawingml/2006/main">
          <a:off x="2348126" y="2607739"/>
          <a:ext cx="289173" cy="336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173" h="336608">
              <a:moveTo>
                <a:pt x="178417" y="184545"/>
              </a:moveTo>
              <a:lnTo>
                <a:pt x="173104" y="179049"/>
              </a:lnTo>
              <a:lnTo>
                <a:pt x="0" y="0"/>
              </a:lnTo>
              <a:lnTo>
                <a:pt x="0" y="37504"/>
              </a:lnTo>
              <a:lnTo>
                <a:pt x="155584" y="198431"/>
              </a:lnTo>
              <a:lnTo>
                <a:pt x="161699" y="204757"/>
              </a:lnTo>
              <a:lnTo>
                <a:pt x="289172" y="336607"/>
              </a:lnTo>
              <a:lnTo>
                <a:pt x="289172" y="2991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0.33061</cdr:x>
      <cdr:y>0.08544</cdr:y>
    </cdr:from>
    <cdr:to>
      <cdr:x>0.37254</cdr:x>
      <cdr:y>0.12707</cdr:y>
    </cdr:to>
    <cdr:sp macro="" textlink="">
      <cdr:nvSpPr>
        <cdr:cNvPr id="474" name="FracNo 793 StartRow 4583">
          <a:extLst xmlns:a="http://schemas.openxmlformats.org/drawingml/2006/main">
            <a:ext uri="{FF2B5EF4-FFF2-40B4-BE49-F238E27FC236}">
              <a16:creationId xmlns:a16="http://schemas.microsoft.com/office/drawing/2014/main" id="{9B7BA2A2-E19F-3EDD-D8BF-6C013FC98FF6}"/>
            </a:ext>
          </a:extLst>
        </cdr:cNvPr>
        <cdr:cNvSpPr/>
      </cdr:nvSpPr>
      <cdr:spPr>
        <a:xfrm xmlns:a="http://schemas.openxmlformats.org/drawingml/2006/main">
          <a:off x="2418492" y="651036"/>
          <a:ext cx="306677" cy="317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677" h="317209">
              <a:moveTo>
                <a:pt x="210052" y="62439"/>
              </a:moveTo>
              <a:lnTo>
                <a:pt x="0" y="279704"/>
              </a:lnTo>
              <a:lnTo>
                <a:pt x="0" y="317208"/>
              </a:lnTo>
              <a:lnTo>
                <a:pt x="238216" y="70811"/>
              </a:lnTo>
              <a:lnTo>
                <a:pt x="306676" y="0"/>
              </a:lnTo>
              <a:lnTo>
                <a:pt x="2704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0.77641</cdr:x>
      <cdr:y>0.56591</cdr:y>
    </cdr:from>
    <cdr:to>
      <cdr:x>0.81572</cdr:x>
      <cdr:y>0.60987</cdr:y>
    </cdr:to>
    <cdr:sp macro="" textlink="">
      <cdr:nvSpPr>
        <cdr:cNvPr id="475" name="FracNo 812 StartRow 4592">
          <a:extLst xmlns:a="http://schemas.openxmlformats.org/drawingml/2006/main">
            <a:ext uri="{FF2B5EF4-FFF2-40B4-BE49-F238E27FC236}">
              <a16:creationId xmlns:a16="http://schemas.microsoft.com/office/drawing/2014/main" id="{58B237C7-C281-557E-6351-9289BDCB7C06}"/>
            </a:ext>
          </a:extLst>
        </cdr:cNvPr>
        <cdr:cNvSpPr/>
      </cdr:nvSpPr>
      <cdr:spPr>
        <a:xfrm xmlns:a="http://schemas.openxmlformats.org/drawingml/2006/main">
          <a:off x="5679580" y="4312223"/>
          <a:ext cx="287592" cy="334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592" h="334972">
              <a:moveTo>
                <a:pt x="150834" y="193518"/>
              </a:moveTo>
              <a:lnTo>
                <a:pt x="0" y="37504"/>
              </a:lnTo>
              <a:lnTo>
                <a:pt x="0" y="0"/>
              </a:lnTo>
              <a:lnTo>
                <a:pt x="150834" y="156014"/>
              </a:lnTo>
              <a:lnTo>
                <a:pt x="287591" y="297467"/>
              </a:lnTo>
              <a:lnTo>
                <a:pt x="287591" y="334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0.13316</cdr:x>
      <cdr:y>0.35713</cdr:y>
    </cdr:from>
    <cdr:to>
      <cdr:x>0.17482</cdr:x>
      <cdr:y>0.3985</cdr:y>
    </cdr:to>
    <cdr:sp macro="" textlink="">
      <cdr:nvSpPr>
        <cdr:cNvPr id="476" name="FracNo 920 StartRow 4601">
          <a:extLst xmlns:a="http://schemas.openxmlformats.org/drawingml/2006/main">
            <a:ext uri="{FF2B5EF4-FFF2-40B4-BE49-F238E27FC236}">
              <a16:creationId xmlns:a16="http://schemas.microsoft.com/office/drawing/2014/main" id="{5DDBA4AA-2545-56D2-B2F0-E1DC81C4FCCC}"/>
            </a:ext>
          </a:extLst>
        </cdr:cNvPr>
        <cdr:cNvSpPr/>
      </cdr:nvSpPr>
      <cdr:spPr>
        <a:xfrm xmlns:a="http://schemas.openxmlformats.org/drawingml/2006/main">
          <a:off x="974074" y="2721329"/>
          <a:ext cx="304756" cy="315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756" h="315221">
              <a:moveTo>
                <a:pt x="5020" y="5192"/>
              </a:moveTo>
              <a:lnTo>
                <a:pt x="0" y="0"/>
              </a:lnTo>
              <a:lnTo>
                <a:pt x="36259" y="0"/>
              </a:lnTo>
              <a:lnTo>
                <a:pt x="39932" y="3798"/>
              </a:lnTo>
              <a:lnTo>
                <a:pt x="97656" y="63505"/>
              </a:lnTo>
              <a:lnTo>
                <a:pt x="304755" y="277716"/>
              </a:lnTo>
              <a:lnTo>
                <a:pt x="304755" y="315220"/>
              </a:lnTo>
              <a:lnTo>
                <a:pt x="83914" y="867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0.84645</cdr:x>
      <cdr:y>0.8579</cdr:y>
    </cdr:from>
    <cdr:to>
      <cdr:x>0.88929</cdr:x>
      <cdr:y>0.89798</cdr:y>
    </cdr:to>
    <cdr:sp macro="" textlink="">
      <cdr:nvSpPr>
        <cdr:cNvPr id="477" name="FracNo 113 StartRow 4612">
          <a:extLst xmlns:a="http://schemas.openxmlformats.org/drawingml/2006/main">
            <a:ext uri="{FF2B5EF4-FFF2-40B4-BE49-F238E27FC236}">
              <a16:creationId xmlns:a16="http://schemas.microsoft.com/office/drawing/2014/main" id="{B176434B-13FA-D5C7-3BE7-F8106F8F07F9}"/>
            </a:ext>
          </a:extLst>
        </cdr:cNvPr>
        <cdr:cNvSpPr/>
      </cdr:nvSpPr>
      <cdr:spPr>
        <a:xfrm xmlns:a="http://schemas.openxmlformats.org/drawingml/2006/main">
          <a:off x="6191960" y="6537177"/>
          <a:ext cx="313402" cy="305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402" h="305413">
              <a:moveTo>
                <a:pt x="297386" y="35317"/>
              </a:moveTo>
              <a:lnTo>
                <a:pt x="36258" y="305412"/>
              </a:lnTo>
              <a:lnTo>
                <a:pt x="0" y="305412"/>
              </a:lnTo>
              <a:lnTo>
                <a:pt x="278208" y="17648"/>
              </a:lnTo>
              <a:lnTo>
                <a:pt x="295272" y="0"/>
              </a:lnTo>
              <a:lnTo>
                <a:pt x="3134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0.90358</cdr:x>
      <cdr:y>0.22581</cdr:y>
    </cdr:from>
    <cdr:to>
      <cdr:x>0.94246</cdr:x>
      <cdr:y>0.26934</cdr:y>
    </cdr:to>
    <cdr:sp macro="" textlink="">
      <cdr:nvSpPr>
        <cdr:cNvPr id="478" name="FracNo 1006 StartRow 4621">
          <a:extLst xmlns:a="http://schemas.openxmlformats.org/drawingml/2006/main">
            <a:ext uri="{FF2B5EF4-FFF2-40B4-BE49-F238E27FC236}">
              <a16:creationId xmlns:a16="http://schemas.microsoft.com/office/drawing/2014/main" id="{18D74C4E-4543-4EC2-4E44-794E6C889AE2}"/>
            </a:ext>
          </a:extLst>
        </cdr:cNvPr>
        <cdr:cNvSpPr/>
      </cdr:nvSpPr>
      <cdr:spPr>
        <a:xfrm xmlns:a="http://schemas.openxmlformats.org/drawingml/2006/main">
          <a:off x="6609871" y="1720687"/>
          <a:ext cx="284437" cy="331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437" h="331709">
              <a:moveTo>
                <a:pt x="29030" y="264178"/>
              </a:moveTo>
              <a:lnTo>
                <a:pt x="0" y="294204"/>
              </a:lnTo>
              <a:lnTo>
                <a:pt x="0" y="331708"/>
              </a:lnTo>
              <a:lnTo>
                <a:pt x="29030" y="301681"/>
              </a:lnTo>
              <a:lnTo>
                <a:pt x="284436" y="37504"/>
              </a:lnTo>
              <a:lnTo>
                <a:pt x="2844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0.28027</cdr:x>
      <cdr:y>0.36864</cdr:y>
    </cdr:from>
    <cdr:to>
      <cdr:x>0.31914</cdr:x>
      <cdr:y>0.41215</cdr:y>
    </cdr:to>
    <cdr:sp macro="" textlink="">
      <cdr:nvSpPr>
        <cdr:cNvPr id="479" name="FracNo 396 StartRow 4630">
          <a:extLst xmlns:a="http://schemas.openxmlformats.org/drawingml/2006/main">
            <a:ext uri="{FF2B5EF4-FFF2-40B4-BE49-F238E27FC236}">
              <a16:creationId xmlns:a16="http://schemas.microsoft.com/office/drawing/2014/main" id="{95DC75FA-1EDE-405B-D40C-E6846F23A799}"/>
            </a:ext>
          </a:extLst>
        </cdr:cNvPr>
        <cdr:cNvSpPr/>
      </cdr:nvSpPr>
      <cdr:spPr>
        <a:xfrm xmlns:a="http://schemas.openxmlformats.org/drawingml/2006/main">
          <a:off x="2050227" y="2809000"/>
          <a:ext cx="284334" cy="331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334" h="331602">
              <a:moveTo>
                <a:pt x="208488" y="253151"/>
              </a:moveTo>
              <a:lnTo>
                <a:pt x="0" y="37504"/>
              </a:lnTo>
              <a:lnTo>
                <a:pt x="0" y="0"/>
              </a:lnTo>
              <a:lnTo>
                <a:pt x="208488" y="215648"/>
              </a:lnTo>
              <a:lnTo>
                <a:pt x="284333" y="294097"/>
              </a:lnTo>
              <a:lnTo>
                <a:pt x="284333" y="3316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0.15284</cdr:x>
      <cdr:y>0.10562</cdr:y>
    </cdr:from>
    <cdr:to>
      <cdr:x>0.19151</cdr:x>
      <cdr:y>0.14894</cdr:y>
    </cdr:to>
    <cdr:sp macro="" textlink="">
      <cdr:nvSpPr>
        <cdr:cNvPr id="480" name="FracNo 877 StartRow 4639">
          <a:extLst xmlns:a="http://schemas.openxmlformats.org/drawingml/2006/main">
            <a:ext uri="{FF2B5EF4-FFF2-40B4-BE49-F238E27FC236}">
              <a16:creationId xmlns:a16="http://schemas.microsoft.com/office/drawing/2014/main" id="{6C66F055-E296-3B3F-D894-64DD76C691C4}"/>
            </a:ext>
          </a:extLst>
        </cdr:cNvPr>
        <cdr:cNvSpPr/>
      </cdr:nvSpPr>
      <cdr:spPr>
        <a:xfrm xmlns:a="http://schemas.openxmlformats.org/drawingml/2006/main">
          <a:off x="1118065" y="804799"/>
          <a:ext cx="282889" cy="330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889" h="330108">
              <a:moveTo>
                <a:pt x="67302" y="107117"/>
              </a:moveTo>
              <a:lnTo>
                <a:pt x="0" y="37503"/>
              </a:lnTo>
              <a:lnTo>
                <a:pt x="0" y="0"/>
              </a:lnTo>
              <a:lnTo>
                <a:pt x="67302" y="69613"/>
              </a:lnTo>
              <a:lnTo>
                <a:pt x="282888" y="292603"/>
              </a:lnTo>
              <a:lnTo>
                <a:pt x="282888" y="3301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0.15467</cdr:x>
      <cdr:y>0.1038</cdr:y>
    </cdr:from>
    <cdr:to>
      <cdr:x>0.1983</cdr:x>
      <cdr:y>0.1422</cdr:y>
    </cdr:to>
    <cdr:sp macro="" textlink="">
      <cdr:nvSpPr>
        <cdr:cNvPr id="481" name="FracNo 858 StartRow 4648">
          <a:extLst xmlns:a="http://schemas.openxmlformats.org/drawingml/2006/main">
            <a:ext uri="{FF2B5EF4-FFF2-40B4-BE49-F238E27FC236}">
              <a16:creationId xmlns:a16="http://schemas.microsoft.com/office/drawing/2014/main" id="{6D441976-D3AB-C4C8-1724-ECE761D4CA7C}"/>
            </a:ext>
          </a:extLst>
        </cdr:cNvPr>
        <cdr:cNvSpPr/>
      </cdr:nvSpPr>
      <cdr:spPr>
        <a:xfrm xmlns:a="http://schemas.openxmlformats.org/drawingml/2006/main">
          <a:off x="1131427" y="790978"/>
          <a:ext cx="319148" cy="2926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148" h="292604">
              <a:moveTo>
                <a:pt x="177555" y="146148"/>
              </a:moveTo>
              <a:lnTo>
                <a:pt x="36259" y="0"/>
              </a:lnTo>
              <a:lnTo>
                <a:pt x="0" y="0"/>
              </a:lnTo>
              <a:lnTo>
                <a:pt x="141296" y="146148"/>
              </a:lnTo>
              <a:lnTo>
                <a:pt x="282889" y="292603"/>
              </a:lnTo>
              <a:lnTo>
                <a:pt x="319147" y="2926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0.28467</cdr:x>
      <cdr:y>0.81804</cdr:y>
    </cdr:from>
    <cdr:to>
      <cdr:x>0.32575</cdr:x>
      <cdr:y>0.85883</cdr:y>
    </cdr:to>
    <cdr:sp macro="" textlink="">
      <cdr:nvSpPr>
        <cdr:cNvPr id="482" name="FracNo 24 StartRow 4657">
          <a:extLst xmlns:a="http://schemas.openxmlformats.org/drawingml/2006/main">
            <a:ext uri="{FF2B5EF4-FFF2-40B4-BE49-F238E27FC236}">
              <a16:creationId xmlns:a16="http://schemas.microsoft.com/office/drawing/2014/main" id="{618EE23D-83FF-EFA7-C2DE-CA86A358F1E7}"/>
            </a:ext>
          </a:extLst>
        </cdr:cNvPr>
        <cdr:cNvSpPr/>
      </cdr:nvSpPr>
      <cdr:spPr>
        <a:xfrm xmlns:a="http://schemas.openxmlformats.org/drawingml/2006/main">
          <a:off x="2082387" y="6233433"/>
          <a:ext cx="300536" cy="310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536" h="310856">
              <a:moveTo>
                <a:pt x="159467" y="145912"/>
              </a:moveTo>
              <a:lnTo>
                <a:pt x="0" y="310855"/>
              </a:lnTo>
              <a:lnTo>
                <a:pt x="0" y="273351"/>
              </a:lnTo>
              <a:lnTo>
                <a:pt x="140228" y="128308"/>
              </a:lnTo>
              <a:lnTo>
                <a:pt x="264276" y="0"/>
              </a:lnTo>
              <a:lnTo>
                <a:pt x="3005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0.5311</cdr:x>
      <cdr:y>0.52698</cdr:y>
    </cdr:from>
    <cdr:to>
      <cdr:x>0.5734</cdr:x>
      <cdr:y>0.56652</cdr:y>
    </cdr:to>
    <cdr:sp macro="" textlink="">
      <cdr:nvSpPr>
        <cdr:cNvPr id="483" name="FracNo 709 StartRow 4666">
          <a:extLst xmlns:a="http://schemas.openxmlformats.org/drawingml/2006/main">
            <a:ext uri="{FF2B5EF4-FFF2-40B4-BE49-F238E27FC236}">
              <a16:creationId xmlns:a16="http://schemas.microsoft.com/office/drawing/2014/main" id="{D8707D33-B455-74F5-AA7F-04D4230A0DAE}"/>
            </a:ext>
          </a:extLst>
        </cdr:cNvPr>
        <cdr:cNvSpPr/>
      </cdr:nvSpPr>
      <cdr:spPr>
        <a:xfrm xmlns:a="http://schemas.openxmlformats.org/drawingml/2006/main">
          <a:off x="3885080" y="4015575"/>
          <a:ext cx="309446" cy="3013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446" h="301321">
              <a:moveTo>
                <a:pt x="46778" y="29632"/>
              </a:moveTo>
              <a:lnTo>
                <a:pt x="18129" y="0"/>
              </a:lnTo>
              <a:lnTo>
                <a:pt x="0" y="18752"/>
              </a:lnTo>
              <a:lnTo>
                <a:pt x="26865" y="46540"/>
              </a:lnTo>
              <a:lnTo>
                <a:pt x="273186" y="301320"/>
              </a:lnTo>
              <a:lnTo>
                <a:pt x="309445" y="3013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0.46571</cdr:x>
      <cdr:y>0.60896</cdr:y>
    </cdr:from>
    <cdr:to>
      <cdr:x>0.50912</cdr:x>
      <cdr:y>0.64714</cdr:y>
    </cdr:to>
    <cdr:sp macro="" textlink="">
      <cdr:nvSpPr>
        <cdr:cNvPr id="484" name="FracNo 1171 StartRow 4675">
          <a:extLst xmlns:a="http://schemas.openxmlformats.org/drawingml/2006/main">
            <a:ext uri="{FF2B5EF4-FFF2-40B4-BE49-F238E27FC236}">
              <a16:creationId xmlns:a16="http://schemas.microsoft.com/office/drawing/2014/main" id="{B1CCEF68-3963-97AD-5542-A53A3FCB71D4}"/>
            </a:ext>
          </a:extLst>
        </cdr:cNvPr>
        <cdr:cNvSpPr/>
      </cdr:nvSpPr>
      <cdr:spPr>
        <a:xfrm xmlns:a="http://schemas.openxmlformats.org/drawingml/2006/main">
          <a:off x="3406762" y="4640253"/>
          <a:ext cx="317530" cy="290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530" h="290931">
              <a:moveTo>
                <a:pt x="78246" y="80933"/>
              </a:moveTo>
              <a:lnTo>
                <a:pt x="0" y="0"/>
              </a:lnTo>
              <a:lnTo>
                <a:pt x="36258" y="0"/>
              </a:lnTo>
              <a:lnTo>
                <a:pt x="114504" y="80933"/>
              </a:lnTo>
              <a:lnTo>
                <a:pt x="317529" y="290930"/>
              </a:lnTo>
              <a:lnTo>
                <a:pt x="281271" y="2909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0.56045</cdr:x>
      <cdr:y>0.56571</cdr:y>
    </cdr:from>
    <cdr:to>
      <cdr:x>0.6026</cdr:x>
      <cdr:y>0.6051</cdr:y>
    </cdr:to>
    <cdr:sp macro="" textlink="">
      <cdr:nvSpPr>
        <cdr:cNvPr id="485" name="FracNo 714 StartRow 4684">
          <a:extLst xmlns:a="http://schemas.openxmlformats.org/drawingml/2006/main">
            <a:ext uri="{FF2B5EF4-FFF2-40B4-BE49-F238E27FC236}">
              <a16:creationId xmlns:a16="http://schemas.microsoft.com/office/drawing/2014/main" id="{6524C36B-1B98-778B-D40D-0FB23E7FDC37}"/>
            </a:ext>
          </a:extLst>
        </cdr:cNvPr>
        <cdr:cNvSpPr/>
      </cdr:nvSpPr>
      <cdr:spPr>
        <a:xfrm xmlns:a="http://schemas.openxmlformats.org/drawingml/2006/main">
          <a:off x="4099827" y="4310733"/>
          <a:ext cx="308286" cy="300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286" h="300121">
              <a:moveTo>
                <a:pt x="31180" y="13499"/>
              </a:moveTo>
              <a:lnTo>
                <a:pt x="18129" y="0"/>
              </a:lnTo>
              <a:lnTo>
                <a:pt x="0" y="18752"/>
              </a:lnTo>
              <a:lnTo>
                <a:pt x="12235" y="31407"/>
              </a:lnTo>
              <a:lnTo>
                <a:pt x="272026" y="300120"/>
              </a:lnTo>
              <a:lnTo>
                <a:pt x="308285" y="3001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0.3666</cdr:x>
      <cdr:y>0.5385</cdr:y>
    </cdr:from>
    <cdr:to>
      <cdr:x>0.40866</cdr:x>
      <cdr:y>0.57781</cdr:y>
    </cdr:to>
    <cdr:sp macro="" textlink="">
      <cdr:nvSpPr>
        <cdr:cNvPr id="486" name="FracNo 352 StartRow 4693">
          <a:extLst xmlns:a="http://schemas.openxmlformats.org/drawingml/2006/main">
            <a:ext uri="{FF2B5EF4-FFF2-40B4-BE49-F238E27FC236}">
              <a16:creationId xmlns:a16="http://schemas.microsoft.com/office/drawing/2014/main" id="{4F045B75-801B-CEF7-B945-3670BB62657C}"/>
            </a:ext>
          </a:extLst>
        </cdr:cNvPr>
        <cdr:cNvSpPr/>
      </cdr:nvSpPr>
      <cdr:spPr>
        <a:xfrm xmlns:a="http://schemas.openxmlformats.org/drawingml/2006/main">
          <a:off x="2681722" y="4103359"/>
          <a:ext cx="307706" cy="299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706" h="299521">
              <a:moveTo>
                <a:pt x="41536" y="275310"/>
              </a:moveTo>
              <a:lnTo>
                <a:pt x="18129" y="299520"/>
              </a:lnTo>
              <a:lnTo>
                <a:pt x="0" y="280768"/>
              </a:lnTo>
              <a:lnTo>
                <a:pt x="22464" y="257533"/>
              </a:lnTo>
              <a:lnTo>
                <a:pt x="53968" y="224947"/>
              </a:lnTo>
              <a:lnTo>
                <a:pt x="271446" y="0"/>
              </a:lnTo>
              <a:lnTo>
                <a:pt x="307705" y="0"/>
              </a:lnTo>
              <a:lnTo>
                <a:pt x="74361" y="2413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0.84004</cdr:x>
      <cdr:y>0.5808</cdr:y>
    </cdr:from>
    <cdr:to>
      <cdr:x>0.87826</cdr:x>
      <cdr:y>0.62368</cdr:y>
    </cdr:to>
    <cdr:sp macro="" textlink="">
      <cdr:nvSpPr>
        <cdr:cNvPr id="487" name="FracNo 632 StartRow 4704">
          <a:extLst xmlns:a="http://schemas.openxmlformats.org/drawingml/2006/main">
            <a:ext uri="{FF2B5EF4-FFF2-40B4-BE49-F238E27FC236}">
              <a16:creationId xmlns:a16="http://schemas.microsoft.com/office/drawing/2014/main" id="{A453AC91-1D17-83F2-53AB-EA86FFDA792E}"/>
            </a:ext>
          </a:extLst>
        </cdr:cNvPr>
        <cdr:cNvSpPr/>
      </cdr:nvSpPr>
      <cdr:spPr>
        <a:xfrm xmlns:a="http://schemas.openxmlformats.org/drawingml/2006/main">
          <a:off x="6145038" y="4425715"/>
          <a:ext cx="279641" cy="326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641" h="326749">
              <a:moveTo>
                <a:pt x="90091" y="130689"/>
              </a:moveTo>
              <a:lnTo>
                <a:pt x="0" y="37504"/>
              </a:lnTo>
              <a:lnTo>
                <a:pt x="0" y="0"/>
              </a:lnTo>
              <a:lnTo>
                <a:pt x="90091" y="93185"/>
              </a:lnTo>
              <a:lnTo>
                <a:pt x="279640" y="289244"/>
              </a:lnTo>
              <a:lnTo>
                <a:pt x="279640" y="3267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0.53158</cdr:x>
      <cdr:y>0.36821</cdr:y>
    </cdr:from>
    <cdr:to>
      <cdr:x>0.5732</cdr:x>
      <cdr:y>0.40708</cdr:y>
    </cdr:to>
    <cdr:sp macro="" textlink="">
      <cdr:nvSpPr>
        <cdr:cNvPr id="488" name="FracNo 817 StartRow 4713">
          <a:extLst xmlns:a="http://schemas.openxmlformats.org/drawingml/2006/main">
            <a:ext uri="{FF2B5EF4-FFF2-40B4-BE49-F238E27FC236}">
              <a16:creationId xmlns:a16="http://schemas.microsoft.com/office/drawing/2014/main" id="{2FF3454B-8BF0-F9E4-F38E-F698BE9C867E}"/>
            </a:ext>
          </a:extLst>
        </cdr:cNvPr>
        <cdr:cNvSpPr/>
      </cdr:nvSpPr>
      <cdr:spPr>
        <a:xfrm xmlns:a="http://schemas.openxmlformats.org/drawingml/2006/main">
          <a:off x="3888590" y="2805798"/>
          <a:ext cx="304460" cy="296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460" h="296164">
              <a:moveTo>
                <a:pt x="204256" y="66141"/>
              </a:moveTo>
              <a:lnTo>
                <a:pt x="0" y="277411"/>
              </a:lnTo>
              <a:lnTo>
                <a:pt x="18129" y="296163"/>
              </a:lnTo>
              <a:lnTo>
                <a:pt x="236192" y="70612"/>
              </a:lnTo>
              <a:lnTo>
                <a:pt x="304459" y="0"/>
              </a:lnTo>
              <a:lnTo>
                <a:pt x="2682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0.60618</cdr:x>
      <cdr:y>0.25279</cdr:y>
    </cdr:from>
    <cdr:to>
      <cdr:x>0.64897</cdr:x>
      <cdr:y>0.29036</cdr:y>
    </cdr:to>
    <cdr:sp macro="" textlink="">
      <cdr:nvSpPr>
        <cdr:cNvPr id="489" name="FracNo 232 StartRow 4722">
          <a:extLst xmlns:a="http://schemas.openxmlformats.org/drawingml/2006/main">
            <a:ext uri="{FF2B5EF4-FFF2-40B4-BE49-F238E27FC236}">
              <a16:creationId xmlns:a16="http://schemas.microsoft.com/office/drawing/2014/main" id="{367BD005-BECD-1AD5-0179-189FA22BC341}"/>
            </a:ext>
          </a:extLst>
        </cdr:cNvPr>
        <cdr:cNvSpPr/>
      </cdr:nvSpPr>
      <cdr:spPr>
        <a:xfrm xmlns:a="http://schemas.openxmlformats.org/drawingml/2006/main">
          <a:off x="4434303" y="1926249"/>
          <a:ext cx="313014" cy="286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014" h="286260">
              <a:moveTo>
                <a:pt x="214943" y="222324"/>
              </a:moveTo>
              <a:lnTo>
                <a:pt x="0" y="0"/>
              </a:lnTo>
              <a:lnTo>
                <a:pt x="36259" y="0"/>
              </a:lnTo>
              <a:lnTo>
                <a:pt x="251201" y="222324"/>
              </a:lnTo>
              <a:lnTo>
                <a:pt x="313013" y="286259"/>
              </a:lnTo>
              <a:lnTo>
                <a:pt x="276755" y="2862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0.09475</cdr:x>
      <cdr:y>0.28041</cdr:y>
    </cdr:from>
    <cdr:to>
      <cdr:x>0.13255</cdr:x>
      <cdr:y>0.32286</cdr:y>
    </cdr:to>
    <cdr:sp macro="" textlink="">
      <cdr:nvSpPr>
        <cdr:cNvPr id="490" name="FracNo 1056 StartRow 4731">
          <a:extLst xmlns:a="http://schemas.openxmlformats.org/drawingml/2006/main">
            <a:ext uri="{FF2B5EF4-FFF2-40B4-BE49-F238E27FC236}">
              <a16:creationId xmlns:a16="http://schemas.microsoft.com/office/drawing/2014/main" id="{DD698722-EE09-BC56-8E81-A6BCF001F460}"/>
            </a:ext>
          </a:extLst>
        </cdr:cNvPr>
        <cdr:cNvSpPr/>
      </cdr:nvSpPr>
      <cdr:spPr>
        <a:xfrm xmlns:a="http://schemas.openxmlformats.org/drawingml/2006/main">
          <a:off x="693129" y="2136708"/>
          <a:ext cx="276484" cy="3234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484" h="323483">
              <a:moveTo>
                <a:pt x="118235" y="159799"/>
              </a:moveTo>
              <a:lnTo>
                <a:pt x="0" y="37504"/>
              </a:lnTo>
              <a:lnTo>
                <a:pt x="0" y="0"/>
              </a:lnTo>
              <a:lnTo>
                <a:pt x="118235" y="122296"/>
              </a:lnTo>
              <a:lnTo>
                <a:pt x="276483" y="285978"/>
              </a:lnTo>
              <a:lnTo>
                <a:pt x="276483" y="3234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0.42375</cdr:x>
      <cdr:y>0.85638</cdr:y>
    </cdr:from>
    <cdr:to>
      <cdr:x>0.46253</cdr:x>
      <cdr:y>0.89735</cdr:y>
    </cdr:to>
    <cdr:sp macro="" textlink="">
      <cdr:nvSpPr>
        <cdr:cNvPr id="491" name="FracNo 463 StartRow 4740">
          <a:extLst xmlns:a="http://schemas.openxmlformats.org/drawingml/2006/main">
            <a:ext uri="{FF2B5EF4-FFF2-40B4-BE49-F238E27FC236}">
              <a16:creationId xmlns:a16="http://schemas.microsoft.com/office/drawing/2014/main" id="{EA884819-A92B-E3B8-7716-C948EB12A2C3}"/>
            </a:ext>
          </a:extLst>
        </cdr:cNvPr>
        <cdr:cNvSpPr/>
      </cdr:nvSpPr>
      <cdr:spPr>
        <a:xfrm xmlns:a="http://schemas.openxmlformats.org/drawingml/2006/main">
          <a:off x="3099841" y="6525606"/>
          <a:ext cx="283682" cy="312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682" h="312176">
              <a:moveTo>
                <a:pt x="138846" y="181118"/>
              </a:moveTo>
              <a:lnTo>
                <a:pt x="0" y="37503"/>
              </a:lnTo>
              <a:lnTo>
                <a:pt x="0" y="0"/>
              </a:lnTo>
              <a:lnTo>
                <a:pt x="148325" y="153419"/>
              </a:lnTo>
              <a:lnTo>
                <a:pt x="283681" y="293423"/>
              </a:lnTo>
              <a:lnTo>
                <a:pt x="265552" y="3121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0.90501</cdr:x>
      <cdr:y>0.82352</cdr:y>
    </cdr:from>
    <cdr:to>
      <cdr:x>0.94246</cdr:x>
      <cdr:y>0.86564</cdr:y>
    </cdr:to>
    <cdr:sp macro="" textlink="">
      <cdr:nvSpPr>
        <cdr:cNvPr id="492" name="FracNo 110 StartRow 4749">
          <a:extLst xmlns:a="http://schemas.openxmlformats.org/drawingml/2006/main">
            <a:ext uri="{FF2B5EF4-FFF2-40B4-BE49-F238E27FC236}">
              <a16:creationId xmlns:a16="http://schemas.microsoft.com/office/drawing/2014/main" id="{7DC1B74F-8323-29C3-20E1-AAEA7ED497A4}"/>
            </a:ext>
          </a:extLst>
        </cdr:cNvPr>
        <cdr:cNvSpPr/>
      </cdr:nvSpPr>
      <cdr:spPr>
        <a:xfrm xmlns:a="http://schemas.openxmlformats.org/drawingml/2006/main">
          <a:off x="6620300" y="6275224"/>
          <a:ext cx="274008" cy="320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008" h="320922">
              <a:moveTo>
                <a:pt x="193503" y="120772"/>
              </a:moveTo>
              <a:lnTo>
                <a:pt x="0" y="320921"/>
              </a:lnTo>
              <a:lnTo>
                <a:pt x="0" y="283418"/>
              </a:lnTo>
              <a:lnTo>
                <a:pt x="193503" y="83269"/>
              </a:lnTo>
              <a:lnTo>
                <a:pt x="274007" y="0"/>
              </a:lnTo>
              <a:lnTo>
                <a:pt x="274007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0.49211</cdr:x>
      <cdr:y>0.75223</cdr:y>
    </cdr:from>
    <cdr:to>
      <cdr:x>0.53203</cdr:x>
      <cdr:y>0.79186</cdr:y>
    </cdr:to>
    <cdr:sp macro="" textlink="">
      <cdr:nvSpPr>
        <cdr:cNvPr id="493" name="FracNo 959 StartRow 4758">
          <a:extLst xmlns:a="http://schemas.openxmlformats.org/drawingml/2006/main">
            <a:ext uri="{FF2B5EF4-FFF2-40B4-BE49-F238E27FC236}">
              <a16:creationId xmlns:a16="http://schemas.microsoft.com/office/drawing/2014/main" id="{A74ED7C3-DEFD-73A6-BCA3-9060644F8217}"/>
            </a:ext>
          </a:extLst>
        </cdr:cNvPr>
        <cdr:cNvSpPr/>
      </cdr:nvSpPr>
      <cdr:spPr>
        <a:xfrm xmlns:a="http://schemas.openxmlformats.org/drawingml/2006/main">
          <a:off x="3599880" y="5731982"/>
          <a:ext cx="291995" cy="302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995" h="302023">
              <a:moveTo>
                <a:pt x="70068" y="229548"/>
              </a:moveTo>
              <a:lnTo>
                <a:pt x="0" y="302022"/>
              </a:lnTo>
              <a:lnTo>
                <a:pt x="0" y="264518"/>
              </a:lnTo>
              <a:lnTo>
                <a:pt x="61367" y="201043"/>
              </a:lnTo>
              <a:lnTo>
                <a:pt x="255735" y="0"/>
              </a:lnTo>
              <a:lnTo>
                <a:pt x="2919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0.46776</cdr:x>
      <cdr:y>0.20942</cdr:y>
    </cdr:from>
    <cdr:to>
      <cdr:x>0.50763</cdr:x>
      <cdr:y>0.24901</cdr:y>
    </cdr:to>
    <cdr:sp macro="" textlink="">
      <cdr:nvSpPr>
        <cdr:cNvPr id="494" name="FracNo 729 StartRow 4767">
          <a:extLst xmlns:a="http://schemas.openxmlformats.org/drawingml/2006/main">
            <a:ext uri="{FF2B5EF4-FFF2-40B4-BE49-F238E27FC236}">
              <a16:creationId xmlns:a16="http://schemas.microsoft.com/office/drawing/2014/main" id="{3150115E-1814-64F5-E81D-6706BCCA4B2F}"/>
            </a:ext>
          </a:extLst>
        </cdr:cNvPr>
        <cdr:cNvSpPr/>
      </cdr:nvSpPr>
      <cdr:spPr>
        <a:xfrm xmlns:a="http://schemas.openxmlformats.org/drawingml/2006/main">
          <a:off x="3421741" y="1595798"/>
          <a:ext cx="291649" cy="301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649" h="301665">
              <a:moveTo>
                <a:pt x="133834" y="163233"/>
              </a:moveTo>
              <a:lnTo>
                <a:pt x="0" y="301664"/>
              </a:lnTo>
              <a:lnTo>
                <a:pt x="36258" y="301664"/>
              </a:lnTo>
              <a:lnTo>
                <a:pt x="153454" y="180443"/>
              </a:lnTo>
              <a:lnTo>
                <a:pt x="291648" y="37504"/>
              </a:lnTo>
              <a:lnTo>
                <a:pt x="2916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0.87112</cdr:x>
      <cdr:y>0.75233</cdr:y>
    </cdr:from>
    <cdr:to>
      <cdr:x>0.91338</cdr:x>
      <cdr:y>0.78938</cdr:y>
    </cdr:to>
    <cdr:sp macro="" textlink="">
      <cdr:nvSpPr>
        <cdr:cNvPr id="495" name="FracNo 1071 StartRow 4776">
          <a:extLst xmlns:a="http://schemas.openxmlformats.org/drawingml/2006/main">
            <a:ext uri="{FF2B5EF4-FFF2-40B4-BE49-F238E27FC236}">
              <a16:creationId xmlns:a16="http://schemas.microsoft.com/office/drawing/2014/main" id="{AE1B48AA-8762-268B-ABEC-D6F8A941A689}"/>
            </a:ext>
          </a:extLst>
        </cdr:cNvPr>
        <cdr:cNvSpPr/>
      </cdr:nvSpPr>
      <cdr:spPr>
        <a:xfrm xmlns:a="http://schemas.openxmlformats.org/drawingml/2006/main">
          <a:off x="6372387" y="5732759"/>
          <a:ext cx="309179" cy="282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179" h="282293">
              <a:moveTo>
                <a:pt x="123298" y="90028"/>
              </a:moveTo>
              <a:lnTo>
                <a:pt x="36259" y="0"/>
              </a:lnTo>
              <a:lnTo>
                <a:pt x="0" y="0"/>
              </a:lnTo>
              <a:lnTo>
                <a:pt x="87039" y="90028"/>
              </a:lnTo>
              <a:lnTo>
                <a:pt x="272919" y="282292"/>
              </a:lnTo>
              <a:lnTo>
                <a:pt x="309178" y="2822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0.89077</cdr:x>
      <cdr:y>0.73282</cdr:y>
    </cdr:from>
    <cdr:to>
      <cdr:x>0.93303</cdr:x>
      <cdr:y>0.76986</cdr:y>
    </cdr:to>
    <cdr:sp macro="" textlink="">
      <cdr:nvSpPr>
        <cdr:cNvPr id="496" name="FracNo 912 StartRow 4785">
          <a:extLst xmlns:a="http://schemas.openxmlformats.org/drawingml/2006/main">
            <a:ext uri="{FF2B5EF4-FFF2-40B4-BE49-F238E27FC236}">
              <a16:creationId xmlns:a16="http://schemas.microsoft.com/office/drawing/2014/main" id="{86F25933-B55F-A7CC-A04F-5150E2C26112}"/>
            </a:ext>
          </a:extLst>
        </cdr:cNvPr>
        <cdr:cNvSpPr/>
      </cdr:nvSpPr>
      <cdr:spPr>
        <a:xfrm xmlns:a="http://schemas.openxmlformats.org/drawingml/2006/main">
          <a:off x="6516146" y="5584063"/>
          <a:ext cx="309178" cy="282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178" h="282293">
              <a:moveTo>
                <a:pt x="210647" y="180378"/>
              </a:moveTo>
              <a:lnTo>
                <a:pt x="36258" y="0"/>
              </a:lnTo>
              <a:lnTo>
                <a:pt x="0" y="0"/>
              </a:lnTo>
              <a:lnTo>
                <a:pt x="174388" y="180378"/>
              </a:lnTo>
              <a:lnTo>
                <a:pt x="272919" y="282292"/>
              </a:lnTo>
              <a:lnTo>
                <a:pt x="309177" y="2822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0.75549</cdr:x>
      <cdr:y>0.66008</cdr:y>
    </cdr:from>
    <cdr:to>
      <cdr:x>0.79526</cdr:x>
      <cdr:y>0.69956</cdr:y>
    </cdr:to>
    <cdr:sp macro="" textlink="">
      <cdr:nvSpPr>
        <cdr:cNvPr id="497" name="FracNo 888 StartRow 4794">
          <a:extLst xmlns:a="http://schemas.openxmlformats.org/drawingml/2006/main">
            <a:ext uri="{FF2B5EF4-FFF2-40B4-BE49-F238E27FC236}">
              <a16:creationId xmlns:a16="http://schemas.microsoft.com/office/drawing/2014/main" id="{24297403-DD97-1F32-32B8-AAFC78DB7DF0}"/>
            </a:ext>
          </a:extLst>
        </cdr:cNvPr>
        <cdr:cNvSpPr/>
      </cdr:nvSpPr>
      <cdr:spPr>
        <a:xfrm xmlns:a="http://schemas.openxmlformats.org/drawingml/2006/main">
          <a:off x="5526584" y="5029799"/>
          <a:ext cx="290876" cy="300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876" h="300865">
              <a:moveTo>
                <a:pt x="279083" y="12198"/>
              </a:moveTo>
              <a:lnTo>
                <a:pt x="0" y="300864"/>
              </a:lnTo>
              <a:lnTo>
                <a:pt x="0" y="263360"/>
              </a:lnTo>
              <a:lnTo>
                <a:pt x="244294" y="10677"/>
              </a:lnTo>
              <a:lnTo>
                <a:pt x="254616" y="0"/>
              </a:lnTo>
              <a:lnTo>
                <a:pt x="2908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0.75981</cdr:x>
      <cdr:y>0.66436</cdr:y>
    </cdr:from>
    <cdr:to>
      <cdr:x>0.79957</cdr:x>
      <cdr:y>0.70384</cdr:y>
    </cdr:to>
    <cdr:sp macro="" textlink="">
      <cdr:nvSpPr>
        <cdr:cNvPr id="498" name="FracNo 911 StartRow 4803">
          <a:extLst xmlns:a="http://schemas.openxmlformats.org/drawingml/2006/main">
            <a:ext uri="{FF2B5EF4-FFF2-40B4-BE49-F238E27FC236}">
              <a16:creationId xmlns:a16="http://schemas.microsoft.com/office/drawing/2014/main" id="{5EB9205D-C65C-9C1A-09C1-8B58308ED25F}"/>
            </a:ext>
          </a:extLst>
        </cdr:cNvPr>
        <cdr:cNvSpPr/>
      </cdr:nvSpPr>
      <cdr:spPr>
        <a:xfrm xmlns:a="http://schemas.openxmlformats.org/drawingml/2006/main">
          <a:off x="5558131" y="5062428"/>
          <a:ext cx="290874" cy="300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874" h="300865">
              <a:moveTo>
                <a:pt x="15221" y="285118"/>
              </a:moveTo>
              <a:lnTo>
                <a:pt x="0" y="300864"/>
              </a:lnTo>
              <a:lnTo>
                <a:pt x="36258" y="300864"/>
              </a:lnTo>
              <a:lnTo>
                <a:pt x="49583" y="287081"/>
              </a:lnTo>
              <a:lnTo>
                <a:pt x="290873" y="37504"/>
              </a:lnTo>
              <a:lnTo>
                <a:pt x="2908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0.81024</cdr:x>
      <cdr:y>0.71444</cdr:y>
    </cdr:from>
    <cdr:to>
      <cdr:x>0.85</cdr:x>
      <cdr:y>0.75393</cdr:y>
    </cdr:to>
    <cdr:sp macro="" textlink="">
      <cdr:nvSpPr>
        <cdr:cNvPr id="499" name="FracNo 1101 StartRow 4812">
          <a:extLst xmlns:a="http://schemas.openxmlformats.org/drawingml/2006/main">
            <a:ext uri="{FF2B5EF4-FFF2-40B4-BE49-F238E27FC236}">
              <a16:creationId xmlns:a16="http://schemas.microsoft.com/office/drawing/2014/main" id="{C84772C5-E760-124E-9AA6-A7B1A5842531}"/>
            </a:ext>
          </a:extLst>
        </cdr:cNvPr>
        <cdr:cNvSpPr/>
      </cdr:nvSpPr>
      <cdr:spPr>
        <a:xfrm xmlns:a="http://schemas.openxmlformats.org/drawingml/2006/main">
          <a:off x="5927079" y="5444047"/>
          <a:ext cx="290875" cy="300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875" h="300865">
              <a:moveTo>
                <a:pt x="85268" y="212666"/>
              </a:moveTo>
              <a:lnTo>
                <a:pt x="0" y="300864"/>
              </a:lnTo>
              <a:lnTo>
                <a:pt x="36258" y="300864"/>
              </a:lnTo>
              <a:lnTo>
                <a:pt x="110898" y="223661"/>
              </a:lnTo>
              <a:lnTo>
                <a:pt x="290874" y="37504"/>
              </a:lnTo>
              <a:lnTo>
                <a:pt x="2908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0.31446</cdr:x>
      <cdr:y>0.5409</cdr:y>
    </cdr:from>
    <cdr:to>
      <cdr:x>0.3542</cdr:x>
      <cdr:y>0.58036</cdr:y>
    </cdr:to>
    <cdr:sp macro="" textlink="">
      <cdr:nvSpPr>
        <cdr:cNvPr id="500" name="FracNo 1065 StartRow 4821">
          <a:extLst xmlns:a="http://schemas.openxmlformats.org/drawingml/2006/main">
            <a:ext uri="{FF2B5EF4-FFF2-40B4-BE49-F238E27FC236}">
              <a16:creationId xmlns:a16="http://schemas.microsoft.com/office/drawing/2014/main" id="{85546063-59DB-EA5D-F3E9-540F3195E95F}"/>
            </a:ext>
          </a:extLst>
        </cdr:cNvPr>
        <cdr:cNvSpPr/>
      </cdr:nvSpPr>
      <cdr:spPr>
        <a:xfrm xmlns:a="http://schemas.openxmlformats.org/drawingml/2006/main">
          <a:off x="2300330" y="4121680"/>
          <a:ext cx="290711" cy="3006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711" h="300694">
              <a:moveTo>
                <a:pt x="165827" y="91668"/>
              </a:moveTo>
              <a:lnTo>
                <a:pt x="0" y="263189"/>
              </a:lnTo>
              <a:lnTo>
                <a:pt x="0" y="300693"/>
              </a:lnTo>
              <a:lnTo>
                <a:pt x="189456" y="104730"/>
              </a:lnTo>
              <a:lnTo>
                <a:pt x="290710" y="0"/>
              </a:lnTo>
              <a:lnTo>
                <a:pt x="2544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0.74753</cdr:x>
      <cdr:y>0.29247</cdr:y>
    </cdr:from>
    <cdr:to>
      <cdr:x>0.78726</cdr:x>
      <cdr:y>0.33192</cdr:y>
    </cdr:to>
    <cdr:sp macro="" textlink="">
      <cdr:nvSpPr>
        <cdr:cNvPr id="501" name="FracNo 1166 StartRow 4830">
          <a:extLst xmlns:a="http://schemas.openxmlformats.org/drawingml/2006/main">
            <a:ext uri="{FF2B5EF4-FFF2-40B4-BE49-F238E27FC236}">
              <a16:creationId xmlns:a16="http://schemas.microsoft.com/office/drawing/2014/main" id="{992FC7F3-B8D0-2F13-C675-FB852E964048}"/>
            </a:ext>
          </a:extLst>
        </cdr:cNvPr>
        <cdr:cNvSpPr/>
      </cdr:nvSpPr>
      <cdr:spPr>
        <a:xfrm xmlns:a="http://schemas.openxmlformats.org/drawingml/2006/main">
          <a:off x="5468319" y="2228653"/>
          <a:ext cx="290625" cy="300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625" h="300605">
              <a:moveTo>
                <a:pt x="72639" y="112637"/>
              </a:moveTo>
              <a:lnTo>
                <a:pt x="0" y="37504"/>
              </a:lnTo>
              <a:lnTo>
                <a:pt x="0" y="0"/>
              </a:lnTo>
              <a:lnTo>
                <a:pt x="82993" y="85843"/>
              </a:lnTo>
              <a:lnTo>
                <a:pt x="290624" y="300604"/>
              </a:lnTo>
              <a:lnTo>
                <a:pt x="254365" y="3006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0.74081</cdr:x>
      <cdr:y>0.29915</cdr:y>
    </cdr:from>
    <cdr:to>
      <cdr:x>0.78054</cdr:x>
      <cdr:y>0.3386</cdr:y>
    </cdr:to>
    <cdr:sp macro="" textlink="">
      <cdr:nvSpPr>
        <cdr:cNvPr id="502" name="FracNo 1027 StartRow 4839">
          <a:extLst xmlns:a="http://schemas.openxmlformats.org/drawingml/2006/main">
            <a:ext uri="{FF2B5EF4-FFF2-40B4-BE49-F238E27FC236}">
              <a16:creationId xmlns:a16="http://schemas.microsoft.com/office/drawing/2014/main" id="{73FC25A2-9F97-94F8-CE1C-E69DD1EA7771}"/>
            </a:ext>
          </a:extLst>
        </cdr:cNvPr>
        <cdr:cNvSpPr/>
      </cdr:nvSpPr>
      <cdr:spPr>
        <a:xfrm xmlns:a="http://schemas.openxmlformats.org/drawingml/2006/main">
          <a:off x="5419159" y="2279502"/>
          <a:ext cx="290624" cy="300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624" h="300605">
              <a:moveTo>
                <a:pt x="248715" y="219753"/>
              </a:moveTo>
              <a:lnTo>
                <a:pt x="36258" y="0"/>
              </a:lnTo>
              <a:lnTo>
                <a:pt x="0" y="0"/>
              </a:lnTo>
              <a:lnTo>
                <a:pt x="242742" y="251077"/>
              </a:lnTo>
              <a:lnTo>
                <a:pt x="290623" y="300604"/>
              </a:lnTo>
              <a:lnTo>
                <a:pt x="290623" y="263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0.75926</cdr:x>
      <cdr:y>0.28082</cdr:y>
    </cdr:from>
    <cdr:to>
      <cdr:x>0.79899</cdr:x>
      <cdr:y>0.32027</cdr:y>
    </cdr:to>
    <cdr:sp macro="" textlink="">
      <cdr:nvSpPr>
        <cdr:cNvPr id="503" name="FracNo 556 StartRow 4848">
          <a:extLst xmlns:a="http://schemas.openxmlformats.org/drawingml/2006/main">
            <a:ext uri="{FF2B5EF4-FFF2-40B4-BE49-F238E27FC236}">
              <a16:creationId xmlns:a16="http://schemas.microsoft.com/office/drawing/2014/main" id="{D57A2504-691E-1372-75CD-C46FC2BC88E2}"/>
            </a:ext>
          </a:extLst>
        </cdr:cNvPr>
        <cdr:cNvSpPr/>
      </cdr:nvSpPr>
      <cdr:spPr>
        <a:xfrm xmlns:a="http://schemas.openxmlformats.org/drawingml/2006/main">
          <a:off x="5554139" y="2139886"/>
          <a:ext cx="290625" cy="300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625" h="300605">
              <a:moveTo>
                <a:pt x="95926" y="61716"/>
              </a:moveTo>
              <a:lnTo>
                <a:pt x="36259" y="0"/>
              </a:lnTo>
              <a:lnTo>
                <a:pt x="0" y="0"/>
              </a:lnTo>
              <a:lnTo>
                <a:pt x="68173" y="70514"/>
              </a:lnTo>
              <a:lnTo>
                <a:pt x="290624" y="300604"/>
              </a:lnTo>
              <a:lnTo>
                <a:pt x="290624" y="263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0.47892</cdr:x>
      <cdr:y>0.16742</cdr:y>
    </cdr:from>
    <cdr:to>
      <cdr:x>0.51845</cdr:x>
      <cdr:y>0.20667</cdr:y>
    </cdr:to>
    <cdr:sp macro="" textlink="">
      <cdr:nvSpPr>
        <cdr:cNvPr id="504" name="FracNo 984 StartRow 4857">
          <a:extLst xmlns:a="http://schemas.openxmlformats.org/drawingml/2006/main">
            <a:ext uri="{FF2B5EF4-FFF2-40B4-BE49-F238E27FC236}">
              <a16:creationId xmlns:a16="http://schemas.microsoft.com/office/drawing/2014/main" id="{C34805BD-C521-8CDF-9A34-7ACA0BB7E2AF}"/>
            </a:ext>
          </a:extLst>
        </cdr:cNvPr>
        <cdr:cNvSpPr/>
      </cdr:nvSpPr>
      <cdr:spPr>
        <a:xfrm xmlns:a="http://schemas.openxmlformats.org/drawingml/2006/main">
          <a:off x="3503431" y="1275744"/>
          <a:ext cx="289164" cy="2990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164" h="299095">
              <a:moveTo>
                <a:pt x="111831" y="78168"/>
              </a:moveTo>
              <a:lnTo>
                <a:pt x="36259" y="0"/>
              </a:lnTo>
              <a:lnTo>
                <a:pt x="0" y="0"/>
              </a:lnTo>
              <a:lnTo>
                <a:pt x="86407" y="89375"/>
              </a:lnTo>
              <a:lnTo>
                <a:pt x="289163" y="299094"/>
              </a:lnTo>
              <a:lnTo>
                <a:pt x="289163" y="2615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0.79468</cdr:x>
      <cdr:y>0.22185</cdr:y>
    </cdr:from>
    <cdr:to>
      <cdr:x>0.83272</cdr:x>
      <cdr:y>0.26207</cdr:y>
    </cdr:to>
    <cdr:sp macro="" textlink="">
      <cdr:nvSpPr>
        <cdr:cNvPr id="505" name="FracNo 835 StartRow 4866">
          <a:extLst xmlns:a="http://schemas.openxmlformats.org/drawingml/2006/main">
            <a:ext uri="{FF2B5EF4-FFF2-40B4-BE49-F238E27FC236}">
              <a16:creationId xmlns:a16="http://schemas.microsoft.com/office/drawing/2014/main" id="{31BBD495-61DF-F83A-03B1-6521D77321DC}"/>
            </a:ext>
          </a:extLst>
        </cdr:cNvPr>
        <cdr:cNvSpPr/>
      </cdr:nvSpPr>
      <cdr:spPr>
        <a:xfrm xmlns:a="http://schemas.openxmlformats.org/drawingml/2006/main">
          <a:off x="5813268" y="1690474"/>
          <a:ext cx="278229" cy="30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229" h="306536">
              <a:moveTo>
                <a:pt x="192955" y="106954"/>
              </a:moveTo>
              <a:lnTo>
                <a:pt x="0" y="306535"/>
              </a:lnTo>
              <a:lnTo>
                <a:pt x="0" y="269031"/>
              </a:lnTo>
              <a:lnTo>
                <a:pt x="180381" y="82455"/>
              </a:lnTo>
              <a:lnTo>
                <a:pt x="260098" y="0"/>
              </a:lnTo>
              <a:lnTo>
                <a:pt x="2782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0.78886</cdr:x>
      <cdr:y>0.21853</cdr:y>
    </cdr:from>
    <cdr:to>
      <cdr:x>0.82938</cdr:x>
      <cdr:y>0.2563</cdr:y>
    </cdr:to>
    <cdr:sp macro="" textlink="">
      <cdr:nvSpPr>
        <cdr:cNvPr id="506" name="FracNo 518 StartRow 4875">
          <a:extLst xmlns:a="http://schemas.openxmlformats.org/drawingml/2006/main">
            <a:ext uri="{FF2B5EF4-FFF2-40B4-BE49-F238E27FC236}">
              <a16:creationId xmlns:a16="http://schemas.microsoft.com/office/drawing/2014/main" id="{5FF93459-AFF7-127C-8B01-66CA68442CAC}"/>
            </a:ext>
          </a:extLst>
        </cdr:cNvPr>
        <cdr:cNvSpPr/>
      </cdr:nvSpPr>
      <cdr:spPr>
        <a:xfrm xmlns:a="http://schemas.openxmlformats.org/drawingml/2006/main">
          <a:off x="5770702" y="1665198"/>
          <a:ext cx="296359" cy="287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359" h="287784">
              <a:moveTo>
                <a:pt x="262397" y="16374"/>
              </a:moveTo>
              <a:lnTo>
                <a:pt x="0" y="287783"/>
              </a:lnTo>
              <a:lnTo>
                <a:pt x="36258" y="287783"/>
              </a:lnTo>
              <a:lnTo>
                <a:pt x="281558" y="34059"/>
              </a:lnTo>
              <a:lnTo>
                <a:pt x="296358" y="18752"/>
              </a:lnTo>
              <a:lnTo>
                <a:pt x="2782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0.26483</cdr:x>
      <cdr:y>0.11689</cdr:y>
    </cdr:from>
    <cdr:to>
      <cdr:x>0.30502</cdr:x>
      <cdr:y>0.15434</cdr:y>
    </cdr:to>
    <cdr:sp macro="" textlink="">
      <cdr:nvSpPr>
        <cdr:cNvPr id="507" name="FracNo 1017 StartRow 4884">
          <a:extLst xmlns:a="http://schemas.openxmlformats.org/drawingml/2006/main">
            <a:ext uri="{FF2B5EF4-FFF2-40B4-BE49-F238E27FC236}">
              <a16:creationId xmlns:a16="http://schemas.microsoft.com/office/drawing/2014/main" id="{6FE6157B-5ECD-E064-038B-15B9AA56E124}"/>
            </a:ext>
          </a:extLst>
        </cdr:cNvPr>
        <cdr:cNvSpPr/>
      </cdr:nvSpPr>
      <cdr:spPr>
        <a:xfrm xmlns:a="http://schemas.openxmlformats.org/drawingml/2006/main">
          <a:off x="1937251" y="890684"/>
          <a:ext cx="294044" cy="285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044" h="285389">
              <a:moveTo>
                <a:pt x="60542" y="81372"/>
              </a:moveTo>
              <a:lnTo>
                <a:pt x="0" y="18751"/>
              </a:lnTo>
              <a:lnTo>
                <a:pt x="18130" y="0"/>
              </a:lnTo>
              <a:lnTo>
                <a:pt x="82929" y="67024"/>
              </a:lnTo>
              <a:lnTo>
                <a:pt x="294043" y="285388"/>
              </a:lnTo>
              <a:lnTo>
                <a:pt x="257785" y="2853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0.69711</cdr:x>
      <cdr:y>0.35428</cdr:y>
    </cdr:from>
    <cdr:to>
      <cdr:x>0.73726</cdr:x>
      <cdr:y>0.39169</cdr:y>
    </cdr:to>
    <cdr:sp macro="" textlink="">
      <cdr:nvSpPr>
        <cdr:cNvPr id="508" name="FracNo 621 StartRow 4893">
          <a:extLst xmlns:a="http://schemas.openxmlformats.org/drawingml/2006/main">
            <a:ext uri="{FF2B5EF4-FFF2-40B4-BE49-F238E27FC236}">
              <a16:creationId xmlns:a16="http://schemas.microsoft.com/office/drawing/2014/main" id="{3B81C865-3073-0949-51FC-DA38E7505318}"/>
            </a:ext>
          </a:extLst>
        </cdr:cNvPr>
        <cdr:cNvSpPr/>
      </cdr:nvSpPr>
      <cdr:spPr>
        <a:xfrm xmlns:a="http://schemas.openxmlformats.org/drawingml/2006/main">
          <a:off x="5099474" y="2699651"/>
          <a:ext cx="293694" cy="28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694" h="285028">
              <a:moveTo>
                <a:pt x="289679" y="262123"/>
              </a:moveTo>
              <a:lnTo>
                <a:pt x="126637" y="93482"/>
              </a:lnTo>
              <a:lnTo>
                <a:pt x="36259" y="0"/>
              </a:lnTo>
              <a:lnTo>
                <a:pt x="0" y="0"/>
              </a:lnTo>
              <a:lnTo>
                <a:pt x="96848" y="100174"/>
              </a:lnTo>
              <a:lnTo>
                <a:pt x="271270" y="280585"/>
              </a:lnTo>
              <a:lnTo>
                <a:pt x="275564" y="285027"/>
              </a:lnTo>
              <a:lnTo>
                <a:pt x="293693" y="2662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0.62938</cdr:x>
      <cdr:y>0.33369</cdr:y>
    </cdr:from>
    <cdr:to>
      <cdr:x>0.66578</cdr:x>
      <cdr:y>0.37476</cdr:y>
    </cdr:to>
    <cdr:sp macro="" textlink="">
      <cdr:nvSpPr>
        <cdr:cNvPr id="509" name="FracNo 1004 StartRow 4904">
          <a:extLst xmlns:a="http://schemas.openxmlformats.org/drawingml/2006/main">
            <a:ext uri="{FF2B5EF4-FFF2-40B4-BE49-F238E27FC236}">
              <a16:creationId xmlns:a16="http://schemas.microsoft.com/office/drawing/2014/main" id="{1F0CAA5C-3631-EC5F-ACB4-0D2D14570176}"/>
            </a:ext>
          </a:extLst>
        </cdr:cNvPr>
        <cdr:cNvSpPr/>
      </cdr:nvSpPr>
      <cdr:spPr>
        <a:xfrm xmlns:a="http://schemas.openxmlformats.org/drawingml/2006/main">
          <a:off x="4604038" y="2542689"/>
          <a:ext cx="266301" cy="312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301" h="312950">
              <a:moveTo>
                <a:pt x="58934" y="214488"/>
              </a:moveTo>
              <a:lnTo>
                <a:pt x="33533" y="240761"/>
              </a:lnTo>
              <a:lnTo>
                <a:pt x="0" y="275445"/>
              </a:lnTo>
              <a:lnTo>
                <a:pt x="0" y="312949"/>
              </a:lnTo>
              <a:lnTo>
                <a:pt x="44598" y="266819"/>
              </a:lnTo>
              <a:lnTo>
                <a:pt x="69074" y="241502"/>
              </a:lnTo>
              <a:lnTo>
                <a:pt x="218310" y="87142"/>
              </a:lnTo>
              <a:lnTo>
                <a:pt x="266300" y="37504"/>
              </a:lnTo>
              <a:lnTo>
                <a:pt x="266300" y="0"/>
              </a:lnTo>
              <a:lnTo>
                <a:pt x="213807" y="542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0.60644</cdr:x>
      <cdr:y>0.31091</cdr:y>
    </cdr:from>
    <cdr:to>
      <cdr:x>0.64284</cdr:x>
      <cdr:y>0.35198</cdr:y>
    </cdr:to>
    <cdr:sp macro="" textlink="">
      <cdr:nvSpPr>
        <cdr:cNvPr id="510" name="FracNo 807 StartRow 4917">
          <a:extLst xmlns:a="http://schemas.openxmlformats.org/drawingml/2006/main">
            <a:ext uri="{FF2B5EF4-FFF2-40B4-BE49-F238E27FC236}">
              <a16:creationId xmlns:a16="http://schemas.microsoft.com/office/drawing/2014/main" id="{5649C8F2-EF84-DD7F-F5B0-D514713C8B7A}"/>
            </a:ext>
          </a:extLst>
        </cdr:cNvPr>
        <cdr:cNvSpPr/>
      </cdr:nvSpPr>
      <cdr:spPr>
        <a:xfrm xmlns:a="http://schemas.openxmlformats.org/drawingml/2006/main">
          <a:off x="4436226" y="2369113"/>
          <a:ext cx="266300" cy="312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300" h="312950">
              <a:moveTo>
                <a:pt x="226761" y="40896"/>
              </a:moveTo>
              <a:lnTo>
                <a:pt x="0" y="275445"/>
              </a:lnTo>
              <a:lnTo>
                <a:pt x="0" y="312949"/>
              </a:lnTo>
              <a:lnTo>
                <a:pt x="226761" y="78400"/>
              </a:lnTo>
              <a:lnTo>
                <a:pt x="266299" y="37504"/>
              </a:lnTo>
              <a:lnTo>
                <a:pt x="2662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0.68752</cdr:x>
      <cdr:y>0.83683</cdr:y>
    </cdr:from>
    <cdr:to>
      <cdr:x>0.72885</cdr:x>
      <cdr:y>0.87294</cdr:y>
    </cdr:to>
    <cdr:sp macro="" textlink="">
      <cdr:nvSpPr>
        <cdr:cNvPr id="511" name="FracNo 1028 StartRow 4926">
          <a:extLst xmlns:a="http://schemas.openxmlformats.org/drawingml/2006/main">
            <a:ext uri="{FF2B5EF4-FFF2-40B4-BE49-F238E27FC236}">
              <a16:creationId xmlns:a16="http://schemas.microsoft.com/office/drawing/2014/main" id="{1DCCB439-92C6-E6E2-1F87-CDB6F43CF5C0}"/>
            </a:ext>
          </a:extLst>
        </cdr:cNvPr>
        <cdr:cNvSpPr/>
      </cdr:nvSpPr>
      <cdr:spPr>
        <a:xfrm xmlns:a="http://schemas.openxmlformats.org/drawingml/2006/main">
          <a:off x="5029374" y="6376668"/>
          <a:ext cx="302291" cy="275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291" h="275169">
              <a:moveTo>
                <a:pt x="18593" y="19232"/>
              </a:moveTo>
              <a:lnTo>
                <a:pt x="0" y="0"/>
              </a:lnTo>
              <a:lnTo>
                <a:pt x="36258" y="0"/>
              </a:lnTo>
              <a:lnTo>
                <a:pt x="54852" y="19232"/>
              </a:lnTo>
              <a:lnTo>
                <a:pt x="302290" y="275168"/>
              </a:lnTo>
              <a:lnTo>
                <a:pt x="266032" y="2751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0.63425</cdr:x>
      <cdr:y>0.26155</cdr:y>
    </cdr:from>
    <cdr:to>
      <cdr:x>0.67302</cdr:x>
      <cdr:y>0.30005</cdr:y>
    </cdr:to>
    <cdr:sp macro="" textlink="">
      <cdr:nvSpPr>
        <cdr:cNvPr id="512" name="FracNo 192 StartRow 4935">
          <a:extLst xmlns:a="http://schemas.openxmlformats.org/drawingml/2006/main">
            <a:ext uri="{FF2B5EF4-FFF2-40B4-BE49-F238E27FC236}">
              <a16:creationId xmlns:a16="http://schemas.microsoft.com/office/drawing/2014/main" id="{71AA2E71-A921-150A-6D4F-BAB9BB2FD202}"/>
            </a:ext>
          </a:extLst>
        </cdr:cNvPr>
        <cdr:cNvSpPr/>
      </cdr:nvSpPr>
      <cdr:spPr>
        <a:xfrm xmlns:a="http://schemas.openxmlformats.org/drawingml/2006/main">
          <a:off x="4639672" y="1993018"/>
          <a:ext cx="283589" cy="293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589" h="293328">
              <a:moveTo>
                <a:pt x="91493" y="198693"/>
              </a:moveTo>
              <a:lnTo>
                <a:pt x="0" y="293327"/>
              </a:lnTo>
              <a:lnTo>
                <a:pt x="36258" y="293327"/>
              </a:lnTo>
              <a:lnTo>
                <a:pt x="114224" y="212684"/>
              </a:lnTo>
              <a:lnTo>
                <a:pt x="185599" y="138858"/>
              </a:lnTo>
              <a:lnTo>
                <a:pt x="283588" y="37504"/>
              </a:lnTo>
              <a:lnTo>
                <a:pt x="283588" y="0"/>
              </a:lnTo>
              <a:lnTo>
                <a:pt x="175251" y="1120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0.32869</cdr:x>
      <cdr:y>0.20011</cdr:y>
    </cdr:from>
    <cdr:to>
      <cdr:x>0.36741</cdr:x>
      <cdr:y>0.23856</cdr:y>
    </cdr:to>
    <cdr:sp macro="" textlink="">
      <cdr:nvSpPr>
        <cdr:cNvPr id="513" name="FracNo 280 StartRow 4946">
          <a:extLst xmlns:a="http://schemas.openxmlformats.org/drawingml/2006/main">
            <a:ext uri="{FF2B5EF4-FFF2-40B4-BE49-F238E27FC236}">
              <a16:creationId xmlns:a16="http://schemas.microsoft.com/office/drawing/2014/main" id="{7CD10A95-C279-3144-3E94-1C9271AC04F5}"/>
            </a:ext>
          </a:extLst>
        </cdr:cNvPr>
        <cdr:cNvSpPr/>
      </cdr:nvSpPr>
      <cdr:spPr>
        <a:xfrm xmlns:a="http://schemas.openxmlformats.org/drawingml/2006/main">
          <a:off x="2404412" y="1524874"/>
          <a:ext cx="283245" cy="292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245" h="292972">
              <a:moveTo>
                <a:pt x="116907" y="172049"/>
              </a:moveTo>
              <a:lnTo>
                <a:pt x="0" y="292971"/>
              </a:lnTo>
              <a:lnTo>
                <a:pt x="0" y="255468"/>
              </a:lnTo>
              <a:lnTo>
                <a:pt x="101942" y="150025"/>
              </a:lnTo>
              <a:lnTo>
                <a:pt x="246986" y="0"/>
              </a:lnTo>
              <a:lnTo>
                <a:pt x="2832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0.14634</cdr:x>
      <cdr:y>0.45254</cdr:y>
    </cdr:from>
    <cdr:to>
      <cdr:x>0.18741</cdr:x>
      <cdr:y>0.4884</cdr:y>
    </cdr:to>
    <cdr:sp macro="" textlink="">
      <cdr:nvSpPr>
        <cdr:cNvPr id="514" name="FracNo 956 StartRow 4955">
          <a:extLst xmlns:a="http://schemas.openxmlformats.org/drawingml/2006/main">
            <a:ext uri="{FF2B5EF4-FFF2-40B4-BE49-F238E27FC236}">
              <a16:creationId xmlns:a16="http://schemas.microsoft.com/office/drawing/2014/main" id="{0B8D69DF-CAA5-3E15-DD7B-6F0EF318EF77}"/>
            </a:ext>
          </a:extLst>
        </cdr:cNvPr>
        <cdr:cNvSpPr/>
      </cdr:nvSpPr>
      <cdr:spPr>
        <a:xfrm xmlns:a="http://schemas.openxmlformats.org/drawingml/2006/main">
          <a:off x="1070499" y="3448359"/>
          <a:ext cx="300462" cy="273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462" h="273276">
              <a:moveTo>
                <a:pt x="106002" y="72138"/>
              </a:moveTo>
              <a:lnTo>
                <a:pt x="36259" y="0"/>
              </a:lnTo>
              <a:lnTo>
                <a:pt x="0" y="0"/>
              </a:lnTo>
              <a:lnTo>
                <a:pt x="69743" y="72138"/>
              </a:lnTo>
              <a:lnTo>
                <a:pt x="264202" y="273275"/>
              </a:lnTo>
              <a:lnTo>
                <a:pt x="300461" y="2732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0.68738</cdr:x>
      <cdr:y>0.43776</cdr:y>
    </cdr:from>
    <cdr:to>
      <cdr:x>0.72349</cdr:x>
      <cdr:y>0.47853</cdr:y>
    </cdr:to>
    <cdr:sp macro="" textlink="">
      <cdr:nvSpPr>
        <cdr:cNvPr id="515" name="FracNo 630 StartRow 4964">
          <a:extLst xmlns:a="http://schemas.openxmlformats.org/drawingml/2006/main">
            <a:ext uri="{FF2B5EF4-FFF2-40B4-BE49-F238E27FC236}">
              <a16:creationId xmlns:a16="http://schemas.microsoft.com/office/drawing/2014/main" id="{A6F3C029-6801-C3C0-EBE2-9BDAA71122DD}"/>
            </a:ext>
          </a:extLst>
        </cdr:cNvPr>
        <cdr:cNvSpPr/>
      </cdr:nvSpPr>
      <cdr:spPr>
        <a:xfrm xmlns:a="http://schemas.openxmlformats.org/drawingml/2006/main">
          <a:off x="5028357" y="3335731"/>
          <a:ext cx="264092" cy="310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092" h="310664">
              <a:moveTo>
                <a:pt x="140247" y="182566"/>
              </a:moveTo>
              <a:lnTo>
                <a:pt x="0" y="37504"/>
              </a:lnTo>
              <a:lnTo>
                <a:pt x="0" y="0"/>
              </a:lnTo>
              <a:lnTo>
                <a:pt x="140247" y="145063"/>
              </a:lnTo>
              <a:lnTo>
                <a:pt x="264091" y="273160"/>
              </a:lnTo>
              <a:lnTo>
                <a:pt x="264091" y="3106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0.69995</cdr:x>
      <cdr:y>0.42528</cdr:y>
    </cdr:from>
    <cdr:to>
      <cdr:x>0.73605</cdr:x>
      <cdr:y>0.46605</cdr:y>
    </cdr:to>
    <cdr:sp macro="" textlink="">
      <cdr:nvSpPr>
        <cdr:cNvPr id="516" name="FracNo 626 StartRow 4973">
          <a:extLst xmlns:a="http://schemas.openxmlformats.org/drawingml/2006/main">
            <a:ext uri="{FF2B5EF4-FFF2-40B4-BE49-F238E27FC236}">
              <a16:creationId xmlns:a16="http://schemas.microsoft.com/office/drawing/2014/main" id="{8E46E9FB-FD93-84EB-767A-743A422449DC}"/>
            </a:ext>
          </a:extLst>
        </cdr:cNvPr>
        <cdr:cNvSpPr/>
      </cdr:nvSpPr>
      <cdr:spPr>
        <a:xfrm xmlns:a="http://schemas.openxmlformats.org/drawingml/2006/main">
          <a:off x="5120284" y="3240649"/>
          <a:ext cx="264090" cy="310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090" h="310664">
              <a:moveTo>
                <a:pt x="207290" y="251912"/>
              </a:moveTo>
              <a:lnTo>
                <a:pt x="0" y="37503"/>
              </a:lnTo>
              <a:lnTo>
                <a:pt x="0" y="0"/>
              </a:lnTo>
              <a:lnTo>
                <a:pt x="207290" y="214408"/>
              </a:lnTo>
              <a:lnTo>
                <a:pt x="264089" y="273159"/>
              </a:lnTo>
              <a:lnTo>
                <a:pt x="264089" y="3106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0.27215</cdr:x>
      <cdr:y>0.39877</cdr:y>
    </cdr:from>
    <cdr:to>
      <cdr:x>0.31062</cdr:x>
      <cdr:y>0.43698</cdr:y>
    </cdr:to>
    <cdr:sp macro="" textlink="">
      <cdr:nvSpPr>
        <cdr:cNvPr id="517" name="FracNo 795 StartRow 4982">
          <a:extLst xmlns:a="http://schemas.openxmlformats.org/drawingml/2006/main">
            <a:ext uri="{FF2B5EF4-FFF2-40B4-BE49-F238E27FC236}">
              <a16:creationId xmlns:a16="http://schemas.microsoft.com/office/drawing/2014/main" id="{8597F0AB-8CD8-3DE4-AB7E-5EE9BF59684F}"/>
            </a:ext>
          </a:extLst>
        </cdr:cNvPr>
        <cdr:cNvSpPr/>
      </cdr:nvSpPr>
      <cdr:spPr>
        <a:xfrm xmlns:a="http://schemas.openxmlformats.org/drawingml/2006/main">
          <a:off x="1990827" y="3038660"/>
          <a:ext cx="281436" cy="291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436" h="291101">
              <a:moveTo>
                <a:pt x="229052" y="91686"/>
              </a:moveTo>
              <a:lnTo>
                <a:pt x="36258" y="291100"/>
              </a:lnTo>
              <a:lnTo>
                <a:pt x="0" y="291100"/>
              </a:lnTo>
              <a:lnTo>
                <a:pt x="221305" y="62195"/>
              </a:lnTo>
              <a:lnTo>
                <a:pt x="281435" y="0"/>
              </a:lnTo>
              <a:lnTo>
                <a:pt x="28143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0.41342</cdr:x>
      <cdr:y>0.72988</cdr:y>
    </cdr:from>
    <cdr:to>
      <cdr:x>0.45059</cdr:x>
      <cdr:y>0.76924</cdr:y>
    </cdr:to>
    <cdr:sp macro="" textlink="">
      <cdr:nvSpPr>
        <cdr:cNvPr id="518" name="FracNo 462 StartRow 4991">
          <a:extLst xmlns:a="http://schemas.openxmlformats.org/drawingml/2006/main">
            <a:ext uri="{FF2B5EF4-FFF2-40B4-BE49-F238E27FC236}">
              <a16:creationId xmlns:a16="http://schemas.microsoft.com/office/drawing/2014/main" id="{E6125EC9-C8F8-1018-52D8-A4A01DA78740}"/>
            </a:ext>
          </a:extLst>
        </cdr:cNvPr>
        <cdr:cNvSpPr/>
      </cdr:nvSpPr>
      <cdr:spPr>
        <a:xfrm xmlns:a="http://schemas.openxmlformats.org/drawingml/2006/main">
          <a:off x="3024239" y="5561662"/>
          <a:ext cx="271886" cy="299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886" h="299975">
              <a:moveTo>
                <a:pt x="217599" y="262575"/>
              </a:moveTo>
              <a:lnTo>
                <a:pt x="0" y="37504"/>
              </a:lnTo>
              <a:lnTo>
                <a:pt x="0" y="0"/>
              </a:lnTo>
              <a:lnTo>
                <a:pt x="233145" y="241151"/>
              </a:lnTo>
              <a:lnTo>
                <a:pt x="271885" y="281222"/>
              </a:lnTo>
              <a:lnTo>
                <a:pt x="253756" y="2999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0.29849</cdr:x>
      <cdr:y>0.62036</cdr:y>
    </cdr:from>
    <cdr:to>
      <cdr:x>0.33784</cdr:x>
      <cdr:y>0.65698</cdr:y>
    </cdr:to>
    <cdr:sp macro="" textlink="">
      <cdr:nvSpPr>
        <cdr:cNvPr id="519" name="FracNo 384 StartRow 5000">
          <a:extLst xmlns:a="http://schemas.openxmlformats.org/drawingml/2006/main">
            <a:ext uri="{FF2B5EF4-FFF2-40B4-BE49-F238E27FC236}">
              <a16:creationId xmlns:a16="http://schemas.microsoft.com/office/drawing/2014/main" id="{5661A94D-EF96-E0FE-E197-C28E06CD8103}"/>
            </a:ext>
          </a:extLst>
        </cdr:cNvPr>
        <cdr:cNvSpPr/>
      </cdr:nvSpPr>
      <cdr:spPr>
        <a:xfrm xmlns:a="http://schemas.openxmlformats.org/drawingml/2006/main">
          <a:off x="2183490" y="4727154"/>
          <a:ext cx="287909" cy="279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909" h="279045">
              <a:moveTo>
                <a:pt x="87335" y="109086"/>
              </a:moveTo>
              <a:lnTo>
                <a:pt x="0" y="18752"/>
              </a:lnTo>
              <a:lnTo>
                <a:pt x="18129" y="0"/>
              </a:lnTo>
              <a:lnTo>
                <a:pt x="110688" y="95737"/>
              </a:lnTo>
              <a:lnTo>
                <a:pt x="222468" y="211356"/>
              </a:lnTo>
              <a:lnTo>
                <a:pt x="287908" y="279044"/>
              </a:lnTo>
              <a:lnTo>
                <a:pt x="251649" y="279044"/>
              </a:lnTo>
              <a:lnTo>
                <a:pt x="192807" y="2181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0.49384</cdr:x>
      <cdr:y>0.49364</cdr:y>
    </cdr:from>
    <cdr:to>
      <cdr:x>0.53173</cdr:x>
      <cdr:y>0.53127</cdr:y>
    </cdr:to>
    <cdr:sp macro="" textlink="">
      <cdr:nvSpPr>
        <cdr:cNvPr id="520" name="FracNo 716 StartRow 5011">
          <a:extLst xmlns:a="http://schemas.openxmlformats.org/drawingml/2006/main">
            <a:ext uri="{FF2B5EF4-FFF2-40B4-BE49-F238E27FC236}">
              <a16:creationId xmlns:a16="http://schemas.microsoft.com/office/drawing/2014/main" id="{C52DB6BD-7062-56DD-76AB-5346BB2CDAEE}"/>
            </a:ext>
          </a:extLst>
        </cdr:cNvPr>
        <cdr:cNvSpPr/>
      </cdr:nvSpPr>
      <cdr:spPr>
        <a:xfrm xmlns:a="http://schemas.openxmlformats.org/drawingml/2006/main">
          <a:off x="3612523" y="3761547"/>
          <a:ext cx="277206" cy="286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206" h="286725">
              <a:moveTo>
                <a:pt x="228899" y="255512"/>
              </a:moveTo>
              <a:lnTo>
                <a:pt x="0" y="18752"/>
              </a:lnTo>
              <a:lnTo>
                <a:pt x="18129" y="0"/>
              </a:lnTo>
              <a:lnTo>
                <a:pt x="247028" y="236759"/>
              </a:lnTo>
              <a:lnTo>
                <a:pt x="277205" y="267972"/>
              </a:lnTo>
              <a:lnTo>
                <a:pt x="259075" y="2867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0.64563</cdr:x>
      <cdr:y>0.28875</cdr:y>
    </cdr:from>
    <cdr:to>
      <cdr:x>0.6834</cdr:x>
      <cdr:y>0.32625</cdr:y>
    </cdr:to>
    <cdr:sp macro="" textlink="">
      <cdr:nvSpPr>
        <cdr:cNvPr id="521" name="FracNo 1192 StartRow 5020">
          <a:extLst xmlns:a="http://schemas.openxmlformats.org/drawingml/2006/main">
            <a:ext uri="{FF2B5EF4-FFF2-40B4-BE49-F238E27FC236}">
              <a16:creationId xmlns:a16="http://schemas.microsoft.com/office/drawing/2014/main" id="{B3C3FA87-A3FC-D2D9-4033-FA622B128A5E}"/>
            </a:ext>
          </a:extLst>
        </cdr:cNvPr>
        <cdr:cNvSpPr/>
      </cdr:nvSpPr>
      <cdr:spPr>
        <a:xfrm xmlns:a="http://schemas.openxmlformats.org/drawingml/2006/main">
          <a:off x="4722911" y="2200248"/>
          <a:ext cx="276323" cy="285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323" h="285813">
              <a:moveTo>
                <a:pt x="96974" y="100305"/>
              </a:moveTo>
              <a:lnTo>
                <a:pt x="87168" y="90162"/>
              </a:lnTo>
              <a:lnTo>
                <a:pt x="0" y="0"/>
              </a:lnTo>
              <a:lnTo>
                <a:pt x="36258" y="0"/>
              </a:lnTo>
              <a:lnTo>
                <a:pt x="107203" y="73382"/>
              </a:lnTo>
              <a:lnTo>
                <a:pt x="115970" y="82450"/>
              </a:lnTo>
              <a:lnTo>
                <a:pt x="276322" y="248309"/>
              </a:lnTo>
              <a:lnTo>
                <a:pt x="276322" y="2858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</cdr:x>
      <cdr:y>0.73513</cdr:y>
    </cdr:from>
    <cdr:to>
      <cdr:x>0.777</cdr:x>
      <cdr:y>0.7714</cdr:y>
    </cdr:to>
    <cdr:sp macro="" textlink="">
      <cdr:nvSpPr>
        <cdr:cNvPr id="522" name="FracNo 120 StartRow 5031">
          <a:extLst xmlns:a="http://schemas.openxmlformats.org/drawingml/2006/main">
            <a:ext uri="{FF2B5EF4-FFF2-40B4-BE49-F238E27FC236}">
              <a16:creationId xmlns:a16="http://schemas.microsoft.com/office/drawing/2014/main" id="{FCB5887F-86A0-DE71-02AC-1E0ACAFE6465}"/>
            </a:ext>
          </a:extLst>
        </cdr:cNvPr>
        <cdr:cNvSpPr/>
      </cdr:nvSpPr>
      <cdr:spPr>
        <a:xfrm xmlns:a="http://schemas.openxmlformats.org/drawingml/2006/main">
          <a:off x="5398626" y="5601696"/>
          <a:ext cx="285306" cy="276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306" h="276353">
              <a:moveTo>
                <a:pt x="114600" y="176568"/>
              </a:moveTo>
              <a:lnTo>
                <a:pt x="18129" y="276352"/>
              </a:lnTo>
              <a:lnTo>
                <a:pt x="0" y="257600"/>
              </a:lnTo>
              <a:lnTo>
                <a:pt x="89925" y="164587"/>
              </a:lnTo>
              <a:lnTo>
                <a:pt x="249047" y="0"/>
              </a:lnTo>
              <a:lnTo>
                <a:pt x="2853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0.09437</cdr:x>
      <cdr:y>0.82567</cdr:y>
    </cdr:from>
    <cdr:to>
      <cdr:x>0.13457</cdr:x>
      <cdr:y>0.86067</cdr:y>
    </cdr:to>
    <cdr:sp macro="" textlink="">
      <cdr:nvSpPr>
        <cdr:cNvPr id="523" name="FracNo 1033 StartRow 5040">
          <a:extLst xmlns:a="http://schemas.openxmlformats.org/drawingml/2006/main">
            <a:ext uri="{FF2B5EF4-FFF2-40B4-BE49-F238E27FC236}">
              <a16:creationId xmlns:a16="http://schemas.microsoft.com/office/drawing/2014/main" id="{49DBB3FF-6AF2-9749-2D67-3C44164EF45C}"/>
            </a:ext>
          </a:extLst>
        </cdr:cNvPr>
        <cdr:cNvSpPr/>
      </cdr:nvSpPr>
      <cdr:spPr>
        <a:xfrm xmlns:a="http://schemas.openxmlformats.org/drawingml/2006/main">
          <a:off x="690337" y="6291620"/>
          <a:ext cx="294075" cy="266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075" h="266671">
              <a:moveTo>
                <a:pt x="89204" y="211906"/>
              </a:moveTo>
              <a:lnTo>
                <a:pt x="36258" y="266670"/>
              </a:lnTo>
              <a:lnTo>
                <a:pt x="0" y="266670"/>
              </a:lnTo>
              <a:lnTo>
                <a:pt x="52946" y="211906"/>
              </a:lnTo>
              <a:lnTo>
                <a:pt x="257816" y="0"/>
              </a:lnTo>
              <a:lnTo>
                <a:pt x="2940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0.31113</cdr:x>
      <cdr:y>0.39582</cdr:y>
    </cdr:from>
    <cdr:to>
      <cdr:x>0.34996</cdr:x>
      <cdr:y>0.43191</cdr:y>
    </cdr:to>
    <cdr:sp macro="" textlink="">
      <cdr:nvSpPr>
        <cdr:cNvPr id="524" name="FracNo 347 StartRow 5049">
          <a:extLst xmlns:a="http://schemas.openxmlformats.org/drawingml/2006/main">
            <a:ext uri="{FF2B5EF4-FFF2-40B4-BE49-F238E27FC236}">
              <a16:creationId xmlns:a16="http://schemas.microsoft.com/office/drawing/2014/main" id="{E47B83D7-B6B6-508D-C3D9-61B4EA147A2C}"/>
            </a:ext>
          </a:extLst>
        </cdr:cNvPr>
        <cdr:cNvSpPr/>
      </cdr:nvSpPr>
      <cdr:spPr>
        <a:xfrm xmlns:a="http://schemas.openxmlformats.org/drawingml/2006/main">
          <a:off x="2276001" y="3016172"/>
          <a:ext cx="284015" cy="275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015" h="275016">
              <a:moveTo>
                <a:pt x="24359" y="231067"/>
              </a:moveTo>
              <a:lnTo>
                <a:pt x="0" y="256263"/>
              </a:lnTo>
              <a:lnTo>
                <a:pt x="18129" y="275015"/>
              </a:lnTo>
              <a:lnTo>
                <a:pt x="44271" y="247975"/>
              </a:lnTo>
              <a:lnTo>
                <a:pt x="284014" y="0"/>
              </a:lnTo>
              <a:lnTo>
                <a:pt x="2477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0.18548</cdr:x>
      <cdr:y>0.89538</cdr:y>
    </cdr:from>
    <cdr:to>
      <cdr:x>0.2254</cdr:x>
      <cdr:y>0.9301</cdr:y>
    </cdr:to>
    <cdr:sp macro="" textlink="">
      <cdr:nvSpPr>
        <cdr:cNvPr id="525" name="FracNo 80 StartRow 5058">
          <a:extLst xmlns:a="http://schemas.openxmlformats.org/drawingml/2006/main">
            <a:ext uri="{FF2B5EF4-FFF2-40B4-BE49-F238E27FC236}">
              <a16:creationId xmlns:a16="http://schemas.microsoft.com/office/drawing/2014/main" id="{98CA6714-91AD-2B78-B864-197E93974B10}"/>
            </a:ext>
          </a:extLst>
        </cdr:cNvPr>
        <cdr:cNvSpPr/>
      </cdr:nvSpPr>
      <cdr:spPr>
        <a:xfrm xmlns:a="http://schemas.openxmlformats.org/drawingml/2006/main">
          <a:off x="1356831" y="6822827"/>
          <a:ext cx="292014" cy="264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014" h="264539">
              <a:moveTo>
                <a:pt x="214454" y="184316"/>
              </a:moveTo>
              <a:lnTo>
                <a:pt x="36258" y="0"/>
              </a:lnTo>
              <a:lnTo>
                <a:pt x="0" y="0"/>
              </a:lnTo>
              <a:lnTo>
                <a:pt x="178196" y="184316"/>
              </a:lnTo>
              <a:lnTo>
                <a:pt x="255755" y="264538"/>
              </a:lnTo>
              <a:lnTo>
                <a:pt x="292013" y="2645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0.79532</cdr:x>
      <cdr:y>0.41302</cdr:y>
    </cdr:from>
    <cdr:to>
      <cdr:x>0.8327</cdr:x>
      <cdr:y>0.45014</cdr:y>
    </cdr:to>
    <cdr:sp macro="" textlink="">
      <cdr:nvSpPr>
        <cdr:cNvPr id="526" name="FracNo 1207 StartRow 5067">
          <a:extLst xmlns:a="http://schemas.openxmlformats.org/drawingml/2006/main">
            <a:ext uri="{FF2B5EF4-FFF2-40B4-BE49-F238E27FC236}">
              <a16:creationId xmlns:a16="http://schemas.microsoft.com/office/drawing/2014/main" id="{CF39CFFF-888C-1C08-331A-B906C8FB5048}"/>
            </a:ext>
          </a:extLst>
        </cdr:cNvPr>
        <cdr:cNvSpPr/>
      </cdr:nvSpPr>
      <cdr:spPr>
        <a:xfrm xmlns:a="http://schemas.openxmlformats.org/drawingml/2006/main">
          <a:off x="5817904" y="3147224"/>
          <a:ext cx="273474" cy="282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474" h="282866">
              <a:moveTo>
                <a:pt x="8102" y="8380"/>
              </a:moveTo>
              <a:lnTo>
                <a:pt x="0" y="0"/>
              </a:lnTo>
              <a:lnTo>
                <a:pt x="36258" y="0"/>
              </a:lnTo>
              <a:lnTo>
                <a:pt x="43287" y="7269"/>
              </a:lnTo>
              <a:lnTo>
                <a:pt x="273473" y="245362"/>
              </a:lnTo>
              <a:lnTo>
                <a:pt x="273473" y="2828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0.56583</cdr:x>
      <cdr:y>0.26425</cdr:y>
    </cdr:from>
    <cdr:to>
      <cdr:x>0.60315</cdr:x>
      <cdr:y>0.30131</cdr:y>
    </cdr:to>
    <cdr:sp macro="" textlink="">
      <cdr:nvSpPr>
        <cdr:cNvPr id="527" name="FracNo 1195 StartRow 5076">
          <a:extLst xmlns:a="http://schemas.openxmlformats.org/drawingml/2006/main">
            <a:ext uri="{FF2B5EF4-FFF2-40B4-BE49-F238E27FC236}">
              <a16:creationId xmlns:a16="http://schemas.microsoft.com/office/drawing/2014/main" id="{1A56650A-7F23-AFFB-2E53-DB3037CD0716}"/>
            </a:ext>
          </a:extLst>
        </cdr:cNvPr>
        <cdr:cNvSpPr/>
      </cdr:nvSpPr>
      <cdr:spPr>
        <a:xfrm xmlns:a="http://schemas.openxmlformats.org/drawingml/2006/main">
          <a:off x="4139124" y="2013550"/>
          <a:ext cx="273070" cy="282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070" h="282449">
              <a:moveTo>
                <a:pt x="252023" y="59273"/>
              </a:moveTo>
              <a:lnTo>
                <a:pt x="36258" y="282448"/>
              </a:lnTo>
              <a:lnTo>
                <a:pt x="0" y="282448"/>
              </a:lnTo>
              <a:lnTo>
                <a:pt x="248801" y="25102"/>
              </a:lnTo>
              <a:lnTo>
                <a:pt x="273069" y="0"/>
              </a:lnTo>
              <a:lnTo>
                <a:pt x="27306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0.5814</cdr:x>
      <cdr:y>0.27971</cdr:y>
    </cdr:from>
    <cdr:to>
      <cdr:x>0.61873</cdr:x>
      <cdr:y>0.31678</cdr:y>
    </cdr:to>
    <cdr:sp macro="" textlink="">
      <cdr:nvSpPr>
        <cdr:cNvPr id="528" name="FracNo 182 StartRow 5085">
          <a:extLst xmlns:a="http://schemas.openxmlformats.org/drawingml/2006/main">
            <a:ext uri="{FF2B5EF4-FFF2-40B4-BE49-F238E27FC236}">
              <a16:creationId xmlns:a16="http://schemas.microsoft.com/office/drawing/2014/main" id="{AA80FD2F-B69B-9435-E74E-94CFDD6481B8}"/>
            </a:ext>
          </a:extLst>
        </cdr:cNvPr>
        <cdr:cNvSpPr/>
      </cdr:nvSpPr>
      <cdr:spPr>
        <a:xfrm xmlns:a="http://schemas.openxmlformats.org/drawingml/2006/main">
          <a:off x="4253045" y="2131384"/>
          <a:ext cx="273070" cy="282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070" h="282449">
              <a:moveTo>
                <a:pt x="96782" y="219846"/>
              </a:moveTo>
              <a:lnTo>
                <a:pt x="36258" y="282448"/>
              </a:lnTo>
              <a:lnTo>
                <a:pt x="0" y="282448"/>
              </a:lnTo>
              <a:lnTo>
                <a:pt x="69790" y="210260"/>
              </a:lnTo>
              <a:lnTo>
                <a:pt x="273069" y="0"/>
              </a:lnTo>
              <a:lnTo>
                <a:pt x="27306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0.17107</cdr:y>
    </cdr:from>
    <cdr:to>
      <cdr:x>0.12664</cdr:x>
      <cdr:y>0.21056</cdr:y>
    </cdr:to>
    <cdr:sp macro="" textlink="">
      <cdr:nvSpPr>
        <cdr:cNvPr id="529" name="FracNo 738 StartRow 5094">
          <a:extLst xmlns:a="http://schemas.openxmlformats.org/drawingml/2006/main">
            <a:ext uri="{FF2B5EF4-FFF2-40B4-BE49-F238E27FC236}">
              <a16:creationId xmlns:a16="http://schemas.microsoft.com/office/drawing/2014/main" id="{B93DBC71-CA29-9037-CCB8-20F1AE8D2CFF}"/>
            </a:ext>
          </a:extLst>
        </cdr:cNvPr>
        <cdr:cNvSpPr/>
      </cdr:nvSpPr>
      <cdr:spPr>
        <a:xfrm xmlns:a="http://schemas.openxmlformats.org/drawingml/2006/main">
          <a:off x="671676" y="1303522"/>
          <a:ext cx="254698" cy="300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698" h="300949">
              <a:moveTo>
                <a:pt x="3580" y="41207"/>
              </a:moveTo>
              <a:lnTo>
                <a:pt x="0" y="37504"/>
              </a:lnTo>
              <a:lnTo>
                <a:pt x="0" y="0"/>
              </a:lnTo>
              <a:lnTo>
                <a:pt x="3580" y="3703"/>
              </a:lnTo>
              <a:lnTo>
                <a:pt x="254697" y="263444"/>
              </a:lnTo>
              <a:lnTo>
                <a:pt x="254697" y="3009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0.9048</cdr:x>
      <cdr:y>0.89308</cdr:y>
    </cdr:from>
    <cdr:to>
      <cdr:x>0.94208</cdr:x>
      <cdr:y>0.9301</cdr:y>
    </cdr:to>
    <cdr:sp macro="" textlink="">
      <cdr:nvSpPr>
        <cdr:cNvPr id="530" name="FracNo 725 StartRow 5103">
          <a:extLst xmlns:a="http://schemas.openxmlformats.org/drawingml/2006/main">
            <a:ext uri="{FF2B5EF4-FFF2-40B4-BE49-F238E27FC236}">
              <a16:creationId xmlns:a16="http://schemas.microsoft.com/office/drawing/2014/main" id="{65B9E2FC-F088-36F4-0DA7-00AC944B39AD}"/>
            </a:ext>
          </a:extLst>
        </cdr:cNvPr>
        <cdr:cNvSpPr/>
      </cdr:nvSpPr>
      <cdr:spPr>
        <a:xfrm xmlns:a="http://schemas.openxmlformats.org/drawingml/2006/main">
          <a:off x="6618799" y="6805261"/>
          <a:ext cx="272739" cy="282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739" h="282105">
              <a:moveTo>
                <a:pt x="107249" y="110932"/>
              </a:moveTo>
              <a:lnTo>
                <a:pt x="0" y="0"/>
              </a:lnTo>
              <a:lnTo>
                <a:pt x="0" y="37503"/>
              </a:lnTo>
              <a:lnTo>
                <a:pt x="92991" y="133688"/>
              </a:lnTo>
              <a:lnTo>
                <a:pt x="236480" y="282104"/>
              </a:lnTo>
              <a:lnTo>
                <a:pt x="272738" y="2821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0.36067</cdr:x>
      <cdr:y>0.52873</cdr:y>
    </cdr:from>
    <cdr:to>
      <cdr:x>0.39882</cdr:x>
      <cdr:y>0.56414</cdr:y>
    </cdr:to>
    <cdr:sp macro="" textlink="">
      <cdr:nvSpPr>
        <cdr:cNvPr id="531" name="FracNo 674 StartRow 5112">
          <a:extLst xmlns:a="http://schemas.openxmlformats.org/drawingml/2006/main">
            <a:ext uri="{FF2B5EF4-FFF2-40B4-BE49-F238E27FC236}">
              <a16:creationId xmlns:a16="http://schemas.microsoft.com/office/drawing/2014/main" id="{9E45BA20-0F94-6726-7E99-AA0C59CA15E4}"/>
            </a:ext>
          </a:extLst>
        </cdr:cNvPr>
        <cdr:cNvSpPr/>
      </cdr:nvSpPr>
      <cdr:spPr>
        <a:xfrm xmlns:a="http://schemas.openxmlformats.org/drawingml/2006/main">
          <a:off x="2638409" y="4028903"/>
          <a:ext cx="279034" cy="269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034" h="269864">
              <a:moveTo>
                <a:pt x="221074" y="59950"/>
              </a:moveTo>
              <a:lnTo>
                <a:pt x="116542" y="168071"/>
              </a:lnTo>
              <a:lnTo>
                <a:pt x="18130" y="269863"/>
              </a:lnTo>
              <a:lnTo>
                <a:pt x="0" y="251111"/>
              </a:lnTo>
              <a:lnTo>
                <a:pt x="98413" y="149319"/>
              </a:lnTo>
              <a:lnTo>
                <a:pt x="191282" y="53261"/>
              </a:lnTo>
              <a:lnTo>
                <a:pt x="242775" y="0"/>
              </a:lnTo>
              <a:lnTo>
                <a:pt x="2790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0.66485</cdr:x>
      <cdr:y>0.25836</cdr:y>
    </cdr:from>
    <cdr:to>
      <cdr:x>0.70175</cdr:x>
      <cdr:y>0.295</cdr:y>
    </cdr:to>
    <cdr:sp macro="" textlink="">
      <cdr:nvSpPr>
        <cdr:cNvPr id="532" name="FracNo 804 StartRow 5123">
          <a:extLst xmlns:a="http://schemas.openxmlformats.org/drawingml/2006/main">
            <a:ext uri="{FF2B5EF4-FFF2-40B4-BE49-F238E27FC236}">
              <a16:creationId xmlns:a16="http://schemas.microsoft.com/office/drawing/2014/main" id="{286EE250-9070-F2EB-0A61-F637AC8C1A65}"/>
            </a:ext>
          </a:extLst>
        </cdr:cNvPr>
        <cdr:cNvSpPr/>
      </cdr:nvSpPr>
      <cdr:spPr>
        <a:xfrm xmlns:a="http://schemas.openxmlformats.org/drawingml/2006/main">
          <a:off x="4863521" y="1968732"/>
          <a:ext cx="269887" cy="279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887" h="279155">
              <a:moveTo>
                <a:pt x="80252" y="45505"/>
              </a:moveTo>
              <a:lnTo>
                <a:pt x="36259" y="0"/>
              </a:lnTo>
              <a:lnTo>
                <a:pt x="0" y="0"/>
              </a:lnTo>
              <a:lnTo>
                <a:pt x="50822" y="52567"/>
              </a:lnTo>
              <a:lnTo>
                <a:pt x="269886" y="279154"/>
              </a:lnTo>
              <a:lnTo>
                <a:pt x="269886" y="2416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0.3048</cdr:x>
      <cdr:y>0.7708</cdr:y>
    </cdr:from>
    <cdr:to>
      <cdr:x>0.34279</cdr:x>
      <cdr:y>0.80607</cdr:y>
    </cdr:to>
    <cdr:sp macro="" textlink="">
      <cdr:nvSpPr>
        <cdr:cNvPr id="533" name="FracNo 1062 StartRow 5132">
          <a:extLst xmlns:a="http://schemas.openxmlformats.org/drawingml/2006/main">
            <a:ext uri="{FF2B5EF4-FFF2-40B4-BE49-F238E27FC236}">
              <a16:creationId xmlns:a16="http://schemas.microsoft.com/office/drawing/2014/main" id="{10425D79-1804-2C96-A1FD-BB60F807B827}"/>
            </a:ext>
          </a:extLst>
        </cdr:cNvPr>
        <cdr:cNvSpPr/>
      </cdr:nvSpPr>
      <cdr:spPr>
        <a:xfrm xmlns:a="http://schemas.openxmlformats.org/drawingml/2006/main">
          <a:off x="2229658" y="5873495"/>
          <a:ext cx="277955" cy="268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955" h="268749">
              <a:moveTo>
                <a:pt x="63786" y="84729"/>
              </a:moveTo>
              <a:lnTo>
                <a:pt x="0" y="18752"/>
              </a:lnTo>
              <a:lnTo>
                <a:pt x="18130" y="0"/>
              </a:lnTo>
              <a:lnTo>
                <a:pt x="86700" y="70925"/>
              </a:lnTo>
              <a:lnTo>
                <a:pt x="277954" y="268748"/>
              </a:lnTo>
              <a:lnTo>
                <a:pt x="241695" y="2687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0.57128</cdr:x>
      <cdr:y>0.5637</cdr:y>
    </cdr:from>
    <cdr:to>
      <cdr:x>0.60531</cdr:x>
      <cdr:y>0.60241</cdr:y>
    </cdr:to>
    <cdr:sp macro="" textlink="">
      <cdr:nvSpPr>
        <cdr:cNvPr id="534" name="FracNo 762 StartRow 5141">
          <a:extLst xmlns:a="http://schemas.openxmlformats.org/drawingml/2006/main">
            <a:ext uri="{FF2B5EF4-FFF2-40B4-BE49-F238E27FC236}">
              <a16:creationId xmlns:a16="http://schemas.microsoft.com/office/drawing/2014/main" id="{DFE62E73-D53F-C640-2E4D-84732C5EA199}"/>
            </a:ext>
          </a:extLst>
        </cdr:cNvPr>
        <cdr:cNvSpPr/>
      </cdr:nvSpPr>
      <cdr:spPr>
        <a:xfrm xmlns:a="http://schemas.openxmlformats.org/drawingml/2006/main">
          <a:off x="4179050" y="4295398"/>
          <a:ext cx="248892" cy="294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892" h="294945">
              <a:moveTo>
                <a:pt x="84717" y="125132"/>
              </a:moveTo>
              <a:lnTo>
                <a:pt x="0" y="37505"/>
              </a:lnTo>
              <a:lnTo>
                <a:pt x="0" y="0"/>
              </a:lnTo>
              <a:lnTo>
                <a:pt x="84717" y="87628"/>
              </a:lnTo>
              <a:lnTo>
                <a:pt x="248891" y="257440"/>
              </a:lnTo>
              <a:lnTo>
                <a:pt x="248891" y="2949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0.28933</cdr:x>
      <cdr:y>0.45557</cdr:y>
    </cdr:from>
    <cdr:to>
      <cdr:x>0.32581</cdr:x>
      <cdr:y>0.4918</cdr:y>
    </cdr:to>
    <cdr:sp macro="" textlink="">
      <cdr:nvSpPr>
        <cdr:cNvPr id="535" name="FracNo 360 StartRow 5150">
          <a:extLst xmlns:a="http://schemas.openxmlformats.org/drawingml/2006/main">
            <a:ext uri="{FF2B5EF4-FFF2-40B4-BE49-F238E27FC236}">
              <a16:creationId xmlns:a16="http://schemas.microsoft.com/office/drawing/2014/main" id="{2362E5C1-E1CE-73C6-8F93-95CE6CDDE4E0}"/>
            </a:ext>
          </a:extLst>
        </cdr:cNvPr>
        <cdr:cNvSpPr/>
      </cdr:nvSpPr>
      <cdr:spPr>
        <a:xfrm xmlns:a="http://schemas.openxmlformats.org/drawingml/2006/main">
          <a:off x="2116499" y="3471477"/>
          <a:ext cx="266877" cy="276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877" h="276042">
              <a:moveTo>
                <a:pt x="45396" y="210334"/>
              </a:moveTo>
              <a:lnTo>
                <a:pt x="0" y="257289"/>
              </a:lnTo>
              <a:lnTo>
                <a:pt x="18130" y="276041"/>
              </a:lnTo>
              <a:lnTo>
                <a:pt x="63525" y="229086"/>
              </a:lnTo>
              <a:lnTo>
                <a:pt x="266876" y="18752"/>
              </a:lnTo>
              <a:lnTo>
                <a:pt x="2487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0.12289</cdr:x>
      <cdr:y>0.25246</cdr:y>
    </cdr:from>
    <cdr:to>
      <cdr:x>0.15807</cdr:x>
      <cdr:y>0.28985</cdr:y>
    </cdr:to>
    <cdr:sp macro="" textlink="">
      <cdr:nvSpPr>
        <cdr:cNvPr id="536" name="FracNo 317 StartRow 5159">
          <a:extLst xmlns:a="http://schemas.openxmlformats.org/drawingml/2006/main">
            <a:ext uri="{FF2B5EF4-FFF2-40B4-BE49-F238E27FC236}">
              <a16:creationId xmlns:a16="http://schemas.microsoft.com/office/drawing/2014/main" id="{D5997F59-4BA9-A6CC-6F45-F44412E3FB57}"/>
            </a:ext>
          </a:extLst>
        </cdr:cNvPr>
        <cdr:cNvSpPr/>
      </cdr:nvSpPr>
      <cdr:spPr>
        <a:xfrm xmlns:a="http://schemas.openxmlformats.org/drawingml/2006/main">
          <a:off x="898997" y="1923770"/>
          <a:ext cx="257331" cy="284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331" h="284920">
              <a:moveTo>
                <a:pt x="137041" y="179251"/>
              </a:moveTo>
              <a:lnTo>
                <a:pt x="0" y="37504"/>
              </a:lnTo>
              <a:lnTo>
                <a:pt x="0" y="0"/>
              </a:lnTo>
              <a:lnTo>
                <a:pt x="147427" y="152490"/>
              </a:lnTo>
              <a:lnTo>
                <a:pt x="257330" y="266167"/>
              </a:lnTo>
              <a:lnTo>
                <a:pt x="239200" y="2849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0.46376</cdr:x>
      <cdr:y>0.77499</cdr:y>
    </cdr:from>
    <cdr:to>
      <cdr:x>0.50141</cdr:x>
      <cdr:y>0.80991</cdr:y>
    </cdr:to>
    <cdr:sp macro="" textlink="">
      <cdr:nvSpPr>
        <cdr:cNvPr id="537" name="FracNo 467 StartRow 5168">
          <a:extLst xmlns:a="http://schemas.openxmlformats.org/drawingml/2006/main">
            <a:ext uri="{FF2B5EF4-FFF2-40B4-BE49-F238E27FC236}">
              <a16:creationId xmlns:a16="http://schemas.microsoft.com/office/drawing/2014/main" id="{BFEF6021-0343-B9F1-7E75-F2FC5001E500}"/>
            </a:ext>
          </a:extLst>
        </cdr:cNvPr>
        <cdr:cNvSpPr/>
      </cdr:nvSpPr>
      <cdr:spPr>
        <a:xfrm xmlns:a="http://schemas.openxmlformats.org/drawingml/2006/main">
          <a:off x="3392463" y="5905400"/>
          <a:ext cx="275439" cy="266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439" h="266146">
              <a:moveTo>
                <a:pt x="229803" y="237695"/>
              </a:moveTo>
              <a:lnTo>
                <a:pt x="0" y="0"/>
              </a:lnTo>
              <a:lnTo>
                <a:pt x="36259" y="0"/>
              </a:lnTo>
              <a:lnTo>
                <a:pt x="249870" y="220947"/>
              </a:lnTo>
              <a:lnTo>
                <a:pt x="275438" y="247393"/>
              </a:lnTo>
              <a:lnTo>
                <a:pt x="257309" y="266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0.62153</cdr:x>
      <cdr:y>0.09049</cdr:y>
    </cdr:from>
    <cdr:to>
      <cdr:x>0.65794</cdr:x>
      <cdr:y>0.12665</cdr:y>
    </cdr:to>
    <cdr:sp macro="" textlink="">
      <cdr:nvSpPr>
        <cdr:cNvPr id="538" name="FracNo 200 StartRow 5177">
          <a:extLst xmlns:a="http://schemas.openxmlformats.org/drawingml/2006/main">
            <a:ext uri="{FF2B5EF4-FFF2-40B4-BE49-F238E27FC236}">
              <a16:creationId xmlns:a16="http://schemas.microsoft.com/office/drawing/2014/main" id="{B2C84685-C150-2BE7-76A6-EB7330E541D8}"/>
            </a:ext>
          </a:extLst>
        </cdr:cNvPr>
        <cdr:cNvSpPr/>
      </cdr:nvSpPr>
      <cdr:spPr>
        <a:xfrm xmlns:a="http://schemas.openxmlformats.org/drawingml/2006/main">
          <a:off x="4546590" y="689565"/>
          <a:ext cx="266366" cy="275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366" h="275513">
              <a:moveTo>
                <a:pt x="66056" y="207187"/>
              </a:moveTo>
              <a:lnTo>
                <a:pt x="0" y="275512"/>
              </a:lnTo>
              <a:lnTo>
                <a:pt x="36258" y="275512"/>
              </a:lnTo>
              <a:lnTo>
                <a:pt x="93323" y="216488"/>
              </a:lnTo>
              <a:lnTo>
                <a:pt x="266365" y="37504"/>
              </a:lnTo>
              <a:lnTo>
                <a:pt x="266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0.60793</cdr:x>
      <cdr:y>0.7152</cdr:y>
    </cdr:from>
    <cdr:to>
      <cdr:x>0.64419</cdr:x>
      <cdr:y>0.7512</cdr:y>
    </cdr:to>
    <cdr:sp macro="" textlink="">
      <cdr:nvSpPr>
        <cdr:cNvPr id="539" name="FracNo 909 StartRow 5186">
          <a:extLst xmlns:a="http://schemas.openxmlformats.org/drawingml/2006/main">
            <a:ext uri="{FF2B5EF4-FFF2-40B4-BE49-F238E27FC236}">
              <a16:creationId xmlns:a16="http://schemas.microsoft.com/office/drawing/2014/main" id="{0B1C38B3-8F24-E1F9-B618-493BC329CC86}"/>
            </a:ext>
          </a:extLst>
        </cdr:cNvPr>
        <cdr:cNvSpPr/>
      </cdr:nvSpPr>
      <cdr:spPr>
        <a:xfrm xmlns:a="http://schemas.openxmlformats.org/drawingml/2006/main">
          <a:off x="4447140" y="5449843"/>
          <a:ext cx="265220" cy="274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220" h="274328">
              <a:moveTo>
                <a:pt x="238528" y="27607"/>
              </a:moveTo>
              <a:lnTo>
                <a:pt x="0" y="274327"/>
              </a:lnTo>
              <a:lnTo>
                <a:pt x="0" y="236824"/>
              </a:lnTo>
              <a:lnTo>
                <a:pt x="205919" y="23833"/>
              </a:lnTo>
              <a:lnTo>
                <a:pt x="228960" y="0"/>
              </a:lnTo>
              <a:lnTo>
                <a:pt x="2652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0.66929</cdr:x>
      <cdr:y>0.77613</cdr:y>
    </cdr:from>
    <cdr:to>
      <cdr:x>0.70555</cdr:x>
      <cdr:y>0.81213</cdr:y>
    </cdr:to>
    <cdr:sp macro="" textlink="">
      <cdr:nvSpPr>
        <cdr:cNvPr id="540" name="FracNo 900 StartRow 5195">
          <a:extLst xmlns:a="http://schemas.openxmlformats.org/drawingml/2006/main">
            <a:ext uri="{FF2B5EF4-FFF2-40B4-BE49-F238E27FC236}">
              <a16:creationId xmlns:a16="http://schemas.microsoft.com/office/drawing/2014/main" id="{B74CE999-A982-D21F-8EC8-2790EEF2F870}"/>
            </a:ext>
          </a:extLst>
        </cdr:cNvPr>
        <cdr:cNvSpPr/>
      </cdr:nvSpPr>
      <cdr:spPr>
        <a:xfrm xmlns:a="http://schemas.openxmlformats.org/drawingml/2006/main">
          <a:off x="4896018" y="5914137"/>
          <a:ext cx="265221" cy="274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221" h="274329">
              <a:moveTo>
                <a:pt x="59774" y="212501"/>
              </a:moveTo>
              <a:lnTo>
                <a:pt x="0" y="274328"/>
              </a:lnTo>
              <a:lnTo>
                <a:pt x="36259" y="274328"/>
              </a:lnTo>
              <a:lnTo>
                <a:pt x="87861" y="220954"/>
              </a:lnTo>
              <a:lnTo>
                <a:pt x="265220" y="37504"/>
              </a:lnTo>
              <a:lnTo>
                <a:pt x="2652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0.84165</cdr:x>
      <cdr:y>0.40192</cdr:y>
    </cdr:from>
    <cdr:to>
      <cdr:x>0.87776</cdr:x>
      <cdr:y>0.43778</cdr:y>
    </cdr:to>
    <cdr:sp macro="" textlink="">
      <cdr:nvSpPr>
        <cdr:cNvPr id="541" name="FracNo 1157 StartRow 5204">
          <a:extLst xmlns:a="http://schemas.openxmlformats.org/drawingml/2006/main">
            <a:ext uri="{FF2B5EF4-FFF2-40B4-BE49-F238E27FC236}">
              <a16:creationId xmlns:a16="http://schemas.microsoft.com/office/drawing/2014/main" id="{34882B8B-E92A-DDFC-1F2B-A4864F0B171C}"/>
            </a:ext>
          </a:extLst>
        </cdr:cNvPr>
        <cdr:cNvSpPr/>
      </cdr:nvSpPr>
      <cdr:spPr>
        <a:xfrm xmlns:a="http://schemas.openxmlformats.org/drawingml/2006/main">
          <a:off x="6156828" y="3062665"/>
          <a:ext cx="264145" cy="273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145" h="273215">
              <a:moveTo>
                <a:pt x="104255" y="202883"/>
              </a:moveTo>
              <a:lnTo>
                <a:pt x="36258" y="273214"/>
              </a:lnTo>
              <a:lnTo>
                <a:pt x="0" y="273214"/>
              </a:lnTo>
              <a:lnTo>
                <a:pt x="78815" y="191693"/>
              </a:lnTo>
              <a:lnTo>
                <a:pt x="264144" y="0"/>
              </a:lnTo>
              <a:lnTo>
                <a:pt x="26414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0.85281</cdr:x>
      <cdr:y>0.41301</cdr:y>
    </cdr:from>
    <cdr:to>
      <cdr:x>0.88892</cdr:x>
      <cdr:y>0.44886</cdr:y>
    </cdr:to>
    <cdr:sp macro="" textlink="">
      <cdr:nvSpPr>
        <cdr:cNvPr id="542" name="FracNo 1136 StartRow 5213">
          <a:extLst xmlns:a="http://schemas.openxmlformats.org/drawingml/2006/main">
            <a:ext uri="{FF2B5EF4-FFF2-40B4-BE49-F238E27FC236}">
              <a16:creationId xmlns:a16="http://schemas.microsoft.com/office/drawing/2014/main" id="{D8FE3196-1190-6B53-6672-7DBA07FA9561}"/>
            </a:ext>
          </a:extLst>
        </cdr:cNvPr>
        <cdr:cNvSpPr/>
      </cdr:nvSpPr>
      <cdr:spPr>
        <a:xfrm xmlns:a="http://schemas.openxmlformats.org/drawingml/2006/main">
          <a:off x="6238494" y="3147136"/>
          <a:ext cx="264145" cy="273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145" h="273215">
              <a:moveTo>
                <a:pt x="84716" y="148086"/>
              </a:moveTo>
              <a:lnTo>
                <a:pt x="0" y="235711"/>
              </a:lnTo>
              <a:lnTo>
                <a:pt x="0" y="273214"/>
              </a:lnTo>
              <a:lnTo>
                <a:pt x="98194" y="171647"/>
              </a:lnTo>
              <a:lnTo>
                <a:pt x="264144" y="0"/>
              </a:lnTo>
              <a:lnTo>
                <a:pt x="2278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0.59795</cdr:x>
      <cdr:y>0.60479</cdr:y>
    </cdr:from>
    <cdr:to>
      <cdr:x>0.63405</cdr:x>
      <cdr:y>0.64063</cdr:y>
    </cdr:to>
    <cdr:sp macro="" textlink="">
      <cdr:nvSpPr>
        <cdr:cNvPr id="543" name="FracNo 1183 StartRow 5222">
          <a:extLst xmlns:a="http://schemas.openxmlformats.org/drawingml/2006/main">
            <a:ext uri="{FF2B5EF4-FFF2-40B4-BE49-F238E27FC236}">
              <a16:creationId xmlns:a16="http://schemas.microsoft.com/office/drawing/2014/main" id="{F87BC54A-C617-7DEB-537E-0EA48E96C436}"/>
            </a:ext>
          </a:extLst>
        </cdr:cNvPr>
        <cdr:cNvSpPr/>
      </cdr:nvSpPr>
      <cdr:spPr>
        <a:xfrm xmlns:a="http://schemas.openxmlformats.org/drawingml/2006/main">
          <a:off x="4374139" y="4608488"/>
          <a:ext cx="264064" cy="273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064" h="273133">
              <a:moveTo>
                <a:pt x="52877" y="17191"/>
              </a:moveTo>
              <a:lnTo>
                <a:pt x="36258" y="0"/>
              </a:lnTo>
              <a:lnTo>
                <a:pt x="0" y="0"/>
              </a:lnTo>
              <a:lnTo>
                <a:pt x="19264" y="19926"/>
              </a:lnTo>
              <a:lnTo>
                <a:pt x="264063" y="273132"/>
              </a:lnTo>
              <a:lnTo>
                <a:pt x="264063" y="2356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0.85887</cdr:x>
      <cdr:y>0.14847</cdr:y>
    </cdr:from>
    <cdr:to>
      <cdr:x>0.89247</cdr:x>
      <cdr:y>0.18675</cdr:y>
    </cdr:to>
    <cdr:sp macro="" textlink="">
      <cdr:nvSpPr>
        <cdr:cNvPr id="544" name="FracNo 1026 StartRow 5231">
          <a:extLst xmlns:a="http://schemas.openxmlformats.org/drawingml/2006/main">
            <a:ext uri="{FF2B5EF4-FFF2-40B4-BE49-F238E27FC236}">
              <a16:creationId xmlns:a16="http://schemas.microsoft.com/office/drawing/2014/main" id="{5A6DF9D8-8174-034B-2C4A-21541945E6AB}"/>
            </a:ext>
          </a:extLst>
        </cdr:cNvPr>
        <cdr:cNvSpPr/>
      </cdr:nvSpPr>
      <cdr:spPr>
        <a:xfrm xmlns:a="http://schemas.openxmlformats.org/drawingml/2006/main">
          <a:off x="6282838" y="1131307"/>
          <a:ext cx="245756" cy="291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756" h="291699">
              <a:moveTo>
                <a:pt x="118704" y="131415"/>
              </a:moveTo>
              <a:lnTo>
                <a:pt x="0" y="254194"/>
              </a:lnTo>
              <a:lnTo>
                <a:pt x="0" y="291698"/>
              </a:lnTo>
              <a:lnTo>
                <a:pt x="118704" y="168918"/>
              </a:lnTo>
              <a:lnTo>
                <a:pt x="245755" y="37503"/>
              </a:lnTo>
              <a:lnTo>
                <a:pt x="2457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0.64986</cdr:x>
      <cdr:y>0.35365</cdr:y>
    </cdr:from>
    <cdr:to>
      <cdr:x>0.68589</cdr:x>
      <cdr:y>0.38942</cdr:y>
    </cdr:to>
    <cdr:sp macro="" textlink="">
      <cdr:nvSpPr>
        <cdr:cNvPr id="545" name="FracNo 1073 StartRow 5240">
          <a:extLst xmlns:a="http://schemas.openxmlformats.org/drawingml/2006/main">
            <a:ext uri="{FF2B5EF4-FFF2-40B4-BE49-F238E27FC236}">
              <a16:creationId xmlns:a16="http://schemas.microsoft.com/office/drawing/2014/main" id="{DDE70E2F-4712-D270-B33C-7E323C294892}"/>
            </a:ext>
          </a:extLst>
        </cdr:cNvPr>
        <cdr:cNvSpPr/>
      </cdr:nvSpPr>
      <cdr:spPr>
        <a:xfrm xmlns:a="http://schemas.openxmlformats.org/drawingml/2006/main">
          <a:off x="4753849" y="2694795"/>
          <a:ext cx="263546" cy="272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546" h="272596">
              <a:moveTo>
                <a:pt x="135629" y="132309"/>
              </a:moveTo>
              <a:lnTo>
                <a:pt x="70995" y="199162"/>
              </a:lnTo>
              <a:lnTo>
                <a:pt x="0" y="272595"/>
              </a:lnTo>
              <a:lnTo>
                <a:pt x="0" y="235091"/>
              </a:lnTo>
              <a:lnTo>
                <a:pt x="61500" y="171479"/>
              </a:lnTo>
              <a:lnTo>
                <a:pt x="117359" y="113702"/>
              </a:lnTo>
              <a:lnTo>
                <a:pt x="136472" y="93933"/>
              </a:lnTo>
              <a:lnTo>
                <a:pt x="227286" y="0"/>
              </a:lnTo>
              <a:lnTo>
                <a:pt x="263545" y="0"/>
              </a:lnTo>
              <a:lnTo>
                <a:pt x="157743" y="1094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0.52805</cdr:x>
      <cdr:y>0.73941</cdr:y>
    </cdr:from>
    <cdr:to>
      <cdr:x>0.56144</cdr:x>
      <cdr:y>0.77749</cdr:y>
    </cdr:to>
    <cdr:sp macro="" textlink="">
      <cdr:nvSpPr>
        <cdr:cNvPr id="546" name="FracNo 432 StartRow 5253">
          <a:extLst xmlns:a="http://schemas.openxmlformats.org/drawingml/2006/main">
            <a:ext uri="{FF2B5EF4-FFF2-40B4-BE49-F238E27FC236}">
              <a16:creationId xmlns:a16="http://schemas.microsoft.com/office/drawing/2014/main" id="{C765122F-F8DC-3654-3B81-DB36804EB65B}"/>
            </a:ext>
          </a:extLst>
        </cdr:cNvPr>
        <cdr:cNvSpPr/>
      </cdr:nvSpPr>
      <cdr:spPr>
        <a:xfrm xmlns:a="http://schemas.openxmlformats.org/drawingml/2006/main">
          <a:off x="3862819" y="5634299"/>
          <a:ext cx="244250" cy="290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250" h="290142">
              <a:moveTo>
                <a:pt x="94970" y="191910"/>
              </a:moveTo>
              <a:lnTo>
                <a:pt x="0" y="290141"/>
              </a:lnTo>
              <a:lnTo>
                <a:pt x="0" y="252637"/>
              </a:lnTo>
              <a:lnTo>
                <a:pt x="94970" y="154406"/>
              </a:lnTo>
              <a:lnTo>
                <a:pt x="244249" y="0"/>
              </a:lnTo>
              <a:lnTo>
                <a:pt x="24424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0.11317</cdr:x>
      <cdr:y>0.63844</cdr:y>
    </cdr:from>
    <cdr:to>
      <cdr:x>0.15151</cdr:x>
      <cdr:y>0.67158</cdr:y>
    </cdr:to>
    <cdr:sp macro="" textlink="">
      <cdr:nvSpPr>
        <cdr:cNvPr id="547" name="FracNo 1219 StartRow 5262">
          <a:extLst xmlns:a="http://schemas.openxmlformats.org/drawingml/2006/main">
            <a:ext uri="{FF2B5EF4-FFF2-40B4-BE49-F238E27FC236}">
              <a16:creationId xmlns:a16="http://schemas.microsoft.com/office/drawing/2014/main" id="{D7F5C612-2AAA-B698-C19E-E9DFA6EF97B6}"/>
            </a:ext>
          </a:extLst>
        </cdr:cNvPr>
        <cdr:cNvSpPr/>
      </cdr:nvSpPr>
      <cdr:spPr>
        <a:xfrm xmlns:a="http://schemas.openxmlformats.org/drawingml/2006/main">
          <a:off x="827862" y="4864880"/>
          <a:ext cx="280465" cy="252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465" h="252593">
              <a:moveTo>
                <a:pt x="161729" y="167283"/>
              </a:moveTo>
              <a:lnTo>
                <a:pt x="78714" y="81417"/>
              </a:lnTo>
              <a:lnTo>
                <a:pt x="0" y="0"/>
              </a:lnTo>
              <a:lnTo>
                <a:pt x="36259" y="0"/>
              </a:lnTo>
              <a:lnTo>
                <a:pt x="106513" y="72667"/>
              </a:lnTo>
              <a:lnTo>
                <a:pt x="193771" y="162922"/>
              </a:lnTo>
              <a:lnTo>
                <a:pt x="280464" y="252592"/>
              </a:lnTo>
              <a:lnTo>
                <a:pt x="244206" y="2525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0.44904</cdr:x>
      <cdr:y>0.80657</cdr:y>
    </cdr:from>
    <cdr:to>
      <cdr:x>0.48733</cdr:x>
      <cdr:y>0.83967</cdr:y>
    </cdr:to>
    <cdr:sp macro="" textlink="">
      <cdr:nvSpPr>
        <cdr:cNvPr id="548" name="FracNo 964 StartRow 5273">
          <a:extLst xmlns:a="http://schemas.openxmlformats.org/drawingml/2006/main">
            <a:ext uri="{FF2B5EF4-FFF2-40B4-BE49-F238E27FC236}">
              <a16:creationId xmlns:a16="http://schemas.microsoft.com/office/drawing/2014/main" id="{A0ABEBBB-C3C3-2392-0F0E-F9AD2886ABA5}"/>
            </a:ext>
          </a:extLst>
        </cdr:cNvPr>
        <cdr:cNvSpPr/>
      </cdr:nvSpPr>
      <cdr:spPr>
        <a:xfrm xmlns:a="http://schemas.openxmlformats.org/drawingml/2006/main">
          <a:off x="3284783" y="6146030"/>
          <a:ext cx="280109" cy="252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109" h="252224">
              <a:moveTo>
                <a:pt x="56952" y="230819"/>
              </a:moveTo>
              <a:lnTo>
                <a:pt x="36258" y="252223"/>
              </a:lnTo>
              <a:lnTo>
                <a:pt x="0" y="252223"/>
              </a:lnTo>
              <a:lnTo>
                <a:pt x="20694" y="230819"/>
              </a:lnTo>
              <a:lnTo>
                <a:pt x="243849" y="0"/>
              </a:lnTo>
              <a:lnTo>
                <a:pt x="280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0.90922</cdr:x>
      <cdr:y>0.24773</cdr:y>
    </cdr:from>
    <cdr:to>
      <cdr:x>0.94246</cdr:x>
      <cdr:y>0.28566</cdr:y>
    </cdr:to>
    <cdr:sp macro="" textlink="">
      <cdr:nvSpPr>
        <cdr:cNvPr id="549" name="FracNo 504 StartRow 5282">
          <a:extLst xmlns:a="http://schemas.openxmlformats.org/drawingml/2006/main">
            <a:ext uri="{FF2B5EF4-FFF2-40B4-BE49-F238E27FC236}">
              <a16:creationId xmlns:a16="http://schemas.microsoft.com/office/drawing/2014/main" id="{CE56280C-E1B9-C2C6-CE40-07F5FF627D1A}"/>
            </a:ext>
          </a:extLst>
        </cdr:cNvPr>
        <cdr:cNvSpPr/>
      </cdr:nvSpPr>
      <cdr:spPr>
        <a:xfrm xmlns:a="http://schemas.openxmlformats.org/drawingml/2006/main">
          <a:off x="6651143" y="1887720"/>
          <a:ext cx="243165" cy="2890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165" h="289020">
              <a:moveTo>
                <a:pt x="68432" y="180733"/>
              </a:moveTo>
              <a:lnTo>
                <a:pt x="0" y="251516"/>
              </a:lnTo>
              <a:lnTo>
                <a:pt x="0" y="289019"/>
              </a:lnTo>
              <a:lnTo>
                <a:pt x="68432" y="218237"/>
              </a:lnTo>
              <a:lnTo>
                <a:pt x="243164" y="37504"/>
              </a:lnTo>
              <a:lnTo>
                <a:pt x="2431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0.15079</cdr:x>
      <cdr:y>0.52296</cdr:y>
    </cdr:from>
    <cdr:to>
      <cdr:x>0.18649</cdr:x>
      <cdr:y>0.5584</cdr:y>
    </cdr:to>
    <cdr:sp macro="" textlink="">
      <cdr:nvSpPr>
        <cdr:cNvPr id="550" name="FracNo 1137 StartRow 5291">
          <a:extLst xmlns:a="http://schemas.openxmlformats.org/drawingml/2006/main">
            <a:ext uri="{FF2B5EF4-FFF2-40B4-BE49-F238E27FC236}">
              <a16:creationId xmlns:a16="http://schemas.microsoft.com/office/drawing/2014/main" id="{E2F25043-AE56-6C63-5909-DF69A900F5ED}"/>
            </a:ext>
          </a:extLst>
        </cdr:cNvPr>
        <cdr:cNvSpPr/>
      </cdr:nvSpPr>
      <cdr:spPr>
        <a:xfrm xmlns:a="http://schemas.openxmlformats.org/drawingml/2006/main">
          <a:off x="1103055" y="3984939"/>
          <a:ext cx="261135" cy="270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135" h="270102">
              <a:moveTo>
                <a:pt x="128840" y="136837"/>
              </a:moveTo>
              <a:lnTo>
                <a:pt x="0" y="270101"/>
              </a:lnTo>
              <a:lnTo>
                <a:pt x="36259" y="270101"/>
              </a:lnTo>
              <a:lnTo>
                <a:pt x="147209" y="155340"/>
              </a:lnTo>
              <a:lnTo>
                <a:pt x="261134" y="37503"/>
              </a:lnTo>
              <a:lnTo>
                <a:pt x="261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0.16305</cdr:x>
      <cdr:y>0.53513</cdr:y>
    </cdr:from>
    <cdr:to>
      <cdr:x>0.19874</cdr:x>
      <cdr:y>0.57057</cdr:y>
    </cdr:to>
    <cdr:sp macro="" textlink="">
      <cdr:nvSpPr>
        <cdr:cNvPr id="551" name="FracNo 1080 StartRow 5300">
          <a:extLst xmlns:a="http://schemas.openxmlformats.org/drawingml/2006/main">
            <a:ext uri="{FF2B5EF4-FFF2-40B4-BE49-F238E27FC236}">
              <a16:creationId xmlns:a16="http://schemas.microsoft.com/office/drawing/2014/main" id="{D01A5CA8-C408-82D1-D013-CF610DE0E793}"/>
            </a:ext>
          </a:extLst>
        </cdr:cNvPr>
        <cdr:cNvSpPr/>
      </cdr:nvSpPr>
      <cdr:spPr>
        <a:xfrm xmlns:a="http://schemas.openxmlformats.org/drawingml/2006/main">
          <a:off x="1192711" y="4077674"/>
          <a:ext cx="261135" cy="270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135" h="270102">
              <a:moveTo>
                <a:pt x="203444" y="59670"/>
              </a:moveTo>
              <a:lnTo>
                <a:pt x="0" y="270101"/>
              </a:lnTo>
              <a:lnTo>
                <a:pt x="36259" y="270101"/>
              </a:lnTo>
              <a:lnTo>
                <a:pt x="211455" y="88888"/>
              </a:lnTo>
              <a:lnTo>
                <a:pt x="261134" y="37503"/>
              </a:lnTo>
              <a:lnTo>
                <a:pt x="261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0.7753</cdr:x>
      <cdr:y>0.89468</cdr:y>
    </cdr:from>
    <cdr:to>
      <cdr:x>0.81097</cdr:x>
      <cdr:y>0.9301</cdr:y>
    </cdr:to>
    <cdr:sp macro="" textlink="">
      <cdr:nvSpPr>
        <cdr:cNvPr id="552" name="FracNo 1106 StartRow 5309">
          <a:extLst xmlns:a="http://schemas.openxmlformats.org/drawingml/2006/main">
            <a:ext uri="{FF2B5EF4-FFF2-40B4-BE49-F238E27FC236}">
              <a16:creationId xmlns:a16="http://schemas.microsoft.com/office/drawing/2014/main" id="{19F402F3-60DB-2080-97A4-E41EAA59482A}"/>
            </a:ext>
          </a:extLst>
        </cdr:cNvPr>
        <cdr:cNvSpPr/>
      </cdr:nvSpPr>
      <cdr:spPr>
        <a:xfrm xmlns:a="http://schemas.openxmlformats.org/drawingml/2006/main">
          <a:off x="5671475" y="6817489"/>
          <a:ext cx="260916" cy="2698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916" h="269877">
              <a:moveTo>
                <a:pt x="230152" y="238056"/>
              </a:moveTo>
              <a:lnTo>
                <a:pt x="0" y="0"/>
              </a:lnTo>
              <a:lnTo>
                <a:pt x="0" y="37504"/>
              </a:lnTo>
              <a:lnTo>
                <a:pt x="198169" y="242479"/>
              </a:lnTo>
              <a:lnTo>
                <a:pt x="224657" y="269876"/>
              </a:lnTo>
              <a:lnTo>
                <a:pt x="260915" y="2698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0.13718</cdr:x>
      <cdr:y>0.08828</cdr:y>
    </cdr:from>
    <cdr:to>
      <cdr:x>0.17526</cdr:x>
      <cdr:y>0.12117</cdr:y>
    </cdr:to>
    <cdr:sp macro="" textlink="">
      <cdr:nvSpPr>
        <cdr:cNvPr id="553" name="FracNo 734 StartRow 5318">
          <a:extLst xmlns:a="http://schemas.openxmlformats.org/drawingml/2006/main">
            <a:ext uri="{FF2B5EF4-FFF2-40B4-BE49-F238E27FC236}">
              <a16:creationId xmlns:a16="http://schemas.microsoft.com/office/drawing/2014/main" id="{1A767ECE-9D2C-5FD4-BDC3-CEC93A5084D1}"/>
            </a:ext>
          </a:extLst>
        </cdr:cNvPr>
        <cdr:cNvSpPr/>
      </cdr:nvSpPr>
      <cdr:spPr>
        <a:xfrm xmlns:a="http://schemas.openxmlformats.org/drawingml/2006/main">
          <a:off x="1003498" y="672667"/>
          <a:ext cx="278571" cy="250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571" h="250635">
              <a:moveTo>
                <a:pt x="273982" y="4746"/>
              </a:moveTo>
              <a:lnTo>
                <a:pt x="36258" y="250634"/>
              </a:lnTo>
              <a:lnTo>
                <a:pt x="0" y="250634"/>
              </a:lnTo>
              <a:lnTo>
                <a:pt x="237723" y="4746"/>
              </a:lnTo>
              <a:lnTo>
                <a:pt x="242312" y="0"/>
              </a:lnTo>
              <a:lnTo>
                <a:pt x="2785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0.81598</cdr:y>
    </cdr:from>
    <cdr:to>
      <cdr:x>0.12481</cdr:x>
      <cdr:y>0.85367</cdr:y>
    </cdr:to>
    <cdr:sp macro="" textlink="">
      <cdr:nvSpPr>
        <cdr:cNvPr id="554" name="FracNo 38 StartRow 5327">
          <a:extLst xmlns:a="http://schemas.openxmlformats.org/drawingml/2006/main">
            <a:ext uri="{FF2B5EF4-FFF2-40B4-BE49-F238E27FC236}">
              <a16:creationId xmlns:a16="http://schemas.microsoft.com/office/drawing/2014/main" id="{F494FE63-19AE-F15D-7803-FCE6D9CA27BF}"/>
            </a:ext>
          </a:extLst>
        </cdr:cNvPr>
        <cdr:cNvSpPr/>
      </cdr:nvSpPr>
      <cdr:spPr>
        <a:xfrm xmlns:a="http://schemas.openxmlformats.org/drawingml/2006/main">
          <a:off x="671676" y="6217795"/>
          <a:ext cx="241362" cy="287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362" h="287154">
              <a:moveTo>
                <a:pt x="70948" y="176265"/>
              </a:moveTo>
              <a:lnTo>
                <a:pt x="0" y="249649"/>
              </a:lnTo>
              <a:lnTo>
                <a:pt x="0" y="287153"/>
              </a:lnTo>
              <a:lnTo>
                <a:pt x="70948" y="213769"/>
              </a:lnTo>
              <a:lnTo>
                <a:pt x="241361" y="37503"/>
              </a:lnTo>
              <a:lnTo>
                <a:pt x="241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0.84599</cdr:x>
      <cdr:y>0.29163</cdr:y>
    </cdr:from>
    <cdr:to>
      <cdr:x>0.8839</cdr:x>
      <cdr:y>0.32435</cdr:y>
    </cdr:to>
    <cdr:sp macro="" textlink="">
      <cdr:nvSpPr>
        <cdr:cNvPr id="555" name="FracNo 1134 StartRow 5336">
          <a:extLst xmlns:a="http://schemas.openxmlformats.org/drawingml/2006/main">
            <a:ext uri="{FF2B5EF4-FFF2-40B4-BE49-F238E27FC236}">
              <a16:creationId xmlns:a16="http://schemas.microsoft.com/office/drawing/2014/main" id="{35CF42CF-E07F-C936-428F-AB00244553A3}"/>
            </a:ext>
          </a:extLst>
        </cdr:cNvPr>
        <cdr:cNvSpPr/>
      </cdr:nvSpPr>
      <cdr:spPr>
        <a:xfrm xmlns:a="http://schemas.openxmlformats.org/drawingml/2006/main">
          <a:off x="6188586" y="2222233"/>
          <a:ext cx="277294" cy="249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294" h="249312">
              <a:moveTo>
                <a:pt x="242213" y="36283"/>
              </a:moveTo>
              <a:lnTo>
                <a:pt x="36258" y="249311"/>
              </a:lnTo>
              <a:lnTo>
                <a:pt x="0" y="249311"/>
              </a:lnTo>
              <a:lnTo>
                <a:pt x="205955" y="36283"/>
              </a:lnTo>
              <a:lnTo>
                <a:pt x="241034" y="0"/>
              </a:lnTo>
              <a:lnTo>
                <a:pt x="2772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0.89266</cdr:x>
      <cdr:y>0.33798</cdr:y>
    </cdr:from>
    <cdr:to>
      <cdr:x>0.93057</cdr:x>
      <cdr:y>0.37069</cdr:y>
    </cdr:to>
    <cdr:sp macro="" textlink="">
      <cdr:nvSpPr>
        <cdr:cNvPr id="556" name="FracNo 921 StartRow 5345">
          <a:extLst xmlns:a="http://schemas.openxmlformats.org/drawingml/2006/main">
            <a:ext uri="{FF2B5EF4-FFF2-40B4-BE49-F238E27FC236}">
              <a16:creationId xmlns:a16="http://schemas.microsoft.com/office/drawing/2014/main" id="{31DBC4AB-ACF5-1161-9BC5-12DE6B2EDABF}"/>
            </a:ext>
          </a:extLst>
        </cdr:cNvPr>
        <cdr:cNvSpPr/>
      </cdr:nvSpPr>
      <cdr:spPr>
        <a:xfrm xmlns:a="http://schemas.openxmlformats.org/drawingml/2006/main">
          <a:off x="6530003" y="2575374"/>
          <a:ext cx="277293" cy="249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293" h="249312">
              <a:moveTo>
                <a:pt x="178715" y="101962"/>
              </a:moveTo>
              <a:lnTo>
                <a:pt x="61802" y="222890"/>
              </a:lnTo>
              <a:lnTo>
                <a:pt x="36257" y="249311"/>
              </a:lnTo>
              <a:lnTo>
                <a:pt x="0" y="249311"/>
              </a:lnTo>
              <a:lnTo>
                <a:pt x="28994" y="219320"/>
              </a:lnTo>
              <a:lnTo>
                <a:pt x="144035" y="100329"/>
              </a:lnTo>
              <a:lnTo>
                <a:pt x="241033" y="0"/>
              </a:lnTo>
              <a:lnTo>
                <a:pt x="2772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0.4266</cdr:x>
      <cdr:y>0.89615</cdr:y>
    </cdr:from>
    <cdr:to>
      <cdr:x>0.46326</cdr:x>
      <cdr:y>0.9301</cdr:y>
    </cdr:to>
    <cdr:sp macro="" textlink="">
      <cdr:nvSpPr>
        <cdr:cNvPr id="557" name="FracNo 1078 StartRow 5356">
          <a:extLst xmlns:a="http://schemas.openxmlformats.org/drawingml/2006/main">
            <a:ext uri="{FF2B5EF4-FFF2-40B4-BE49-F238E27FC236}">
              <a16:creationId xmlns:a16="http://schemas.microsoft.com/office/drawing/2014/main" id="{80DE7435-0A55-6783-AF36-500F5B1AD660}"/>
            </a:ext>
          </a:extLst>
        </cdr:cNvPr>
        <cdr:cNvSpPr/>
      </cdr:nvSpPr>
      <cdr:spPr>
        <a:xfrm xmlns:a="http://schemas.openxmlformats.org/drawingml/2006/main">
          <a:off x="3120651" y="6828692"/>
          <a:ext cx="268214" cy="258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214" h="258674">
              <a:moveTo>
                <a:pt x="175551" y="162829"/>
              </a:moveTo>
              <a:lnTo>
                <a:pt x="18129" y="0"/>
              </a:lnTo>
              <a:lnTo>
                <a:pt x="0" y="18752"/>
              </a:lnTo>
              <a:lnTo>
                <a:pt x="146010" y="169777"/>
              </a:lnTo>
              <a:lnTo>
                <a:pt x="231955" y="258673"/>
              </a:lnTo>
              <a:lnTo>
                <a:pt x="268213" y="2586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0.51916</cdr:x>
      <cdr:y>0.21511</cdr:y>
    </cdr:from>
    <cdr:to>
      <cdr:x>0.5521</cdr:x>
      <cdr:y>0.25275</cdr:y>
    </cdr:to>
    <cdr:sp macro="" textlink="">
      <cdr:nvSpPr>
        <cdr:cNvPr id="558" name="FracNo 1092 StartRow 5365">
          <a:extLst xmlns:a="http://schemas.openxmlformats.org/drawingml/2006/main">
            <a:ext uri="{FF2B5EF4-FFF2-40B4-BE49-F238E27FC236}">
              <a16:creationId xmlns:a16="http://schemas.microsoft.com/office/drawing/2014/main" id="{A227E149-CA2A-7998-D773-E7FA99EFD382}"/>
            </a:ext>
          </a:extLst>
        </cdr:cNvPr>
        <cdr:cNvSpPr/>
      </cdr:nvSpPr>
      <cdr:spPr>
        <a:xfrm xmlns:a="http://schemas.openxmlformats.org/drawingml/2006/main">
          <a:off x="3797749" y="1639141"/>
          <a:ext cx="241003" cy="286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003" h="286783">
              <a:moveTo>
                <a:pt x="50660" y="52400"/>
              </a:moveTo>
              <a:lnTo>
                <a:pt x="0" y="0"/>
              </a:lnTo>
              <a:lnTo>
                <a:pt x="0" y="37504"/>
              </a:lnTo>
              <a:lnTo>
                <a:pt x="50660" y="89903"/>
              </a:lnTo>
              <a:lnTo>
                <a:pt x="241002" y="286782"/>
              </a:lnTo>
              <a:lnTo>
                <a:pt x="241002" y="2492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0.39983</cdr:x>
      <cdr:y>0.49976</cdr:y>
    </cdr:from>
    <cdr:to>
      <cdr:x>0.43498</cdr:x>
      <cdr:y>0.53466</cdr:y>
    </cdr:to>
    <cdr:sp macro="" textlink="">
      <cdr:nvSpPr>
        <cdr:cNvPr id="559" name="FracNo 664 StartRow 5374">
          <a:extLst xmlns:a="http://schemas.openxmlformats.org/drawingml/2006/main">
            <a:ext uri="{FF2B5EF4-FFF2-40B4-BE49-F238E27FC236}">
              <a16:creationId xmlns:a16="http://schemas.microsoft.com/office/drawing/2014/main" id="{230C1420-260D-9C07-E399-CE7B356FE7D4}"/>
            </a:ext>
          </a:extLst>
        </cdr:cNvPr>
        <cdr:cNvSpPr/>
      </cdr:nvSpPr>
      <cdr:spPr>
        <a:xfrm xmlns:a="http://schemas.openxmlformats.org/drawingml/2006/main">
          <a:off x="2924868" y="3808190"/>
          <a:ext cx="257070" cy="265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070" h="265898">
              <a:moveTo>
                <a:pt x="150468" y="147766"/>
              </a:moveTo>
              <a:lnTo>
                <a:pt x="36259" y="265897"/>
              </a:lnTo>
              <a:lnTo>
                <a:pt x="0" y="265897"/>
              </a:lnTo>
              <a:lnTo>
                <a:pt x="132963" y="128368"/>
              </a:lnTo>
              <a:lnTo>
                <a:pt x="257069" y="0"/>
              </a:lnTo>
              <a:lnTo>
                <a:pt x="25706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0.40772</cdr:x>
      <cdr:y>0.50759</cdr:y>
    </cdr:from>
    <cdr:to>
      <cdr:x>0.44286</cdr:x>
      <cdr:y>0.54249</cdr:y>
    </cdr:to>
    <cdr:sp macro="" textlink="">
      <cdr:nvSpPr>
        <cdr:cNvPr id="560" name="FracNo 896 StartRow 5383">
          <a:extLst xmlns:a="http://schemas.openxmlformats.org/drawingml/2006/main">
            <a:ext uri="{FF2B5EF4-FFF2-40B4-BE49-F238E27FC236}">
              <a16:creationId xmlns:a16="http://schemas.microsoft.com/office/drawing/2014/main" id="{3311B8D2-47DA-D271-81F5-EB1A3D4E43CA}"/>
            </a:ext>
          </a:extLst>
        </cdr:cNvPr>
        <cdr:cNvSpPr/>
      </cdr:nvSpPr>
      <cdr:spPr>
        <a:xfrm xmlns:a="http://schemas.openxmlformats.org/drawingml/2006/main">
          <a:off x="2982550" y="3867852"/>
          <a:ext cx="257070" cy="2658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070" h="265899">
              <a:moveTo>
                <a:pt x="133688" y="90115"/>
              </a:moveTo>
              <a:lnTo>
                <a:pt x="0" y="228394"/>
              </a:lnTo>
              <a:lnTo>
                <a:pt x="0" y="265898"/>
              </a:lnTo>
              <a:lnTo>
                <a:pt x="155640" y="104912"/>
              </a:lnTo>
              <a:lnTo>
                <a:pt x="257069" y="0"/>
              </a:lnTo>
              <a:lnTo>
                <a:pt x="2208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0.91028</cdr:x>
      <cdr:y>0.86655</cdr:y>
    </cdr:from>
    <cdr:to>
      <cdr:x>0.94246</cdr:x>
      <cdr:y>0.90344</cdr:y>
    </cdr:to>
    <cdr:sp macro="" textlink="">
      <cdr:nvSpPr>
        <cdr:cNvPr id="561" name="FracNo 1105 StartRow 5392">
          <a:extLst xmlns:a="http://schemas.openxmlformats.org/drawingml/2006/main">
            <a:ext uri="{FF2B5EF4-FFF2-40B4-BE49-F238E27FC236}">
              <a16:creationId xmlns:a16="http://schemas.microsoft.com/office/drawing/2014/main" id="{7DAD9F38-37BB-401D-5ABB-25AECE42AB82}"/>
            </a:ext>
          </a:extLst>
        </cdr:cNvPr>
        <cdr:cNvSpPr/>
      </cdr:nvSpPr>
      <cdr:spPr>
        <a:xfrm xmlns:a="http://schemas.openxmlformats.org/drawingml/2006/main">
          <a:off x="6658848" y="6603140"/>
          <a:ext cx="235460" cy="281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460" h="281049">
              <a:moveTo>
                <a:pt x="180674" y="56665"/>
              </a:moveTo>
              <a:lnTo>
                <a:pt x="0" y="243544"/>
              </a:lnTo>
              <a:lnTo>
                <a:pt x="0" y="281048"/>
              </a:lnTo>
              <a:lnTo>
                <a:pt x="180674" y="94169"/>
              </a:lnTo>
              <a:lnTo>
                <a:pt x="235459" y="37503"/>
              </a:lnTo>
              <a:lnTo>
                <a:pt x="235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0.55786</cdr:x>
      <cdr:y>0.74297</cdr:y>
    </cdr:from>
    <cdr:to>
      <cdr:x>0.59122</cdr:x>
      <cdr:y>0.77856</cdr:y>
    </cdr:to>
    <cdr:sp macro="" textlink="">
      <cdr:nvSpPr>
        <cdr:cNvPr id="562" name="FracNo 766 StartRow 5401">
          <a:extLst xmlns:a="http://schemas.openxmlformats.org/drawingml/2006/main">
            <a:ext uri="{FF2B5EF4-FFF2-40B4-BE49-F238E27FC236}">
              <a16:creationId xmlns:a16="http://schemas.microsoft.com/office/drawing/2014/main" id="{47166622-C896-B3F2-AA3C-6780ED621065}"/>
            </a:ext>
          </a:extLst>
        </cdr:cNvPr>
        <cdr:cNvSpPr/>
      </cdr:nvSpPr>
      <cdr:spPr>
        <a:xfrm xmlns:a="http://schemas.openxmlformats.org/drawingml/2006/main">
          <a:off x="4080852" y="5661415"/>
          <a:ext cx="244054" cy="271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054" h="271187">
              <a:moveTo>
                <a:pt x="172678" y="216112"/>
              </a:moveTo>
              <a:lnTo>
                <a:pt x="0" y="37504"/>
              </a:lnTo>
              <a:lnTo>
                <a:pt x="0" y="0"/>
              </a:lnTo>
              <a:lnTo>
                <a:pt x="186535" y="192941"/>
              </a:lnTo>
              <a:lnTo>
                <a:pt x="244053" y="252434"/>
              </a:lnTo>
              <a:lnTo>
                <a:pt x="225923" y="2711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0.89842</cdr:x>
      <cdr:y>0.08544</cdr:y>
    </cdr:from>
    <cdr:to>
      <cdr:x>0.93549</cdr:x>
      <cdr:y>0.11732</cdr:y>
    </cdr:to>
    <cdr:sp macro="" textlink="">
      <cdr:nvSpPr>
        <cdr:cNvPr id="563" name="FracNo 519 StartRow 5410">
          <a:extLst xmlns:a="http://schemas.openxmlformats.org/drawingml/2006/main">
            <a:ext uri="{FF2B5EF4-FFF2-40B4-BE49-F238E27FC236}">
              <a16:creationId xmlns:a16="http://schemas.microsoft.com/office/drawing/2014/main" id="{8480A656-4590-0E7D-6723-6B1406F387AD}"/>
            </a:ext>
          </a:extLst>
        </cdr:cNvPr>
        <cdr:cNvSpPr/>
      </cdr:nvSpPr>
      <cdr:spPr>
        <a:xfrm xmlns:a="http://schemas.openxmlformats.org/drawingml/2006/main">
          <a:off x="6572114" y="651036"/>
          <a:ext cx="271168" cy="242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168" h="242977">
              <a:moveTo>
                <a:pt x="55599" y="185467"/>
              </a:moveTo>
              <a:lnTo>
                <a:pt x="0" y="242976"/>
              </a:lnTo>
              <a:lnTo>
                <a:pt x="36258" y="242976"/>
              </a:lnTo>
              <a:lnTo>
                <a:pt x="91858" y="185467"/>
              </a:lnTo>
              <a:lnTo>
                <a:pt x="271167" y="0"/>
              </a:lnTo>
              <a:lnTo>
                <a:pt x="234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0.46175</cdr:x>
      <cdr:y>0.46197</cdr:y>
    </cdr:from>
    <cdr:to>
      <cdr:x>0.49622</cdr:x>
      <cdr:y>0.49619</cdr:y>
    </cdr:to>
    <cdr:sp macro="" textlink="">
      <cdr:nvSpPr>
        <cdr:cNvPr id="564" name="FracNo 720 StartRow 5419">
          <a:extLst xmlns:a="http://schemas.openxmlformats.org/drawingml/2006/main">
            <a:ext uri="{FF2B5EF4-FFF2-40B4-BE49-F238E27FC236}">
              <a16:creationId xmlns:a16="http://schemas.microsoft.com/office/drawing/2014/main" id="{D43FF673-AB78-F2D6-EA3A-8009182C4A02}"/>
            </a:ext>
          </a:extLst>
        </cdr:cNvPr>
        <cdr:cNvSpPr/>
      </cdr:nvSpPr>
      <cdr:spPr>
        <a:xfrm xmlns:a="http://schemas.openxmlformats.org/drawingml/2006/main">
          <a:off x="3377803" y="3520175"/>
          <a:ext cx="252169" cy="260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169" h="260829">
              <a:moveTo>
                <a:pt x="7038" y="26031"/>
              </a:moveTo>
              <a:lnTo>
                <a:pt x="0" y="18752"/>
              </a:lnTo>
              <a:lnTo>
                <a:pt x="18129" y="0"/>
              </a:lnTo>
              <a:lnTo>
                <a:pt x="25167" y="7279"/>
              </a:lnTo>
              <a:lnTo>
                <a:pt x="252168" y="242076"/>
              </a:lnTo>
              <a:lnTo>
                <a:pt x="234039" y="2608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0.26916</cdr:x>
      <cdr:y>0.87018</cdr:y>
    </cdr:from>
    <cdr:to>
      <cdr:x>0.30105</cdr:x>
      <cdr:y>0.90677</cdr:y>
    </cdr:to>
    <cdr:sp macro="" textlink="">
      <cdr:nvSpPr>
        <cdr:cNvPr id="565" name="FracNo 987 StartRow 5428">
          <a:extLst xmlns:a="http://schemas.openxmlformats.org/drawingml/2006/main">
            <a:ext uri="{FF2B5EF4-FFF2-40B4-BE49-F238E27FC236}">
              <a16:creationId xmlns:a16="http://schemas.microsoft.com/office/drawing/2014/main" id="{EAFF03E1-D2BD-4A2E-0A6C-697157797B17}"/>
            </a:ext>
          </a:extLst>
        </cdr:cNvPr>
        <cdr:cNvSpPr/>
      </cdr:nvSpPr>
      <cdr:spPr>
        <a:xfrm xmlns:a="http://schemas.openxmlformats.org/drawingml/2006/main">
          <a:off x="1968971" y="6630777"/>
          <a:ext cx="233293" cy="278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293" h="278808">
              <a:moveTo>
                <a:pt x="166309" y="106787"/>
              </a:moveTo>
              <a:lnTo>
                <a:pt x="0" y="278807"/>
              </a:lnTo>
              <a:lnTo>
                <a:pt x="0" y="241303"/>
              </a:lnTo>
              <a:lnTo>
                <a:pt x="166309" y="69284"/>
              </a:lnTo>
              <a:lnTo>
                <a:pt x="233292" y="0"/>
              </a:lnTo>
              <a:lnTo>
                <a:pt x="23329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0.25926</cdr:x>
      <cdr:y>0.86527</cdr:y>
    </cdr:from>
    <cdr:to>
      <cdr:x>0.29611</cdr:x>
      <cdr:y>0.89694</cdr:y>
    </cdr:to>
    <cdr:sp macro="" textlink="">
      <cdr:nvSpPr>
        <cdr:cNvPr id="566" name="FracNo 1063 StartRow 5437">
          <a:extLst xmlns:a="http://schemas.openxmlformats.org/drawingml/2006/main">
            <a:ext uri="{FF2B5EF4-FFF2-40B4-BE49-F238E27FC236}">
              <a16:creationId xmlns:a16="http://schemas.microsoft.com/office/drawing/2014/main" id="{C9B18CA9-D068-5D44-C910-41961C38ED9E}"/>
            </a:ext>
          </a:extLst>
        </cdr:cNvPr>
        <cdr:cNvSpPr/>
      </cdr:nvSpPr>
      <cdr:spPr>
        <a:xfrm xmlns:a="http://schemas.openxmlformats.org/drawingml/2006/main">
          <a:off x="1896530" y="6593350"/>
          <a:ext cx="269551" cy="241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551" h="241304">
              <a:moveTo>
                <a:pt x="120171" y="117006"/>
              </a:moveTo>
              <a:lnTo>
                <a:pt x="0" y="241303"/>
              </a:lnTo>
              <a:lnTo>
                <a:pt x="36258" y="241303"/>
              </a:lnTo>
              <a:lnTo>
                <a:pt x="156429" y="117006"/>
              </a:lnTo>
              <a:lnTo>
                <a:pt x="269550" y="0"/>
              </a:lnTo>
              <a:lnTo>
                <a:pt x="233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0.30747</cdr:x>
      <cdr:y>0.69914</cdr:y>
    </cdr:from>
    <cdr:to>
      <cdr:x>0.34169</cdr:x>
      <cdr:y>0.73313</cdr:y>
    </cdr:to>
    <cdr:sp macro="" textlink="">
      <cdr:nvSpPr>
        <cdr:cNvPr id="567" name="FracNo 35 StartRow 5446">
          <a:extLst xmlns:a="http://schemas.openxmlformats.org/drawingml/2006/main">
            <a:ext uri="{FF2B5EF4-FFF2-40B4-BE49-F238E27FC236}">
              <a16:creationId xmlns:a16="http://schemas.microsoft.com/office/drawing/2014/main" id="{FBE35167-ED67-2EA4-0506-997ECBFA27C0}"/>
            </a:ext>
          </a:extLst>
        </cdr:cNvPr>
        <cdr:cNvSpPr/>
      </cdr:nvSpPr>
      <cdr:spPr>
        <a:xfrm xmlns:a="http://schemas.openxmlformats.org/drawingml/2006/main">
          <a:off x="2249173" y="5327484"/>
          <a:ext cx="250390" cy="258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390" h="258988">
              <a:moveTo>
                <a:pt x="145135" y="90116"/>
              </a:moveTo>
              <a:lnTo>
                <a:pt x="0" y="240235"/>
              </a:lnTo>
              <a:lnTo>
                <a:pt x="18130" y="258987"/>
              </a:lnTo>
              <a:lnTo>
                <a:pt x="163264" y="108868"/>
              </a:lnTo>
              <a:lnTo>
                <a:pt x="250389" y="18752"/>
              </a:lnTo>
              <a:lnTo>
                <a:pt x="2322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0.49976</cdr:x>
      <cdr:y>0.80663</cdr:y>
    </cdr:from>
    <cdr:to>
      <cdr:x>0.53271</cdr:x>
      <cdr:y>0.8418</cdr:y>
    </cdr:to>
    <cdr:sp macro="" textlink="">
      <cdr:nvSpPr>
        <cdr:cNvPr id="568" name="FracNo 469 StartRow 5455">
          <a:extLst xmlns:a="http://schemas.openxmlformats.org/drawingml/2006/main">
            <a:ext uri="{FF2B5EF4-FFF2-40B4-BE49-F238E27FC236}">
              <a16:creationId xmlns:a16="http://schemas.microsoft.com/office/drawing/2014/main" id="{8C2C46D3-5C69-3906-3E99-17E9C1357C3F}"/>
            </a:ext>
          </a:extLst>
        </cdr:cNvPr>
        <cdr:cNvSpPr/>
      </cdr:nvSpPr>
      <cdr:spPr>
        <a:xfrm xmlns:a="http://schemas.openxmlformats.org/drawingml/2006/main">
          <a:off x="3655861" y="6146494"/>
          <a:ext cx="241022" cy="268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022" h="268051">
              <a:moveTo>
                <a:pt x="30305" y="50098"/>
              </a:moveTo>
              <a:lnTo>
                <a:pt x="0" y="18752"/>
              </a:lnTo>
              <a:lnTo>
                <a:pt x="18129" y="0"/>
              </a:lnTo>
              <a:lnTo>
                <a:pt x="46154" y="28988"/>
              </a:lnTo>
              <a:lnTo>
                <a:pt x="241021" y="230546"/>
              </a:lnTo>
              <a:lnTo>
                <a:pt x="241021" y="2680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0.4998</cdr:x>
      <cdr:y>0.23547</cdr:y>
    </cdr:from>
    <cdr:to>
      <cdr:x>0.53386</cdr:x>
      <cdr:y>0.2693</cdr:y>
    </cdr:to>
    <cdr:sp macro="" textlink="">
      <cdr:nvSpPr>
        <cdr:cNvPr id="569" name="FracNo 973 StartRow 5464">
          <a:extLst xmlns:a="http://schemas.openxmlformats.org/drawingml/2006/main">
            <a:ext uri="{FF2B5EF4-FFF2-40B4-BE49-F238E27FC236}">
              <a16:creationId xmlns:a16="http://schemas.microsoft.com/office/drawing/2014/main" id="{D496478D-A43C-2171-9904-B2D718DF42D8}"/>
            </a:ext>
          </a:extLst>
        </cdr:cNvPr>
        <cdr:cNvSpPr/>
      </cdr:nvSpPr>
      <cdr:spPr>
        <a:xfrm xmlns:a="http://schemas.openxmlformats.org/drawingml/2006/main">
          <a:off x="3656118" y="1794295"/>
          <a:ext cx="249179" cy="257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179" h="257735">
              <a:moveTo>
                <a:pt x="116580" y="137152"/>
              </a:moveTo>
              <a:lnTo>
                <a:pt x="0" y="257734"/>
              </a:lnTo>
              <a:lnTo>
                <a:pt x="36259" y="257734"/>
              </a:lnTo>
              <a:lnTo>
                <a:pt x="135874" y="154698"/>
              </a:lnTo>
              <a:lnTo>
                <a:pt x="249178" y="37504"/>
              </a:lnTo>
              <a:lnTo>
                <a:pt x="2491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0.11839</cdr:x>
      <cdr:y>0.48914</cdr:y>
    </cdr:from>
    <cdr:to>
      <cdr:x>0.15243</cdr:x>
      <cdr:y>0.52293</cdr:y>
    </cdr:to>
    <cdr:sp macro="" textlink="">
      <cdr:nvSpPr>
        <cdr:cNvPr id="570" name="FracNo 1051 StartRow 5473">
          <a:extLst xmlns:a="http://schemas.openxmlformats.org/drawingml/2006/main">
            <a:ext uri="{FF2B5EF4-FFF2-40B4-BE49-F238E27FC236}">
              <a16:creationId xmlns:a16="http://schemas.microsoft.com/office/drawing/2014/main" id="{BCC0154E-6ED4-A780-A1D6-12E192498175}"/>
            </a:ext>
          </a:extLst>
        </cdr:cNvPr>
        <cdr:cNvSpPr/>
      </cdr:nvSpPr>
      <cdr:spPr>
        <a:xfrm xmlns:a="http://schemas.openxmlformats.org/drawingml/2006/main">
          <a:off x="866063" y="3727222"/>
          <a:ext cx="248967" cy="257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967" h="257517">
              <a:moveTo>
                <a:pt x="100081" y="153998"/>
              </a:moveTo>
              <a:lnTo>
                <a:pt x="0" y="257516"/>
              </a:lnTo>
              <a:lnTo>
                <a:pt x="0" y="220012"/>
              </a:lnTo>
              <a:lnTo>
                <a:pt x="85505" y="131570"/>
              </a:lnTo>
              <a:lnTo>
                <a:pt x="212708" y="0"/>
              </a:lnTo>
              <a:lnTo>
                <a:pt x="2489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0.14103</cdr:x>
      <cdr:y>0.51162</cdr:y>
    </cdr:from>
    <cdr:to>
      <cdr:x>0.17507</cdr:x>
      <cdr:y>0.54541</cdr:y>
    </cdr:to>
    <cdr:sp macro="" textlink="">
      <cdr:nvSpPr>
        <cdr:cNvPr id="571" name="FracNo 1012 StartRow 5482">
          <a:extLst xmlns:a="http://schemas.openxmlformats.org/drawingml/2006/main">
            <a:ext uri="{FF2B5EF4-FFF2-40B4-BE49-F238E27FC236}">
              <a16:creationId xmlns:a16="http://schemas.microsoft.com/office/drawing/2014/main" id="{FA3971FE-DBD3-A3F3-D6C6-F813F6BDA3F7}"/>
            </a:ext>
          </a:extLst>
        </cdr:cNvPr>
        <cdr:cNvSpPr/>
      </cdr:nvSpPr>
      <cdr:spPr>
        <a:xfrm xmlns:a="http://schemas.openxmlformats.org/drawingml/2006/main">
          <a:off x="1031673" y="3898519"/>
          <a:ext cx="248967" cy="257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967" h="257517">
              <a:moveTo>
                <a:pt x="218136" y="31888"/>
              </a:moveTo>
              <a:lnTo>
                <a:pt x="0" y="257516"/>
              </a:lnTo>
              <a:lnTo>
                <a:pt x="36258" y="257516"/>
              </a:lnTo>
              <a:lnTo>
                <a:pt x="222626" y="64748"/>
              </a:lnTo>
              <a:lnTo>
                <a:pt x="248966" y="37504"/>
              </a:lnTo>
              <a:lnTo>
                <a:pt x="2489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0.69839</cdr:x>
      <cdr:y>0.30033</cdr:y>
    </cdr:from>
    <cdr:to>
      <cdr:x>0.73237</cdr:x>
      <cdr:y>0.33407</cdr:y>
    </cdr:to>
    <cdr:sp macro="" textlink="">
      <cdr:nvSpPr>
        <cdr:cNvPr id="572" name="FracNo 1155 StartRow 5491">
          <a:extLst xmlns:a="http://schemas.openxmlformats.org/drawingml/2006/main">
            <a:ext uri="{FF2B5EF4-FFF2-40B4-BE49-F238E27FC236}">
              <a16:creationId xmlns:a16="http://schemas.microsoft.com/office/drawing/2014/main" id="{FAECC910-A285-8BB3-42CE-CAE58682F950}"/>
            </a:ext>
          </a:extLst>
        </cdr:cNvPr>
        <cdr:cNvSpPr/>
      </cdr:nvSpPr>
      <cdr:spPr>
        <a:xfrm xmlns:a="http://schemas.openxmlformats.org/drawingml/2006/main">
          <a:off x="5108871" y="2288546"/>
          <a:ext cx="248550" cy="257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550" h="257086">
              <a:moveTo>
                <a:pt x="167754" y="83570"/>
              </a:moveTo>
              <a:lnTo>
                <a:pt x="0" y="257085"/>
              </a:lnTo>
              <a:lnTo>
                <a:pt x="36259" y="257085"/>
              </a:lnTo>
              <a:lnTo>
                <a:pt x="179540" y="108882"/>
              </a:lnTo>
              <a:lnTo>
                <a:pt x="248549" y="37503"/>
              </a:lnTo>
              <a:lnTo>
                <a:pt x="2485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0.10208</cdr:x>
      <cdr:y>0.89892</cdr:y>
    </cdr:from>
    <cdr:to>
      <cdr:x>0.13844</cdr:x>
      <cdr:y>0.9301</cdr:y>
    </cdr:to>
    <cdr:sp macro="" textlink="">
      <cdr:nvSpPr>
        <cdr:cNvPr id="573" name="FracNo 1108 StartRow 5500">
          <a:extLst xmlns:a="http://schemas.openxmlformats.org/drawingml/2006/main">
            <a:ext uri="{FF2B5EF4-FFF2-40B4-BE49-F238E27FC236}">
              <a16:creationId xmlns:a16="http://schemas.microsoft.com/office/drawing/2014/main" id="{445A77F0-E1BF-549D-AB45-27F077008F40}"/>
            </a:ext>
          </a:extLst>
        </cdr:cNvPr>
        <cdr:cNvSpPr/>
      </cdr:nvSpPr>
      <cdr:spPr>
        <a:xfrm xmlns:a="http://schemas.openxmlformats.org/drawingml/2006/main">
          <a:off x="746720" y="6849767"/>
          <a:ext cx="265969" cy="237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969" h="237599">
              <a:moveTo>
                <a:pt x="264690" y="236277"/>
              </a:moveTo>
              <a:lnTo>
                <a:pt x="36258" y="0"/>
              </a:lnTo>
              <a:lnTo>
                <a:pt x="0" y="0"/>
              </a:lnTo>
              <a:lnTo>
                <a:pt x="228432" y="236277"/>
              </a:lnTo>
              <a:lnTo>
                <a:pt x="229709" y="237598"/>
              </a:lnTo>
              <a:lnTo>
                <a:pt x="265968" y="2375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0.58426</cdr:x>
      <cdr:y>0.28864</cdr:y>
    </cdr:from>
    <cdr:to>
      <cdr:x>0.62042</cdr:x>
      <cdr:y>0.31962</cdr:y>
    </cdr:to>
    <cdr:sp macro="" textlink="">
      <cdr:nvSpPr>
        <cdr:cNvPr id="574" name="FracNo 1091 StartRow 5509">
          <a:extLst xmlns:a="http://schemas.openxmlformats.org/drawingml/2006/main">
            <a:ext uri="{FF2B5EF4-FFF2-40B4-BE49-F238E27FC236}">
              <a16:creationId xmlns:a16="http://schemas.microsoft.com/office/drawing/2014/main" id="{D64DAB16-84BE-0C00-5827-2AE2EF7CE182}"/>
            </a:ext>
          </a:extLst>
        </cdr:cNvPr>
        <cdr:cNvSpPr/>
      </cdr:nvSpPr>
      <cdr:spPr>
        <a:xfrm xmlns:a="http://schemas.openxmlformats.org/drawingml/2006/main">
          <a:off x="4273980" y="2199419"/>
          <a:ext cx="264487" cy="236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487" h="236067">
              <a:moveTo>
                <a:pt x="101951" y="168117"/>
              </a:moveTo>
              <a:lnTo>
                <a:pt x="36258" y="236066"/>
              </a:lnTo>
              <a:lnTo>
                <a:pt x="0" y="236066"/>
              </a:lnTo>
              <a:lnTo>
                <a:pt x="65692" y="168117"/>
              </a:lnTo>
              <a:lnTo>
                <a:pt x="228227" y="0"/>
              </a:lnTo>
              <a:lnTo>
                <a:pt x="2644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0.6131</cdr:x>
      <cdr:y>0.42353</cdr:y>
    </cdr:from>
    <cdr:to>
      <cdr:x>0.64922</cdr:x>
      <cdr:y>0.45448</cdr:y>
    </cdr:to>
    <cdr:sp macro="" textlink="">
      <cdr:nvSpPr>
        <cdr:cNvPr id="575" name="FracNo 998 StartRow 5518">
          <a:extLst xmlns:a="http://schemas.openxmlformats.org/drawingml/2006/main">
            <a:ext uri="{FF2B5EF4-FFF2-40B4-BE49-F238E27FC236}">
              <a16:creationId xmlns:a16="http://schemas.microsoft.com/office/drawing/2014/main" id="{79E4D4ED-425D-719A-77D2-310E85536093}"/>
            </a:ext>
          </a:extLst>
        </cdr:cNvPr>
        <cdr:cNvSpPr/>
      </cdr:nvSpPr>
      <cdr:spPr>
        <a:xfrm xmlns:a="http://schemas.openxmlformats.org/drawingml/2006/main">
          <a:off x="4484925" y="3227292"/>
          <a:ext cx="264273" cy="235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273" h="235846">
              <a:moveTo>
                <a:pt x="255405" y="226672"/>
              </a:moveTo>
              <a:lnTo>
                <a:pt x="36258" y="0"/>
              </a:lnTo>
              <a:lnTo>
                <a:pt x="0" y="0"/>
              </a:lnTo>
              <a:lnTo>
                <a:pt x="219146" y="226672"/>
              </a:lnTo>
              <a:lnTo>
                <a:pt x="228014" y="235845"/>
              </a:lnTo>
              <a:lnTo>
                <a:pt x="264272" y="2358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0.90883</cdr:x>
      <cdr:y>0.09426</cdr:y>
    </cdr:from>
    <cdr:to>
      <cdr:x>0.94246</cdr:x>
      <cdr:y>0.12766</cdr:y>
    </cdr:to>
    <cdr:sp macro="" textlink="">
      <cdr:nvSpPr>
        <cdr:cNvPr id="576" name="FracNo 981 StartRow 5527">
          <a:extLst xmlns:a="http://schemas.openxmlformats.org/drawingml/2006/main">
            <a:ext uri="{FF2B5EF4-FFF2-40B4-BE49-F238E27FC236}">
              <a16:creationId xmlns:a16="http://schemas.microsoft.com/office/drawing/2014/main" id="{624C844A-7089-F4CC-5FB1-5E292C5DBE0F}"/>
            </a:ext>
          </a:extLst>
        </cdr:cNvPr>
        <cdr:cNvSpPr/>
      </cdr:nvSpPr>
      <cdr:spPr>
        <a:xfrm xmlns:a="http://schemas.openxmlformats.org/drawingml/2006/main">
          <a:off x="6648271" y="718299"/>
          <a:ext cx="246037" cy="254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37" h="254486">
              <a:moveTo>
                <a:pt x="35913" y="217340"/>
              </a:moveTo>
              <a:lnTo>
                <a:pt x="0" y="254485"/>
              </a:lnTo>
              <a:lnTo>
                <a:pt x="36258" y="254485"/>
              </a:lnTo>
              <a:lnTo>
                <a:pt x="66879" y="222814"/>
              </a:lnTo>
              <a:lnTo>
                <a:pt x="246036" y="37504"/>
              </a:lnTo>
              <a:lnTo>
                <a:pt x="2460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0.64789</cdr:x>
      <cdr:y>0.08544</cdr:y>
    </cdr:from>
    <cdr:to>
      <cdr:x>0.68265</cdr:x>
      <cdr:y>0.1175</cdr:y>
    </cdr:to>
    <cdr:sp macro="" textlink="">
      <cdr:nvSpPr>
        <cdr:cNvPr id="577" name="FracNo 544 StartRow 5536">
          <a:extLst xmlns:a="http://schemas.openxmlformats.org/drawingml/2006/main">
            <a:ext uri="{FF2B5EF4-FFF2-40B4-BE49-F238E27FC236}">
              <a16:creationId xmlns:a16="http://schemas.microsoft.com/office/drawing/2014/main" id="{3DCDDBA7-2FC9-34D3-067D-CA797ED34D9E}"/>
            </a:ext>
          </a:extLst>
        </cdr:cNvPr>
        <cdr:cNvSpPr/>
      </cdr:nvSpPr>
      <cdr:spPr>
        <a:xfrm xmlns:a="http://schemas.openxmlformats.org/drawingml/2006/main">
          <a:off x="4739447" y="651036"/>
          <a:ext cx="254305" cy="244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305" h="244286">
              <a:moveTo>
                <a:pt x="195136" y="164334"/>
              </a:moveTo>
              <a:lnTo>
                <a:pt x="95362" y="61133"/>
              </a:lnTo>
              <a:lnTo>
                <a:pt x="36258" y="0"/>
              </a:lnTo>
              <a:lnTo>
                <a:pt x="0" y="0"/>
              </a:lnTo>
              <a:lnTo>
                <a:pt x="65938" y="68203"/>
              </a:lnTo>
              <a:lnTo>
                <a:pt x="172802" y="178737"/>
              </a:lnTo>
              <a:lnTo>
                <a:pt x="236174" y="244285"/>
              </a:lnTo>
              <a:lnTo>
                <a:pt x="254304" y="2255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0.89474</cdr:x>
      <cdr:y>0.10875</cdr:y>
    </cdr:from>
    <cdr:to>
      <cdr:x>0.92826</cdr:x>
      <cdr:y>0.14204</cdr:y>
    </cdr:to>
    <cdr:sp macro="" textlink="">
      <cdr:nvSpPr>
        <cdr:cNvPr id="578" name="FracNo 551 StartRow 5547">
          <a:extLst xmlns:a="http://schemas.openxmlformats.org/drawingml/2006/main">
            <a:ext uri="{FF2B5EF4-FFF2-40B4-BE49-F238E27FC236}">
              <a16:creationId xmlns:a16="http://schemas.microsoft.com/office/drawing/2014/main" id="{CCCFEE65-350B-A96B-7E57-2F00FE62A76F}"/>
            </a:ext>
          </a:extLst>
        </cdr:cNvPr>
        <cdr:cNvSpPr/>
      </cdr:nvSpPr>
      <cdr:spPr>
        <a:xfrm xmlns:a="http://schemas.openxmlformats.org/drawingml/2006/main">
          <a:off x="6545223" y="828694"/>
          <a:ext cx="245212" cy="253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212" h="253633">
              <a:moveTo>
                <a:pt x="85982" y="126439"/>
              </a:moveTo>
              <a:lnTo>
                <a:pt x="0" y="37504"/>
              </a:lnTo>
              <a:lnTo>
                <a:pt x="0" y="0"/>
              </a:lnTo>
              <a:lnTo>
                <a:pt x="100903" y="104368"/>
              </a:lnTo>
              <a:lnTo>
                <a:pt x="245211" y="253632"/>
              </a:lnTo>
              <a:lnTo>
                <a:pt x="208953" y="2536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0.28244</cdr:x>
      <cdr:y>0.41171</cdr:y>
    </cdr:from>
    <cdr:to>
      <cdr:x>0.31322</cdr:x>
      <cdr:y>0.4472</cdr:y>
    </cdr:to>
    <cdr:sp macro="" textlink="">
      <cdr:nvSpPr>
        <cdr:cNvPr id="579" name="FracNo 979 StartRow 5556">
          <a:extLst xmlns:a="http://schemas.openxmlformats.org/drawingml/2006/main">
            <a:ext uri="{FF2B5EF4-FFF2-40B4-BE49-F238E27FC236}">
              <a16:creationId xmlns:a16="http://schemas.microsoft.com/office/drawing/2014/main" id="{D9696926-7892-71B0-FB3B-026373ADC519}"/>
            </a:ext>
          </a:extLst>
        </cdr:cNvPr>
        <cdr:cNvSpPr/>
      </cdr:nvSpPr>
      <cdr:spPr>
        <a:xfrm xmlns:a="http://schemas.openxmlformats.org/drawingml/2006/main">
          <a:off x="2066130" y="3137264"/>
          <a:ext cx="225150" cy="270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150" h="270386">
              <a:moveTo>
                <a:pt x="183083" y="43510"/>
              </a:moveTo>
              <a:lnTo>
                <a:pt x="0" y="232881"/>
              </a:lnTo>
              <a:lnTo>
                <a:pt x="0" y="270385"/>
              </a:lnTo>
              <a:lnTo>
                <a:pt x="183083" y="81014"/>
              </a:lnTo>
              <a:lnTo>
                <a:pt x="225149" y="37503"/>
              </a:lnTo>
              <a:lnTo>
                <a:pt x="225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0.82408</cdr:x>
      <cdr:y>0.45378</cdr:y>
    </cdr:from>
    <cdr:to>
      <cdr:x>0.85712</cdr:x>
      <cdr:y>0.48659</cdr:y>
    </cdr:to>
    <cdr:sp macro="" textlink="">
      <cdr:nvSpPr>
        <cdr:cNvPr id="580" name="FracNo 1231 StartRow 5565">
          <a:extLst xmlns:a="http://schemas.openxmlformats.org/drawingml/2006/main">
            <a:ext uri="{FF2B5EF4-FFF2-40B4-BE49-F238E27FC236}">
              <a16:creationId xmlns:a16="http://schemas.microsoft.com/office/drawing/2014/main" id="{EF480C82-23C5-C1CE-A954-E43E8E14EC5D}"/>
            </a:ext>
          </a:extLst>
        </cdr:cNvPr>
        <cdr:cNvSpPr/>
      </cdr:nvSpPr>
      <cdr:spPr>
        <a:xfrm xmlns:a="http://schemas.openxmlformats.org/drawingml/2006/main">
          <a:off x="6028315" y="3457814"/>
          <a:ext cx="241682" cy="249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682" h="249981">
              <a:moveTo>
                <a:pt x="224822" y="195039"/>
              </a:moveTo>
              <a:lnTo>
                <a:pt x="36259" y="0"/>
              </a:lnTo>
              <a:lnTo>
                <a:pt x="0" y="0"/>
              </a:lnTo>
              <a:lnTo>
                <a:pt x="221847" y="229465"/>
              </a:lnTo>
              <a:lnTo>
                <a:pt x="241681" y="249980"/>
              </a:lnTo>
              <a:lnTo>
                <a:pt x="241681" y="2124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0.82892</cdr:x>
      <cdr:y>0.49208</cdr:y>
    </cdr:from>
    <cdr:to>
      <cdr:x>0.85946</cdr:x>
      <cdr:y>0.52733</cdr:y>
    </cdr:to>
    <cdr:sp macro="" textlink="">
      <cdr:nvSpPr>
        <cdr:cNvPr id="581" name="FracNo 907 StartRow 5574">
          <a:extLst xmlns:a="http://schemas.openxmlformats.org/drawingml/2006/main">
            <a:ext uri="{FF2B5EF4-FFF2-40B4-BE49-F238E27FC236}">
              <a16:creationId xmlns:a16="http://schemas.microsoft.com/office/drawing/2014/main" id="{E9E58C35-FCF0-3274-861E-FCF68DE3FCD5}"/>
            </a:ext>
          </a:extLst>
        </cdr:cNvPr>
        <cdr:cNvSpPr/>
      </cdr:nvSpPr>
      <cdr:spPr>
        <a:xfrm xmlns:a="http://schemas.openxmlformats.org/drawingml/2006/main">
          <a:off x="6063720" y="3749673"/>
          <a:ext cx="223405" cy="268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405" h="268581">
              <a:moveTo>
                <a:pt x="113528" y="113650"/>
              </a:moveTo>
              <a:lnTo>
                <a:pt x="0" y="231076"/>
              </a:lnTo>
              <a:lnTo>
                <a:pt x="0" y="268580"/>
              </a:lnTo>
              <a:lnTo>
                <a:pt x="113528" y="151154"/>
              </a:lnTo>
              <a:lnTo>
                <a:pt x="223404" y="37504"/>
              </a:lnTo>
              <a:lnTo>
                <a:pt x="2234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0.27469</cdr:x>
      <cdr:y>0.37418</cdr:y>
    </cdr:from>
    <cdr:to>
      <cdr:x>0.31</cdr:x>
      <cdr:y>0.40432</cdr:y>
    </cdr:to>
    <cdr:sp macro="" textlink="">
      <cdr:nvSpPr>
        <cdr:cNvPr id="582" name="FracNo 1022 StartRow 5583">
          <a:extLst xmlns:a="http://schemas.openxmlformats.org/drawingml/2006/main">
            <a:ext uri="{FF2B5EF4-FFF2-40B4-BE49-F238E27FC236}">
              <a16:creationId xmlns:a16="http://schemas.microsoft.com/office/drawing/2014/main" id="{2DD87C1D-C939-02C8-0981-5A3B2753F502}"/>
            </a:ext>
          </a:extLst>
        </cdr:cNvPr>
        <cdr:cNvSpPr/>
      </cdr:nvSpPr>
      <cdr:spPr>
        <a:xfrm xmlns:a="http://schemas.openxmlformats.org/drawingml/2006/main">
          <a:off x="2009400" y="2851230"/>
          <a:ext cx="258294" cy="229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294" h="229661">
              <a:moveTo>
                <a:pt x="167976" y="136241"/>
              </a:moveTo>
              <a:lnTo>
                <a:pt x="36258" y="0"/>
              </a:lnTo>
              <a:lnTo>
                <a:pt x="0" y="0"/>
              </a:lnTo>
              <a:lnTo>
                <a:pt x="131718" y="136241"/>
              </a:lnTo>
              <a:lnTo>
                <a:pt x="222034" y="229660"/>
              </a:lnTo>
              <a:lnTo>
                <a:pt x="258293" y="2296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0.22832</cdr:x>
      <cdr:y>0.33908</cdr:y>
    </cdr:from>
    <cdr:to>
      <cdr:x>0.26114</cdr:x>
      <cdr:y>0.37167</cdr:y>
    </cdr:to>
    <cdr:sp macro="" textlink="">
      <cdr:nvSpPr>
        <cdr:cNvPr id="583" name="FracNo 267 StartRow 5592">
          <a:extLst xmlns:a="http://schemas.openxmlformats.org/drawingml/2006/main">
            <a:ext uri="{FF2B5EF4-FFF2-40B4-BE49-F238E27FC236}">
              <a16:creationId xmlns:a16="http://schemas.microsoft.com/office/drawing/2014/main" id="{CED2A0B5-7B65-8F9D-BBCF-BDF9CBD497AD}"/>
            </a:ext>
          </a:extLst>
        </cdr:cNvPr>
        <cdr:cNvSpPr/>
      </cdr:nvSpPr>
      <cdr:spPr>
        <a:xfrm xmlns:a="http://schemas.openxmlformats.org/drawingml/2006/main">
          <a:off x="1670207" y="2583795"/>
          <a:ext cx="240071" cy="248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071" h="248316">
              <a:moveTo>
                <a:pt x="140265" y="65729"/>
              </a:moveTo>
              <a:lnTo>
                <a:pt x="15349" y="194935"/>
              </a:lnTo>
              <a:lnTo>
                <a:pt x="0" y="210812"/>
              </a:lnTo>
              <a:lnTo>
                <a:pt x="0" y="248315"/>
              </a:lnTo>
              <a:lnTo>
                <a:pt x="17288" y="230433"/>
              </a:lnTo>
              <a:lnTo>
                <a:pt x="164952" y="77699"/>
              </a:lnTo>
              <a:lnTo>
                <a:pt x="240070" y="0"/>
              </a:lnTo>
              <a:lnTo>
                <a:pt x="203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0.71762</cdr:x>
      <cdr:y>0.25821</cdr:y>
    </cdr:from>
    <cdr:to>
      <cdr:x>0.75026</cdr:x>
      <cdr:y>0.29061</cdr:y>
    </cdr:to>
    <cdr:sp macro="" textlink="">
      <cdr:nvSpPr>
        <cdr:cNvPr id="584" name="FracNo 1089 StartRow 5603">
          <a:extLst xmlns:a="http://schemas.openxmlformats.org/drawingml/2006/main">
            <a:ext uri="{FF2B5EF4-FFF2-40B4-BE49-F238E27FC236}">
              <a16:creationId xmlns:a16="http://schemas.microsoft.com/office/drawing/2014/main" id="{B0D7F1A9-74C7-E9CA-5AA0-4347462E47CD}"/>
            </a:ext>
          </a:extLst>
        </cdr:cNvPr>
        <cdr:cNvSpPr/>
      </cdr:nvSpPr>
      <cdr:spPr>
        <a:xfrm xmlns:a="http://schemas.openxmlformats.org/drawingml/2006/main">
          <a:off x="5249549" y="1967552"/>
          <a:ext cx="238724" cy="246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724" h="246922">
              <a:moveTo>
                <a:pt x="153810" y="50325"/>
              </a:moveTo>
              <a:lnTo>
                <a:pt x="0" y="209418"/>
              </a:lnTo>
              <a:lnTo>
                <a:pt x="0" y="246921"/>
              </a:lnTo>
              <a:lnTo>
                <a:pt x="181355" y="59338"/>
              </a:lnTo>
              <a:lnTo>
                <a:pt x="238723" y="0"/>
              </a:lnTo>
              <a:lnTo>
                <a:pt x="202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0.33967</cdr:x>
      <cdr:y>0.69869</cdr:y>
    </cdr:from>
    <cdr:to>
      <cdr:x>0.36971</cdr:x>
      <cdr:y>0.73345</cdr:y>
    </cdr:to>
    <cdr:sp macro="" textlink="">
      <cdr:nvSpPr>
        <cdr:cNvPr id="585" name="FracNo 988 StartRow 5612">
          <a:extLst xmlns:a="http://schemas.openxmlformats.org/drawingml/2006/main">
            <a:ext uri="{FF2B5EF4-FFF2-40B4-BE49-F238E27FC236}">
              <a16:creationId xmlns:a16="http://schemas.microsoft.com/office/drawing/2014/main" id="{B28A6E3A-4E01-9467-9A70-1D06D84FF3FA}"/>
            </a:ext>
          </a:extLst>
        </cdr:cNvPr>
        <cdr:cNvSpPr/>
      </cdr:nvSpPr>
      <cdr:spPr>
        <a:xfrm xmlns:a="http://schemas.openxmlformats.org/drawingml/2006/main">
          <a:off x="2484763" y="5324038"/>
          <a:ext cx="219773" cy="264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773" h="264824">
              <a:moveTo>
                <a:pt x="145850" y="150859"/>
              </a:moveTo>
              <a:lnTo>
                <a:pt x="0" y="0"/>
              </a:lnTo>
              <a:lnTo>
                <a:pt x="0" y="37504"/>
              </a:lnTo>
              <a:lnTo>
                <a:pt x="145850" y="188363"/>
              </a:lnTo>
              <a:lnTo>
                <a:pt x="219772" y="264823"/>
              </a:lnTo>
              <a:lnTo>
                <a:pt x="219772" y="2273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0.88875</cdr:x>
      <cdr:y>0.84949</cdr:y>
    </cdr:from>
    <cdr:to>
      <cdr:x>0.92368</cdr:x>
      <cdr:y>0.87926</cdr:y>
    </cdr:to>
    <cdr:sp macro="" textlink="">
      <cdr:nvSpPr>
        <cdr:cNvPr id="586" name="FracNo 160 StartRow 5621">
          <a:extLst xmlns:a="http://schemas.openxmlformats.org/drawingml/2006/main">
            <a:ext uri="{FF2B5EF4-FFF2-40B4-BE49-F238E27FC236}">
              <a16:creationId xmlns:a16="http://schemas.microsoft.com/office/drawing/2014/main" id="{8F917E7B-EE99-F5D7-093A-27057D6569E1}"/>
            </a:ext>
          </a:extLst>
        </cdr:cNvPr>
        <cdr:cNvSpPr/>
      </cdr:nvSpPr>
      <cdr:spPr>
        <a:xfrm xmlns:a="http://schemas.openxmlformats.org/drawingml/2006/main">
          <a:off x="6501372" y="6473133"/>
          <a:ext cx="255524" cy="226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524" h="226795">
              <a:moveTo>
                <a:pt x="115147" y="119101"/>
              </a:moveTo>
              <a:lnTo>
                <a:pt x="0" y="0"/>
              </a:lnTo>
              <a:lnTo>
                <a:pt x="36259" y="0"/>
              </a:lnTo>
              <a:lnTo>
                <a:pt x="151405" y="119101"/>
              </a:lnTo>
              <a:lnTo>
                <a:pt x="255523" y="226794"/>
              </a:lnTo>
              <a:lnTo>
                <a:pt x="219264" y="2267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0.60312</cdr:x>
      <cdr:y>0.08544</cdr:y>
    </cdr:from>
    <cdr:to>
      <cdr:x>0.63555</cdr:x>
      <cdr:y>0.11764</cdr:y>
    </cdr:to>
    <cdr:sp macro="" textlink="">
      <cdr:nvSpPr>
        <cdr:cNvPr id="587" name="FracNo 1018 StartRow 5630">
          <a:extLst xmlns:a="http://schemas.openxmlformats.org/drawingml/2006/main">
            <a:ext uri="{FF2B5EF4-FFF2-40B4-BE49-F238E27FC236}">
              <a16:creationId xmlns:a16="http://schemas.microsoft.com/office/drawing/2014/main" id="{37428B5D-39EF-7233-99B5-CFE3441A6FEE}"/>
            </a:ext>
          </a:extLst>
        </cdr:cNvPr>
        <cdr:cNvSpPr/>
      </cdr:nvSpPr>
      <cdr:spPr>
        <a:xfrm xmlns:a="http://schemas.openxmlformats.org/drawingml/2006/main">
          <a:off x="4411928" y="651036"/>
          <a:ext cx="237268" cy="245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268" h="245417">
              <a:moveTo>
                <a:pt x="54979" y="19364"/>
              </a:moveTo>
              <a:lnTo>
                <a:pt x="36258" y="0"/>
              </a:lnTo>
              <a:lnTo>
                <a:pt x="0" y="0"/>
              </a:lnTo>
              <a:lnTo>
                <a:pt x="22097" y="22856"/>
              </a:lnTo>
              <a:lnTo>
                <a:pt x="237267" y="245416"/>
              </a:lnTo>
              <a:lnTo>
                <a:pt x="237267" y="2079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0.74331</cdr:x>
      <cdr:y>0.22408</cdr:y>
    </cdr:from>
    <cdr:to>
      <cdr:x>0.7757</cdr:x>
      <cdr:y>0.25624</cdr:y>
    </cdr:to>
    <cdr:sp macro="" textlink="">
      <cdr:nvSpPr>
        <cdr:cNvPr id="588" name="FracNo 1205 StartRow 5639">
          <a:extLst xmlns:a="http://schemas.openxmlformats.org/drawingml/2006/main">
            <a:ext uri="{FF2B5EF4-FFF2-40B4-BE49-F238E27FC236}">
              <a16:creationId xmlns:a16="http://schemas.microsoft.com/office/drawing/2014/main" id="{542554C9-9D2F-AD90-C219-ED4C3B50D759}"/>
            </a:ext>
          </a:extLst>
        </cdr:cNvPr>
        <cdr:cNvSpPr/>
      </cdr:nvSpPr>
      <cdr:spPr>
        <a:xfrm xmlns:a="http://schemas.openxmlformats.org/drawingml/2006/main">
          <a:off x="5437494" y="1707481"/>
          <a:ext cx="236918" cy="245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918" h="245054">
              <a:moveTo>
                <a:pt x="56429" y="186686"/>
              </a:moveTo>
              <a:lnTo>
                <a:pt x="0" y="245053"/>
              </a:lnTo>
              <a:lnTo>
                <a:pt x="0" y="207549"/>
              </a:lnTo>
              <a:lnTo>
                <a:pt x="47793" y="158115"/>
              </a:lnTo>
              <a:lnTo>
                <a:pt x="200658" y="0"/>
              </a:lnTo>
              <a:lnTo>
                <a:pt x="2369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0.91261</cdr:x>
      <cdr:y>0.83863</cdr:y>
    </cdr:from>
    <cdr:to>
      <cdr:x>0.94246</cdr:x>
      <cdr:y>0.87319</cdr:y>
    </cdr:to>
    <cdr:sp macro="" textlink="">
      <cdr:nvSpPr>
        <cdr:cNvPr id="589" name="FracNo 815 StartRow 5648">
          <a:extLst xmlns:a="http://schemas.openxmlformats.org/drawingml/2006/main">
            <a:ext uri="{FF2B5EF4-FFF2-40B4-BE49-F238E27FC236}">
              <a16:creationId xmlns:a16="http://schemas.microsoft.com/office/drawing/2014/main" id="{71658EE8-7076-285C-8A4A-EB04E0BD51DC}"/>
            </a:ext>
          </a:extLst>
        </cdr:cNvPr>
        <cdr:cNvSpPr/>
      </cdr:nvSpPr>
      <cdr:spPr>
        <a:xfrm xmlns:a="http://schemas.openxmlformats.org/drawingml/2006/main">
          <a:off x="6675948" y="6390344"/>
          <a:ext cx="218360" cy="263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360" h="263362">
              <a:moveTo>
                <a:pt x="211663" y="44430"/>
              </a:moveTo>
              <a:lnTo>
                <a:pt x="0" y="263361"/>
              </a:lnTo>
              <a:lnTo>
                <a:pt x="0" y="225857"/>
              </a:lnTo>
              <a:lnTo>
                <a:pt x="211663" y="6926"/>
              </a:lnTo>
              <a:lnTo>
                <a:pt x="218359" y="0"/>
              </a:lnTo>
              <a:lnTo>
                <a:pt x="21835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0.34783</cdr:x>
      <cdr:y>0.59788</cdr:y>
    </cdr:from>
    <cdr:to>
      <cdr:x>0.3799</cdr:x>
      <cdr:y>0.62972</cdr:y>
    </cdr:to>
    <cdr:sp macro="" textlink="">
      <cdr:nvSpPr>
        <cdr:cNvPr id="590" name="FracNo 395 StartRow 5657">
          <a:extLst xmlns:a="http://schemas.openxmlformats.org/drawingml/2006/main">
            <a:ext uri="{FF2B5EF4-FFF2-40B4-BE49-F238E27FC236}">
              <a16:creationId xmlns:a16="http://schemas.microsoft.com/office/drawing/2014/main" id="{CD209879-A1B9-7DB7-49D3-36CF88354542}"/>
            </a:ext>
          </a:extLst>
        </cdr:cNvPr>
        <cdr:cNvSpPr/>
      </cdr:nvSpPr>
      <cdr:spPr>
        <a:xfrm xmlns:a="http://schemas.openxmlformats.org/drawingml/2006/main">
          <a:off x="2544451" y="4555835"/>
          <a:ext cx="234558" cy="242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558" h="242613">
              <a:moveTo>
                <a:pt x="185860" y="154739"/>
              </a:moveTo>
              <a:lnTo>
                <a:pt x="36259" y="0"/>
              </a:lnTo>
              <a:lnTo>
                <a:pt x="0" y="0"/>
              </a:lnTo>
              <a:lnTo>
                <a:pt x="171940" y="177844"/>
              </a:lnTo>
              <a:lnTo>
                <a:pt x="196041" y="202773"/>
              </a:lnTo>
              <a:lnTo>
                <a:pt x="234557" y="242612"/>
              </a:lnTo>
              <a:lnTo>
                <a:pt x="234557" y="205108"/>
              </a:lnTo>
              <a:lnTo>
                <a:pt x="206830" y="1764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0.73739</cdr:x>
      <cdr:y>0.54388</cdr:y>
    </cdr:from>
    <cdr:to>
      <cdr:x>0.77049</cdr:x>
      <cdr:y>0.57429</cdr:y>
    </cdr:to>
    <cdr:sp macro="" textlink="">
      <cdr:nvSpPr>
        <cdr:cNvPr id="591" name="FracNo 637 StartRow 5668">
          <a:extLst xmlns:a="http://schemas.openxmlformats.org/drawingml/2006/main">
            <a:ext uri="{FF2B5EF4-FFF2-40B4-BE49-F238E27FC236}">
              <a16:creationId xmlns:a16="http://schemas.microsoft.com/office/drawing/2014/main" id="{CC4118C3-A8A2-18D9-F68E-3AB29150A02A}"/>
            </a:ext>
          </a:extLst>
        </cdr:cNvPr>
        <cdr:cNvSpPr/>
      </cdr:nvSpPr>
      <cdr:spPr>
        <a:xfrm xmlns:a="http://schemas.openxmlformats.org/drawingml/2006/main">
          <a:off x="5394139" y="4144394"/>
          <a:ext cx="242163" cy="231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163" h="231727">
              <a:moveTo>
                <a:pt x="164235" y="132371"/>
              </a:moveTo>
              <a:lnTo>
                <a:pt x="36259" y="0"/>
              </a:lnTo>
              <a:lnTo>
                <a:pt x="0" y="0"/>
              </a:lnTo>
              <a:lnTo>
                <a:pt x="139244" y="144026"/>
              </a:lnTo>
              <a:lnTo>
                <a:pt x="224032" y="231726"/>
              </a:lnTo>
              <a:lnTo>
                <a:pt x="242162" y="2129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0.12583</cdr:x>
      <cdr:y>0.134</cdr:y>
    </cdr:from>
    <cdr:to>
      <cdr:x>0.15506</cdr:x>
      <cdr:y>0.16795</cdr:y>
    </cdr:to>
    <cdr:sp macro="" textlink="">
      <cdr:nvSpPr>
        <cdr:cNvPr id="592" name="FracNo 779 StartRow 5677">
          <a:extLst xmlns:a="http://schemas.openxmlformats.org/drawingml/2006/main">
            <a:ext uri="{FF2B5EF4-FFF2-40B4-BE49-F238E27FC236}">
              <a16:creationId xmlns:a16="http://schemas.microsoft.com/office/drawing/2014/main" id="{36792D82-AF2A-82B7-79AD-7004E652D65F}"/>
            </a:ext>
          </a:extLst>
        </cdr:cNvPr>
        <cdr:cNvSpPr/>
      </cdr:nvSpPr>
      <cdr:spPr>
        <a:xfrm xmlns:a="http://schemas.openxmlformats.org/drawingml/2006/main">
          <a:off x="920498" y="1021113"/>
          <a:ext cx="213824" cy="258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824" h="258670">
              <a:moveTo>
                <a:pt x="64641" y="154305"/>
              </a:moveTo>
              <a:lnTo>
                <a:pt x="0" y="221166"/>
              </a:lnTo>
              <a:lnTo>
                <a:pt x="0" y="258669"/>
              </a:lnTo>
              <a:lnTo>
                <a:pt x="64641" y="191809"/>
              </a:lnTo>
              <a:lnTo>
                <a:pt x="213823" y="37503"/>
              </a:lnTo>
              <a:lnTo>
                <a:pt x="2138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0.53648</cdr:x>
      <cdr:y>0.52077</cdr:y>
    </cdr:from>
    <cdr:to>
      <cdr:x>0.56548</cdr:x>
      <cdr:y>0.55448</cdr:y>
    </cdr:to>
    <cdr:sp macro="" textlink="">
      <cdr:nvSpPr>
        <cdr:cNvPr id="593" name="FracNo 1188 StartRow 5686">
          <a:extLst xmlns:a="http://schemas.openxmlformats.org/drawingml/2006/main">
            <a:ext uri="{FF2B5EF4-FFF2-40B4-BE49-F238E27FC236}">
              <a16:creationId xmlns:a16="http://schemas.microsoft.com/office/drawing/2014/main" id="{8355C001-0F48-A504-A825-F77A4A0AF2BD}"/>
            </a:ext>
          </a:extLst>
        </cdr:cNvPr>
        <cdr:cNvSpPr/>
      </cdr:nvSpPr>
      <cdr:spPr>
        <a:xfrm xmlns:a="http://schemas.openxmlformats.org/drawingml/2006/main">
          <a:off x="3924436" y="3968253"/>
          <a:ext cx="212131" cy="256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131" h="256920">
              <a:moveTo>
                <a:pt x="65829" y="105594"/>
              </a:moveTo>
              <a:lnTo>
                <a:pt x="0" y="37504"/>
              </a:lnTo>
              <a:lnTo>
                <a:pt x="0" y="0"/>
              </a:lnTo>
              <a:lnTo>
                <a:pt x="65829" y="68089"/>
              </a:lnTo>
              <a:lnTo>
                <a:pt x="212130" y="219415"/>
              </a:lnTo>
              <a:lnTo>
                <a:pt x="212130" y="2569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0.10756</cdr:x>
      <cdr:y>0.77367</cdr:y>
    </cdr:from>
    <cdr:to>
      <cdr:x>0.13644</cdr:x>
      <cdr:y>0.80727</cdr:y>
    </cdr:to>
    <cdr:sp macro="" textlink="">
      <cdr:nvSpPr>
        <cdr:cNvPr id="594" name="FracNo 26 StartRow 5695">
          <a:extLst xmlns:a="http://schemas.openxmlformats.org/drawingml/2006/main">
            <a:ext uri="{FF2B5EF4-FFF2-40B4-BE49-F238E27FC236}">
              <a16:creationId xmlns:a16="http://schemas.microsoft.com/office/drawing/2014/main" id="{2CA612C5-81AD-3648-81E3-BB32EE5685BF}"/>
            </a:ext>
          </a:extLst>
        </cdr:cNvPr>
        <cdr:cNvSpPr/>
      </cdr:nvSpPr>
      <cdr:spPr>
        <a:xfrm xmlns:a="http://schemas.openxmlformats.org/drawingml/2006/main">
          <a:off x="786828" y="5895358"/>
          <a:ext cx="211284" cy="256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284" h="256044">
              <a:moveTo>
                <a:pt x="94061" y="121247"/>
              </a:moveTo>
              <a:lnTo>
                <a:pt x="0" y="218539"/>
              </a:lnTo>
              <a:lnTo>
                <a:pt x="0" y="256043"/>
              </a:lnTo>
              <a:lnTo>
                <a:pt x="94061" y="158751"/>
              </a:lnTo>
              <a:lnTo>
                <a:pt x="211283" y="37504"/>
              </a:lnTo>
              <a:lnTo>
                <a:pt x="2112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0.60765</cdr:x>
      <cdr:y>0.15407</cdr:y>
    </cdr:from>
    <cdr:to>
      <cdr:x>0.63896</cdr:x>
      <cdr:y>0.18516</cdr:y>
    </cdr:to>
    <cdr:sp macro="" textlink="">
      <cdr:nvSpPr>
        <cdr:cNvPr id="595" name="FracNo 875 StartRow 5704">
          <a:extLst xmlns:a="http://schemas.openxmlformats.org/drawingml/2006/main">
            <a:ext uri="{FF2B5EF4-FFF2-40B4-BE49-F238E27FC236}">
              <a16:creationId xmlns:a16="http://schemas.microsoft.com/office/drawing/2014/main" id="{1A041796-9ED8-AB3F-6CE7-8FE993C7E1CF}"/>
            </a:ext>
          </a:extLst>
        </cdr:cNvPr>
        <cdr:cNvSpPr/>
      </cdr:nvSpPr>
      <cdr:spPr>
        <a:xfrm xmlns:a="http://schemas.openxmlformats.org/drawingml/2006/main">
          <a:off x="4445110" y="1174037"/>
          <a:ext cx="229013" cy="236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013" h="236878">
              <a:moveTo>
                <a:pt x="91422" y="104811"/>
              </a:moveTo>
              <a:lnTo>
                <a:pt x="0" y="199373"/>
              </a:lnTo>
              <a:lnTo>
                <a:pt x="0" y="236877"/>
              </a:lnTo>
              <a:lnTo>
                <a:pt x="108619" y="124528"/>
              </a:lnTo>
              <a:lnTo>
                <a:pt x="229012" y="0"/>
              </a:lnTo>
              <a:lnTo>
                <a:pt x="1927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0.39884</cdr:x>
      <cdr:y>0.2027</cdr:y>
    </cdr:from>
    <cdr:to>
      <cdr:x>0.42766</cdr:x>
      <cdr:y>0.23624</cdr:y>
    </cdr:to>
    <cdr:sp macro="" textlink="">
      <cdr:nvSpPr>
        <cdr:cNvPr id="596" name="FracNo 952 StartRow 5713">
          <a:extLst xmlns:a="http://schemas.openxmlformats.org/drawingml/2006/main">
            <a:ext uri="{FF2B5EF4-FFF2-40B4-BE49-F238E27FC236}">
              <a16:creationId xmlns:a16="http://schemas.microsoft.com/office/drawing/2014/main" id="{5E31195C-9E23-0F93-7C9E-A12F372D298E}"/>
            </a:ext>
          </a:extLst>
        </cdr:cNvPr>
        <cdr:cNvSpPr/>
      </cdr:nvSpPr>
      <cdr:spPr>
        <a:xfrm xmlns:a="http://schemas.openxmlformats.org/drawingml/2006/main">
          <a:off x="2917560" y="1544566"/>
          <a:ext cx="210866" cy="255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866" h="255612">
              <a:moveTo>
                <a:pt x="131827" y="81753"/>
              </a:moveTo>
              <a:lnTo>
                <a:pt x="0" y="218107"/>
              </a:lnTo>
              <a:lnTo>
                <a:pt x="0" y="255611"/>
              </a:lnTo>
              <a:lnTo>
                <a:pt x="131827" y="119257"/>
              </a:lnTo>
              <a:lnTo>
                <a:pt x="210865" y="37504"/>
              </a:lnTo>
              <a:lnTo>
                <a:pt x="2108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0.77503</cdr:x>
      <cdr:y>0.7551</cdr:y>
    </cdr:from>
    <cdr:to>
      <cdr:x>0.80631</cdr:x>
      <cdr:y>0.78616</cdr:y>
    </cdr:to>
    <cdr:sp macro="" textlink="">
      <cdr:nvSpPr>
        <cdr:cNvPr id="597" name="FracNo 1190 StartRow 5722">
          <a:extLst xmlns:a="http://schemas.openxmlformats.org/drawingml/2006/main">
            <a:ext uri="{FF2B5EF4-FFF2-40B4-BE49-F238E27FC236}">
              <a16:creationId xmlns:a16="http://schemas.microsoft.com/office/drawing/2014/main" id="{35C2D45B-B3AB-1243-8AA7-B2DC6A691863}"/>
            </a:ext>
          </a:extLst>
        </cdr:cNvPr>
        <cdr:cNvSpPr/>
      </cdr:nvSpPr>
      <cdr:spPr>
        <a:xfrm xmlns:a="http://schemas.openxmlformats.org/drawingml/2006/main">
          <a:off x="5669477" y="5753860"/>
          <a:ext cx="228841" cy="236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841" h="236699">
              <a:moveTo>
                <a:pt x="21059" y="59286"/>
              </a:moveTo>
              <a:lnTo>
                <a:pt x="0" y="37504"/>
              </a:lnTo>
              <a:lnTo>
                <a:pt x="0" y="0"/>
              </a:lnTo>
              <a:lnTo>
                <a:pt x="25024" y="25883"/>
              </a:lnTo>
              <a:lnTo>
                <a:pt x="228840" y="236698"/>
              </a:lnTo>
              <a:lnTo>
                <a:pt x="192581" y="2366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0.73495</cdr:x>
      <cdr:y>0.24793</cdr:y>
    </cdr:from>
    <cdr:to>
      <cdr:x>0.76615</cdr:x>
      <cdr:y>0.27891</cdr:y>
    </cdr:to>
    <cdr:sp macro="" textlink="">
      <cdr:nvSpPr>
        <cdr:cNvPr id="598" name="FracNo 552 StartRow 5731">
          <a:extLst xmlns:a="http://schemas.openxmlformats.org/drawingml/2006/main">
            <a:ext uri="{FF2B5EF4-FFF2-40B4-BE49-F238E27FC236}">
              <a16:creationId xmlns:a16="http://schemas.microsoft.com/office/drawing/2014/main" id="{B850D22C-48D4-1107-FADC-B5ACC263B410}"/>
            </a:ext>
          </a:extLst>
        </cdr:cNvPr>
        <cdr:cNvSpPr/>
      </cdr:nvSpPr>
      <cdr:spPr>
        <a:xfrm xmlns:a="http://schemas.openxmlformats.org/drawingml/2006/main">
          <a:off x="5376311" y="1889250"/>
          <a:ext cx="228202" cy="236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202" h="236038">
              <a:moveTo>
                <a:pt x="168929" y="174730"/>
              </a:moveTo>
              <a:lnTo>
                <a:pt x="0" y="0"/>
              </a:lnTo>
              <a:lnTo>
                <a:pt x="36259" y="0"/>
              </a:lnTo>
              <a:lnTo>
                <a:pt x="178347" y="146967"/>
              </a:lnTo>
              <a:lnTo>
                <a:pt x="228201" y="198534"/>
              </a:lnTo>
              <a:lnTo>
                <a:pt x="228201" y="2360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0.40749</cdr:x>
      <cdr:y>0.4396</cdr:y>
    </cdr:from>
    <cdr:to>
      <cdr:x>0.43864</cdr:x>
      <cdr:y>0.47053</cdr:y>
    </cdr:to>
    <cdr:sp macro="" textlink="">
      <cdr:nvSpPr>
        <cdr:cNvPr id="599" name="FracNo 1015 StartRow 5740">
          <a:extLst xmlns:a="http://schemas.openxmlformats.org/drawingml/2006/main">
            <a:ext uri="{FF2B5EF4-FFF2-40B4-BE49-F238E27FC236}">
              <a16:creationId xmlns:a16="http://schemas.microsoft.com/office/drawing/2014/main" id="{8869A039-1688-6DDB-BB0C-3141E90449ED}"/>
            </a:ext>
          </a:extLst>
        </cdr:cNvPr>
        <cdr:cNvSpPr/>
      </cdr:nvSpPr>
      <cdr:spPr>
        <a:xfrm xmlns:a="http://schemas.openxmlformats.org/drawingml/2006/main">
          <a:off x="2980897" y="3349785"/>
          <a:ext cx="227835" cy="235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835" h="235659">
              <a:moveTo>
                <a:pt x="146622" y="189162"/>
              </a:moveTo>
              <a:lnTo>
                <a:pt x="0" y="37504"/>
              </a:lnTo>
              <a:lnTo>
                <a:pt x="0" y="0"/>
              </a:lnTo>
              <a:lnTo>
                <a:pt x="174373" y="180362"/>
              </a:lnTo>
              <a:lnTo>
                <a:pt x="227834" y="235658"/>
              </a:lnTo>
              <a:lnTo>
                <a:pt x="191575" y="2356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0.75479</cdr:x>
      <cdr:y>0.64722</cdr:y>
    </cdr:from>
    <cdr:to>
      <cdr:x>0.78589</cdr:x>
      <cdr:y>0.67811</cdr:y>
    </cdr:to>
    <cdr:sp macro="" textlink="">
      <cdr:nvSpPr>
        <cdr:cNvPr id="600" name="FracNo 101 StartRow 5749">
          <a:extLst xmlns:a="http://schemas.openxmlformats.org/drawingml/2006/main">
            <a:ext uri="{FF2B5EF4-FFF2-40B4-BE49-F238E27FC236}">
              <a16:creationId xmlns:a16="http://schemas.microsoft.com/office/drawing/2014/main" id="{547CB58A-D361-872D-7F68-F8DFD55B618F}"/>
            </a:ext>
          </a:extLst>
        </cdr:cNvPr>
        <cdr:cNvSpPr/>
      </cdr:nvSpPr>
      <cdr:spPr>
        <a:xfrm xmlns:a="http://schemas.openxmlformats.org/drawingml/2006/main">
          <a:off x="5521411" y="4931852"/>
          <a:ext cx="227560" cy="235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560" h="235375">
              <a:moveTo>
                <a:pt x="77306" y="136661"/>
              </a:moveTo>
              <a:lnTo>
                <a:pt x="0" y="216622"/>
              </a:lnTo>
              <a:lnTo>
                <a:pt x="18130" y="235374"/>
              </a:lnTo>
              <a:lnTo>
                <a:pt x="95435" y="155413"/>
              </a:lnTo>
              <a:lnTo>
                <a:pt x="226888" y="19446"/>
              </a:lnTo>
              <a:lnTo>
                <a:pt x="227559" y="18752"/>
              </a:lnTo>
              <a:lnTo>
                <a:pt x="209430" y="0"/>
              </a:lnTo>
              <a:lnTo>
                <a:pt x="208759" y="6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0.34802</cdr:x>
      <cdr:y>0.51805</cdr:y>
    </cdr:from>
    <cdr:to>
      <cdr:x>0.37756</cdr:x>
      <cdr:y>0.54984</cdr:y>
    </cdr:to>
    <cdr:sp macro="" textlink="">
      <cdr:nvSpPr>
        <cdr:cNvPr id="601" name="FracNo 776 StartRow 5760">
          <a:extLst xmlns:a="http://schemas.openxmlformats.org/drawingml/2006/main">
            <a:ext uri="{FF2B5EF4-FFF2-40B4-BE49-F238E27FC236}">
              <a16:creationId xmlns:a16="http://schemas.microsoft.com/office/drawing/2014/main" id="{16CCA15F-C058-A135-50FB-876537E874FB}"/>
            </a:ext>
          </a:extLst>
        </cdr:cNvPr>
        <cdr:cNvSpPr/>
      </cdr:nvSpPr>
      <cdr:spPr>
        <a:xfrm xmlns:a="http://schemas.openxmlformats.org/drawingml/2006/main">
          <a:off x="2545838" y="3947524"/>
          <a:ext cx="216077" cy="242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077" h="242249">
              <a:moveTo>
                <a:pt x="95564" y="117598"/>
              </a:moveTo>
              <a:lnTo>
                <a:pt x="0" y="18752"/>
              </a:lnTo>
              <a:lnTo>
                <a:pt x="18130" y="0"/>
              </a:lnTo>
              <a:lnTo>
                <a:pt x="106190" y="91085"/>
              </a:lnTo>
              <a:lnTo>
                <a:pt x="201309" y="189471"/>
              </a:lnTo>
              <a:lnTo>
                <a:pt x="216076" y="204744"/>
              </a:lnTo>
              <a:lnTo>
                <a:pt x="216076" y="242248"/>
              </a:lnTo>
              <a:lnTo>
                <a:pt x="198787" y="2243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0.73385</cdr:x>
      <cdr:y>0.19331</cdr:y>
    </cdr:from>
    <cdr:to>
      <cdr:x>0.76439</cdr:x>
      <cdr:y>0.22363</cdr:y>
    </cdr:to>
    <cdr:sp macro="" textlink="">
      <cdr:nvSpPr>
        <cdr:cNvPr id="602" name="FracNo 954 StartRow 5771">
          <a:extLst xmlns:a="http://schemas.openxmlformats.org/drawingml/2006/main">
            <a:ext uri="{FF2B5EF4-FFF2-40B4-BE49-F238E27FC236}">
              <a16:creationId xmlns:a16="http://schemas.microsoft.com/office/drawing/2014/main" id="{EA469DB1-5610-9B7E-001F-37123E0765C5}"/>
            </a:ext>
          </a:extLst>
        </cdr:cNvPr>
        <cdr:cNvSpPr/>
      </cdr:nvSpPr>
      <cdr:spPr>
        <a:xfrm xmlns:a="http://schemas.openxmlformats.org/drawingml/2006/main">
          <a:off x="5368257" y="1472995"/>
          <a:ext cx="223375" cy="231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375" h="231046">
              <a:moveTo>
                <a:pt x="108178" y="74389"/>
              </a:moveTo>
              <a:lnTo>
                <a:pt x="36258" y="0"/>
              </a:lnTo>
              <a:lnTo>
                <a:pt x="0" y="0"/>
              </a:lnTo>
              <a:lnTo>
                <a:pt x="85856" y="88805"/>
              </a:lnTo>
              <a:lnTo>
                <a:pt x="223374" y="231045"/>
              </a:lnTo>
              <a:lnTo>
                <a:pt x="223374" y="1935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0.72874</cdr:x>
      <cdr:y>0.19838</cdr:y>
    </cdr:from>
    <cdr:to>
      <cdr:x>0.75928</cdr:x>
      <cdr:y>0.2287</cdr:y>
    </cdr:to>
    <cdr:sp macro="" textlink="">
      <cdr:nvSpPr>
        <cdr:cNvPr id="603" name="FracNo 971 StartRow 5780">
          <a:extLst xmlns:a="http://schemas.openxmlformats.org/drawingml/2006/main">
            <a:ext uri="{FF2B5EF4-FFF2-40B4-BE49-F238E27FC236}">
              <a16:creationId xmlns:a16="http://schemas.microsoft.com/office/drawing/2014/main" id="{6F48943A-11BD-38AE-BE66-24A997270A00}"/>
            </a:ext>
          </a:extLst>
        </cdr:cNvPr>
        <cdr:cNvSpPr/>
      </cdr:nvSpPr>
      <cdr:spPr>
        <a:xfrm xmlns:a="http://schemas.openxmlformats.org/drawingml/2006/main">
          <a:off x="5330896" y="1511638"/>
          <a:ext cx="223376" cy="231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376" h="231046">
              <a:moveTo>
                <a:pt x="109473" y="150737"/>
              </a:moveTo>
              <a:lnTo>
                <a:pt x="0" y="37504"/>
              </a:lnTo>
              <a:lnTo>
                <a:pt x="0" y="0"/>
              </a:lnTo>
              <a:lnTo>
                <a:pt x="130687" y="135175"/>
              </a:lnTo>
              <a:lnTo>
                <a:pt x="223375" y="231045"/>
              </a:lnTo>
              <a:lnTo>
                <a:pt x="187116" y="2310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0.42418</cdr:x>
      <cdr:y>0.23111</cdr:y>
    </cdr:from>
    <cdr:to>
      <cdr:x>0.45469</cdr:x>
      <cdr:y>0.26141</cdr:y>
    </cdr:to>
    <cdr:sp macro="" textlink="">
      <cdr:nvSpPr>
        <cdr:cNvPr id="604" name="FracNo 1175 StartRow 5789">
          <a:extLst xmlns:a="http://schemas.openxmlformats.org/drawingml/2006/main">
            <a:ext uri="{FF2B5EF4-FFF2-40B4-BE49-F238E27FC236}">
              <a16:creationId xmlns:a16="http://schemas.microsoft.com/office/drawing/2014/main" id="{D95E3E93-A345-70E9-7C59-4ED0C58DB068}"/>
            </a:ext>
          </a:extLst>
        </cdr:cNvPr>
        <cdr:cNvSpPr/>
      </cdr:nvSpPr>
      <cdr:spPr>
        <a:xfrm xmlns:a="http://schemas.openxmlformats.org/drawingml/2006/main">
          <a:off x="3102925" y="1761051"/>
          <a:ext cx="223193" cy="230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193" h="230857">
              <a:moveTo>
                <a:pt x="190496" y="71321"/>
              </a:moveTo>
              <a:lnTo>
                <a:pt x="36259" y="230856"/>
              </a:lnTo>
              <a:lnTo>
                <a:pt x="0" y="230856"/>
              </a:lnTo>
              <a:lnTo>
                <a:pt x="184154" y="40377"/>
              </a:lnTo>
              <a:lnTo>
                <a:pt x="223192" y="0"/>
              </a:lnTo>
              <a:lnTo>
                <a:pt x="22319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0.11881</cdr:x>
      <cdr:y>0.4023</cdr:y>
    </cdr:from>
    <cdr:to>
      <cdr:x>0.14929</cdr:x>
      <cdr:y>0.43256</cdr:y>
    </cdr:to>
    <cdr:sp macro="" textlink="">
      <cdr:nvSpPr>
        <cdr:cNvPr id="605" name="FracNo 739 StartRow 5798">
          <a:extLst xmlns:a="http://schemas.openxmlformats.org/drawingml/2006/main">
            <a:ext uri="{FF2B5EF4-FFF2-40B4-BE49-F238E27FC236}">
              <a16:creationId xmlns:a16="http://schemas.microsoft.com/office/drawing/2014/main" id="{31FE53E0-A423-E85A-E8D6-183A14571F4B}"/>
            </a:ext>
          </a:extLst>
        </cdr:cNvPr>
        <cdr:cNvSpPr/>
      </cdr:nvSpPr>
      <cdr:spPr>
        <a:xfrm xmlns:a="http://schemas.openxmlformats.org/drawingml/2006/main">
          <a:off x="869115" y="3065495"/>
          <a:ext cx="222987" cy="230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987" h="230646">
              <a:moveTo>
                <a:pt x="105303" y="121725"/>
              </a:moveTo>
              <a:lnTo>
                <a:pt x="0" y="230645"/>
              </a:lnTo>
              <a:lnTo>
                <a:pt x="0" y="193141"/>
              </a:lnTo>
              <a:lnTo>
                <a:pt x="88180" y="101932"/>
              </a:lnTo>
              <a:lnTo>
                <a:pt x="186728" y="0"/>
              </a:lnTo>
              <a:lnTo>
                <a:pt x="2229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0.38522</cdr:x>
      <cdr:y>0.89989</cdr:y>
    </cdr:from>
    <cdr:to>
      <cdr:x>0.41564</cdr:x>
      <cdr:y>0.9301</cdr:y>
    </cdr:to>
    <cdr:sp macro="" textlink="">
      <cdr:nvSpPr>
        <cdr:cNvPr id="606" name="FracNo 1050 StartRow 5807">
          <a:extLst xmlns:a="http://schemas.openxmlformats.org/drawingml/2006/main">
            <a:ext uri="{FF2B5EF4-FFF2-40B4-BE49-F238E27FC236}">
              <a16:creationId xmlns:a16="http://schemas.microsoft.com/office/drawing/2014/main" id="{EECBB5AE-B0B4-2DF2-4637-2055A90D0C5B}"/>
            </a:ext>
          </a:extLst>
        </cdr:cNvPr>
        <cdr:cNvSpPr/>
      </cdr:nvSpPr>
      <cdr:spPr>
        <a:xfrm xmlns:a="http://schemas.openxmlformats.org/drawingml/2006/main">
          <a:off x="2817927" y="6857168"/>
          <a:ext cx="222555" cy="230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555" h="230198">
              <a:moveTo>
                <a:pt x="210071" y="217285"/>
              </a:moveTo>
              <a:lnTo>
                <a:pt x="0" y="0"/>
              </a:lnTo>
              <a:lnTo>
                <a:pt x="0" y="37503"/>
              </a:lnTo>
              <a:lnTo>
                <a:pt x="175846" y="219388"/>
              </a:lnTo>
              <a:lnTo>
                <a:pt x="186296" y="230197"/>
              </a:lnTo>
              <a:lnTo>
                <a:pt x="222554" y="2301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0.76034</cdr:x>
      <cdr:y>0.58257</cdr:y>
    </cdr:from>
    <cdr:to>
      <cdr:x>0.79319</cdr:x>
      <cdr:y>0.61027</cdr:y>
    </cdr:to>
    <cdr:sp macro="" textlink="">
      <cdr:nvSpPr>
        <cdr:cNvPr id="607" name="FracNo 1093 StartRow 5816">
          <a:extLst xmlns:a="http://schemas.openxmlformats.org/drawingml/2006/main">
            <a:ext uri="{FF2B5EF4-FFF2-40B4-BE49-F238E27FC236}">
              <a16:creationId xmlns:a16="http://schemas.microsoft.com/office/drawing/2014/main" id="{8E0B2C73-0C3F-5981-284B-76329B3916EE}"/>
            </a:ext>
          </a:extLst>
        </cdr:cNvPr>
        <cdr:cNvSpPr/>
      </cdr:nvSpPr>
      <cdr:spPr>
        <a:xfrm xmlns:a="http://schemas.openxmlformats.org/drawingml/2006/main">
          <a:off x="5562056" y="4439203"/>
          <a:ext cx="240289" cy="211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289" h="211038">
              <a:moveTo>
                <a:pt x="159270" y="46297"/>
              </a:moveTo>
              <a:lnTo>
                <a:pt x="0" y="211037"/>
              </a:lnTo>
              <a:lnTo>
                <a:pt x="36258" y="211037"/>
              </a:lnTo>
              <a:lnTo>
                <a:pt x="195529" y="46297"/>
              </a:lnTo>
              <a:lnTo>
                <a:pt x="240288" y="0"/>
              </a:lnTo>
              <a:lnTo>
                <a:pt x="204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0.7557</cdr:x>
      <cdr:y>0.57305</cdr:y>
    </cdr:from>
    <cdr:to>
      <cdr:x>0.7836</cdr:x>
      <cdr:y>0.60566</cdr:y>
    </cdr:to>
    <cdr:sp macro="" textlink="">
      <cdr:nvSpPr>
        <cdr:cNvPr id="608" name="FracNo 898 StartRow 5825">
          <a:extLst xmlns:a="http://schemas.openxmlformats.org/drawingml/2006/main">
            <a:ext uri="{FF2B5EF4-FFF2-40B4-BE49-F238E27FC236}">
              <a16:creationId xmlns:a16="http://schemas.microsoft.com/office/drawing/2014/main" id="{3BE2BB3E-D861-124A-C895-B1E94ADB7507}"/>
            </a:ext>
          </a:extLst>
        </cdr:cNvPr>
        <cdr:cNvSpPr/>
      </cdr:nvSpPr>
      <cdr:spPr>
        <a:xfrm xmlns:a="http://schemas.openxmlformats.org/drawingml/2006/main">
          <a:off x="5528128" y="4366606"/>
          <a:ext cx="204030" cy="248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030" h="248541">
              <a:moveTo>
                <a:pt x="48782" y="198083"/>
              </a:moveTo>
              <a:lnTo>
                <a:pt x="0" y="248540"/>
              </a:lnTo>
              <a:lnTo>
                <a:pt x="0" y="211037"/>
              </a:lnTo>
              <a:lnTo>
                <a:pt x="48782" y="160579"/>
              </a:lnTo>
              <a:lnTo>
                <a:pt x="204029" y="0"/>
              </a:lnTo>
              <a:lnTo>
                <a:pt x="20402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0.77925</cdr:x>
      <cdr:y>0.59643</cdr:y>
    </cdr:from>
    <cdr:to>
      <cdr:x>0.80714</cdr:x>
      <cdr:y>0.62904</cdr:y>
    </cdr:to>
    <cdr:sp macro="" textlink="">
      <cdr:nvSpPr>
        <cdr:cNvPr id="609" name="FracNo 942 StartRow 5834">
          <a:extLst xmlns:a="http://schemas.openxmlformats.org/drawingml/2006/main">
            <a:ext uri="{FF2B5EF4-FFF2-40B4-BE49-F238E27FC236}">
              <a16:creationId xmlns:a16="http://schemas.microsoft.com/office/drawing/2014/main" id="{C0F88862-BE93-C475-EB62-5052CB02210F}"/>
            </a:ext>
          </a:extLst>
        </cdr:cNvPr>
        <cdr:cNvSpPr/>
      </cdr:nvSpPr>
      <cdr:spPr>
        <a:xfrm xmlns:a="http://schemas.openxmlformats.org/drawingml/2006/main">
          <a:off x="5700374" y="4544768"/>
          <a:ext cx="204031" cy="248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031" h="248540">
              <a:moveTo>
                <a:pt x="175444" y="67071"/>
              </a:moveTo>
              <a:lnTo>
                <a:pt x="0" y="248539"/>
              </a:lnTo>
              <a:lnTo>
                <a:pt x="0" y="211036"/>
              </a:lnTo>
              <a:lnTo>
                <a:pt x="175444" y="29567"/>
              </a:lnTo>
              <a:lnTo>
                <a:pt x="204030" y="0"/>
              </a:lnTo>
              <a:lnTo>
                <a:pt x="204030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0.42463</cdr:x>
      <cdr:y>0.51703</cdr:y>
    </cdr:from>
    <cdr:to>
      <cdr:x>0.45236</cdr:x>
      <cdr:y>0.54949</cdr:y>
    </cdr:to>
    <cdr:sp macro="" textlink="">
      <cdr:nvSpPr>
        <cdr:cNvPr id="610" name="FracNo 1110 StartRow 5843">
          <a:extLst xmlns:a="http://schemas.openxmlformats.org/drawingml/2006/main">
            <a:ext uri="{FF2B5EF4-FFF2-40B4-BE49-F238E27FC236}">
              <a16:creationId xmlns:a16="http://schemas.microsoft.com/office/drawing/2014/main" id="{D92DD417-CCC6-166C-975D-BCA0C1FFFE1B}"/>
            </a:ext>
          </a:extLst>
        </cdr:cNvPr>
        <cdr:cNvSpPr/>
      </cdr:nvSpPr>
      <cdr:spPr>
        <a:xfrm xmlns:a="http://schemas.openxmlformats.org/drawingml/2006/main">
          <a:off x="3106278" y="3939752"/>
          <a:ext cx="202855" cy="247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55" h="247325">
              <a:moveTo>
                <a:pt x="199460" y="41014"/>
              </a:moveTo>
              <a:lnTo>
                <a:pt x="0" y="247324"/>
              </a:lnTo>
              <a:lnTo>
                <a:pt x="0" y="209820"/>
              </a:lnTo>
              <a:lnTo>
                <a:pt x="199460" y="3511"/>
              </a:lnTo>
              <a:lnTo>
                <a:pt x="202854" y="0"/>
              </a:lnTo>
              <a:lnTo>
                <a:pt x="20285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0.91496</cdr:x>
      <cdr:y>0.3606</cdr:y>
    </cdr:from>
    <cdr:to>
      <cdr:x>0.94246</cdr:x>
      <cdr:y>0.39283</cdr:y>
    </cdr:to>
    <cdr:sp macro="" textlink="">
      <cdr:nvSpPr>
        <cdr:cNvPr id="611" name="FracNo 1047 StartRow 5852">
          <a:extLst xmlns:a="http://schemas.openxmlformats.org/drawingml/2006/main">
            <a:ext uri="{FF2B5EF4-FFF2-40B4-BE49-F238E27FC236}">
              <a16:creationId xmlns:a16="http://schemas.microsoft.com/office/drawing/2014/main" id="{67D90C0D-8B3F-3582-2980-45A576A27730}"/>
            </a:ext>
          </a:extLst>
        </cdr:cNvPr>
        <cdr:cNvSpPr/>
      </cdr:nvSpPr>
      <cdr:spPr>
        <a:xfrm xmlns:a="http://schemas.openxmlformats.org/drawingml/2006/main">
          <a:off x="6693090" y="2747743"/>
          <a:ext cx="201218" cy="245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218" h="245631">
              <a:moveTo>
                <a:pt x="177299" y="24739"/>
              </a:moveTo>
              <a:lnTo>
                <a:pt x="163684" y="38821"/>
              </a:lnTo>
              <a:lnTo>
                <a:pt x="0" y="208127"/>
              </a:lnTo>
              <a:lnTo>
                <a:pt x="0" y="245630"/>
              </a:lnTo>
              <a:lnTo>
                <a:pt x="180771" y="58651"/>
              </a:lnTo>
              <a:lnTo>
                <a:pt x="188188" y="50980"/>
              </a:lnTo>
              <a:lnTo>
                <a:pt x="201217" y="37503"/>
              </a:lnTo>
              <a:lnTo>
                <a:pt x="2012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0.31865</cdr:x>
      <cdr:y>0.08544</cdr:y>
    </cdr:from>
    <cdr:to>
      <cdr:x>0.34862</cdr:x>
      <cdr:y>0.11519</cdr:y>
    </cdr:to>
    <cdr:sp macro="" textlink="">
      <cdr:nvSpPr>
        <cdr:cNvPr id="612" name="FracNo 990 StartRow 5863">
          <a:extLst xmlns:a="http://schemas.openxmlformats.org/drawingml/2006/main">
            <a:ext uri="{FF2B5EF4-FFF2-40B4-BE49-F238E27FC236}">
              <a16:creationId xmlns:a16="http://schemas.microsoft.com/office/drawing/2014/main" id="{007179F2-8480-BD8C-5B6D-A5221AF1FB89}"/>
            </a:ext>
          </a:extLst>
        </cdr:cNvPr>
        <cdr:cNvSpPr/>
      </cdr:nvSpPr>
      <cdr:spPr>
        <a:xfrm xmlns:a="http://schemas.openxmlformats.org/drawingml/2006/main">
          <a:off x="2331024" y="651036"/>
          <a:ext cx="219209" cy="226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209" h="226737">
              <a:moveTo>
                <a:pt x="97879" y="87991"/>
              </a:moveTo>
              <a:lnTo>
                <a:pt x="0" y="189232"/>
              </a:lnTo>
              <a:lnTo>
                <a:pt x="0" y="226736"/>
              </a:lnTo>
              <a:lnTo>
                <a:pt x="117278" y="105430"/>
              </a:lnTo>
              <a:lnTo>
                <a:pt x="219208" y="0"/>
              </a:lnTo>
              <a:lnTo>
                <a:pt x="1829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0.33996</cdr:x>
      <cdr:y>0.5773</cdr:y>
    </cdr:from>
    <cdr:to>
      <cdr:x>0.37104</cdr:x>
      <cdr:y>0.60569</cdr:y>
    </cdr:to>
    <cdr:sp macro="" textlink="">
      <cdr:nvSpPr>
        <cdr:cNvPr id="613" name="FracNo 355 StartRow 5872">
          <a:extLst xmlns:a="http://schemas.openxmlformats.org/drawingml/2006/main">
            <a:ext uri="{FF2B5EF4-FFF2-40B4-BE49-F238E27FC236}">
              <a16:creationId xmlns:a16="http://schemas.microsoft.com/office/drawing/2014/main" id="{AB7FADFB-2F91-FEDE-B5B9-D3D99041DC32}"/>
            </a:ext>
          </a:extLst>
        </cdr:cNvPr>
        <cdr:cNvSpPr/>
      </cdr:nvSpPr>
      <cdr:spPr>
        <a:xfrm xmlns:a="http://schemas.openxmlformats.org/drawingml/2006/main">
          <a:off x="2486906" y="4398988"/>
          <a:ext cx="227314" cy="216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314" h="216369">
              <a:moveTo>
                <a:pt x="205462" y="41354"/>
              </a:moveTo>
              <a:lnTo>
                <a:pt x="36259" y="216368"/>
              </a:lnTo>
              <a:lnTo>
                <a:pt x="0" y="216368"/>
              </a:lnTo>
              <a:lnTo>
                <a:pt x="185259" y="24747"/>
              </a:lnTo>
              <a:lnTo>
                <a:pt x="209184" y="0"/>
              </a:lnTo>
              <a:lnTo>
                <a:pt x="2273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0.29897</cdr:x>
      <cdr:y>0.50042</cdr:y>
    </cdr:from>
    <cdr:to>
      <cdr:x>0.32878</cdr:x>
      <cdr:y>0.53001</cdr:y>
    </cdr:to>
    <cdr:sp macro="" textlink="">
      <cdr:nvSpPr>
        <cdr:cNvPr id="614" name="FracNo 1013 StartRow 5881">
          <a:extLst xmlns:a="http://schemas.openxmlformats.org/drawingml/2006/main">
            <a:ext uri="{FF2B5EF4-FFF2-40B4-BE49-F238E27FC236}">
              <a16:creationId xmlns:a16="http://schemas.microsoft.com/office/drawing/2014/main" id="{01E6AA19-E653-CA2B-CF9C-7CB134D08718}"/>
            </a:ext>
          </a:extLst>
        </cdr:cNvPr>
        <cdr:cNvSpPr/>
      </cdr:nvSpPr>
      <cdr:spPr>
        <a:xfrm xmlns:a="http://schemas.openxmlformats.org/drawingml/2006/main">
          <a:off x="2187059" y="3813191"/>
          <a:ext cx="218024" cy="225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024" h="225512">
              <a:moveTo>
                <a:pt x="209558" y="179251"/>
              </a:moveTo>
              <a:lnTo>
                <a:pt x="36258" y="0"/>
              </a:lnTo>
              <a:lnTo>
                <a:pt x="0" y="0"/>
              </a:lnTo>
              <a:lnTo>
                <a:pt x="207870" y="215008"/>
              </a:lnTo>
              <a:lnTo>
                <a:pt x="218023" y="225511"/>
              </a:lnTo>
              <a:lnTo>
                <a:pt x="218023" y="1880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0.32065</cdr:x>
      <cdr:y>0.86744</cdr:y>
    </cdr:from>
    <cdr:to>
      <cdr:x>0.35292</cdr:x>
      <cdr:y>0.89456</cdr:y>
    </cdr:to>
    <cdr:sp macro="" textlink="">
      <cdr:nvSpPr>
        <cdr:cNvPr id="615" name="FracNo 968 StartRow 5890">
          <a:extLst xmlns:a="http://schemas.openxmlformats.org/drawingml/2006/main">
            <a:ext uri="{FF2B5EF4-FFF2-40B4-BE49-F238E27FC236}">
              <a16:creationId xmlns:a16="http://schemas.microsoft.com/office/drawing/2014/main" id="{29BCD6F5-6CB5-3BAC-E937-3BAC9C7FF86A}"/>
            </a:ext>
          </a:extLst>
        </cdr:cNvPr>
        <cdr:cNvSpPr/>
      </cdr:nvSpPr>
      <cdr:spPr>
        <a:xfrm xmlns:a="http://schemas.openxmlformats.org/drawingml/2006/main">
          <a:off x="2345586" y="6609861"/>
          <a:ext cx="236063" cy="206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063" h="206666">
              <a:moveTo>
                <a:pt x="114753" y="87970"/>
              </a:moveTo>
              <a:lnTo>
                <a:pt x="0" y="206665"/>
              </a:lnTo>
              <a:lnTo>
                <a:pt x="36259" y="206665"/>
              </a:lnTo>
              <a:lnTo>
                <a:pt x="151012" y="87970"/>
              </a:lnTo>
              <a:lnTo>
                <a:pt x="236062" y="0"/>
              </a:lnTo>
              <a:lnTo>
                <a:pt x="1998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0.34252</cdr:x>
      <cdr:y>0.22273</cdr:y>
    </cdr:from>
    <cdr:to>
      <cdr:x>0.3723</cdr:x>
      <cdr:y>0.2523</cdr:y>
    </cdr:to>
    <cdr:sp macro="" textlink="">
      <cdr:nvSpPr>
        <cdr:cNvPr id="616" name="FracNo 1208 StartRow 5899">
          <a:extLst xmlns:a="http://schemas.openxmlformats.org/drawingml/2006/main">
            <a:ext uri="{FF2B5EF4-FFF2-40B4-BE49-F238E27FC236}">
              <a16:creationId xmlns:a16="http://schemas.microsoft.com/office/drawing/2014/main" id="{5834CF31-BBBD-31CD-3D1A-EAFAE7B53362}"/>
            </a:ext>
          </a:extLst>
        </cdr:cNvPr>
        <cdr:cNvSpPr/>
      </cdr:nvSpPr>
      <cdr:spPr>
        <a:xfrm xmlns:a="http://schemas.openxmlformats.org/drawingml/2006/main">
          <a:off x="2505602" y="1697214"/>
          <a:ext cx="217817" cy="225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817" h="225298">
              <a:moveTo>
                <a:pt x="125108" y="95892"/>
              </a:moveTo>
              <a:lnTo>
                <a:pt x="0" y="225297"/>
              </a:lnTo>
              <a:lnTo>
                <a:pt x="36259" y="225297"/>
              </a:lnTo>
              <a:lnTo>
                <a:pt x="140541" y="117433"/>
              </a:lnTo>
              <a:lnTo>
                <a:pt x="217816" y="37504"/>
              </a:lnTo>
              <a:lnTo>
                <a:pt x="217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0.35601</cdr:x>
      <cdr:y>0.23613</cdr:y>
    </cdr:from>
    <cdr:to>
      <cdr:x>0.38579</cdr:x>
      <cdr:y>0.2657</cdr:y>
    </cdr:to>
    <cdr:sp macro="" textlink="">
      <cdr:nvSpPr>
        <cdr:cNvPr id="617" name="FracNo 1142 StartRow 5908">
          <a:extLst xmlns:a="http://schemas.openxmlformats.org/drawingml/2006/main">
            <a:ext uri="{FF2B5EF4-FFF2-40B4-BE49-F238E27FC236}">
              <a16:creationId xmlns:a16="http://schemas.microsoft.com/office/drawing/2014/main" id="{85DBE17B-6DC7-C977-C7C2-93D20639DAE2}"/>
            </a:ext>
          </a:extLst>
        </cdr:cNvPr>
        <cdr:cNvSpPr/>
      </cdr:nvSpPr>
      <cdr:spPr>
        <a:xfrm xmlns:a="http://schemas.openxmlformats.org/drawingml/2006/main">
          <a:off x="2604298" y="1799299"/>
          <a:ext cx="217818" cy="225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818" h="225298">
              <a:moveTo>
                <a:pt x="173422" y="45920"/>
              </a:moveTo>
              <a:lnTo>
                <a:pt x="149515" y="70648"/>
              </a:lnTo>
              <a:lnTo>
                <a:pt x="0" y="225297"/>
              </a:lnTo>
              <a:lnTo>
                <a:pt x="0" y="187793"/>
              </a:lnTo>
              <a:lnTo>
                <a:pt x="133662" y="49541"/>
              </a:lnTo>
              <a:lnTo>
                <a:pt x="150427" y="32201"/>
              </a:lnTo>
              <a:lnTo>
                <a:pt x="181558" y="0"/>
              </a:lnTo>
              <a:lnTo>
                <a:pt x="2178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0.70267</cdr:x>
      <cdr:y>0.17019</cdr:y>
    </cdr:from>
    <cdr:to>
      <cdr:x>0.73362</cdr:x>
      <cdr:y>0.19846</cdr:y>
    </cdr:to>
    <cdr:sp macro="" textlink="">
      <cdr:nvSpPr>
        <cdr:cNvPr id="618" name="FracNo 887 StartRow 5919">
          <a:extLst xmlns:a="http://schemas.openxmlformats.org/drawingml/2006/main">
            <a:ext uri="{FF2B5EF4-FFF2-40B4-BE49-F238E27FC236}">
              <a16:creationId xmlns:a16="http://schemas.microsoft.com/office/drawing/2014/main" id="{51F9D40B-EA9E-2E9E-732C-6811C62EFD24}"/>
            </a:ext>
          </a:extLst>
        </cdr:cNvPr>
        <cdr:cNvSpPr/>
      </cdr:nvSpPr>
      <cdr:spPr>
        <a:xfrm xmlns:a="http://schemas.openxmlformats.org/drawingml/2006/main">
          <a:off x="5140136" y="1296840"/>
          <a:ext cx="226408" cy="215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408" h="215432">
              <a:moveTo>
                <a:pt x="81027" y="65058"/>
              </a:moveTo>
              <a:lnTo>
                <a:pt x="18129" y="0"/>
              </a:lnTo>
              <a:lnTo>
                <a:pt x="0" y="18752"/>
              </a:lnTo>
              <a:lnTo>
                <a:pt x="57423" y="78147"/>
              </a:lnTo>
              <a:lnTo>
                <a:pt x="190149" y="215431"/>
              </a:lnTo>
              <a:lnTo>
                <a:pt x="226407" y="2154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0.76912</cdr:x>
      <cdr:y>0.26119</cdr:y>
    </cdr:from>
    <cdr:to>
      <cdr:x>0.79875</cdr:x>
      <cdr:y>0.29062</cdr:y>
    </cdr:to>
    <cdr:sp macro="" textlink="">
      <cdr:nvSpPr>
        <cdr:cNvPr id="619" name="FracNo 886 StartRow 5928">
          <a:extLst xmlns:a="http://schemas.openxmlformats.org/drawingml/2006/main">
            <a:ext uri="{FF2B5EF4-FFF2-40B4-BE49-F238E27FC236}">
              <a16:creationId xmlns:a16="http://schemas.microsoft.com/office/drawing/2014/main" id="{4DEE22E8-7B6F-63E5-9A76-9698A6ADA2F9}"/>
            </a:ext>
          </a:extLst>
        </cdr:cNvPr>
        <cdr:cNvSpPr/>
      </cdr:nvSpPr>
      <cdr:spPr>
        <a:xfrm xmlns:a="http://schemas.openxmlformats.org/drawingml/2006/main">
          <a:off x="5626264" y="1990283"/>
          <a:ext cx="216761" cy="224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761" h="224205">
              <a:moveTo>
                <a:pt x="132388" y="49765"/>
              </a:moveTo>
              <a:lnTo>
                <a:pt x="0" y="186700"/>
              </a:lnTo>
              <a:lnTo>
                <a:pt x="0" y="224204"/>
              </a:lnTo>
              <a:lnTo>
                <a:pt x="158982" y="59762"/>
              </a:lnTo>
              <a:lnTo>
                <a:pt x="216760" y="0"/>
              </a:lnTo>
              <a:lnTo>
                <a:pt x="180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0.78127</cdr:x>
      <cdr:y>0.27325</cdr:y>
    </cdr:from>
    <cdr:to>
      <cdr:x>0.8109</cdr:x>
      <cdr:y>0.30268</cdr:y>
    </cdr:to>
    <cdr:sp macro="" textlink="">
      <cdr:nvSpPr>
        <cdr:cNvPr id="620" name="FracNo 872 StartRow 5937">
          <a:extLst xmlns:a="http://schemas.openxmlformats.org/drawingml/2006/main">
            <a:ext uri="{FF2B5EF4-FFF2-40B4-BE49-F238E27FC236}">
              <a16:creationId xmlns:a16="http://schemas.microsoft.com/office/drawing/2014/main" id="{F645DD3F-E677-8D0A-A378-0B70717588A4}"/>
            </a:ext>
          </a:extLst>
        </cdr:cNvPr>
        <cdr:cNvSpPr/>
      </cdr:nvSpPr>
      <cdr:spPr>
        <a:xfrm xmlns:a="http://schemas.openxmlformats.org/drawingml/2006/main">
          <a:off x="5715122" y="2082192"/>
          <a:ext cx="216761" cy="224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761" h="224205">
              <a:moveTo>
                <a:pt x="143068" y="113726"/>
              </a:moveTo>
              <a:lnTo>
                <a:pt x="36258" y="224204"/>
              </a:lnTo>
              <a:lnTo>
                <a:pt x="0" y="224204"/>
              </a:lnTo>
              <a:lnTo>
                <a:pt x="128266" y="91533"/>
              </a:lnTo>
              <a:lnTo>
                <a:pt x="216760" y="0"/>
              </a:lnTo>
              <a:lnTo>
                <a:pt x="21676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0.77712</cdr:x>
      <cdr:y>0.19189</cdr:y>
    </cdr:from>
    <cdr:to>
      <cdr:x>0.80795</cdr:x>
      <cdr:y>0.22005</cdr:y>
    </cdr:to>
    <cdr:sp macro="" textlink="">
      <cdr:nvSpPr>
        <cdr:cNvPr id="621" name="FracNo 553 StartRow 5946">
          <a:extLst xmlns:a="http://schemas.openxmlformats.org/drawingml/2006/main">
            <a:ext uri="{FF2B5EF4-FFF2-40B4-BE49-F238E27FC236}">
              <a16:creationId xmlns:a16="http://schemas.microsoft.com/office/drawing/2014/main" id="{891A879A-64B0-20D3-405D-9B6ABF0A1415}"/>
            </a:ext>
          </a:extLst>
        </cdr:cNvPr>
        <cdr:cNvSpPr/>
      </cdr:nvSpPr>
      <cdr:spPr>
        <a:xfrm xmlns:a="http://schemas.openxmlformats.org/drawingml/2006/main">
          <a:off x="5684752" y="1462212"/>
          <a:ext cx="225573" cy="214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573" h="214567">
              <a:moveTo>
                <a:pt x="117280" y="140059"/>
              </a:moveTo>
              <a:lnTo>
                <a:pt x="0" y="18751"/>
              </a:lnTo>
              <a:lnTo>
                <a:pt x="18129" y="0"/>
              </a:lnTo>
              <a:lnTo>
                <a:pt x="146641" y="132924"/>
              </a:lnTo>
              <a:lnTo>
                <a:pt x="225572" y="214566"/>
              </a:lnTo>
              <a:lnTo>
                <a:pt x="189313" y="2145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0.25457</cdr:x>
      <cdr:y>0.34068</cdr:y>
    </cdr:from>
    <cdr:to>
      <cdr:x>0.28397</cdr:x>
      <cdr:y>0.36988</cdr:y>
    </cdr:to>
    <cdr:sp macro="" textlink="">
      <cdr:nvSpPr>
        <cdr:cNvPr id="622" name="FracNo 991 StartRow 5955">
          <a:extLst xmlns:a="http://schemas.openxmlformats.org/drawingml/2006/main">
            <a:ext uri="{FF2B5EF4-FFF2-40B4-BE49-F238E27FC236}">
              <a16:creationId xmlns:a16="http://schemas.microsoft.com/office/drawing/2014/main" id="{546C1B33-3A67-0337-BA89-653F6562CC70}"/>
            </a:ext>
          </a:extLst>
        </cdr:cNvPr>
        <cdr:cNvSpPr/>
      </cdr:nvSpPr>
      <cdr:spPr>
        <a:xfrm xmlns:a="http://schemas.openxmlformats.org/drawingml/2006/main">
          <a:off x="1862225" y="2595994"/>
          <a:ext cx="215098" cy="222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098" h="222485">
              <a:moveTo>
                <a:pt x="156529" y="161904"/>
              </a:moveTo>
              <a:lnTo>
                <a:pt x="0" y="0"/>
              </a:lnTo>
              <a:lnTo>
                <a:pt x="0" y="37504"/>
              </a:lnTo>
              <a:lnTo>
                <a:pt x="132746" y="174809"/>
              </a:lnTo>
              <a:lnTo>
                <a:pt x="161255" y="204296"/>
              </a:lnTo>
              <a:lnTo>
                <a:pt x="178839" y="222484"/>
              </a:lnTo>
              <a:lnTo>
                <a:pt x="215097" y="222484"/>
              </a:lnTo>
              <a:lnTo>
                <a:pt x="190145" y="1966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0.91066</cdr:x>
      <cdr:y>0.65139</cdr:y>
    </cdr:from>
    <cdr:to>
      <cdr:x>0.93994</cdr:x>
      <cdr:y>0.68046</cdr:y>
    </cdr:to>
    <cdr:sp macro="" textlink="">
      <cdr:nvSpPr>
        <cdr:cNvPr id="623" name="FracNo 1058 StartRow 5966">
          <a:extLst xmlns:a="http://schemas.openxmlformats.org/drawingml/2006/main">
            <a:ext uri="{FF2B5EF4-FFF2-40B4-BE49-F238E27FC236}">
              <a16:creationId xmlns:a16="http://schemas.microsoft.com/office/drawing/2014/main" id="{7F530979-2E03-F7C4-E3CE-4A9F4DBD9652}"/>
            </a:ext>
          </a:extLst>
        </cdr:cNvPr>
        <cdr:cNvSpPr/>
      </cdr:nvSpPr>
      <cdr:spPr>
        <a:xfrm xmlns:a="http://schemas.openxmlformats.org/drawingml/2006/main">
          <a:off x="6661689" y="4963559"/>
          <a:ext cx="214157" cy="221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157" h="221513">
              <a:moveTo>
                <a:pt x="163678" y="206804"/>
              </a:moveTo>
              <a:lnTo>
                <a:pt x="0" y="37504"/>
              </a:lnTo>
              <a:lnTo>
                <a:pt x="0" y="0"/>
              </a:lnTo>
              <a:lnTo>
                <a:pt x="197039" y="203806"/>
              </a:lnTo>
              <a:lnTo>
                <a:pt x="214156" y="221512"/>
              </a:lnTo>
              <a:lnTo>
                <a:pt x="177898" y="2215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0.87804</cdr:x>
      <cdr:y>0.86661</cdr:y>
    </cdr:from>
    <cdr:to>
      <cdr:x>0.90723</cdr:x>
      <cdr:y>0.89559</cdr:y>
    </cdr:to>
    <cdr:sp macro="" textlink="">
      <cdr:nvSpPr>
        <cdr:cNvPr id="624" name="FracNo 949 StartRow 5975">
          <a:extLst xmlns:a="http://schemas.openxmlformats.org/drawingml/2006/main">
            <a:ext uri="{FF2B5EF4-FFF2-40B4-BE49-F238E27FC236}">
              <a16:creationId xmlns:a16="http://schemas.microsoft.com/office/drawing/2014/main" id="{C6E024DC-F7FE-2954-6943-0AA375EC1BF7}"/>
            </a:ext>
          </a:extLst>
        </cdr:cNvPr>
        <cdr:cNvSpPr/>
      </cdr:nvSpPr>
      <cdr:spPr>
        <a:xfrm xmlns:a="http://schemas.openxmlformats.org/drawingml/2006/main">
          <a:off x="6423052" y="6603560"/>
          <a:ext cx="213506" cy="22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506" h="220838">
              <a:moveTo>
                <a:pt x="145370" y="112858"/>
              </a:moveTo>
              <a:lnTo>
                <a:pt x="36258" y="0"/>
              </a:lnTo>
              <a:lnTo>
                <a:pt x="0" y="0"/>
              </a:lnTo>
              <a:lnTo>
                <a:pt x="131432" y="135945"/>
              </a:lnTo>
              <a:lnTo>
                <a:pt x="213505" y="220837"/>
              </a:lnTo>
              <a:lnTo>
                <a:pt x="213505" y="1833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0.31144</cdr:x>
      <cdr:y>0.38623</cdr:y>
    </cdr:from>
    <cdr:to>
      <cdr:x>0.34029</cdr:x>
      <cdr:y>0.41487</cdr:y>
    </cdr:to>
    <cdr:sp macro="" textlink="">
      <cdr:nvSpPr>
        <cdr:cNvPr id="625" name="FracNo 343 StartRow 5984">
          <a:extLst xmlns:a="http://schemas.openxmlformats.org/drawingml/2006/main">
            <a:ext uri="{FF2B5EF4-FFF2-40B4-BE49-F238E27FC236}">
              <a16:creationId xmlns:a16="http://schemas.microsoft.com/office/drawing/2014/main" id="{E7ADAB74-23DB-4634-F8A8-A7EBF1E15B7D}"/>
            </a:ext>
          </a:extLst>
        </cdr:cNvPr>
        <cdr:cNvSpPr/>
      </cdr:nvSpPr>
      <cdr:spPr>
        <a:xfrm xmlns:a="http://schemas.openxmlformats.org/drawingml/2006/main">
          <a:off x="2278274" y="2943036"/>
          <a:ext cx="211034" cy="218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034" h="218281">
              <a:moveTo>
                <a:pt x="132492" y="118741"/>
              </a:moveTo>
              <a:lnTo>
                <a:pt x="36259" y="218280"/>
              </a:lnTo>
              <a:lnTo>
                <a:pt x="0" y="218280"/>
              </a:lnTo>
              <a:lnTo>
                <a:pt x="116198" y="98091"/>
              </a:lnTo>
              <a:lnTo>
                <a:pt x="211033" y="0"/>
              </a:lnTo>
              <a:lnTo>
                <a:pt x="21103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0.63634</cdr:x>
      <cdr:y>0.85877</cdr:y>
    </cdr:from>
    <cdr:to>
      <cdr:x>0.66635</cdr:x>
      <cdr:y>0.88611</cdr:y>
    </cdr:to>
    <cdr:sp macro="" textlink="">
      <cdr:nvSpPr>
        <cdr:cNvPr id="626" name="FracNo 421 StartRow 5993">
          <a:extLst xmlns:a="http://schemas.openxmlformats.org/drawingml/2006/main">
            <a:ext uri="{FF2B5EF4-FFF2-40B4-BE49-F238E27FC236}">
              <a16:creationId xmlns:a16="http://schemas.microsoft.com/office/drawing/2014/main" id="{448AB5E0-06A4-DE34-55A6-1ABA5EF351D1}"/>
            </a:ext>
          </a:extLst>
        </cdr:cNvPr>
        <cdr:cNvSpPr/>
      </cdr:nvSpPr>
      <cdr:spPr>
        <a:xfrm xmlns:a="http://schemas.openxmlformats.org/drawingml/2006/main">
          <a:off x="4654990" y="6543846"/>
          <a:ext cx="219493" cy="2082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493" h="208279">
              <a:moveTo>
                <a:pt x="42776" y="145281"/>
              </a:moveTo>
              <a:lnTo>
                <a:pt x="0" y="189526"/>
              </a:lnTo>
              <a:lnTo>
                <a:pt x="18129" y="208278"/>
              </a:lnTo>
              <a:lnTo>
                <a:pt x="64826" y="159977"/>
              </a:lnTo>
              <a:lnTo>
                <a:pt x="181009" y="39805"/>
              </a:lnTo>
              <a:lnTo>
                <a:pt x="219492" y="0"/>
              </a:lnTo>
              <a:lnTo>
                <a:pt x="183233" y="0"/>
              </a:lnTo>
              <a:lnTo>
                <a:pt x="149205" y="351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0.37626</cdr:x>
      <cdr:y>0.39682</cdr:y>
    </cdr:from>
    <cdr:to>
      <cdr:x>0.40369</cdr:x>
      <cdr:y>0.42652</cdr:y>
    </cdr:to>
    <cdr:sp macro="" textlink="">
      <cdr:nvSpPr>
        <cdr:cNvPr id="627" name="FracNo 669 StartRow 6004">
          <a:extLst xmlns:a="http://schemas.openxmlformats.org/drawingml/2006/main">
            <a:ext uri="{FF2B5EF4-FFF2-40B4-BE49-F238E27FC236}">
              <a16:creationId xmlns:a16="http://schemas.microsoft.com/office/drawing/2014/main" id="{CDA9CBAA-C884-86A5-930D-7D66FB632F5D}"/>
            </a:ext>
          </a:extLst>
        </cdr:cNvPr>
        <cdr:cNvSpPr/>
      </cdr:nvSpPr>
      <cdr:spPr>
        <a:xfrm xmlns:a="http://schemas.openxmlformats.org/drawingml/2006/main">
          <a:off x="2752437" y="3023788"/>
          <a:ext cx="200665" cy="226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665" h="226308">
              <a:moveTo>
                <a:pt x="32084" y="174369"/>
              </a:moveTo>
              <a:lnTo>
                <a:pt x="0" y="207555"/>
              </a:lnTo>
              <a:lnTo>
                <a:pt x="18129" y="226307"/>
              </a:lnTo>
              <a:lnTo>
                <a:pt x="47314" y="196119"/>
              </a:lnTo>
              <a:lnTo>
                <a:pt x="200664" y="37503"/>
              </a:lnTo>
              <a:lnTo>
                <a:pt x="2006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0.62976</cdr:x>
      <cdr:y>0.36946</cdr:y>
    </cdr:from>
    <cdr:to>
      <cdr:x>0.65827</cdr:x>
      <cdr:y>0.39777</cdr:y>
    </cdr:to>
    <cdr:sp macro="" textlink="">
      <cdr:nvSpPr>
        <cdr:cNvPr id="628" name="FracNo 1024 StartRow 6013">
          <a:extLst xmlns:a="http://schemas.openxmlformats.org/drawingml/2006/main">
            <a:ext uri="{FF2B5EF4-FFF2-40B4-BE49-F238E27FC236}">
              <a16:creationId xmlns:a16="http://schemas.microsoft.com/office/drawing/2014/main" id="{27F90E04-441D-7808-2177-44EED00443D3}"/>
            </a:ext>
          </a:extLst>
        </cdr:cNvPr>
        <cdr:cNvSpPr/>
      </cdr:nvSpPr>
      <cdr:spPr>
        <a:xfrm xmlns:a="http://schemas.openxmlformats.org/drawingml/2006/main">
          <a:off x="4606794" y="2815284"/>
          <a:ext cx="208574" cy="215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574" h="215736">
              <a:moveTo>
                <a:pt x="47924" y="49570"/>
              </a:moveTo>
              <a:lnTo>
                <a:pt x="0" y="0"/>
              </a:lnTo>
              <a:lnTo>
                <a:pt x="36258" y="0"/>
              </a:lnTo>
              <a:lnTo>
                <a:pt x="75852" y="40953"/>
              </a:lnTo>
              <a:lnTo>
                <a:pt x="208573" y="178232"/>
              </a:lnTo>
              <a:lnTo>
                <a:pt x="208573" y="2157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0.73635</cdr:x>
      <cdr:y>0.51938</cdr:y>
    </cdr:from>
    <cdr:to>
      <cdr:x>0.76206</cdr:x>
      <cdr:y>0.54984</cdr:y>
    </cdr:to>
    <cdr:sp macro="" textlink="">
      <cdr:nvSpPr>
        <cdr:cNvPr id="629" name="FracNo 588 StartRow 6022">
          <a:extLst xmlns:a="http://schemas.openxmlformats.org/drawingml/2006/main">
            <a:ext uri="{FF2B5EF4-FFF2-40B4-BE49-F238E27FC236}">
              <a16:creationId xmlns:a16="http://schemas.microsoft.com/office/drawing/2014/main" id="{F2A80522-E6B0-95C7-2C05-0F6A6C6DFB34}"/>
            </a:ext>
          </a:extLst>
        </cdr:cNvPr>
        <cdr:cNvSpPr/>
      </cdr:nvSpPr>
      <cdr:spPr>
        <a:xfrm xmlns:a="http://schemas.openxmlformats.org/drawingml/2006/main">
          <a:off x="5386533" y="3957678"/>
          <a:ext cx="188124" cy="232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124" h="232089">
              <a:moveTo>
                <a:pt x="56218" y="173939"/>
              </a:moveTo>
              <a:lnTo>
                <a:pt x="0" y="232088"/>
              </a:lnTo>
              <a:lnTo>
                <a:pt x="0" y="194584"/>
              </a:lnTo>
              <a:lnTo>
                <a:pt x="56218" y="136435"/>
              </a:lnTo>
              <a:lnTo>
                <a:pt x="188123" y="0"/>
              </a:lnTo>
              <a:lnTo>
                <a:pt x="18812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0.91432</cdr:x>
      <cdr:y>0.64776</cdr:y>
    </cdr:from>
    <cdr:to>
      <cdr:x>0.94246</cdr:x>
      <cdr:y>0.6757</cdr:y>
    </cdr:to>
    <cdr:sp macro="" textlink="">
      <cdr:nvSpPr>
        <cdr:cNvPr id="630" name="FracNo 986 StartRow 6031">
          <a:extLst xmlns:a="http://schemas.openxmlformats.org/drawingml/2006/main">
            <a:ext uri="{FF2B5EF4-FFF2-40B4-BE49-F238E27FC236}">
              <a16:creationId xmlns:a16="http://schemas.microsoft.com/office/drawing/2014/main" id="{C53F4780-D0F5-327B-B71E-D031318E3560}"/>
            </a:ext>
          </a:extLst>
        </cdr:cNvPr>
        <cdr:cNvSpPr/>
      </cdr:nvSpPr>
      <cdr:spPr>
        <a:xfrm xmlns:a="http://schemas.openxmlformats.org/drawingml/2006/main">
          <a:off x="6688428" y="4935901"/>
          <a:ext cx="205880" cy="212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880" h="212950">
              <a:moveTo>
                <a:pt x="181277" y="149999"/>
              </a:moveTo>
              <a:lnTo>
                <a:pt x="41751" y="5681"/>
              </a:lnTo>
              <a:lnTo>
                <a:pt x="36259" y="0"/>
              </a:lnTo>
              <a:lnTo>
                <a:pt x="0" y="0"/>
              </a:lnTo>
              <a:lnTo>
                <a:pt x="6149" y="6361"/>
              </a:lnTo>
              <a:lnTo>
                <a:pt x="175941" y="181983"/>
              </a:lnTo>
              <a:lnTo>
                <a:pt x="205879" y="212949"/>
              </a:lnTo>
              <a:lnTo>
                <a:pt x="205879" y="1754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0.85647</cdr:x>
      <cdr:y>0.35777</cdr:y>
    </cdr:from>
    <cdr:to>
      <cdr:x>0.8846</cdr:x>
      <cdr:y>0.3857</cdr:y>
    </cdr:to>
    <cdr:sp macro="" textlink="">
      <cdr:nvSpPr>
        <cdr:cNvPr id="631" name="FracNo 1163 StartRow 6042">
          <a:extLst xmlns:a="http://schemas.openxmlformats.org/drawingml/2006/main">
            <a:ext uri="{FF2B5EF4-FFF2-40B4-BE49-F238E27FC236}">
              <a16:creationId xmlns:a16="http://schemas.microsoft.com/office/drawing/2014/main" id="{34B39A2D-43D4-C267-F681-4780D2BB9B66}"/>
            </a:ext>
          </a:extLst>
        </cdr:cNvPr>
        <cdr:cNvSpPr/>
      </cdr:nvSpPr>
      <cdr:spPr>
        <a:xfrm xmlns:a="http://schemas.openxmlformats.org/drawingml/2006/main">
          <a:off x="6265218" y="2726185"/>
          <a:ext cx="205815" cy="212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815" h="212883">
              <a:moveTo>
                <a:pt x="25079" y="186942"/>
              </a:moveTo>
              <a:lnTo>
                <a:pt x="0" y="212882"/>
              </a:lnTo>
              <a:lnTo>
                <a:pt x="0" y="175378"/>
              </a:lnTo>
              <a:lnTo>
                <a:pt x="19694" y="155009"/>
              </a:lnTo>
              <a:lnTo>
                <a:pt x="105322" y="66439"/>
              </a:lnTo>
              <a:lnTo>
                <a:pt x="169555" y="0"/>
              </a:lnTo>
              <a:lnTo>
                <a:pt x="205814" y="0"/>
              </a:lnTo>
              <a:lnTo>
                <a:pt x="134127" y="741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0.65417</cdr:x>
      <cdr:y>0.70335</cdr:y>
    </cdr:from>
    <cdr:to>
      <cdr:x>0.68354</cdr:x>
      <cdr:y>0.73004</cdr:y>
    </cdr:to>
    <cdr:sp macro="" textlink="">
      <cdr:nvSpPr>
        <cdr:cNvPr id="632" name="FracNo 837 StartRow 6053">
          <a:extLst xmlns:a="http://schemas.openxmlformats.org/drawingml/2006/main">
            <a:ext uri="{FF2B5EF4-FFF2-40B4-BE49-F238E27FC236}">
              <a16:creationId xmlns:a16="http://schemas.microsoft.com/office/drawing/2014/main" id="{71630222-3E6C-0B13-E0DB-273B9DC8CA34}"/>
            </a:ext>
          </a:extLst>
        </cdr:cNvPr>
        <cdr:cNvSpPr/>
      </cdr:nvSpPr>
      <cdr:spPr>
        <a:xfrm xmlns:a="http://schemas.openxmlformats.org/drawingml/2006/main">
          <a:off x="4785415" y="5359501"/>
          <a:ext cx="214789" cy="203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789" h="203412">
              <a:moveTo>
                <a:pt x="180407" y="54313"/>
              </a:moveTo>
              <a:lnTo>
                <a:pt x="51821" y="187315"/>
              </a:lnTo>
              <a:lnTo>
                <a:pt x="36259" y="203411"/>
              </a:lnTo>
              <a:lnTo>
                <a:pt x="0" y="203411"/>
              </a:lnTo>
              <a:lnTo>
                <a:pt x="17543" y="185266"/>
              </a:lnTo>
              <a:lnTo>
                <a:pt x="158871" y="39085"/>
              </a:lnTo>
              <a:lnTo>
                <a:pt x="196658" y="0"/>
              </a:lnTo>
              <a:lnTo>
                <a:pt x="21478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0.91367</cdr:x>
      <cdr:y>0.5836</cdr:y>
    </cdr:from>
    <cdr:to>
      <cdr:x>0.94171</cdr:x>
      <cdr:y>0.61144</cdr:y>
    </cdr:to>
    <cdr:sp macro="" textlink="">
      <cdr:nvSpPr>
        <cdr:cNvPr id="633" name="FracNo 993 StartRow 6064">
          <a:extLst xmlns:a="http://schemas.openxmlformats.org/drawingml/2006/main">
            <a:ext uri="{FF2B5EF4-FFF2-40B4-BE49-F238E27FC236}">
              <a16:creationId xmlns:a16="http://schemas.microsoft.com/office/drawing/2014/main" id="{A8B676BE-EC55-AD8C-2AB8-871DB1BB7311}"/>
            </a:ext>
          </a:extLst>
        </cdr:cNvPr>
        <cdr:cNvSpPr/>
      </cdr:nvSpPr>
      <cdr:spPr>
        <a:xfrm xmlns:a="http://schemas.openxmlformats.org/drawingml/2006/main">
          <a:off x="6683690" y="4447051"/>
          <a:ext cx="205094" cy="212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094" h="212137">
              <a:moveTo>
                <a:pt x="142749" y="185155"/>
              </a:moveTo>
              <a:lnTo>
                <a:pt x="0" y="37504"/>
              </a:lnTo>
              <a:lnTo>
                <a:pt x="0" y="0"/>
              </a:lnTo>
              <a:lnTo>
                <a:pt x="173405" y="179360"/>
              </a:lnTo>
              <a:lnTo>
                <a:pt x="205093" y="212136"/>
              </a:lnTo>
              <a:lnTo>
                <a:pt x="168835" y="212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0.78672</cdr:y>
    </cdr:from>
    <cdr:to>
      <cdr:x>0.11858</cdr:x>
      <cdr:y>0.81575</cdr:y>
    </cdr:to>
    <cdr:sp macro="" textlink="">
      <cdr:nvSpPr>
        <cdr:cNvPr id="634" name="FracNo 820 StartRow 6073">
          <a:extLst xmlns:a="http://schemas.openxmlformats.org/drawingml/2006/main">
            <a:ext uri="{FF2B5EF4-FFF2-40B4-BE49-F238E27FC236}">
              <a16:creationId xmlns:a16="http://schemas.microsoft.com/office/drawing/2014/main" id="{0C0493E7-CA79-3CC4-294C-97F0C080A598}"/>
            </a:ext>
          </a:extLst>
        </cdr:cNvPr>
        <cdr:cNvSpPr/>
      </cdr:nvSpPr>
      <cdr:spPr>
        <a:xfrm xmlns:a="http://schemas.openxmlformats.org/drawingml/2006/main">
          <a:off x="671676" y="5994791"/>
          <a:ext cx="195770" cy="221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770" h="221245">
              <a:moveTo>
                <a:pt x="93265" y="96469"/>
              </a:moveTo>
              <a:lnTo>
                <a:pt x="0" y="0"/>
              </a:lnTo>
              <a:lnTo>
                <a:pt x="0" y="37504"/>
              </a:lnTo>
              <a:lnTo>
                <a:pt x="84629" y="125039"/>
              </a:lnTo>
              <a:lnTo>
                <a:pt x="177639" y="221244"/>
              </a:lnTo>
              <a:lnTo>
                <a:pt x="195769" y="2024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0.36214</cdr:x>
      <cdr:y>0.38743</cdr:y>
    </cdr:from>
    <cdr:to>
      <cdr:x>0.39012</cdr:x>
      <cdr:y>0.41522</cdr:y>
    </cdr:to>
    <cdr:sp macro="" textlink="">
      <cdr:nvSpPr>
        <cdr:cNvPr id="635" name="FracNo 1224 StartRow 6082">
          <a:extLst xmlns:a="http://schemas.openxmlformats.org/drawingml/2006/main">
            <a:ext uri="{FF2B5EF4-FFF2-40B4-BE49-F238E27FC236}">
              <a16:creationId xmlns:a16="http://schemas.microsoft.com/office/drawing/2014/main" id="{67C044D2-FA4A-8C7B-9240-1CBF98B844A4}"/>
            </a:ext>
          </a:extLst>
        </cdr:cNvPr>
        <cdr:cNvSpPr/>
      </cdr:nvSpPr>
      <cdr:spPr>
        <a:xfrm xmlns:a="http://schemas.openxmlformats.org/drawingml/2006/main">
          <a:off x="2649141" y="2952253"/>
          <a:ext cx="204690" cy="211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690" h="211719">
              <a:moveTo>
                <a:pt x="100685" y="141646"/>
              </a:moveTo>
              <a:lnTo>
                <a:pt x="88785" y="129337"/>
              </a:lnTo>
              <a:lnTo>
                <a:pt x="0" y="37503"/>
              </a:lnTo>
              <a:lnTo>
                <a:pt x="0" y="0"/>
              </a:lnTo>
              <a:lnTo>
                <a:pt x="104706" y="108301"/>
              </a:lnTo>
              <a:lnTo>
                <a:pt x="119644" y="123753"/>
              </a:lnTo>
              <a:lnTo>
                <a:pt x="204689" y="211718"/>
              </a:lnTo>
              <a:lnTo>
                <a:pt x="168431" y="2117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0.26233</cdr:x>
      <cdr:y>0.4877</cdr:y>
    </cdr:from>
    <cdr:to>
      <cdr:x>0.29016</cdr:x>
      <cdr:y>0.51534</cdr:y>
    </cdr:to>
    <cdr:sp macro="" textlink="">
      <cdr:nvSpPr>
        <cdr:cNvPr id="636" name="FracNo 344 StartRow 6093">
          <a:extLst xmlns:a="http://schemas.openxmlformats.org/drawingml/2006/main">
            <a:ext uri="{FF2B5EF4-FFF2-40B4-BE49-F238E27FC236}">
              <a16:creationId xmlns:a16="http://schemas.microsoft.com/office/drawing/2014/main" id="{32C194EA-2B69-6E9C-7587-4CD13A4ADE43}"/>
            </a:ext>
          </a:extLst>
        </cdr:cNvPr>
        <cdr:cNvSpPr/>
      </cdr:nvSpPr>
      <cdr:spPr>
        <a:xfrm xmlns:a="http://schemas.openxmlformats.org/drawingml/2006/main">
          <a:off x="1918961" y="3716300"/>
          <a:ext cx="203616" cy="210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616" h="210609">
              <a:moveTo>
                <a:pt x="158879" y="65024"/>
              </a:moveTo>
              <a:lnTo>
                <a:pt x="18129" y="210608"/>
              </a:lnTo>
              <a:lnTo>
                <a:pt x="0" y="191855"/>
              </a:lnTo>
              <a:lnTo>
                <a:pt x="140750" y="46272"/>
              </a:lnTo>
              <a:lnTo>
                <a:pt x="185486" y="0"/>
              </a:lnTo>
              <a:lnTo>
                <a:pt x="2036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0.74678</cdr:x>
      <cdr:y>0.87279</cdr:y>
    </cdr:from>
    <cdr:to>
      <cdr:x>0.77454</cdr:x>
      <cdr:y>0.90036</cdr:y>
    </cdr:to>
    <cdr:sp macro="" textlink="">
      <cdr:nvSpPr>
        <cdr:cNvPr id="637" name="FracNo 1010 StartRow 6102">
          <a:extLst xmlns:a="http://schemas.openxmlformats.org/drawingml/2006/main">
            <a:ext uri="{FF2B5EF4-FFF2-40B4-BE49-F238E27FC236}">
              <a16:creationId xmlns:a16="http://schemas.microsoft.com/office/drawing/2014/main" id="{951884C0-32D9-1B3D-25B2-71A5A9877C24}"/>
            </a:ext>
          </a:extLst>
        </cdr:cNvPr>
        <cdr:cNvSpPr/>
      </cdr:nvSpPr>
      <cdr:spPr>
        <a:xfrm xmlns:a="http://schemas.openxmlformats.org/drawingml/2006/main">
          <a:off x="5462821" y="6650659"/>
          <a:ext cx="203103" cy="210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103" h="210077">
              <a:moveTo>
                <a:pt x="198885" y="168211"/>
              </a:moveTo>
              <a:lnTo>
                <a:pt x="36258" y="0"/>
              </a:lnTo>
              <a:lnTo>
                <a:pt x="0" y="0"/>
              </a:lnTo>
              <a:lnTo>
                <a:pt x="197968" y="204767"/>
              </a:lnTo>
              <a:lnTo>
                <a:pt x="203102" y="210076"/>
              </a:lnTo>
              <a:lnTo>
                <a:pt x="203102" y="1725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0.62021</cdr:x>
      <cdr:y>0.55415</cdr:y>
    </cdr:from>
    <cdr:to>
      <cdr:x>0.64797</cdr:x>
      <cdr:y>0.5817</cdr:y>
    </cdr:to>
    <cdr:sp macro="" textlink="">
      <cdr:nvSpPr>
        <cdr:cNvPr id="638" name="FracNo 1216 StartRow 6111">
          <a:extLst xmlns:a="http://schemas.openxmlformats.org/drawingml/2006/main">
            <a:ext uri="{FF2B5EF4-FFF2-40B4-BE49-F238E27FC236}">
              <a16:creationId xmlns:a16="http://schemas.microsoft.com/office/drawing/2014/main" id="{D95DD1F0-59F6-2D07-2B09-DCD6C629329E}"/>
            </a:ext>
          </a:extLst>
        </cdr:cNvPr>
        <cdr:cNvSpPr/>
      </cdr:nvSpPr>
      <cdr:spPr>
        <a:xfrm xmlns:a="http://schemas.openxmlformats.org/drawingml/2006/main">
          <a:off x="4536977" y="4222587"/>
          <a:ext cx="203024" cy="209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024" h="209997">
              <a:moveTo>
                <a:pt x="12479" y="159585"/>
              </a:moveTo>
              <a:lnTo>
                <a:pt x="0" y="172492"/>
              </a:lnTo>
              <a:lnTo>
                <a:pt x="0" y="209996"/>
              </a:lnTo>
              <a:lnTo>
                <a:pt x="15192" y="194283"/>
              </a:lnTo>
              <a:lnTo>
                <a:pt x="203023" y="0"/>
              </a:lnTo>
              <a:lnTo>
                <a:pt x="1667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0.51319</cdr:x>
      <cdr:y>0.78776</cdr:y>
    </cdr:from>
    <cdr:to>
      <cdr:x>0.54335</cdr:x>
      <cdr:y>0.81279</cdr:y>
    </cdr:to>
    <cdr:sp macro="" textlink="">
      <cdr:nvSpPr>
        <cdr:cNvPr id="639" name="FracNo 1096 StartRow 6120">
          <a:extLst xmlns:a="http://schemas.openxmlformats.org/drawingml/2006/main">
            <a:ext uri="{FF2B5EF4-FFF2-40B4-BE49-F238E27FC236}">
              <a16:creationId xmlns:a16="http://schemas.microsoft.com/office/drawing/2014/main" id="{FE7EF36E-9B7D-D1B4-144A-60885EF9E613}"/>
            </a:ext>
          </a:extLst>
        </cdr:cNvPr>
        <cdr:cNvSpPr/>
      </cdr:nvSpPr>
      <cdr:spPr>
        <a:xfrm xmlns:a="http://schemas.openxmlformats.org/drawingml/2006/main">
          <a:off x="3754052" y="6002704"/>
          <a:ext cx="220691" cy="190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691" h="190767">
              <a:moveTo>
                <a:pt x="101926" y="85339"/>
              </a:moveTo>
              <a:lnTo>
                <a:pt x="0" y="190766"/>
              </a:lnTo>
              <a:lnTo>
                <a:pt x="36259" y="190766"/>
              </a:lnTo>
              <a:lnTo>
                <a:pt x="138184" y="85339"/>
              </a:lnTo>
              <a:lnTo>
                <a:pt x="220690" y="0"/>
              </a:lnTo>
              <a:lnTo>
                <a:pt x="184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0.39116</cdr:x>
      <cdr:y>0.75198</cdr:y>
    </cdr:from>
    <cdr:to>
      <cdr:x>0.41612</cdr:x>
      <cdr:y>0.78168</cdr:y>
    </cdr:to>
    <cdr:sp macro="" textlink="">
      <cdr:nvSpPr>
        <cdr:cNvPr id="640" name="FracNo 960 StartRow 6129">
          <a:extLst xmlns:a="http://schemas.openxmlformats.org/drawingml/2006/main">
            <a:ext uri="{FF2B5EF4-FFF2-40B4-BE49-F238E27FC236}">
              <a16:creationId xmlns:a16="http://schemas.microsoft.com/office/drawing/2014/main" id="{AB498DBD-0ECA-8665-0EC2-E4C74DCDA61E}"/>
            </a:ext>
          </a:extLst>
        </cdr:cNvPr>
        <cdr:cNvSpPr/>
      </cdr:nvSpPr>
      <cdr:spPr>
        <a:xfrm xmlns:a="http://schemas.openxmlformats.org/drawingml/2006/main">
          <a:off x="2861426" y="5730067"/>
          <a:ext cx="182586" cy="226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586" h="226360">
              <a:moveTo>
                <a:pt x="176287" y="219845"/>
              </a:moveTo>
              <a:lnTo>
                <a:pt x="0" y="37504"/>
              </a:lnTo>
              <a:lnTo>
                <a:pt x="0" y="0"/>
              </a:lnTo>
              <a:lnTo>
                <a:pt x="176287" y="182342"/>
              </a:lnTo>
              <a:lnTo>
                <a:pt x="182585" y="188855"/>
              </a:lnTo>
              <a:lnTo>
                <a:pt x="182585" y="2263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0.62057</cdr:x>
      <cdr:y>0.84986</cdr:y>
    </cdr:from>
    <cdr:to>
      <cdr:x>0.65043</cdr:x>
      <cdr:y>0.87458</cdr:y>
    </cdr:to>
    <cdr:sp macro="" textlink="">
      <cdr:nvSpPr>
        <cdr:cNvPr id="641" name="FracNo 1076 StartRow 6138">
          <a:extLst xmlns:a="http://schemas.openxmlformats.org/drawingml/2006/main">
            <a:ext uri="{FF2B5EF4-FFF2-40B4-BE49-F238E27FC236}">
              <a16:creationId xmlns:a16="http://schemas.microsoft.com/office/drawing/2014/main" id="{ED47146B-4014-999D-C01A-FEB3AD81556E}"/>
            </a:ext>
          </a:extLst>
        </cdr:cNvPr>
        <cdr:cNvSpPr/>
      </cdr:nvSpPr>
      <cdr:spPr>
        <a:xfrm xmlns:a="http://schemas.openxmlformats.org/drawingml/2006/main">
          <a:off x="4539607" y="6475952"/>
          <a:ext cx="218388" cy="188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388" h="188384">
              <a:moveTo>
                <a:pt x="16984" y="17568"/>
              </a:moveTo>
              <a:lnTo>
                <a:pt x="0" y="0"/>
              </a:lnTo>
              <a:lnTo>
                <a:pt x="36258" y="0"/>
              </a:lnTo>
              <a:lnTo>
                <a:pt x="53243" y="17568"/>
              </a:lnTo>
              <a:lnTo>
                <a:pt x="218387" y="188383"/>
              </a:lnTo>
              <a:lnTo>
                <a:pt x="182128" y="188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0.40494</cdr:x>
      <cdr:y>0.49438</cdr:y>
    </cdr:from>
    <cdr:to>
      <cdr:x>0.42956</cdr:x>
      <cdr:y>0.52375</cdr:y>
    </cdr:to>
    <cdr:sp macro="" textlink="">
      <cdr:nvSpPr>
        <cdr:cNvPr id="642" name="FracNo 989 StartRow 6147">
          <a:extLst xmlns:a="http://schemas.openxmlformats.org/drawingml/2006/main">
            <a:ext uri="{FF2B5EF4-FFF2-40B4-BE49-F238E27FC236}">
              <a16:creationId xmlns:a16="http://schemas.microsoft.com/office/drawing/2014/main" id="{F06D0556-6B0C-F9FE-96C1-575338B1E184}"/>
            </a:ext>
          </a:extLst>
        </cdr:cNvPr>
        <cdr:cNvSpPr/>
      </cdr:nvSpPr>
      <cdr:spPr>
        <a:xfrm xmlns:a="http://schemas.openxmlformats.org/drawingml/2006/main">
          <a:off x="2962215" y="3767207"/>
          <a:ext cx="180102" cy="223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02" h="223790">
              <a:moveTo>
                <a:pt x="91328" y="129325"/>
              </a:moveTo>
              <a:lnTo>
                <a:pt x="0" y="223789"/>
              </a:lnTo>
              <a:lnTo>
                <a:pt x="0" y="186285"/>
              </a:lnTo>
              <a:lnTo>
                <a:pt x="91328" y="91821"/>
              </a:lnTo>
              <a:lnTo>
                <a:pt x="180101" y="0"/>
              </a:lnTo>
              <a:lnTo>
                <a:pt x="180101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0.8707</cdr:x>
      <cdr:y>0.58681</cdr:y>
    </cdr:from>
    <cdr:to>
      <cdr:x>0.89531</cdr:x>
      <cdr:y>0.61617</cdr:y>
    </cdr:to>
    <cdr:sp macro="" textlink="">
      <cdr:nvSpPr>
        <cdr:cNvPr id="643" name="FracNo 936 StartRow 6156">
          <a:extLst xmlns:a="http://schemas.openxmlformats.org/drawingml/2006/main">
            <a:ext uri="{FF2B5EF4-FFF2-40B4-BE49-F238E27FC236}">
              <a16:creationId xmlns:a16="http://schemas.microsoft.com/office/drawing/2014/main" id="{24560C2F-B54F-6985-1998-124C81DABF97}"/>
            </a:ext>
          </a:extLst>
        </cdr:cNvPr>
        <cdr:cNvSpPr/>
      </cdr:nvSpPr>
      <cdr:spPr>
        <a:xfrm xmlns:a="http://schemas.openxmlformats.org/drawingml/2006/main">
          <a:off x="6369347" y="4471501"/>
          <a:ext cx="180046" cy="223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46" h="223732">
              <a:moveTo>
                <a:pt x="88389" y="132308"/>
              </a:moveTo>
              <a:lnTo>
                <a:pt x="0" y="223731"/>
              </a:lnTo>
              <a:lnTo>
                <a:pt x="0" y="186227"/>
              </a:lnTo>
              <a:lnTo>
                <a:pt x="88389" y="94804"/>
              </a:lnTo>
              <a:lnTo>
                <a:pt x="180045" y="0"/>
              </a:lnTo>
              <a:lnTo>
                <a:pt x="18004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0.8622</cdr:x>
      <cdr:y>0.5833</cdr:y>
    </cdr:from>
    <cdr:to>
      <cdr:x>0.89177</cdr:x>
      <cdr:y>0.60773</cdr:y>
    </cdr:to>
    <cdr:sp macro="" textlink="">
      <cdr:nvSpPr>
        <cdr:cNvPr id="644" name="FracNo 582 StartRow 6165">
          <a:extLst xmlns:a="http://schemas.openxmlformats.org/drawingml/2006/main">
            <a:ext uri="{FF2B5EF4-FFF2-40B4-BE49-F238E27FC236}">
              <a16:creationId xmlns:a16="http://schemas.microsoft.com/office/drawing/2014/main" id="{5AB435B1-3133-747D-CCDE-9C548D9B6200}"/>
            </a:ext>
          </a:extLst>
        </cdr:cNvPr>
        <cdr:cNvSpPr/>
      </cdr:nvSpPr>
      <cdr:spPr>
        <a:xfrm xmlns:a="http://schemas.openxmlformats.org/drawingml/2006/main">
          <a:off x="6307186" y="4444708"/>
          <a:ext cx="216303" cy="186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303" h="186228">
              <a:moveTo>
                <a:pt x="105953" y="76635"/>
              </a:moveTo>
              <a:lnTo>
                <a:pt x="0" y="186227"/>
              </a:lnTo>
              <a:lnTo>
                <a:pt x="36259" y="186227"/>
              </a:lnTo>
              <a:lnTo>
                <a:pt x="142212" y="76635"/>
              </a:lnTo>
              <a:lnTo>
                <a:pt x="216302" y="0"/>
              </a:lnTo>
              <a:lnTo>
                <a:pt x="1800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0.86743</cdr:x>
      <cdr:y>0.58356</cdr:y>
    </cdr:from>
    <cdr:to>
      <cdr:x>0.89204</cdr:x>
      <cdr:y>0.61292</cdr:y>
    </cdr:to>
    <cdr:sp macro="" textlink="">
      <cdr:nvSpPr>
        <cdr:cNvPr id="645" name="FracNo 859 StartRow 6174">
          <a:extLst xmlns:a="http://schemas.openxmlformats.org/drawingml/2006/main">
            <a:ext uri="{FF2B5EF4-FFF2-40B4-BE49-F238E27FC236}">
              <a16:creationId xmlns:a16="http://schemas.microsoft.com/office/drawing/2014/main" id="{1AD097C0-2ABD-1044-DDE7-25254C17CE70}"/>
            </a:ext>
          </a:extLst>
        </cdr:cNvPr>
        <cdr:cNvSpPr/>
      </cdr:nvSpPr>
      <cdr:spPr>
        <a:xfrm xmlns:a="http://schemas.openxmlformats.org/drawingml/2006/main">
          <a:off x="6345403" y="4446734"/>
          <a:ext cx="180045" cy="223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45" h="223732">
              <a:moveTo>
                <a:pt x="132964" y="86200"/>
              </a:moveTo>
              <a:lnTo>
                <a:pt x="0" y="223731"/>
              </a:lnTo>
              <a:lnTo>
                <a:pt x="0" y="186227"/>
              </a:lnTo>
              <a:lnTo>
                <a:pt x="132964" y="48697"/>
              </a:lnTo>
              <a:lnTo>
                <a:pt x="180044" y="0"/>
              </a:lnTo>
              <a:lnTo>
                <a:pt x="18004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0.84935</cdr:x>
      <cdr:y>0.56561</cdr:y>
    </cdr:from>
    <cdr:to>
      <cdr:x>0.87397</cdr:x>
      <cdr:y>0.59497</cdr:y>
    </cdr:to>
    <cdr:sp macro="" textlink="">
      <cdr:nvSpPr>
        <cdr:cNvPr id="646" name="FracNo 589 StartRow 6183">
          <a:extLst xmlns:a="http://schemas.openxmlformats.org/drawingml/2006/main">
            <a:ext uri="{FF2B5EF4-FFF2-40B4-BE49-F238E27FC236}">
              <a16:creationId xmlns:a16="http://schemas.microsoft.com/office/drawing/2014/main" id="{4751CCDB-A895-603E-A778-3D82B8D2675E}"/>
            </a:ext>
          </a:extLst>
        </cdr:cNvPr>
        <cdr:cNvSpPr/>
      </cdr:nvSpPr>
      <cdr:spPr>
        <a:xfrm xmlns:a="http://schemas.openxmlformats.org/drawingml/2006/main">
          <a:off x="6213184" y="4309974"/>
          <a:ext cx="180045" cy="223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45" h="223732">
              <a:moveTo>
                <a:pt x="58961" y="162745"/>
              </a:moveTo>
              <a:lnTo>
                <a:pt x="0" y="223731"/>
              </a:lnTo>
              <a:lnTo>
                <a:pt x="0" y="186228"/>
              </a:lnTo>
              <a:lnTo>
                <a:pt x="58961" y="125241"/>
              </a:lnTo>
              <a:lnTo>
                <a:pt x="180044" y="0"/>
              </a:lnTo>
              <a:lnTo>
                <a:pt x="18004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0.52193</cdr:x>
      <cdr:y>0.71572</cdr:y>
    </cdr:from>
    <cdr:to>
      <cdr:x>0.54884</cdr:x>
      <cdr:y>0.74243</cdr:y>
    </cdr:to>
    <cdr:sp macro="" textlink="">
      <cdr:nvSpPr>
        <cdr:cNvPr id="647" name="FracNo 1139 StartRow 6192">
          <a:extLst xmlns:a="http://schemas.openxmlformats.org/drawingml/2006/main">
            <a:ext uri="{FF2B5EF4-FFF2-40B4-BE49-F238E27FC236}">
              <a16:creationId xmlns:a16="http://schemas.microsoft.com/office/drawing/2014/main" id="{6D74D1A7-79B7-B1B2-185F-AEAD6FC37ED1}"/>
            </a:ext>
          </a:extLst>
        </cdr:cNvPr>
        <cdr:cNvSpPr/>
      </cdr:nvSpPr>
      <cdr:spPr>
        <a:xfrm xmlns:a="http://schemas.openxmlformats.org/drawingml/2006/main">
          <a:off x="3818035" y="5453766"/>
          <a:ext cx="196816" cy="203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816" h="203574">
              <a:moveTo>
                <a:pt x="113054" y="79432"/>
              </a:moveTo>
              <a:lnTo>
                <a:pt x="36259" y="0"/>
              </a:lnTo>
              <a:lnTo>
                <a:pt x="0" y="0"/>
              </a:lnTo>
              <a:lnTo>
                <a:pt x="94138" y="97370"/>
              </a:lnTo>
              <a:lnTo>
                <a:pt x="196815" y="203573"/>
              </a:lnTo>
              <a:lnTo>
                <a:pt x="196815" y="1660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0.3622</cdr:x>
      <cdr:y>0.78188</cdr:y>
    </cdr:from>
    <cdr:to>
      <cdr:x>0.38906</cdr:x>
      <cdr:y>0.80855</cdr:y>
    </cdr:to>
    <cdr:sp macro="" textlink="">
      <cdr:nvSpPr>
        <cdr:cNvPr id="648" name="FracNo 844 StartRow 6201">
          <a:extLst xmlns:a="http://schemas.openxmlformats.org/drawingml/2006/main">
            <a:ext uri="{FF2B5EF4-FFF2-40B4-BE49-F238E27FC236}">
              <a16:creationId xmlns:a16="http://schemas.microsoft.com/office/drawing/2014/main" id="{B200C3C4-FCE0-751A-ED30-C6D5F9DC1905}"/>
            </a:ext>
          </a:extLst>
        </cdr:cNvPr>
        <cdr:cNvSpPr/>
      </cdr:nvSpPr>
      <cdr:spPr>
        <a:xfrm xmlns:a="http://schemas.openxmlformats.org/drawingml/2006/main">
          <a:off x="2649547" y="5957929"/>
          <a:ext cx="196506" cy="203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506" h="203255">
              <a:moveTo>
                <a:pt x="98571" y="101957"/>
              </a:moveTo>
              <a:lnTo>
                <a:pt x="86131" y="89090"/>
              </a:lnTo>
              <a:lnTo>
                <a:pt x="0" y="0"/>
              </a:lnTo>
              <a:lnTo>
                <a:pt x="36258" y="0"/>
              </a:lnTo>
              <a:lnTo>
                <a:pt x="106547" y="72703"/>
              </a:lnTo>
              <a:lnTo>
                <a:pt x="116686" y="83190"/>
              </a:lnTo>
              <a:lnTo>
                <a:pt x="196505" y="165750"/>
              </a:lnTo>
              <a:lnTo>
                <a:pt x="196505" y="2032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0.64694</cdr:x>
      <cdr:y>0.64131</cdr:y>
    </cdr:from>
    <cdr:to>
      <cdr:x>0.67362</cdr:x>
      <cdr:y>0.66779</cdr:y>
    </cdr:to>
    <cdr:sp macro="" textlink="">
      <cdr:nvSpPr>
        <cdr:cNvPr id="649" name="FracNo 977 StartRow 6212">
          <a:extLst xmlns:a="http://schemas.openxmlformats.org/drawingml/2006/main">
            <a:ext uri="{FF2B5EF4-FFF2-40B4-BE49-F238E27FC236}">
              <a16:creationId xmlns:a16="http://schemas.microsoft.com/office/drawing/2014/main" id="{FFDEA93F-8AD9-425B-5D24-EFFD86A38D17}"/>
            </a:ext>
          </a:extLst>
        </cdr:cNvPr>
        <cdr:cNvSpPr/>
      </cdr:nvSpPr>
      <cdr:spPr>
        <a:xfrm xmlns:a="http://schemas.openxmlformats.org/drawingml/2006/main">
          <a:off x="4732524" y="4886751"/>
          <a:ext cx="195105" cy="201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105" h="201806">
              <a:moveTo>
                <a:pt x="46264" y="116448"/>
              </a:moveTo>
              <a:lnTo>
                <a:pt x="0" y="164301"/>
              </a:lnTo>
              <a:lnTo>
                <a:pt x="0" y="201805"/>
              </a:lnTo>
              <a:lnTo>
                <a:pt x="56947" y="142901"/>
              </a:lnTo>
              <a:lnTo>
                <a:pt x="96637" y="101848"/>
              </a:lnTo>
              <a:lnTo>
                <a:pt x="136357" y="60765"/>
              </a:lnTo>
              <a:lnTo>
                <a:pt x="195104" y="0"/>
              </a:lnTo>
              <a:lnTo>
                <a:pt x="158846" y="0"/>
              </a:lnTo>
              <a:lnTo>
                <a:pt x="110914" y="49577"/>
              </a:lnTo>
              <a:lnTo>
                <a:pt x="78508" y="830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0.73238</cdr:x>
      <cdr:y>0.41225</cdr:y>
    </cdr:from>
    <cdr:to>
      <cdr:x>0.76147</cdr:x>
      <cdr:y>0.43622</cdr:y>
    </cdr:to>
    <cdr:sp macro="" textlink="">
      <cdr:nvSpPr>
        <cdr:cNvPr id="650" name="FracNo 992 StartRow 6225">
          <a:extLst xmlns:a="http://schemas.openxmlformats.org/drawingml/2006/main">
            <a:ext uri="{FF2B5EF4-FFF2-40B4-BE49-F238E27FC236}">
              <a16:creationId xmlns:a16="http://schemas.microsoft.com/office/drawing/2014/main" id="{8FC28236-FE08-84EA-8F47-731D82DDB9DF}"/>
            </a:ext>
          </a:extLst>
        </cdr:cNvPr>
        <cdr:cNvSpPr/>
      </cdr:nvSpPr>
      <cdr:spPr>
        <a:xfrm xmlns:a="http://schemas.openxmlformats.org/drawingml/2006/main">
          <a:off x="5357477" y="3141337"/>
          <a:ext cx="212841" cy="182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841" h="182646">
              <a:moveTo>
                <a:pt x="50731" y="130171"/>
              </a:moveTo>
              <a:lnTo>
                <a:pt x="0" y="182645"/>
              </a:lnTo>
              <a:lnTo>
                <a:pt x="36259" y="182645"/>
              </a:lnTo>
              <a:lnTo>
                <a:pt x="86990" y="130171"/>
              </a:lnTo>
              <a:lnTo>
                <a:pt x="212840" y="0"/>
              </a:lnTo>
              <a:lnTo>
                <a:pt x="1765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0.27225</cdr:x>
      <cdr:y>0.59853</cdr:y>
    </cdr:from>
    <cdr:to>
      <cdr:x>0.30008</cdr:x>
      <cdr:y>0.6237</cdr:y>
    </cdr:to>
    <cdr:sp macro="" textlink="">
      <cdr:nvSpPr>
        <cdr:cNvPr id="651" name="FracNo 391 StartRow 6234">
          <a:extLst xmlns:a="http://schemas.openxmlformats.org/drawingml/2006/main">
            <a:ext uri="{FF2B5EF4-FFF2-40B4-BE49-F238E27FC236}">
              <a16:creationId xmlns:a16="http://schemas.microsoft.com/office/drawing/2014/main" id="{C2C14D70-E7B9-4462-5DB4-81E7C2DEDEC8}"/>
            </a:ext>
          </a:extLst>
        </cdr:cNvPr>
        <cdr:cNvSpPr/>
      </cdr:nvSpPr>
      <cdr:spPr>
        <a:xfrm xmlns:a="http://schemas.openxmlformats.org/drawingml/2006/main">
          <a:off x="1991573" y="4560824"/>
          <a:ext cx="203558" cy="191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558" h="191796">
              <a:moveTo>
                <a:pt x="116836" y="83344"/>
              </a:moveTo>
              <a:lnTo>
                <a:pt x="36259" y="0"/>
              </a:lnTo>
              <a:lnTo>
                <a:pt x="0" y="0"/>
              </a:lnTo>
              <a:lnTo>
                <a:pt x="89309" y="92376"/>
              </a:lnTo>
              <a:lnTo>
                <a:pt x="185427" y="191795"/>
              </a:lnTo>
              <a:lnTo>
                <a:pt x="203557" y="1730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0.34398</cdr:x>
      <cdr:y>0.78513</cdr:y>
    </cdr:from>
    <cdr:to>
      <cdr:x>0.37042</cdr:x>
      <cdr:y>0.81139</cdr:y>
    </cdr:to>
    <cdr:sp macro="" textlink="">
      <cdr:nvSpPr>
        <cdr:cNvPr id="652" name="FracNo 1082 StartRow 6243">
          <a:extLst xmlns:a="http://schemas.openxmlformats.org/drawingml/2006/main">
            <a:ext uri="{FF2B5EF4-FFF2-40B4-BE49-F238E27FC236}">
              <a16:creationId xmlns:a16="http://schemas.microsoft.com/office/drawing/2014/main" id="{67B08DEB-36C1-60BB-9BDE-6025526BC3D7}"/>
            </a:ext>
          </a:extLst>
        </cdr:cNvPr>
        <cdr:cNvSpPr/>
      </cdr:nvSpPr>
      <cdr:spPr>
        <a:xfrm xmlns:a="http://schemas.openxmlformats.org/drawingml/2006/main">
          <a:off x="2516258" y="5982657"/>
          <a:ext cx="193456" cy="200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456" h="200099">
              <a:moveTo>
                <a:pt x="137085" y="95809"/>
              </a:moveTo>
              <a:lnTo>
                <a:pt x="36259" y="200098"/>
              </a:lnTo>
              <a:lnTo>
                <a:pt x="0" y="200098"/>
              </a:lnTo>
              <a:lnTo>
                <a:pt x="124083" y="71754"/>
              </a:lnTo>
              <a:lnTo>
                <a:pt x="193455" y="0"/>
              </a:lnTo>
              <a:lnTo>
                <a:pt x="19345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0.3779</cdr:x>
      <cdr:y>0.08544</cdr:y>
    </cdr:from>
    <cdr:to>
      <cdr:x>0.40558</cdr:x>
      <cdr:y>0.11046</cdr:y>
    </cdr:to>
    <cdr:sp macro="" textlink="">
      <cdr:nvSpPr>
        <cdr:cNvPr id="653" name="FracNo 195 StartRow 6252">
          <a:extLst xmlns:a="http://schemas.openxmlformats.org/drawingml/2006/main">
            <a:ext uri="{FF2B5EF4-FFF2-40B4-BE49-F238E27FC236}">
              <a16:creationId xmlns:a16="http://schemas.microsoft.com/office/drawing/2014/main" id="{F4477066-0CE8-B49B-7D4A-CB4AC774BF67}"/>
            </a:ext>
          </a:extLst>
        </cdr:cNvPr>
        <cdr:cNvSpPr/>
      </cdr:nvSpPr>
      <cdr:spPr>
        <a:xfrm xmlns:a="http://schemas.openxmlformats.org/drawingml/2006/main">
          <a:off x="2764385" y="651036"/>
          <a:ext cx="202494" cy="190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494" h="190697">
              <a:moveTo>
                <a:pt x="165556" y="38206"/>
              </a:moveTo>
              <a:lnTo>
                <a:pt x="18129" y="190696"/>
              </a:lnTo>
              <a:lnTo>
                <a:pt x="0" y="171944"/>
              </a:lnTo>
              <a:lnTo>
                <a:pt x="132930" y="34449"/>
              </a:lnTo>
              <a:lnTo>
                <a:pt x="166235" y="0"/>
              </a:lnTo>
              <a:lnTo>
                <a:pt x="202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0.36991</cdr:x>
      <cdr:y>0.90385</cdr:y>
    </cdr:from>
    <cdr:to>
      <cdr:x>0.39635</cdr:x>
      <cdr:y>0.9301</cdr:y>
    </cdr:to>
    <cdr:sp macro="" textlink="">
      <cdr:nvSpPr>
        <cdr:cNvPr id="654" name="FracNo 475 StartRow 6261">
          <a:extLst xmlns:a="http://schemas.openxmlformats.org/drawingml/2006/main">
            <a:ext uri="{FF2B5EF4-FFF2-40B4-BE49-F238E27FC236}">
              <a16:creationId xmlns:a16="http://schemas.microsoft.com/office/drawing/2014/main" id="{030972E2-D20C-226E-A3BD-F8B60C501E67}"/>
            </a:ext>
          </a:extLst>
        </cdr:cNvPr>
        <cdr:cNvSpPr/>
      </cdr:nvSpPr>
      <cdr:spPr>
        <a:xfrm xmlns:a="http://schemas.openxmlformats.org/drawingml/2006/main">
          <a:off x="2705959" y="6887301"/>
          <a:ext cx="193422" cy="200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422" h="200065">
              <a:moveTo>
                <a:pt x="84859" y="87774"/>
              </a:moveTo>
              <a:lnTo>
                <a:pt x="44658" y="46192"/>
              </a:lnTo>
              <a:lnTo>
                <a:pt x="0" y="0"/>
              </a:lnTo>
              <a:lnTo>
                <a:pt x="0" y="37504"/>
              </a:lnTo>
              <a:lnTo>
                <a:pt x="35197" y="73910"/>
              </a:lnTo>
              <a:lnTo>
                <a:pt x="68156" y="108001"/>
              </a:lnTo>
              <a:lnTo>
                <a:pt x="157162" y="200064"/>
              </a:lnTo>
              <a:lnTo>
                <a:pt x="193421" y="2000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0.16606</cdr:x>
      <cdr:y>0.85475</cdr:y>
    </cdr:from>
    <cdr:to>
      <cdr:x>0.19247</cdr:x>
      <cdr:y>0.88096</cdr:y>
    </cdr:to>
    <cdr:sp macro="" textlink="">
      <cdr:nvSpPr>
        <cdr:cNvPr id="655" name="FracNo 25 StartRow 6272">
          <a:extLst xmlns:a="http://schemas.openxmlformats.org/drawingml/2006/main">
            <a:ext uri="{FF2B5EF4-FFF2-40B4-BE49-F238E27FC236}">
              <a16:creationId xmlns:a16="http://schemas.microsoft.com/office/drawing/2014/main" id="{EF97FF94-2200-C88D-4DEA-64F58C43EF28}"/>
            </a:ext>
          </a:extLst>
        </cdr:cNvPr>
        <cdr:cNvSpPr/>
      </cdr:nvSpPr>
      <cdr:spPr>
        <a:xfrm xmlns:a="http://schemas.openxmlformats.org/drawingml/2006/main">
          <a:off x="1214772" y="6513162"/>
          <a:ext cx="193150" cy="199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150" h="199783">
              <a:moveTo>
                <a:pt x="120080" y="94330"/>
              </a:moveTo>
              <a:lnTo>
                <a:pt x="18129" y="199782"/>
              </a:lnTo>
              <a:lnTo>
                <a:pt x="0" y="181029"/>
              </a:lnTo>
              <a:lnTo>
                <a:pt x="101950" y="75578"/>
              </a:lnTo>
              <a:lnTo>
                <a:pt x="175019" y="0"/>
              </a:lnTo>
              <a:lnTo>
                <a:pt x="1931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0.22777</cdr:x>
      <cdr:y>0.46476</cdr:y>
    </cdr:from>
    <cdr:to>
      <cdr:x>0.25413</cdr:x>
      <cdr:y>0.49093</cdr:y>
    </cdr:to>
    <cdr:sp macro="" textlink="">
      <cdr:nvSpPr>
        <cdr:cNvPr id="656" name="FracNo 1221 StartRow 6281">
          <a:extLst xmlns:a="http://schemas.openxmlformats.org/drawingml/2006/main">
            <a:ext uri="{FF2B5EF4-FFF2-40B4-BE49-F238E27FC236}">
              <a16:creationId xmlns:a16="http://schemas.microsoft.com/office/drawing/2014/main" id="{038327D7-1C2E-89AF-26D7-3E3BBD10869E}"/>
            </a:ext>
          </a:extLst>
        </cdr:cNvPr>
        <cdr:cNvSpPr/>
      </cdr:nvSpPr>
      <cdr:spPr>
        <a:xfrm xmlns:a="http://schemas.openxmlformats.org/drawingml/2006/main">
          <a:off x="1666193" y="3541498"/>
          <a:ext cx="192797" cy="199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797" h="199419">
              <a:moveTo>
                <a:pt x="163768" y="131889"/>
              </a:moveTo>
              <a:lnTo>
                <a:pt x="36258" y="0"/>
              </a:lnTo>
              <a:lnTo>
                <a:pt x="0" y="0"/>
              </a:lnTo>
              <a:lnTo>
                <a:pt x="157044" y="162438"/>
              </a:lnTo>
              <a:lnTo>
                <a:pt x="192796" y="199418"/>
              </a:lnTo>
              <a:lnTo>
                <a:pt x="192796" y="1619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0.41175</cdr:x>
      <cdr:y>0.68679</cdr:y>
    </cdr:from>
    <cdr:to>
      <cdr:x>0.43809</cdr:x>
      <cdr:y>0.71295</cdr:y>
    </cdr:to>
    <cdr:sp macro="" textlink="">
      <cdr:nvSpPr>
        <cdr:cNvPr id="657" name="FracNo 1210 StartRow 6290">
          <a:extLst xmlns:a="http://schemas.openxmlformats.org/drawingml/2006/main">
            <a:ext uri="{FF2B5EF4-FFF2-40B4-BE49-F238E27FC236}">
              <a16:creationId xmlns:a16="http://schemas.microsoft.com/office/drawing/2014/main" id="{34BA6316-AA5E-51E2-A1CA-FED94D403BD2}"/>
            </a:ext>
          </a:extLst>
        </cdr:cNvPr>
        <cdr:cNvSpPr/>
      </cdr:nvSpPr>
      <cdr:spPr>
        <a:xfrm xmlns:a="http://schemas.openxmlformats.org/drawingml/2006/main">
          <a:off x="3012005" y="5233329"/>
          <a:ext cx="192706" cy="199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706" h="199323">
              <a:moveTo>
                <a:pt x="24401" y="25238"/>
              </a:moveTo>
              <a:lnTo>
                <a:pt x="0" y="0"/>
              </a:lnTo>
              <a:lnTo>
                <a:pt x="0" y="37504"/>
              </a:lnTo>
              <a:lnTo>
                <a:pt x="19810" y="57993"/>
              </a:lnTo>
              <a:lnTo>
                <a:pt x="156447" y="199322"/>
              </a:lnTo>
              <a:lnTo>
                <a:pt x="192705" y="1993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0.91743</cdr:x>
      <cdr:y>0.42982</cdr:y>
    </cdr:from>
    <cdr:to>
      <cdr:x>0.94246</cdr:x>
      <cdr:y>0.45714</cdr:y>
    </cdr:to>
    <cdr:sp macro="" textlink="">
      <cdr:nvSpPr>
        <cdr:cNvPr id="658" name="FracNo 798 StartRow 6299">
          <a:extLst xmlns:a="http://schemas.openxmlformats.org/drawingml/2006/main">
            <a:ext uri="{FF2B5EF4-FFF2-40B4-BE49-F238E27FC236}">
              <a16:creationId xmlns:a16="http://schemas.microsoft.com/office/drawing/2014/main" id="{0174F490-0B21-2CF5-0E83-565CA7F79DFB}"/>
            </a:ext>
          </a:extLst>
        </cdr:cNvPr>
        <cdr:cNvSpPr/>
      </cdr:nvSpPr>
      <cdr:spPr>
        <a:xfrm xmlns:a="http://schemas.openxmlformats.org/drawingml/2006/main">
          <a:off x="6711166" y="3275219"/>
          <a:ext cx="183142" cy="208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142" h="208184">
              <a:moveTo>
                <a:pt x="6329" y="25300"/>
              </a:moveTo>
              <a:lnTo>
                <a:pt x="0" y="18752"/>
              </a:lnTo>
              <a:lnTo>
                <a:pt x="18129" y="0"/>
              </a:lnTo>
              <a:lnTo>
                <a:pt x="23832" y="5900"/>
              </a:lnTo>
              <a:lnTo>
                <a:pt x="183141" y="170680"/>
              </a:lnTo>
              <a:lnTo>
                <a:pt x="183141" y="2081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0.3882</cdr:x>
      <cdr:y>0.19489</cdr:y>
    </cdr:from>
    <cdr:to>
      <cdr:x>0.41682</cdr:x>
      <cdr:y>0.21839</cdr:y>
    </cdr:to>
    <cdr:sp macro="" textlink="">
      <cdr:nvSpPr>
        <cdr:cNvPr id="659" name="FracNo 1169 StartRow 6308">
          <a:extLst xmlns:a="http://schemas.openxmlformats.org/drawingml/2006/main">
            <a:ext uri="{FF2B5EF4-FFF2-40B4-BE49-F238E27FC236}">
              <a16:creationId xmlns:a16="http://schemas.microsoft.com/office/drawing/2014/main" id="{1206F5E6-CD7B-8F66-FCFF-6CC173F36DDE}"/>
            </a:ext>
          </a:extLst>
        </cdr:cNvPr>
        <cdr:cNvSpPr/>
      </cdr:nvSpPr>
      <cdr:spPr>
        <a:xfrm xmlns:a="http://schemas.openxmlformats.org/drawingml/2006/main">
          <a:off x="2839788" y="1485074"/>
          <a:ext cx="209337" cy="179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337" h="179022">
              <a:moveTo>
                <a:pt x="116655" y="120661"/>
              </a:moveTo>
              <a:lnTo>
                <a:pt x="0" y="0"/>
              </a:lnTo>
              <a:lnTo>
                <a:pt x="36258" y="0"/>
              </a:lnTo>
              <a:lnTo>
                <a:pt x="152914" y="120661"/>
              </a:lnTo>
              <a:lnTo>
                <a:pt x="209336" y="179021"/>
              </a:lnTo>
              <a:lnTo>
                <a:pt x="173077" y="1790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0.39281</cdr:x>
      <cdr:y>0.19031</cdr:y>
    </cdr:from>
    <cdr:to>
      <cdr:x>0.42143</cdr:x>
      <cdr:y>0.21381</cdr:y>
    </cdr:to>
    <cdr:sp macro="" textlink="">
      <cdr:nvSpPr>
        <cdr:cNvPr id="660" name="FracNo 1067 StartRow 6317">
          <a:extLst xmlns:a="http://schemas.openxmlformats.org/drawingml/2006/main">
            <a:ext uri="{FF2B5EF4-FFF2-40B4-BE49-F238E27FC236}">
              <a16:creationId xmlns:a16="http://schemas.microsoft.com/office/drawing/2014/main" id="{E5C7E0EE-FF6C-2E57-7936-027D5055CE67}"/>
            </a:ext>
          </a:extLst>
        </cdr:cNvPr>
        <cdr:cNvSpPr/>
      </cdr:nvSpPr>
      <cdr:spPr>
        <a:xfrm xmlns:a="http://schemas.openxmlformats.org/drawingml/2006/main">
          <a:off x="2873520" y="1450183"/>
          <a:ext cx="209337" cy="179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337" h="179023">
              <a:moveTo>
                <a:pt x="109785" y="113555"/>
              </a:moveTo>
              <a:lnTo>
                <a:pt x="0" y="0"/>
              </a:lnTo>
              <a:lnTo>
                <a:pt x="36258" y="0"/>
              </a:lnTo>
              <a:lnTo>
                <a:pt x="146043" y="113555"/>
              </a:lnTo>
              <a:lnTo>
                <a:pt x="209336" y="179022"/>
              </a:lnTo>
              <a:lnTo>
                <a:pt x="173077" y="1790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0.43729</cdr:x>
      <cdr:y>0.12404</cdr:y>
    </cdr:from>
    <cdr:to>
      <cdr:x>0.46216</cdr:x>
      <cdr:y>0.1512</cdr:y>
    </cdr:to>
    <cdr:sp macro="" textlink="">
      <cdr:nvSpPr>
        <cdr:cNvPr id="661" name="FracNo 189 StartRow 6326">
          <a:extLst xmlns:a="http://schemas.openxmlformats.org/drawingml/2006/main">
            <a:ext uri="{FF2B5EF4-FFF2-40B4-BE49-F238E27FC236}">
              <a16:creationId xmlns:a16="http://schemas.microsoft.com/office/drawing/2014/main" id="{D7A10316-8ACB-78C0-5F9E-128F3BDE9A1A}"/>
            </a:ext>
          </a:extLst>
        </cdr:cNvPr>
        <cdr:cNvSpPr/>
      </cdr:nvSpPr>
      <cdr:spPr>
        <a:xfrm xmlns:a="http://schemas.openxmlformats.org/drawingml/2006/main">
          <a:off x="3198874" y="945219"/>
          <a:ext cx="181909" cy="206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909" h="206908">
              <a:moveTo>
                <a:pt x="88693" y="133920"/>
              </a:moveTo>
              <a:lnTo>
                <a:pt x="18129" y="206907"/>
              </a:lnTo>
              <a:lnTo>
                <a:pt x="0" y="188155"/>
              </a:lnTo>
              <a:lnTo>
                <a:pt x="78375" y="107089"/>
              </a:lnTo>
              <a:lnTo>
                <a:pt x="181908" y="0"/>
              </a:lnTo>
              <a:lnTo>
                <a:pt x="18190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0.86912</cdr:x>
      <cdr:y>0.89458</cdr:y>
    </cdr:from>
    <cdr:to>
      <cdr:x>0.8952</cdr:x>
      <cdr:y>0.92048</cdr:y>
    </cdr:to>
    <cdr:sp macro="" textlink="">
      <cdr:nvSpPr>
        <cdr:cNvPr id="662" name="FracNo 1057 StartRow 6335">
          <a:extLst xmlns:a="http://schemas.openxmlformats.org/drawingml/2006/main">
            <a:ext uri="{FF2B5EF4-FFF2-40B4-BE49-F238E27FC236}">
              <a16:creationId xmlns:a16="http://schemas.microsoft.com/office/drawing/2014/main" id="{EC58F3EA-BA75-345C-E66C-2806B54DF632}"/>
            </a:ext>
          </a:extLst>
        </cdr:cNvPr>
        <cdr:cNvSpPr/>
      </cdr:nvSpPr>
      <cdr:spPr>
        <a:xfrm xmlns:a="http://schemas.openxmlformats.org/drawingml/2006/main">
          <a:off x="6357761" y="6816710"/>
          <a:ext cx="190821" cy="197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821" h="197374">
              <a:moveTo>
                <a:pt x="124169" y="106444"/>
              </a:moveTo>
              <a:lnTo>
                <a:pt x="36258" y="197373"/>
              </a:lnTo>
              <a:lnTo>
                <a:pt x="0" y="197373"/>
              </a:lnTo>
              <a:lnTo>
                <a:pt x="108533" y="85113"/>
              </a:lnTo>
              <a:lnTo>
                <a:pt x="190820" y="0"/>
              </a:lnTo>
              <a:lnTo>
                <a:pt x="19082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0.87743</cdr:x>
      <cdr:y>0.90284</cdr:y>
    </cdr:from>
    <cdr:to>
      <cdr:x>0.90352</cdr:x>
      <cdr:y>0.92874</cdr:y>
    </cdr:to>
    <cdr:sp macro="" textlink="">
      <cdr:nvSpPr>
        <cdr:cNvPr id="663" name="FracNo 950 StartRow 6344">
          <a:extLst xmlns:a="http://schemas.openxmlformats.org/drawingml/2006/main">
            <a:ext uri="{FF2B5EF4-FFF2-40B4-BE49-F238E27FC236}">
              <a16:creationId xmlns:a16="http://schemas.microsoft.com/office/drawing/2014/main" id="{7286767C-7259-7A58-A35C-190BFC6A3AB3}"/>
            </a:ext>
          </a:extLst>
        </cdr:cNvPr>
        <cdr:cNvSpPr/>
      </cdr:nvSpPr>
      <cdr:spPr>
        <a:xfrm xmlns:a="http://schemas.openxmlformats.org/drawingml/2006/main">
          <a:off x="6418576" y="6879614"/>
          <a:ext cx="190822" cy="197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822" h="197374">
              <a:moveTo>
                <a:pt x="123834" y="106791"/>
              </a:moveTo>
              <a:lnTo>
                <a:pt x="36259" y="197373"/>
              </a:lnTo>
              <a:lnTo>
                <a:pt x="0" y="197373"/>
              </a:lnTo>
              <a:lnTo>
                <a:pt x="108120" y="85541"/>
              </a:lnTo>
              <a:lnTo>
                <a:pt x="190821" y="0"/>
              </a:lnTo>
              <a:lnTo>
                <a:pt x="19082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0.13912</cdr:x>
      <cdr:y>0.87642</cdr:y>
    </cdr:from>
    <cdr:to>
      <cdr:x>0.16645</cdr:x>
      <cdr:y>0.90109</cdr:y>
    </cdr:to>
    <cdr:sp macro="" textlink="">
      <cdr:nvSpPr>
        <cdr:cNvPr id="664" name="FracNo 39 StartRow 6353">
          <a:extLst xmlns:a="http://schemas.openxmlformats.org/drawingml/2006/main">
            <a:ext uri="{FF2B5EF4-FFF2-40B4-BE49-F238E27FC236}">
              <a16:creationId xmlns:a16="http://schemas.microsoft.com/office/drawing/2014/main" id="{C787E3E8-C093-6728-61BE-4C92CAC9561A}"/>
            </a:ext>
          </a:extLst>
        </cdr:cNvPr>
        <cdr:cNvSpPr/>
      </cdr:nvSpPr>
      <cdr:spPr>
        <a:xfrm xmlns:a="http://schemas.openxmlformats.org/drawingml/2006/main">
          <a:off x="1017697" y="6678343"/>
          <a:ext cx="199882" cy="1879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82" h="187994">
              <a:moveTo>
                <a:pt x="103288" y="118661"/>
              </a:moveTo>
              <a:lnTo>
                <a:pt x="36259" y="187993"/>
              </a:lnTo>
              <a:lnTo>
                <a:pt x="0" y="187993"/>
              </a:lnTo>
              <a:lnTo>
                <a:pt x="74457" y="110980"/>
              </a:lnTo>
              <a:lnTo>
                <a:pt x="181752" y="0"/>
              </a:lnTo>
              <a:lnTo>
                <a:pt x="19988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0.63781</cdr:x>
      <cdr:y>0.47773</cdr:y>
    </cdr:from>
    <cdr:to>
      <cdr:x>0.66607</cdr:x>
      <cdr:y>0.50087</cdr:y>
    </cdr:to>
    <cdr:sp macro="" textlink="">
      <cdr:nvSpPr>
        <cdr:cNvPr id="665" name="FracNo 879 StartRow 6362">
          <a:extLst xmlns:a="http://schemas.openxmlformats.org/drawingml/2006/main">
            <a:ext uri="{FF2B5EF4-FFF2-40B4-BE49-F238E27FC236}">
              <a16:creationId xmlns:a16="http://schemas.microsoft.com/office/drawing/2014/main" id="{83AFE9E2-181A-E8A3-0DD2-25AD1B3D329D}"/>
            </a:ext>
          </a:extLst>
        </cdr:cNvPr>
        <cdr:cNvSpPr/>
      </cdr:nvSpPr>
      <cdr:spPr>
        <a:xfrm xmlns:a="http://schemas.openxmlformats.org/drawingml/2006/main">
          <a:off x="4665736" y="3640325"/>
          <a:ext cx="206683" cy="176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683" h="176278">
              <a:moveTo>
                <a:pt x="138089" y="105329"/>
              </a:moveTo>
              <a:lnTo>
                <a:pt x="36258" y="0"/>
              </a:lnTo>
              <a:lnTo>
                <a:pt x="0" y="0"/>
              </a:lnTo>
              <a:lnTo>
                <a:pt x="109231" y="112982"/>
              </a:lnTo>
              <a:lnTo>
                <a:pt x="141008" y="145850"/>
              </a:lnTo>
              <a:lnTo>
                <a:pt x="170424" y="176277"/>
              </a:lnTo>
              <a:lnTo>
                <a:pt x="206682" y="176277"/>
              </a:lnTo>
              <a:lnTo>
                <a:pt x="167714" y="1359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0.25796</cdr:x>
      <cdr:y>0.57116</cdr:y>
    </cdr:from>
    <cdr:to>
      <cdr:x>0.28479</cdr:x>
      <cdr:y>0.59535</cdr:y>
    </cdr:to>
    <cdr:sp macro="" textlink="">
      <cdr:nvSpPr>
        <cdr:cNvPr id="666" name="FracNo 350 StartRow 6373">
          <a:extLst xmlns:a="http://schemas.openxmlformats.org/drawingml/2006/main">
            <a:ext uri="{FF2B5EF4-FFF2-40B4-BE49-F238E27FC236}">
              <a16:creationId xmlns:a16="http://schemas.microsoft.com/office/drawing/2014/main" id="{D1019FC7-4928-C135-B723-0F58A09E5E1D}"/>
            </a:ext>
          </a:extLst>
        </cdr:cNvPr>
        <cdr:cNvSpPr/>
      </cdr:nvSpPr>
      <cdr:spPr>
        <a:xfrm xmlns:a="http://schemas.openxmlformats.org/drawingml/2006/main">
          <a:off x="1887007" y="4352239"/>
          <a:ext cx="196324" cy="184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324" h="184314">
              <a:moveTo>
                <a:pt x="152024" y="27068"/>
              </a:moveTo>
              <a:lnTo>
                <a:pt x="0" y="184313"/>
              </a:lnTo>
              <a:lnTo>
                <a:pt x="36259" y="184313"/>
              </a:lnTo>
              <a:lnTo>
                <a:pt x="172815" y="43066"/>
              </a:lnTo>
              <a:lnTo>
                <a:pt x="196323" y="18752"/>
              </a:lnTo>
              <a:lnTo>
                <a:pt x="1781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0.32767</cdr:x>
      <cdr:y>0.33559</cdr:y>
    </cdr:from>
    <cdr:to>
      <cdr:x>0.35057</cdr:x>
      <cdr:y>0.36325</cdr:y>
    </cdr:to>
    <cdr:sp macro="" textlink="">
      <cdr:nvSpPr>
        <cdr:cNvPr id="667" name="FracNo 1113 StartRow 6382">
          <a:extLst xmlns:a="http://schemas.openxmlformats.org/drawingml/2006/main">
            <a:ext uri="{FF2B5EF4-FFF2-40B4-BE49-F238E27FC236}">
              <a16:creationId xmlns:a16="http://schemas.microsoft.com/office/drawing/2014/main" id="{C711E5FB-C2B9-734D-7815-33B28CB9A104}"/>
            </a:ext>
          </a:extLst>
        </cdr:cNvPr>
        <cdr:cNvSpPr/>
      </cdr:nvSpPr>
      <cdr:spPr>
        <a:xfrm xmlns:a="http://schemas.openxmlformats.org/drawingml/2006/main">
          <a:off x="2397001" y="2557187"/>
          <a:ext cx="167505" cy="210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505" h="210761">
              <a:moveTo>
                <a:pt x="104352" y="107935"/>
              </a:moveTo>
              <a:lnTo>
                <a:pt x="0" y="0"/>
              </a:lnTo>
              <a:lnTo>
                <a:pt x="0" y="37503"/>
              </a:lnTo>
              <a:lnTo>
                <a:pt x="104352" y="145439"/>
              </a:lnTo>
              <a:lnTo>
                <a:pt x="167504" y="210760"/>
              </a:lnTo>
              <a:lnTo>
                <a:pt x="167504" y="1732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0.34404</cdr:x>
      <cdr:y>0.31933</cdr:y>
    </cdr:from>
    <cdr:to>
      <cdr:x>0.3719</cdr:x>
      <cdr:y>0.34207</cdr:y>
    </cdr:to>
    <cdr:sp macro="" textlink="">
      <cdr:nvSpPr>
        <cdr:cNvPr id="668" name="FracNo 1100 StartRow 6391">
          <a:extLst xmlns:a="http://schemas.openxmlformats.org/drawingml/2006/main">
            <a:ext uri="{FF2B5EF4-FFF2-40B4-BE49-F238E27FC236}">
              <a16:creationId xmlns:a16="http://schemas.microsoft.com/office/drawing/2014/main" id="{051512A6-757E-0241-E30A-2E4C75268CA1}"/>
            </a:ext>
          </a:extLst>
        </cdr:cNvPr>
        <cdr:cNvSpPr/>
      </cdr:nvSpPr>
      <cdr:spPr>
        <a:xfrm xmlns:a="http://schemas.openxmlformats.org/drawingml/2006/main">
          <a:off x="2516749" y="2433327"/>
          <a:ext cx="203763" cy="173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763" h="173257">
              <a:moveTo>
                <a:pt x="127505" y="131884"/>
              </a:moveTo>
              <a:lnTo>
                <a:pt x="0" y="0"/>
              </a:lnTo>
              <a:lnTo>
                <a:pt x="36258" y="0"/>
              </a:lnTo>
              <a:lnTo>
                <a:pt x="163764" y="131884"/>
              </a:lnTo>
              <a:lnTo>
                <a:pt x="203762" y="173256"/>
              </a:lnTo>
              <a:lnTo>
                <a:pt x="167504" y="1732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0.358</cdr:x>
      <cdr:y>0.30548</cdr:y>
    </cdr:from>
    <cdr:to>
      <cdr:x>0.3809</cdr:x>
      <cdr:y>0.33314</cdr:y>
    </cdr:to>
    <cdr:sp macro="" textlink="">
      <cdr:nvSpPr>
        <cdr:cNvPr id="669" name="FracNo 1170 StartRow 6400">
          <a:extLst xmlns:a="http://schemas.openxmlformats.org/drawingml/2006/main">
            <a:ext uri="{FF2B5EF4-FFF2-40B4-BE49-F238E27FC236}">
              <a16:creationId xmlns:a16="http://schemas.microsoft.com/office/drawing/2014/main" id="{91D9EE6E-2CDC-CBFF-D438-E1B00D7484FA}"/>
            </a:ext>
          </a:extLst>
        </cdr:cNvPr>
        <cdr:cNvSpPr/>
      </cdr:nvSpPr>
      <cdr:spPr>
        <a:xfrm xmlns:a="http://schemas.openxmlformats.org/drawingml/2006/main">
          <a:off x="2618818" y="2327751"/>
          <a:ext cx="167506" cy="210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506" h="210762">
              <a:moveTo>
                <a:pt x="17870" y="18483"/>
              </a:moveTo>
              <a:lnTo>
                <a:pt x="0" y="0"/>
              </a:lnTo>
              <a:lnTo>
                <a:pt x="0" y="37504"/>
              </a:lnTo>
              <a:lnTo>
                <a:pt x="17195" y="55289"/>
              </a:lnTo>
              <a:lnTo>
                <a:pt x="124624" y="166408"/>
              </a:lnTo>
              <a:lnTo>
                <a:pt x="167505" y="210761"/>
              </a:lnTo>
              <a:lnTo>
                <a:pt x="167505" y="173257"/>
              </a:lnTo>
              <a:lnTo>
                <a:pt x="129513" y="1339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0.26402</cdr:x>
      <cdr:y>0.16385</cdr:y>
    </cdr:from>
    <cdr:to>
      <cdr:x>0.28807</cdr:x>
      <cdr:y>0.19019</cdr:y>
    </cdr:to>
    <cdr:sp macro="" textlink="">
      <cdr:nvSpPr>
        <cdr:cNvPr id="670" name="FracNo 310 StartRow 6411">
          <a:extLst xmlns:a="http://schemas.openxmlformats.org/drawingml/2006/main">
            <a:ext uri="{FF2B5EF4-FFF2-40B4-BE49-F238E27FC236}">
              <a16:creationId xmlns:a16="http://schemas.microsoft.com/office/drawing/2014/main" id="{D1E606F6-C7BD-D7F2-3582-711D799004D1}"/>
            </a:ext>
          </a:extLst>
        </cdr:cNvPr>
        <cdr:cNvSpPr/>
      </cdr:nvSpPr>
      <cdr:spPr>
        <a:xfrm xmlns:a="http://schemas.openxmlformats.org/drawingml/2006/main">
          <a:off x="1931346" y="1248558"/>
          <a:ext cx="175908" cy="200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08" h="200701">
              <a:moveTo>
                <a:pt x="163842" y="150716"/>
              </a:moveTo>
              <a:lnTo>
                <a:pt x="18130" y="0"/>
              </a:lnTo>
              <a:lnTo>
                <a:pt x="0" y="18751"/>
              </a:lnTo>
              <a:lnTo>
                <a:pt x="162456" y="186786"/>
              </a:lnTo>
              <a:lnTo>
                <a:pt x="175907" y="200700"/>
              </a:lnTo>
              <a:lnTo>
                <a:pt x="175907" y="1631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0.46707</cdr:x>
      <cdr:y>0.56444</cdr:y>
    </cdr:from>
    <cdr:to>
      <cdr:x>0.49229</cdr:x>
      <cdr:y>0.58948</cdr:y>
    </cdr:to>
    <cdr:sp macro="" textlink="">
      <cdr:nvSpPr>
        <cdr:cNvPr id="671" name="FracNo 786 StartRow 6420">
          <a:extLst xmlns:a="http://schemas.openxmlformats.org/drawingml/2006/main">
            <a:ext uri="{FF2B5EF4-FFF2-40B4-BE49-F238E27FC236}">
              <a16:creationId xmlns:a16="http://schemas.microsoft.com/office/drawing/2014/main" id="{1B0C086D-DF64-F8C6-9721-4C2C2BA5B516}"/>
            </a:ext>
          </a:extLst>
        </cdr:cNvPr>
        <cdr:cNvSpPr/>
      </cdr:nvSpPr>
      <cdr:spPr>
        <a:xfrm xmlns:a="http://schemas.openxmlformats.org/drawingml/2006/main">
          <a:off x="3416747" y="4301028"/>
          <a:ext cx="184441" cy="190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441" h="190775">
              <a:moveTo>
                <a:pt x="162605" y="130686"/>
              </a:moveTo>
              <a:lnTo>
                <a:pt x="36258" y="0"/>
              </a:lnTo>
              <a:lnTo>
                <a:pt x="0" y="0"/>
              </a:lnTo>
              <a:lnTo>
                <a:pt x="157262" y="162663"/>
              </a:lnTo>
              <a:lnTo>
                <a:pt x="184440" y="190774"/>
              </a:lnTo>
              <a:lnTo>
                <a:pt x="184440" y="1532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0.48199</cdr:x>
      <cdr:y>0.54963</cdr:y>
    </cdr:from>
    <cdr:to>
      <cdr:x>0.5072</cdr:x>
      <cdr:y>0.57467</cdr:y>
    </cdr:to>
    <cdr:sp macro="" textlink="">
      <cdr:nvSpPr>
        <cdr:cNvPr id="672" name="FracNo 717 StartRow 6429">
          <a:extLst xmlns:a="http://schemas.openxmlformats.org/drawingml/2006/main">
            <a:ext uri="{FF2B5EF4-FFF2-40B4-BE49-F238E27FC236}">
              <a16:creationId xmlns:a16="http://schemas.microsoft.com/office/drawing/2014/main" id="{DB705198-56F4-D757-6827-29C7E649B772}"/>
            </a:ext>
          </a:extLst>
        </cdr:cNvPr>
        <cdr:cNvSpPr/>
      </cdr:nvSpPr>
      <cdr:spPr>
        <a:xfrm xmlns:a="http://schemas.openxmlformats.org/drawingml/2006/main">
          <a:off x="3525824" y="4188205"/>
          <a:ext cx="184441" cy="190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441" h="190775">
              <a:moveTo>
                <a:pt x="83433" y="48795"/>
              </a:moveTo>
              <a:lnTo>
                <a:pt x="36258" y="0"/>
              </a:lnTo>
              <a:lnTo>
                <a:pt x="0" y="0"/>
              </a:lnTo>
              <a:lnTo>
                <a:pt x="58718" y="60734"/>
              </a:lnTo>
              <a:lnTo>
                <a:pt x="184440" y="190774"/>
              </a:lnTo>
              <a:lnTo>
                <a:pt x="184440" y="1532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0.85754</cdr:x>
      <cdr:y>0.88696</cdr:y>
    </cdr:from>
    <cdr:to>
      <cdr:x>0.88021</cdr:x>
      <cdr:y>0.91439</cdr:y>
    </cdr:to>
    <cdr:sp macro="" textlink="">
      <cdr:nvSpPr>
        <cdr:cNvPr id="673" name="FracNo 1126 StartRow 6438">
          <a:extLst xmlns:a="http://schemas.openxmlformats.org/drawingml/2006/main">
            <a:ext uri="{FF2B5EF4-FFF2-40B4-BE49-F238E27FC236}">
              <a16:creationId xmlns:a16="http://schemas.microsoft.com/office/drawing/2014/main" id="{0DE073E6-0882-AAD4-E919-95488924E4CD}"/>
            </a:ext>
          </a:extLst>
        </cdr:cNvPr>
        <cdr:cNvSpPr/>
      </cdr:nvSpPr>
      <cdr:spPr>
        <a:xfrm xmlns:a="http://schemas.openxmlformats.org/drawingml/2006/main">
          <a:off x="6273099" y="6758663"/>
          <a:ext cx="165802" cy="209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802" h="209000">
              <a:moveTo>
                <a:pt x="92598" y="133281"/>
              </a:moveTo>
              <a:lnTo>
                <a:pt x="0" y="37504"/>
              </a:lnTo>
              <a:lnTo>
                <a:pt x="0" y="0"/>
              </a:lnTo>
              <a:lnTo>
                <a:pt x="92598" y="95778"/>
              </a:lnTo>
              <a:lnTo>
                <a:pt x="165801" y="171495"/>
              </a:lnTo>
              <a:lnTo>
                <a:pt x="165801" y="2089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0.59812</cdr:x>
      <cdr:y>0.71536</cdr:y>
    </cdr:from>
    <cdr:to>
      <cdr:x>0.62192</cdr:x>
      <cdr:y>0.74146</cdr:y>
    </cdr:to>
    <cdr:sp macro="" textlink="">
      <cdr:nvSpPr>
        <cdr:cNvPr id="674" name="FracNo 1035 StartRow 6447">
          <a:extLst xmlns:a="http://schemas.openxmlformats.org/drawingml/2006/main">
            <a:ext uri="{FF2B5EF4-FFF2-40B4-BE49-F238E27FC236}">
              <a16:creationId xmlns:a16="http://schemas.microsoft.com/office/drawing/2014/main" id="{1A5226DD-581C-CD14-F562-5613D7EB439D}"/>
            </a:ext>
          </a:extLst>
        </cdr:cNvPr>
        <cdr:cNvSpPr/>
      </cdr:nvSpPr>
      <cdr:spPr>
        <a:xfrm xmlns:a="http://schemas.openxmlformats.org/drawingml/2006/main">
          <a:off x="4375357" y="5451079"/>
          <a:ext cx="174114" cy="198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114" h="198845">
              <a:moveTo>
                <a:pt x="152177" y="41442"/>
              </a:moveTo>
              <a:lnTo>
                <a:pt x="0" y="198844"/>
              </a:lnTo>
              <a:lnTo>
                <a:pt x="0" y="161340"/>
              </a:lnTo>
              <a:lnTo>
                <a:pt x="136332" y="20327"/>
              </a:lnTo>
              <a:lnTo>
                <a:pt x="155984" y="0"/>
              </a:lnTo>
              <a:lnTo>
                <a:pt x="17411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0.38298</cdr:x>
      <cdr:y>0.71535</cdr:y>
    </cdr:from>
    <cdr:to>
      <cdr:x>0.40799</cdr:x>
      <cdr:y>0.74019</cdr:y>
    </cdr:to>
    <cdr:sp macro="" textlink="">
      <cdr:nvSpPr>
        <cdr:cNvPr id="675" name="FracNo 828 StartRow 6456">
          <a:extLst xmlns:a="http://schemas.openxmlformats.org/drawingml/2006/main">
            <a:ext uri="{FF2B5EF4-FFF2-40B4-BE49-F238E27FC236}">
              <a16:creationId xmlns:a16="http://schemas.microsoft.com/office/drawing/2014/main" id="{6E53F71F-A6C6-2EFB-52AA-F9FC0CA9C48F}"/>
            </a:ext>
          </a:extLst>
        </cdr:cNvPr>
        <cdr:cNvSpPr/>
      </cdr:nvSpPr>
      <cdr:spPr>
        <a:xfrm xmlns:a="http://schemas.openxmlformats.org/drawingml/2006/main">
          <a:off x="2801563" y="5450998"/>
          <a:ext cx="182964" cy="189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964" h="189246">
              <a:moveTo>
                <a:pt x="86888" y="89872"/>
              </a:moveTo>
              <a:lnTo>
                <a:pt x="0" y="0"/>
              </a:lnTo>
              <a:lnTo>
                <a:pt x="0" y="37503"/>
              </a:lnTo>
              <a:lnTo>
                <a:pt x="69669" y="109565"/>
              </a:lnTo>
              <a:lnTo>
                <a:pt x="146704" y="189245"/>
              </a:lnTo>
              <a:lnTo>
                <a:pt x="182963" y="1892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0.36609</cdr:x>
      <cdr:y>0.57585</cdr:y>
    </cdr:from>
    <cdr:to>
      <cdr:x>0.3934</cdr:x>
      <cdr:y>0.59804</cdr:y>
    </cdr:to>
    <cdr:sp macro="" textlink="">
      <cdr:nvSpPr>
        <cdr:cNvPr id="676" name="FracNo 1217 StartRow 6465">
          <a:extLst xmlns:a="http://schemas.openxmlformats.org/drawingml/2006/main">
            <a:ext uri="{FF2B5EF4-FFF2-40B4-BE49-F238E27FC236}">
              <a16:creationId xmlns:a16="http://schemas.microsoft.com/office/drawing/2014/main" id="{51BB5697-802B-3A2A-4DC7-90F7C14CFCF3}"/>
            </a:ext>
          </a:extLst>
        </cdr:cNvPr>
        <cdr:cNvSpPr/>
      </cdr:nvSpPr>
      <cdr:spPr>
        <a:xfrm xmlns:a="http://schemas.openxmlformats.org/drawingml/2006/main">
          <a:off x="2678034" y="4387942"/>
          <a:ext cx="199779" cy="169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779" h="169135">
              <a:moveTo>
                <a:pt x="83593" y="48959"/>
              </a:moveTo>
              <a:lnTo>
                <a:pt x="77805" y="42973"/>
              </a:lnTo>
              <a:lnTo>
                <a:pt x="36259" y="0"/>
              </a:lnTo>
              <a:lnTo>
                <a:pt x="0" y="0"/>
              </a:lnTo>
              <a:lnTo>
                <a:pt x="57900" y="59888"/>
              </a:lnTo>
              <a:lnTo>
                <a:pt x="62911" y="65072"/>
              </a:lnTo>
              <a:lnTo>
                <a:pt x="163519" y="169134"/>
              </a:lnTo>
              <a:lnTo>
                <a:pt x="199778" y="1691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0.1517</cdr:x>
      <cdr:y>0.16667</cdr:y>
    </cdr:from>
    <cdr:to>
      <cdr:x>0.1739</cdr:x>
      <cdr:y>0.19364</cdr:y>
    </cdr:to>
    <cdr:sp macro="" textlink="">
      <cdr:nvSpPr>
        <cdr:cNvPr id="677" name="FracNo 1086 StartRow 6476">
          <a:extLst xmlns:a="http://schemas.openxmlformats.org/drawingml/2006/main">
            <a:ext uri="{FF2B5EF4-FFF2-40B4-BE49-F238E27FC236}">
              <a16:creationId xmlns:a16="http://schemas.microsoft.com/office/drawing/2014/main" id="{01D3F5FB-95F0-96D5-78E3-FCC9EB4FE7CB}"/>
            </a:ext>
          </a:extLst>
        </cdr:cNvPr>
        <cdr:cNvSpPr/>
      </cdr:nvSpPr>
      <cdr:spPr>
        <a:xfrm xmlns:a="http://schemas.openxmlformats.org/drawingml/2006/main">
          <a:off x="1109729" y="1270050"/>
          <a:ext cx="162382" cy="205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382" h="205462">
              <a:moveTo>
                <a:pt x="70486" y="95050"/>
              </a:moveTo>
              <a:lnTo>
                <a:pt x="0" y="167958"/>
              </a:lnTo>
              <a:lnTo>
                <a:pt x="0" y="205461"/>
              </a:lnTo>
              <a:lnTo>
                <a:pt x="70486" y="132554"/>
              </a:lnTo>
              <a:lnTo>
                <a:pt x="162381" y="37503"/>
              </a:lnTo>
              <a:lnTo>
                <a:pt x="1623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0.63704</cdr:x>
      <cdr:y>0.26022</cdr:y>
    </cdr:from>
    <cdr:to>
      <cdr:x>0.66289</cdr:x>
      <cdr:y>0.28343</cdr:y>
    </cdr:to>
    <cdr:sp macro="" textlink="">
      <cdr:nvSpPr>
        <cdr:cNvPr id="678" name="FracNo 503 StartRow 6485">
          <a:extLst xmlns:a="http://schemas.openxmlformats.org/drawingml/2006/main">
            <a:ext uri="{FF2B5EF4-FFF2-40B4-BE49-F238E27FC236}">
              <a16:creationId xmlns:a16="http://schemas.microsoft.com/office/drawing/2014/main" id="{2905E557-39EE-5292-B577-575577063EC7}"/>
            </a:ext>
          </a:extLst>
        </cdr:cNvPr>
        <cdr:cNvSpPr/>
      </cdr:nvSpPr>
      <cdr:spPr>
        <a:xfrm xmlns:a="http://schemas.openxmlformats.org/drawingml/2006/main">
          <a:off x="4660056" y="1982900"/>
          <a:ext cx="189114" cy="176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114" h="176856">
              <a:moveTo>
                <a:pt x="157016" y="14447"/>
              </a:moveTo>
              <a:lnTo>
                <a:pt x="150591" y="21093"/>
              </a:lnTo>
              <a:lnTo>
                <a:pt x="0" y="176855"/>
              </a:lnTo>
              <a:lnTo>
                <a:pt x="36259" y="176855"/>
              </a:lnTo>
              <a:lnTo>
                <a:pt x="169491" y="39048"/>
              </a:lnTo>
              <a:lnTo>
                <a:pt x="175673" y="32653"/>
              </a:lnTo>
              <a:lnTo>
                <a:pt x="189113" y="18751"/>
              </a:lnTo>
              <a:lnTo>
                <a:pt x="1709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0.16398</cdr:x>
      <cdr:y>0.71358</cdr:y>
    </cdr:from>
    <cdr:to>
      <cdr:x>0.18835</cdr:x>
      <cdr:y>0.73777</cdr:y>
    </cdr:to>
    <cdr:sp macro="" textlink="">
      <cdr:nvSpPr>
        <cdr:cNvPr id="679" name="FracNo 1229 StartRow 6496">
          <a:extLst xmlns:a="http://schemas.openxmlformats.org/drawingml/2006/main">
            <a:ext uri="{FF2B5EF4-FFF2-40B4-BE49-F238E27FC236}">
              <a16:creationId xmlns:a16="http://schemas.microsoft.com/office/drawing/2014/main" id="{F65DBB8D-2FB8-B562-7A17-35F072D0E2A2}"/>
            </a:ext>
          </a:extLst>
        </cdr:cNvPr>
        <cdr:cNvSpPr/>
      </cdr:nvSpPr>
      <cdr:spPr>
        <a:xfrm xmlns:a="http://schemas.openxmlformats.org/drawingml/2006/main">
          <a:off x="1199570" y="5437477"/>
          <a:ext cx="178234" cy="184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34" h="184354">
              <a:moveTo>
                <a:pt x="39285" y="143720"/>
              </a:moveTo>
              <a:lnTo>
                <a:pt x="0" y="184353"/>
              </a:lnTo>
              <a:lnTo>
                <a:pt x="36259" y="184353"/>
              </a:lnTo>
              <a:lnTo>
                <a:pt x="67552" y="151986"/>
              </a:lnTo>
              <a:lnTo>
                <a:pt x="178233" y="37504"/>
              </a:lnTo>
              <a:lnTo>
                <a:pt x="1782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0.17893</cdr:x>
      <cdr:y>0.72842</cdr:y>
    </cdr:from>
    <cdr:to>
      <cdr:x>0.20329</cdr:x>
      <cdr:y>0.75261</cdr:y>
    </cdr:to>
    <cdr:sp macro="" textlink="">
      <cdr:nvSpPr>
        <cdr:cNvPr id="680" name="FracNo 770 StartRow 6505">
          <a:extLst xmlns:a="http://schemas.openxmlformats.org/drawingml/2006/main">
            <a:ext uri="{FF2B5EF4-FFF2-40B4-BE49-F238E27FC236}">
              <a16:creationId xmlns:a16="http://schemas.microsoft.com/office/drawing/2014/main" id="{3C43C839-AB44-459E-6BF5-7897B6334012}"/>
            </a:ext>
          </a:extLst>
        </cdr:cNvPr>
        <cdr:cNvSpPr/>
      </cdr:nvSpPr>
      <cdr:spPr>
        <a:xfrm xmlns:a="http://schemas.openxmlformats.org/drawingml/2006/main">
          <a:off x="1308889" y="5550549"/>
          <a:ext cx="178234" cy="184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34" h="184355">
              <a:moveTo>
                <a:pt x="55278" y="127177"/>
              </a:moveTo>
              <a:lnTo>
                <a:pt x="0" y="184354"/>
              </a:lnTo>
              <a:lnTo>
                <a:pt x="36258" y="184354"/>
              </a:lnTo>
              <a:lnTo>
                <a:pt x="80291" y="138809"/>
              </a:lnTo>
              <a:lnTo>
                <a:pt x="178233" y="37504"/>
              </a:lnTo>
              <a:lnTo>
                <a:pt x="1782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0.79453</cdr:x>
      <cdr:y>0.65113</cdr:y>
    </cdr:from>
    <cdr:to>
      <cdr:x>0.82001</cdr:x>
      <cdr:y>0.67397</cdr:y>
    </cdr:to>
    <cdr:sp macro="" textlink="">
      <cdr:nvSpPr>
        <cdr:cNvPr id="681" name="FracNo 141 StartRow 6514">
          <a:extLst xmlns:a="http://schemas.openxmlformats.org/drawingml/2006/main">
            <a:ext uri="{FF2B5EF4-FFF2-40B4-BE49-F238E27FC236}">
              <a16:creationId xmlns:a16="http://schemas.microsoft.com/office/drawing/2014/main" id="{90F29CB9-08FB-6049-A2D8-089B83485BE1}"/>
            </a:ext>
          </a:extLst>
        </cdr:cNvPr>
        <cdr:cNvSpPr/>
      </cdr:nvSpPr>
      <cdr:spPr>
        <a:xfrm xmlns:a="http://schemas.openxmlformats.org/drawingml/2006/main">
          <a:off x="5812137" y="4961574"/>
          <a:ext cx="186396" cy="174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396" h="174045">
              <a:moveTo>
                <a:pt x="163875" y="169502"/>
              </a:moveTo>
              <a:lnTo>
                <a:pt x="0" y="0"/>
              </a:lnTo>
              <a:lnTo>
                <a:pt x="36259" y="0"/>
              </a:lnTo>
              <a:lnTo>
                <a:pt x="182478" y="151240"/>
              </a:lnTo>
              <a:lnTo>
                <a:pt x="186395" y="155292"/>
              </a:lnTo>
              <a:lnTo>
                <a:pt x="168265" y="1740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0.18051</cdr:x>
      <cdr:y>0.19981</cdr:y>
    </cdr:from>
    <cdr:to>
      <cdr:x>0.20226</cdr:x>
      <cdr:y>0.22633</cdr:y>
    </cdr:to>
    <cdr:sp macro="" textlink="">
      <cdr:nvSpPr>
        <cdr:cNvPr id="682" name="FracNo 1042 StartRow 6523">
          <a:extLst xmlns:a="http://schemas.openxmlformats.org/drawingml/2006/main">
            <a:ext uri="{FF2B5EF4-FFF2-40B4-BE49-F238E27FC236}">
              <a16:creationId xmlns:a16="http://schemas.microsoft.com/office/drawing/2014/main" id="{2D97026C-B8AE-E7FB-F1C1-A3B8F29F2308}"/>
            </a:ext>
          </a:extLst>
        </cdr:cNvPr>
        <cdr:cNvSpPr/>
      </cdr:nvSpPr>
      <cdr:spPr>
        <a:xfrm xmlns:a="http://schemas.openxmlformats.org/drawingml/2006/main">
          <a:off x="1320470" y="1522578"/>
          <a:ext cx="159109" cy="202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09" h="202076">
              <a:moveTo>
                <a:pt x="94152" y="104690"/>
              </a:moveTo>
              <a:lnTo>
                <a:pt x="0" y="202075"/>
              </a:lnTo>
              <a:lnTo>
                <a:pt x="0" y="164571"/>
              </a:lnTo>
              <a:lnTo>
                <a:pt x="94152" y="67186"/>
              </a:lnTo>
              <a:lnTo>
                <a:pt x="159108" y="0"/>
              </a:lnTo>
              <a:lnTo>
                <a:pt x="15910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0.09952</cdr:x>
      <cdr:y>0.23256</cdr:y>
    </cdr:from>
    <cdr:to>
      <cdr:x>0.12618</cdr:x>
      <cdr:y>0.25412</cdr:y>
    </cdr:to>
    <cdr:sp macro="" textlink="">
      <cdr:nvSpPr>
        <cdr:cNvPr id="683" name="FracNo 996 StartRow 6532">
          <a:extLst xmlns:a="http://schemas.openxmlformats.org/drawingml/2006/main">
            <a:ext uri="{FF2B5EF4-FFF2-40B4-BE49-F238E27FC236}">
              <a16:creationId xmlns:a16="http://schemas.microsoft.com/office/drawing/2014/main" id="{3C4DFE05-0FCF-C939-8E02-DC70703912C2}"/>
            </a:ext>
          </a:extLst>
        </cdr:cNvPr>
        <cdr:cNvSpPr/>
      </cdr:nvSpPr>
      <cdr:spPr>
        <a:xfrm xmlns:a="http://schemas.openxmlformats.org/drawingml/2006/main">
          <a:off x="728010" y="1772142"/>
          <a:ext cx="195050" cy="164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050" h="164245">
              <a:moveTo>
                <a:pt x="38147" y="1954"/>
              </a:moveTo>
              <a:lnTo>
                <a:pt x="36258" y="0"/>
              </a:lnTo>
              <a:lnTo>
                <a:pt x="0" y="0"/>
              </a:lnTo>
              <a:lnTo>
                <a:pt x="1889" y="1954"/>
              </a:lnTo>
              <a:lnTo>
                <a:pt x="158790" y="164244"/>
              </a:lnTo>
              <a:lnTo>
                <a:pt x="195049" y="1642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0.78318</cdr:x>
      <cdr:y>0.55918</cdr:y>
    </cdr:from>
    <cdr:to>
      <cdr:x>0.80978</cdr:x>
      <cdr:y>0.58067</cdr:y>
    </cdr:to>
    <cdr:sp macro="" textlink="">
      <cdr:nvSpPr>
        <cdr:cNvPr id="684" name="FracNo 1060 StartRow 6541">
          <a:extLst xmlns:a="http://schemas.openxmlformats.org/drawingml/2006/main">
            <a:ext uri="{FF2B5EF4-FFF2-40B4-BE49-F238E27FC236}">
              <a16:creationId xmlns:a16="http://schemas.microsoft.com/office/drawing/2014/main" id="{DC6D9F0B-71D4-F365-A41F-FBC6CBD80395}"/>
            </a:ext>
          </a:extLst>
        </cdr:cNvPr>
        <cdr:cNvSpPr/>
      </cdr:nvSpPr>
      <cdr:spPr>
        <a:xfrm xmlns:a="http://schemas.openxmlformats.org/drawingml/2006/main">
          <a:off x="5729124" y="4260977"/>
          <a:ext cx="194551" cy="163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551" h="163729">
              <a:moveTo>
                <a:pt x="170798" y="139160"/>
              </a:moveTo>
              <a:lnTo>
                <a:pt x="36258" y="0"/>
              </a:lnTo>
              <a:lnTo>
                <a:pt x="0" y="0"/>
              </a:lnTo>
              <a:lnTo>
                <a:pt x="134539" y="139160"/>
              </a:lnTo>
              <a:lnTo>
                <a:pt x="158291" y="163728"/>
              </a:lnTo>
              <a:lnTo>
                <a:pt x="194550" y="1637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0.24476</cdr:x>
      <cdr:y>0.30512</cdr:y>
    </cdr:from>
    <cdr:to>
      <cdr:x>0.27001</cdr:x>
      <cdr:y>0.32774</cdr:y>
    </cdr:to>
    <cdr:sp macro="" textlink="">
      <cdr:nvSpPr>
        <cdr:cNvPr id="685" name="FracNo 829 StartRow 6550">
          <a:extLst xmlns:a="http://schemas.openxmlformats.org/drawingml/2006/main">
            <a:ext uri="{FF2B5EF4-FFF2-40B4-BE49-F238E27FC236}">
              <a16:creationId xmlns:a16="http://schemas.microsoft.com/office/drawing/2014/main" id="{C222A804-B228-4FA0-D302-A0D7FDDF387C}"/>
            </a:ext>
          </a:extLst>
        </cdr:cNvPr>
        <cdr:cNvSpPr/>
      </cdr:nvSpPr>
      <cdr:spPr>
        <a:xfrm xmlns:a="http://schemas.openxmlformats.org/drawingml/2006/main">
          <a:off x="1790445" y="2325033"/>
          <a:ext cx="184728" cy="172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728" h="172320">
              <a:moveTo>
                <a:pt x="156311" y="10640"/>
              </a:moveTo>
              <a:lnTo>
                <a:pt x="0" y="172319"/>
              </a:lnTo>
              <a:lnTo>
                <a:pt x="36259" y="172319"/>
              </a:lnTo>
              <a:lnTo>
                <a:pt x="175560" y="28234"/>
              </a:lnTo>
              <a:lnTo>
                <a:pt x="184727" y="18752"/>
              </a:lnTo>
              <a:lnTo>
                <a:pt x="1665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0.23921</cdr:x>
      <cdr:y>0.68382</cdr:y>
    </cdr:from>
    <cdr:to>
      <cdr:x>0.26321</cdr:x>
      <cdr:y>0.70766</cdr:y>
    </cdr:to>
    <cdr:sp macro="" textlink="">
      <cdr:nvSpPr>
        <cdr:cNvPr id="686" name="FracNo 908 StartRow 6559">
          <a:extLst xmlns:a="http://schemas.openxmlformats.org/drawingml/2006/main">
            <a:ext uri="{FF2B5EF4-FFF2-40B4-BE49-F238E27FC236}">
              <a16:creationId xmlns:a16="http://schemas.microsoft.com/office/drawing/2014/main" id="{A035BEA9-2467-6FF4-8433-69776A1BA093}"/>
            </a:ext>
          </a:extLst>
        </cdr:cNvPr>
        <cdr:cNvSpPr/>
      </cdr:nvSpPr>
      <cdr:spPr>
        <a:xfrm xmlns:a="http://schemas.openxmlformats.org/drawingml/2006/main">
          <a:off x="1749851" y="5210729"/>
          <a:ext cx="175573" cy="1816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3" h="181603">
              <a:moveTo>
                <a:pt x="5588" y="175822"/>
              </a:moveTo>
              <a:lnTo>
                <a:pt x="0" y="181602"/>
              </a:lnTo>
              <a:lnTo>
                <a:pt x="36259" y="181602"/>
              </a:lnTo>
              <a:lnTo>
                <a:pt x="40693" y="177015"/>
              </a:lnTo>
              <a:lnTo>
                <a:pt x="175572" y="37504"/>
              </a:lnTo>
              <a:lnTo>
                <a:pt x="175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0.35499</cdr:x>
      <cdr:y>0.40253</cdr:y>
    </cdr:from>
    <cdr:to>
      <cdr:x>0.37771</cdr:x>
      <cdr:y>0.42755</cdr:y>
    </cdr:to>
    <cdr:sp macro="" textlink="">
      <cdr:nvSpPr>
        <cdr:cNvPr id="687" name="FracNo 387 StartRow 6568">
          <a:extLst xmlns:a="http://schemas.openxmlformats.org/drawingml/2006/main">
            <a:ext uri="{FF2B5EF4-FFF2-40B4-BE49-F238E27FC236}">
              <a16:creationId xmlns:a16="http://schemas.microsoft.com/office/drawing/2014/main" id="{5C93F753-BABE-71FB-370F-822B7C5ED0B6}"/>
            </a:ext>
          </a:extLst>
        </cdr:cNvPr>
        <cdr:cNvSpPr/>
      </cdr:nvSpPr>
      <cdr:spPr>
        <a:xfrm xmlns:a="http://schemas.openxmlformats.org/drawingml/2006/main">
          <a:off x="2596843" y="3067300"/>
          <a:ext cx="166161" cy="190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161" h="190619">
              <a:moveTo>
                <a:pt x="111526" y="96603"/>
              </a:moveTo>
              <a:lnTo>
                <a:pt x="18129" y="0"/>
              </a:lnTo>
              <a:lnTo>
                <a:pt x="0" y="18752"/>
              </a:lnTo>
              <a:lnTo>
                <a:pt x="102409" y="124678"/>
              </a:lnTo>
              <a:lnTo>
                <a:pt x="146422" y="170202"/>
              </a:lnTo>
              <a:lnTo>
                <a:pt x="166160" y="190618"/>
              </a:lnTo>
              <a:lnTo>
                <a:pt x="166160" y="153114"/>
              </a:lnTo>
              <a:lnTo>
                <a:pt x="151665" y="1381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0.79608</cdr:x>
      <cdr:y>0.87405</cdr:y>
    </cdr:from>
    <cdr:to>
      <cdr:x>0.8185</cdr:x>
      <cdr:y>0.89877</cdr:y>
    </cdr:to>
    <cdr:sp macro="" textlink="">
      <cdr:nvSpPr>
        <cdr:cNvPr id="688" name="FracNo 145 StartRow 6579">
          <a:extLst xmlns:a="http://schemas.openxmlformats.org/drawingml/2006/main">
            <a:ext uri="{FF2B5EF4-FFF2-40B4-BE49-F238E27FC236}">
              <a16:creationId xmlns:a16="http://schemas.microsoft.com/office/drawing/2014/main" id="{FA469725-CBCE-6EF9-8D60-F9941643E1E2}"/>
            </a:ext>
          </a:extLst>
        </cdr:cNvPr>
        <cdr:cNvSpPr/>
      </cdr:nvSpPr>
      <cdr:spPr>
        <a:xfrm xmlns:a="http://schemas.openxmlformats.org/drawingml/2006/main">
          <a:off x="5823519" y="6660224"/>
          <a:ext cx="163984" cy="18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984" h="188367">
              <a:moveTo>
                <a:pt x="135342" y="139990"/>
              </a:moveTo>
              <a:lnTo>
                <a:pt x="0" y="0"/>
              </a:lnTo>
              <a:lnTo>
                <a:pt x="0" y="37504"/>
              </a:lnTo>
              <a:lnTo>
                <a:pt x="120379" y="162018"/>
              </a:lnTo>
              <a:lnTo>
                <a:pt x="145853" y="188366"/>
              </a:lnTo>
              <a:lnTo>
                <a:pt x="163983" y="1696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0.28962</cdr:x>
      <cdr:y>0.36184</cdr:y>
    </cdr:from>
    <cdr:to>
      <cdr:x>0.31573</cdr:x>
      <cdr:y>0.38284</cdr:y>
    </cdr:to>
    <cdr:sp macro="" textlink="">
      <cdr:nvSpPr>
        <cdr:cNvPr id="689" name="FracNo 1146 StartRow 6588">
          <a:extLst xmlns:a="http://schemas.openxmlformats.org/drawingml/2006/main">
            <a:ext uri="{FF2B5EF4-FFF2-40B4-BE49-F238E27FC236}">
              <a16:creationId xmlns:a16="http://schemas.microsoft.com/office/drawing/2014/main" id="{0F0595B7-FD3C-F9BF-32ED-CD6C0B9DCE83}"/>
            </a:ext>
          </a:extLst>
        </cdr:cNvPr>
        <cdr:cNvSpPr/>
      </cdr:nvSpPr>
      <cdr:spPr>
        <a:xfrm xmlns:a="http://schemas.openxmlformats.org/drawingml/2006/main">
          <a:off x="2118645" y="2757210"/>
          <a:ext cx="191007" cy="160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007" h="160062">
              <a:moveTo>
                <a:pt x="131727" y="23810"/>
              </a:moveTo>
              <a:lnTo>
                <a:pt x="125242" y="30518"/>
              </a:lnTo>
              <a:lnTo>
                <a:pt x="0" y="160061"/>
              </a:lnTo>
              <a:lnTo>
                <a:pt x="36259" y="160061"/>
              </a:lnTo>
              <a:lnTo>
                <a:pt x="144580" y="48020"/>
              </a:lnTo>
              <a:lnTo>
                <a:pt x="154785" y="37465"/>
              </a:lnTo>
              <a:lnTo>
                <a:pt x="191006" y="0"/>
              </a:lnTo>
              <a:lnTo>
                <a:pt x="1547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0.46156</cdr:x>
      <cdr:y>0.59333</cdr:y>
    </cdr:from>
    <cdr:to>
      <cdr:x>0.48393</cdr:x>
      <cdr:y>0.618</cdr:y>
    </cdr:to>
    <cdr:sp macro="" textlink="">
      <cdr:nvSpPr>
        <cdr:cNvPr id="690" name="FracNo 839 StartRow 6599">
          <a:extLst xmlns:a="http://schemas.openxmlformats.org/drawingml/2006/main">
            <a:ext uri="{FF2B5EF4-FFF2-40B4-BE49-F238E27FC236}">
              <a16:creationId xmlns:a16="http://schemas.microsoft.com/office/drawing/2014/main" id="{A2E7BBBD-B196-18F3-35B6-339F175AE533}"/>
            </a:ext>
          </a:extLst>
        </cdr:cNvPr>
        <cdr:cNvSpPr/>
      </cdr:nvSpPr>
      <cdr:spPr>
        <a:xfrm xmlns:a="http://schemas.openxmlformats.org/drawingml/2006/main">
          <a:off x="3376438" y="4521172"/>
          <a:ext cx="163581" cy="187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581" h="187950">
              <a:moveTo>
                <a:pt x="121509" y="24764"/>
              </a:moveTo>
              <a:lnTo>
                <a:pt x="0" y="150446"/>
              </a:lnTo>
              <a:lnTo>
                <a:pt x="0" y="187949"/>
              </a:lnTo>
              <a:lnTo>
                <a:pt x="136655" y="46602"/>
              </a:lnTo>
              <a:lnTo>
                <a:pt x="163580" y="18752"/>
              </a:lnTo>
              <a:lnTo>
                <a:pt x="1454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0.85304</cdr:x>
      <cdr:y>0.46494</cdr:y>
    </cdr:from>
    <cdr:to>
      <cdr:x>0.87396</cdr:x>
      <cdr:y>0.49063</cdr:y>
    </cdr:to>
    <cdr:sp macro="" textlink="">
      <cdr:nvSpPr>
        <cdr:cNvPr id="691" name="FracNo 914 StartRow 6608">
          <a:extLst xmlns:a="http://schemas.openxmlformats.org/drawingml/2006/main">
            <a:ext uri="{FF2B5EF4-FFF2-40B4-BE49-F238E27FC236}">
              <a16:creationId xmlns:a16="http://schemas.microsoft.com/office/drawing/2014/main" id="{C8F73A17-AD89-5881-F3BC-0D23196D4780}"/>
            </a:ext>
          </a:extLst>
        </cdr:cNvPr>
        <cdr:cNvSpPr/>
      </cdr:nvSpPr>
      <cdr:spPr>
        <a:xfrm xmlns:a="http://schemas.openxmlformats.org/drawingml/2006/main">
          <a:off x="6240187" y="3542860"/>
          <a:ext cx="153009" cy="195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009" h="195769">
              <a:moveTo>
                <a:pt x="106924" y="47667"/>
              </a:moveTo>
              <a:lnTo>
                <a:pt x="0" y="158264"/>
              </a:lnTo>
              <a:lnTo>
                <a:pt x="0" y="195768"/>
              </a:lnTo>
              <a:lnTo>
                <a:pt x="106924" y="85171"/>
              </a:lnTo>
              <a:lnTo>
                <a:pt x="153008" y="37504"/>
              </a:lnTo>
              <a:lnTo>
                <a:pt x="1530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0.41017</cdr:x>
      <cdr:y>0.53513</cdr:y>
    </cdr:from>
    <cdr:to>
      <cdr:x>0.43347</cdr:x>
      <cdr:y>0.55826</cdr:y>
    </cdr:to>
    <cdr:sp macro="" textlink="">
      <cdr:nvSpPr>
        <cdr:cNvPr id="692" name="FracNo 928 StartRow 6617">
          <a:extLst xmlns:a="http://schemas.openxmlformats.org/drawingml/2006/main">
            <a:ext uri="{FF2B5EF4-FFF2-40B4-BE49-F238E27FC236}">
              <a16:creationId xmlns:a16="http://schemas.microsoft.com/office/drawing/2014/main" id="{B73BDF1A-86DB-752E-6776-5A2D7E9214B8}"/>
            </a:ext>
          </a:extLst>
        </cdr:cNvPr>
        <cdr:cNvSpPr/>
      </cdr:nvSpPr>
      <cdr:spPr>
        <a:xfrm xmlns:a="http://schemas.openxmlformats.org/drawingml/2006/main">
          <a:off x="3000507" y="4077672"/>
          <a:ext cx="170397" cy="176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97" h="176249">
              <a:moveTo>
                <a:pt x="48898" y="50578"/>
              </a:moveTo>
              <a:lnTo>
                <a:pt x="0" y="0"/>
              </a:lnTo>
              <a:lnTo>
                <a:pt x="36258" y="0"/>
              </a:lnTo>
              <a:lnTo>
                <a:pt x="74752" y="39815"/>
              </a:lnTo>
              <a:lnTo>
                <a:pt x="170396" y="138744"/>
              </a:lnTo>
              <a:lnTo>
                <a:pt x="170396" y="1762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0.78972</cdr:x>
      <cdr:y>0.88836</cdr:y>
    </cdr:from>
    <cdr:to>
      <cdr:x>0.8105</cdr:x>
      <cdr:y>0.91392</cdr:y>
    </cdr:to>
    <cdr:sp macro="" textlink="">
      <cdr:nvSpPr>
        <cdr:cNvPr id="693" name="FracNo 1197 StartRow 6626">
          <a:extLst xmlns:a="http://schemas.openxmlformats.org/drawingml/2006/main">
            <a:ext uri="{FF2B5EF4-FFF2-40B4-BE49-F238E27FC236}">
              <a16:creationId xmlns:a16="http://schemas.microsoft.com/office/drawing/2014/main" id="{403E4993-96F8-FBCD-B478-57BE2E0138E1}"/>
            </a:ext>
          </a:extLst>
        </cdr:cNvPr>
        <cdr:cNvSpPr/>
      </cdr:nvSpPr>
      <cdr:spPr>
        <a:xfrm xmlns:a="http://schemas.openxmlformats.org/drawingml/2006/main">
          <a:off x="5776935" y="6769306"/>
          <a:ext cx="152045" cy="194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045" h="194770">
              <a:moveTo>
                <a:pt x="12053" y="144798"/>
              </a:moveTo>
              <a:lnTo>
                <a:pt x="0" y="157265"/>
              </a:lnTo>
              <a:lnTo>
                <a:pt x="0" y="194769"/>
              </a:lnTo>
              <a:lnTo>
                <a:pt x="12053" y="182302"/>
              </a:lnTo>
              <a:lnTo>
                <a:pt x="152044" y="37504"/>
              </a:lnTo>
              <a:lnTo>
                <a:pt x="1520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0.78191</cdr:x>
      <cdr:y>0.88061</cdr:y>
    </cdr:from>
    <cdr:to>
      <cdr:x>0.8027</cdr:x>
      <cdr:y>0.90617</cdr:y>
    </cdr:to>
    <cdr:sp macro="" textlink="">
      <cdr:nvSpPr>
        <cdr:cNvPr id="694" name="FracNo 1181 StartRow 6635">
          <a:extLst xmlns:a="http://schemas.openxmlformats.org/drawingml/2006/main">
            <a:ext uri="{FF2B5EF4-FFF2-40B4-BE49-F238E27FC236}">
              <a16:creationId xmlns:a16="http://schemas.microsoft.com/office/drawing/2014/main" id="{B6538A9A-721F-0436-B117-0DAB702CA020}"/>
            </a:ext>
          </a:extLst>
        </cdr:cNvPr>
        <cdr:cNvSpPr/>
      </cdr:nvSpPr>
      <cdr:spPr>
        <a:xfrm xmlns:a="http://schemas.openxmlformats.org/drawingml/2006/main">
          <a:off x="5719856" y="6710267"/>
          <a:ext cx="152045" cy="194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045" h="194770">
              <a:moveTo>
                <a:pt x="33224" y="122901"/>
              </a:moveTo>
              <a:lnTo>
                <a:pt x="0" y="157265"/>
              </a:lnTo>
              <a:lnTo>
                <a:pt x="0" y="194769"/>
              </a:lnTo>
              <a:lnTo>
                <a:pt x="33224" y="160404"/>
              </a:lnTo>
              <a:lnTo>
                <a:pt x="152044" y="37504"/>
              </a:lnTo>
              <a:lnTo>
                <a:pt x="1520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0.29955</cdr:x>
      <cdr:y>0.70187</cdr:y>
    </cdr:from>
    <cdr:to>
      <cdr:x>0.32267</cdr:x>
      <cdr:y>0.72483</cdr:y>
    </cdr:to>
    <cdr:sp macro="" textlink="">
      <cdr:nvSpPr>
        <cdr:cNvPr id="695" name="FracNo 1186 StartRow 6644">
          <a:extLst xmlns:a="http://schemas.openxmlformats.org/drawingml/2006/main">
            <a:ext uri="{FF2B5EF4-FFF2-40B4-BE49-F238E27FC236}">
              <a16:creationId xmlns:a16="http://schemas.microsoft.com/office/drawing/2014/main" id="{E07E2416-88DF-DACF-1420-2694342EC49E}"/>
            </a:ext>
          </a:extLst>
        </cdr:cNvPr>
        <cdr:cNvSpPr/>
      </cdr:nvSpPr>
      <cdr:spPr>
        <a:xfrm xmlns:a="http://schemas.openxmlformats.org/drawingml/2006/main">
          <a:off x="2191255" y="5348246"/>
          <a:ext cx="169140" cy="174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40" h="174949">
              <a:moveTo>
                <a:pt x="116215" y="17239"/>
              </a:moveTo>
              <a:lnTo>
                <a:pt x="0" y="137445"/>
              </a:lnTo>
              <a:lnTo>
                <a:pt x="0" y="174948"/>
              </a:lnTo>
              <a:lnTo>
                <a:pt x="147926" y="21942"/>
              </a:lnTo>
              <a:lnTo>
                <a:pt x="169139" y="0"/>
              </a:lnTo>
              <a:lnTo>
                <a:pt x="1328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0.54886</cdr:y>
    </cdr:from>
    <cdr:to>
      <cdr:x>0.11478</cdr:x>
      <cdr:y>0.57167</cdr:y>
    </cdr:to>
    <cdr:sp macro="" textlink="">
      <cdr:nvSpPr>
        <cdr:cNvPr id="696" name="FracNo 814 StartRow 6653">
          <a:extLst xmlns:a="http://schemas.openxmlformats.org/drawingml/2006/main">
            <a:ext uri="{FF2B5EF4-FFF2-40B4-BE49-F238E27FC236}">
              <a16:creationId xmlns:a16="http://schemas.microsoft.com/office/drawing/2014/main" id="{34801115-9799-B25D-2316-4F57FB194375}"/>
            </a:ext>
          </a:extLst>
        </cdr:cNvPr>
        <cdr:cNvSpPr/>
      </cdr:nvSpPr>
      <cdr:spPr>
        <a:xfrm xmlns:a="http://schemas.openxmlformats.org/drawingml/2006/main">
          <a:off x="671676" y="4182348"/>
          <a:ext cx="167972" cy="173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72" h="173741">
              <a:moveTo>
                <a:pt x="39527" y="78389"/>
              </a:moveTo>
              <a:lnTo>
                <a:pt x="0" y="37504"/>
              </a:lnTo>
              <a:lnTo>
                <a:pt x="0" y="0"/>
              </a:lnTo>
              <a:lnTo>
                <a:pt x="50409" y="52140"/>
              </a:lnTo>
              <a:lnTo>
                <a:pt x="167971" y="173740"/>
              </a:lnTo>
              <a:lnTo>
                <a:pt x="131712" y="1737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0.40168</cdr:x>
      <cdr:y>0.08439</cdr:y>
    </cdr:from>
    <cdr:to>
      <cdr:x>0.42457</cdr:x>
      <cdr:y>0.10712</cdr:y>
    </cdr:to>
    <cdr:sp macro="" textlink="">
      <cdr:nvSpPr>
        <cdr:cNvPr id="697" name="FracNo 234 StartRow 6662">
          <a:extLst xmlns:a="http://schemas.openxmlformats.org/drawingml/2006/main">
            <a:ext uri="{FF2B5EF4-FFF2-40B4-BE49-F238E27FC236}">
              <a16:creationId xmlns:a16="http://schemas.microsoft.com/office/drawing/2014/main" id="{62C24808-1CE2-9E6C-05C9-D3A9A2E37DB9}"/>
            </a:ext>
          </a:extLst>
        </cdr:cNvPr>
        <cdr:cNvSpPr/>
      </cdr:nvSpPr>
      <cdr:spPr>
        <a:xfrm xmlns:a="http://schemas.openxmlformats.org/drawingml/2006/main">
          <a:off x="2938340" y="643050"/>
          <a:ext cx="167444" cy="173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444" h="173194">
              <a:moveTo>
                <a:pt x="83518" y="123890"/>
              </a:moveTo>
              <a:lnTo>
                <a:pt x="0" y="37504"/>
              </a:lnTo>
              <a:lnTo>
                <a:pt x="0" y="0"/>
              </a:lnTo>
              <a:lnTo>
                <a:pt x="106602" y="110262"/>
              </a:lnTo>
              <a:lnTo>
                <a:pt x="167443" y="173193"/>
              </a:lnTo>
              <a:lnTo>
                <a:pt x="131184" y="1731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0.50312</cdr:x>
      <cdr:y>0.7359</cdr:y>
    </cdr:from>
    <cdr:to>
      <cdr:x>0.52579</cdr:x>
      <cdr:y>0.75842</cdr:y>
    </cdr:to>
    <cdr:sp macro="" textlink="">
      <cdr:nvSpPr>
        <cdr:cNvPr id="698" name="FracNo 978 StartRow 6671">
          <a:extLst xmlns:a="http://schemas.openxmlformats.org/drawingml/2006/main">
            <a:ext uri="{FF2B5EF4-FFF2-40B4-BE49-F238E27FC236}">
              <a16:creationId xmlns:a16="http://schemas.microsoft.com/office/drawing/2014/main" id="{2ECCC8F5-69A6-2720-09E1-21316CC75379}"/>
            </a:ext>
          </a:extLst>
        </cdr:cNvPr>
        <cdr:cNvSpPr/>
      </cdr:nvSpPr>
      <cdr:spPr>
        <a:xfrm xmlns:a="http://schemas.openxmlformats.org/drawingml/2006/main">
          <a:off x="3680410" y="5607564"/>
          <a:ext cx="165877" cy="171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877" h="171573">
              <a:moveTo>
                <a:pt x="23797" y="24614"/>
              </a:moveTo>
              <a:lnTo>
                <a:pt x="0" y="0"/>
              </a:lnTo>
              <a:lnTo>
                <a:pt x="36259" y="0"/>
              </a:lnTo>
              <a:lnTo>
                <a:pt x="54853" y="19233"/>
              </a:lnTo>
              <a:lnTo>
                <a:pt x="165876" y="134068"/>
              </a:lnTo>
              <a:lnTo>
                <a:pt x="165876" y="1715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0.48264</cdr:x>
      <cdr:y>0.91013</cdr:y>
    </cdr:from>
    <cdr:to>
      <cdr:x>0.50772</cdr:x>
      <cdr:y>0.9301</cdr:y>
    </cdr:to>
    <cdr:sp macro="" textlink="">
      <cdr:nvSpPr>
        <cdr:cNvPr id="699" name="FracNo 1077 StartRow 6680">
          <a:extLst xmlns:a="http://schemas.openxmlformats.org/drawingml/2006/main">
            <a:ext uri="{FF2B5EF4-FFF2-40B4-BE49-F238E27FC236}">
              <a16:creationId xmlns:a16="http://schemas.microsoft.com/office/drawing/2014/main" id="{DE3789DA-BDCD-2E8A-7468-185F9C56C58C}"/>
            </a:ext>
          </a:extLst>
        </cdr:cNvPr>
        <cdr:cNvSpPr/>
      </cdr:nvSpPr>
      <cdr:spPr>
        <a:xfrm xmlns:a="http://schemas.openxmlformats.org/drawingml/2006/main">
          <a:off x="3530641" y="6935157"/>
          <a:ext cx="183414" cy="152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414" h="152209">
              <a:moveTo>
                <a:pt x="38567" y="112317"/>
              </a:moveTo>
              <a:lnTo>
                <a:pt x="0" y="152208"/>
              </a:lnTo>
              <a:lnTo>
                <a:pt x="36259" y="152208"/>
              </a:lnTo>
              <a:lnTo>
                <a:pt x="74826" y="112317"/>
              </a:lnTo>
              <a:lnTo>
                <a:pt x="183413" y="0"/>
              </a:lnTo>
              <a:lnTo>
                <a:pt x="1471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0.23225</cdr:x>
      <cdr:y>0.50773</cdr:y>
    </cdr:from>
    <cdr:to>
      <cdr:x>0.25464</cdr:x>
      <cdr:y>0.52997</cdr:y>
    </cdr:to>
    <cdr:sp macro="" textlink="">
      <cdr:nvSpPr>
        <cdr:cNvPr id="700" name="FracNo 1109 StartRow 6689">
          <a:extLst xmlns:a="http://schemas.openxmlformats.org/drawingml/2006/main">
            <a:ext uri="{FF2B5EF4-FFF2-40B4-BE49-F238E27FC236}">
              <a16:creationId xmlns:a16="http://schemas.microsoft.com/office/drawing/2014/main" id="{A93F519C-16DC-9213-7645-96C61B1D3163}"/>
            </a:ext>
          </a:extLst>
        </cdr:cNvPr>
        <cdr:cNvSpPr/>
      </cdr:nvSpPr>
      <cdr:spPr>
        <a:xfrm xmlns:a="http://schemas.openxmlformats.org/drawingml/2006/main">
          <a:off x="1698959" y="3868938"/>
          <a:ext cx="163798" cy="169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798" h="169423">
              <a:moveTo>
                <a:pt x="49571" y="51274"/>
              </a:moveTo>
              <a:lnTo>
                <a:pt x="0" y="0"/>
              </a:lnTo>
              <a:lnTo>
                <a:pt x="0" y="37504"/>
              </a:lnTo>
              <a:lnTo>
                <a:pt x="38598" y="77427"/>
              </a:lnTo>
              <a:lnTo>
                <a:pt x="127539" y="169422"/>
              </a:lnTo>
              <a:lnTo>
                <a:pt x="163797" y="1694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0.77529</cdr:y>
    </cdr:from>
    <cdr:to>
      <cdr:x>0.11288</cdr:x>
      <cdr:y>0.79867</cdr:y>
    </cdr:to>
    <cdr:sp macro="" textlink="">
      <cdr:nvSpPr>
        <cdr:cNvPr id="701" name="FracNo 940 StartRow 6698">
          <a:extLst xmlns:a="http://schemas.openxmlformats.org/drawingml/2006/main">
            <a:ext uri="{FF2B5EF4-FFF2-40B4-BE49-F238E27FC236}">
              <a16:creationId xmlns:a16="http://schemas.microsoft.com/office/drawing/2014/main" id="{D4A578BA-578E-831C-993E-2BB561F1E165}"/>
            </a:ext>
          </a:extLst>
        </cdr:cNvPr>
        <cdr:cNvSpPr/>
      </cdr:nvSpPr>
      <cdr:spPr>
        <a:xfrm xmlns:a="http://schemas.openxmlformats.org/drawingml/2006/main">
          <a:off x="671676" y="5907735"/>
          <a:ext cx="154089" cy="178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089" h="178132">
              <a:moveTo>
                <a:pt x="4956" y="42629"/>
              </a:moveTo>
              <a:lnTo>
                <a:pt x="0" y="37504"/>
              </a:lnTo>
              <a:lnTo>
                <a:pt x="0" y="0"/>
              </a:lnTo>
              <a:lnTo>
                <a:pt x="5616" y="5809"/>
              </a:lnTo>
              <a:lnTo>
                <a:pt x="154088" y="159379"/>
              </a:lnTo>
              <a:lnTo>
                <a:pt x="135958" y="1781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0.57977</cdr:x>
      <cdr:y>0.73797</cdr:y>
    </cdr:from>
    <cdr:to>
      <cdr:x>0.59956</cdr:x>
      <cdr:y>0.76253</cdr:y>
    </cdr:to>
    <cdr:sp macro="" textlink="">
      <cdr:nvSpPr>
        <cdr:cNvPr id="702" name="FracNo 866 StartRow 6707">
          <a:extLst xmlns:a="http://schemas.openxmlformats.org/drawingml/2006/main">
            <a:ext uri="{FF2B5EF4-FFF2-40B4-BE49-F238E27FC236}">
              <a16:creationId xmlns:a16="http://schemas.microsoft.com/office/drawing/2014/main" id="{F9704DBF-F07C-62DE-2C4D-97D0EB397E19}"/>
            </a:ext>
          </a:extLst>
        </cdr:cNvPr>
        <cdr:cNvSpPr/>
      </cdr:nvSpPr>
      <cdr:spPr>
        <a:xfrm xmlns:a="http://schemas.openxmlformats.org/drawingml/2006/main">
          <a:off x="4241170" y="5623315"/>
          <a:ext cx="144723" cy="187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723" h="187196">
              <a:moveTo>
                <a:pt x="131142" y="51550"/>
              </a:moveTo>
              <a:lnTo>
                <a:pt x="0" y="187195"/>
              </a:lnTo>
              <a:lnTo>
                <a:pt x="0" y="149692"/>
              </a:lnTo>
              <a:lnTo>
                <a:pt x="131142" y="14046"/>
              </a:lnTo>
              <a:lnTo>
                <a:pt x="144722" y="0"/>
              </a:lnTo>
              <a:lnTo>
                <a:pt x="14472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0.12367</cdr:x>
      <cdr:y>0.56725</cdr:y>
    </cdr:from>
    <cdr:to>
      <cdr:x>0.14581</cdr:x>
      <cdr:y>0.58923</cdr:y>
    </cdr:to>
    <cdr:sp macro="" textlink="">
      <cdr:nvSpPr>
        <cdr:cNvPr id="703" name="FracNo 945 StartRow 6716">
          <a:extLst xmlns:a="http://schemas.openxmlformats.org/drawingml/2006/main">
            <a:ext uri="{FF2B5EF4-FFF2-40B4-BE49-F238E27FC236}">
              <a16:creationId xmlns:a16="http://schemas.microsoft.com/office/drawing/2014/main" id="{36A1BFE1-FB1C-690C-326F-E05B187A7026}"/>
            </a:ext>
          </a:extLst>
        </cdr:cNvPr>
        <cdr:cNvSpPr/>
      </cdr:nvSpPr>
      <cdr:spPr>
        <a:xfrm xmlns:a="http://schemas.openxmlformats.org/drawingml/2006/main">
          <a:off x="904660" y="4322429"/>
          <a:ext cx="161957" cy="167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957" h="167518">
              <a:moveTo>
                <a:pt x="153326" y="8926"/>
              </a:moveTo>
              <a:lnTo>
                <a:pt x="0" y="167517"/>
              </a:lnTo>
              <a:lnTo>
                <a:pt x="0" y="130014"/>
              </a:lnTo>
              <a:lnTo>
                <a:pt x="118999" y="6928"/>
              </a:lnTo>
              <a:lnTo>
                <a:pt x="125697" y="0"/>
              </a:lnTo>
              <a:lnTo>
                <a:pt x="1619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0.85321</cdr:y>
    </cdr:from>
    <cdr:to>
      <cdr:x>0.11385</cdr:x>
      <cdr:y>0.87509</cdr:y>
    </cdr:to>
    <cdr:sp macro="" textlink="">
      <cdr:nvSpPr>
        <cdr:cNvPr id="704" name="FracNo 1009 StartRow 6725">
          <a:extLst xmlns:a="http://schemas.openxmlformats.org/drawingml/2006/main">
            <a:ext uri="{FF2B5EF4-FFF2-40B4-BE49-F238E27FC236}">
              <a16:creationId xmlns:a16="http://schemas.microsoft.com/office/drawing/2014/main" id="{F00BFE0F-DEFA-1BDC-8528-80B7041701BA}"/>
            </a:ext>
          </a:extLst>
        </cdr:cNvPr>
        <cdr:cNvSpPr/>
      </cdr:nvSpPr>
      <cdr:spPr>
        <a:xfrm xmlns:a="http://schemas.openxmlformats.org/drawingml/2006/main">
          <a:off x="671676" y="6501485"/>
          <a:ext cx="161181" cy="166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181" h="166716">
              <a:moveTo>
                <a:pt x="91358" y="94495"/>
              </a:moveTo>
              <a:lnTo>
                <a:pt x="0" y="0"/>
              </a:lnTo>
              <a:lnTo>
                <a:pt x="0" y="37503"/>
              </a:lnTo>
              <a:lnTo>
                <a:pt x="70807" y="110742"/>
              </a:lnTo>
              <a:lnTo>
                <a:pt x="124922" y="166715"/>
              </a:lnTo>
              <a:lnTo>
                <a:pt x="161180" y="1667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0.86147</cdr:x>
      <cdr:y>0.64949</cdr:y>
    </cdr:from>
    <cdr:to>
      <cdr:x>0.88075</cdr:x>
      <cdr:y>0.67356</cdr:y>
    </cdr:to>
    <cdr:sp macro="" textlink="">
      <cdr:nvSpPr>
        <cdr:cNvPr id="705" name="FracNo 994 StartRow 6734">
          <a:extLst xmlns:a="http://schemas.openxmlformats.org/drawingml/2006/main">
            <a:ext uri="{FF2B5EF4-FFF2-40B4-BE49-F238E27FC236}">
              <a16:creationId xmlns:a16="http://schemas.microsoft.com/office/drawing/2014/main" id="{F4E3F142-3045-4412-0351-E54F4712E099}"/>
            </a:ext>
          </a:extLst>
        </cdr:cNvPr>
        <cdr:cNvSpPr/>
      </cdr:nvSpPr>
      <cdr:spPr>
        <a:xfrm xmlns:a="http://schemas.openxmlformats.org/drawingml/2006/main">
          <a:off x="6301836" y="4949139"/>
          <a:ext cx="141049" cy="183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049" h="183396">
              <a:moveTo>
                <a:pt x="122812" y="18862"/>
              </a:moveTo>
              <a:lnTo>
                <a:pt x="0" y="145892"/>
              </a:lnTo>
              <a:lnTo>
                <a:pt x="0" y="183395"/>
              </a:lnTo>
              <a:lnTo>
                <a:pt x="122812" y="56366"/>
              </a:lnTo>
              <a:lnTo>
                <a:pt x="141048" y="37503"/>
              </a:lnTo>
              <a:lnTo>
                <a:pt x="1410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0.30281</cdr:x>
      <cdr:y>0.43767</cdr:y>
    </cdr:from>
    <cdr:to>
      <cdr:x>0.32208</cdr:x>
      <cdr:y>0.46174</cdr:y>
    </cdr:to>
    <cdr:sp macro="" textlink="">
      <cdr:nvSpPr>
        <cdr:cNvPr id="706" name="FracNo 935 StartRow 6743">
          <a:extLst xmlns:a="http://schemas.openxmlformats.org/drawingml/2006/main">
            <a:ext uri="{FF2B5EF4-FFF2-40B4-BE49-F238E27FC236}">
              <a16:creationId xmlns:a16="http://schemas.microsoft.com/office/drawing/2014/main" id="{3F9FCC0D-4F21-21ED-33DA-C26FC884A8B3}"/>
            </a:ext>
          </a:extLst>
        </cdr:cNvPr>
        <cdr:cNvSpPr/>
      </cdr:nvSpPr>
      <cdr:spPr>
        <a:xfrm xmlns:a="http://schemas.openxmlformats.org/drawingml/2006/main">
          <a:off x="2215092" y="3335080"/>
          <a:ext cx="141013" cy="183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013" h="183358">
              <a:moveTo>
                <a:pt x="26336" y="27240"/>
              </a:moveTo>
              <a:lnTo>
                <a:pt x="0" y="0"/>
              </a:lnTo>
              <a:lnTo>
                <a:pt x="0" y="37503"/>
              </a:lnTo>
              <a:lnTo>
                <a:pt x="26336" y="64743"/>
              </a:lnTo>
              <a:lnTo>
                <a:pt x="141012" y="183357"/>
              </a:lnTo>
              <a:lnTo>
                <a:pt x="141012" y="1458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0.76326</cdr:x>
      <cdr:y>0.47331</cdr:y>
    </cdr:from>
    <cdr:to>
      <cdr:x>0.78493</cdr:x>
      <cdr:y>0.49483</cdr:y>
    </cdr:to>
    <cdr:sp macro="" textlink="">
      <cdr:nvSpPr>
        <cdr:cNvPr id="707" name="FracNo 1118 StartRow 6752">
          <a:extLst xmlns:a="http://schemas.openxmlformats.org/drawingml/2006/main">
            <a:ext uri="{FF2B5EF4-FFF2-40B4-BE49-F238E27FC236}">
              <a16:creationId xmlns:a16="http://schemas.microsoft.com/office/drawing/2014/main" id="{108ABC4F-9E47-40C8-AA33-3C4C110554C6}"/>
            </a:ext>
          </a:extLst>
        </cdr:cNvPr>
        <cdr:cNvSpPr/>
      </cdr:nvSpPr>
      <cdr:spPr>
        <a:xfrm xmlns:a="http://schemas.openxmlformats.org/drawingml/2006/main">
          <a:off x="5583368" y="3606591"/>
          <a:ext cx="158546" cy="163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546" h="163991">
              <a:moveTo>
                <a:pt x="102867" y="57590"/>
              </a:moveTo>
              <a:lnTo>
                <a:pt x="0" y="163990"/>
              </a:lnTo>
              <a:lnTo>
                <a:pt x="0" y="126487"/>
              </a:lnTo>
              <a:lnTo>
                <a:pt x="79342" y="44419"/>
              </a:lnTo>
              <a:lnTo>
                <a:pt x="122286" y="0"/>
              </a:lnTo>
              <a:lnTo>
                <a:pt x="1585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0.26612</cdr:x>
      <cdr:y>0.20036</cdr:y>
    </cdr:from>
    <cdr:to>
      <cdr:x>0.2877</cdr:x>
      <cdr:y>0.22179</cdr:y>
    </cdr:to>
    <cdr:sp macro="" textlink="">
      <cdr:nvSpPr>
        <cdr:cNvPr id="708" name="FracNo 733 StartRow 6761">
          <a:extLst xmlns:a="http://schemas.openxmlformats.org/drawingml/2006/main">
            <a:ext uri="{FF2B5EF4-FFF2-40B4-BE49-F238E27FC236}">
              <a16:creationId xmlns:a16="http://schemas.microsoft.com/office/drawing/2014/main" id="{E211760E-D075-750C-24A6-5390B13EABCE}"/>
            </a:ext>
          </a:extLst>
        </cdr:cNvPr>
        <cdr:cNvSpPr/>
      </cdr:nvSpPr>
      <cdr:spPr>
        <a:xfrm xmlns:a="http://schemas.openxmlformats.org/drawingml/2006/main">
          <a:off x="1946745" y="1526753"/>
          <a:ext cx="157839" cy="163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839" h="163259">
              <a:moveTo>
                <a:pt x="88040" y="109699"/>
              </a:moveTo>
              <a:lnTo>
                <a:pt x="36259" y="163258"/>
              </a:lnTo>
              <a:lnTo>
                <a:pt x="0" y="163258"/>
              </a:lnTo>
              <a:lnTo>
                <a:pt x="67224" y="93725"/>
              </a:lnTo>
              <a:lnTo>
                <a:pt x="157838" y="0"/>
              </a:lnTo>
              <a:lnTo>
                <a:pt x="15783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0.88425</cdr:x>
      <cdr:y>0.18082</cdr:y>
    </cdr:from>
    <cdr:to>
      <cdr:x>0.90323</cdr:x>
      <cdr:y>0.20459</cdr:y>
    </cdr:to>
    <cdr:sp macro="" textlink="">
      <cdr:nvSpPr>
        <cdr:cNvPr id="709" name="FracNo 1156 StartRow 6770">
          <a:extLst xmlns:a="http://schemas.openxmlformats.org/drawingml/2006/main">
            <a:ext uri="{FF2B5EF4-FFF2-40B4-BE49-F238E27FC236}">
              <a16:creationId xmlns:a16="http://schemas.microsoft.com/office/drawing/2014/main" id="{4C869A59-E30E-8470-0FF4-1EBC18523C20}"/>
            </a:ext>
          </a:extLst>
        </cdr:cNvPr>
        <cdr:cNvSpPr/>
      </cdr:nvSpPr>
      <cdr:spPr>
        <a:xfrm xmlns:a="http://schemas.openxmlformats.org/drawingml/2006/main">
          <a:off x="6468433" y="1377881"/>
          <a:ext cx="138852" cy="181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852" h="181124">
              <a:moveTo>
                <a:pt x="48292" y="49950"/>
              </a:moveTo>
              <a:lnTo>
                <a:pt x="0" y="0"/>
              </a:lnTo>
              <a:lnTo>
                <a:pt x="0" y="37504"/>
              </a:lnTo>
              <a:lnTo>
                <a:pt x="48292" y="87454"/>
              </a:lnTo>
              <a:lnTo>
                <a:pt x="138851" y="181123"/>
              </a:lnTo>
              <a:lnTo>
                <a:pt x="138851" y="1436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0.16627</cdr:x>
      <cdr:y>0.26117</cdr:y>
    </cdr:from>
    <cdr:to>
      <cdr:x>0.18523</cdr:x>
      <cdr:y>0.28492</cdr:y>
    </cdr:to>
    <cdr:sp macro="" textlink="">
      <cdr:nvSpPr>
        <cdr:cNvPr id="710" name="FracNo 1130 StartRow 6779">
          <a:extLst xmlns:a="http://schemas.openxmlformats.org/drawingml/2006/main">
            <a:ext uri="{FF2B5EF4-FFF2-40B4-BE49-F238E27FC236}">
              <a16:creationId xmlns:a16="http://schemas.microsoft.com/office/drawing/2014/main" id="{482C0FC4-CFE1-BC20-5FFC-D784F66E341C}"/>
            </a:ext>
          </a:extLst>
        </cdr:cNvPr>
        <cdr:cNvSpPr/>
      </cdr:nvSpPr>
      <cdr:spPr>
        <a:xfrm xmlns:a="http://schemas.openxmlformats.org/drawingml/2006/main">
          <a:off x="1216329" y="1990099"/>
          <a:ext cx="138692" cy="180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692" h="180959">
              <a:moveTo>
                <a:pt x="11460" y="131601"/>
              </a:moveTo>
              <a:lnTo>
                <a:pt x="0" y="143455"/>
              </a:lnTo>
              <a:lnTo>
                <a:pt x="0" y="180958"/>
              </a:lnTo>
              <a:lnTo>
                <a:pt x="11460" y="169104"/>
              </a:lnTo>
              <a:lnTo>
                <a:pt x="138691" y="37504"/>
              </a:lnTo>
              <a:lnTo>
                <a:pt x="1386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0.33766</cdr:x>
      <cdr:y>0.40311</cdr:y>
    </cdr:from>
    <cdr:to>
      <cdr:x>0.35657</cdr:x>
      <cdr:y>0.42681</cdr:y>
    </cdr:to>
    <cdr:sp macro="" textlink="">
      <cdr:nvSpPr>
        <cdr:cNvPr id="711" name="FracNo 1052 StartRow 6788">
          <a:extLst xmlns:a="http://schemas.openxmlformats.org/drawingml/2006/main">
            <a:ext uri="{FF2B5EF4-FFF2-40B4-BE49-F238E27FC236}">
              <a16:creationId xmlns:a16="http://schemas.microsoft.com/office/drawing/2014/main" id="{3007E588-5224-C8D4-23A9-D4266C4EFDEA}"/>
            </a:ext>
          </a:extLst>
        </cdr:cNvPr>
        <cdr:cNvSpPr/>
      </cdr:nvSpPr>
      <cdr:spPr>
        <a:xfrm xmlns:a="http://schemas.openxmlformats.org/drawingml/2006/main">
          <a:off x="2470072" y="3071699"/>
          <a:ext cx="138332" cy="1805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332" h="180585">
              <a:moveTo>
                <a:pt x="20822" y="21537"/>
              </a:moveTo>
              <a:lnTo>
                <a:pt x="0" y="0"/>
              </a:lnTo>
              <a:lnTo>
                <a:pt x="0" y="37503"/>
              </a:lnTo>
              <a:lnTo>
                <a:pt x="20822" y="59040"/>
              </a:lnTo>
              <a:lnTo>
                <a:pt x="138331" y="180584"/>
              </a:lnTo>
              <a:lnTo>
                <a:pt x="138331" y="1430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0.40903</cdr:x>
      <cdr:y>0.87625</cdr:y>
    </cdr:from>
    <cdr:to>
      <cdr:x>0.43155</cdr:x>
      <cdr:y>0.89616</cdr:y>
    </cdr:to>
    <cdr:sp macro="" textlink="">
      <cdr:nvSpPr>
        <cdr:cNvPr id="712" name="FracNo 1001 StartRow 6797">
          <a:extLst xmlns:a="http://schemas.openxmlformats.org/drawingml/2006/main">
            <a:ext uri="{FF2B5EF4-FFF2-40B4-BE49-F238E27FC236}">
              <a16:creationId xmlns:a16="http://schemas.microsoft.com/office/drawing/2014/main" id="{82D0B5D3-A0EC-CC0D-56DC-750476175B5B}"/>
            </a:ext>
          </a:extLst>
        </cdr:cNvPr>
        <cdr:cNvSpPr/>
      </cdr:nvSpPr>
      <cdr:spPr>
        <a:xfrm xmlns:a="http://schemas.openxmlformats.org/drawingml/2006/main">
          <a:off x="2992107" y="6677006"/>
          <a:ext cx="164792" cy="151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92" h="151699">
              <a:moveTo>
                <a:pt x="8872" y="9176"/>
              </a:moveTo>
              <a:lnTo>
                <a:pt x="0" y="0"/>
              </a:lnTo>
              <a:lnTo>
                <a:pt x="36259" y="0"/>
              </a:lnTo>
              <a:lnTo>
                <a:pt x="44034" y="8042"/>
              </a:lnTo>
              <a:lnTo>
                <a:pt x="164791" y="132946"/>
              </a:lnTo>
              <a:lnTo>
                <a:pt x="146662" y="1516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0.89333</cdr:x>
      <cdr:y>0.25917</cdr:y>
    </cdr:from>
    <cdr:to>
      <cdr:x>0.91462</cdr:x>
      <cdr:y>0.2803</cdr:y>
    </cdr:to>
    <cdr:sp macro="" textlink="">
      <cdr:nvSpPr>
        <cdr:cNvPr id="713" name="FracNo 557 StartRow 6806">
          <a:extLst xmlns:a="http://schemas.openxmlformats.org/drawingml/2006/main">
            <a:ext uri="{FF2B5EF4-FFF2-40B4-BE49-F238E27FC236}">
              <a16:creationId xmlns:a16="http://schemas.microsoft.com/office/drawing/2014/main" id="{6B507A32-5CA6-EBED-132B-E7124DAFCFD4}"/>
            </a:ext>
          </a:extLst>
        </cdr:cNvPr>
        <cdr:cNvSpPr/>
      </cdr:nvSpPr>
      <cdr:spPr>
        <a:xfrm xmlns:a="http://schemas.openxmlformats.org/drawingml/2006/main">
          <a:off x="6534910" y="1974860"/>
          <a:ext cx="155706" cy="161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706" h="161053">
              <a:moveTo>
                <a:pt x="109072" y="75314"/>
              </a:moveTo>
              <a:lnTo>
                <a:pt x="36258" y="0"/>
              </a:lnTo>
              <a:lnTo>
                <a:pt x="0" y="0"/>
              </a:lnTo>
              <a:lnTo>
                <a:pt x="94916" y="98176"/>
              </a:lnTo>
              <a:lnTo>
                <a:pt x="155705" y="161052"/>
              </a:lnTo>
              <a:lnTo>
                <a:pt x="155705" y="1235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0.66344</cdr:x>
      <cdr:y>0.63121</cdr:y>
    </cdr:from>
    <cdr:to>
      <cdr:x>0.68471</cdr:x>
      <cdr:y>0.65232</cdr:y>
    </cdr:to>
    <cdr:sp macro="" textlink="">
      <cdr:nvSpPr>
        <cdr:cNvPr id="714" name="FracNo 871 StartRow 6815">
          <a:extLst xmlns:a="http://schemas.openxmlformats.org/drawingml/2006/main">
            <a:ext uri="{FF2B5EF4-FFF2-40B4-BE49-F238E27FC236}">
              <a16:creationId xmlns:a16="http://schemas.microsoft.com/office/drawing/2014/main" id="{34A7E071-D830-294F-6E57-2BA830628E35}"/>
            </a:ext>
          </a:extLst>
        </cdr:cNvPr>
        <cdr:cNvSpPr/>
      </cdr:nvSpPr>
      <cdr:spPr>
        <a:xfrm xmlns:a="http://schemas.openxmlformats.org/drawingml/2006/main">
          <a:off x="4853228" y="4809796"/>
          <a:ext cx="155575" cy="160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575" h="160917">
              <a:moveTo>
                <a:pt x="39173" y="78022"/>
              </a:moveTo>
              <a:lnTo>
                <a:pt x="0" y="37503"/>
              </a:lnTo>
              <a:lnTo>
                <a:pt x="0" y="0"/>
              </a:lnTo>
              <a:lnTo>
                <a:pt x="51964" y="53748"/>
              </a:lnTo>
              <a:lnTo>
                <a:pt x="124994" y="129285"/>
              </a:lnTo>
              <a:lnTo>
                <a:pt x="155574" y="160916"/>
              </a:lnTo>
              <a:lnTo>
                <a:pt x="119315" y="160916"/>
              </a:lnTo>
              <a:lnTo>
                <a:pt x="94227" y="1349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0.16745</cdr:x>
      <cdr:y>0.08544</cdr:y>
    </cdr:from>
    <cdr:to>
      <cdr:x>0.18995</cdr:x>
      <cdr:y>0.10532</cdr:y>
    </cdr:to>
    <cdr:sp macro="" textlink="">
      <cdr:nvSpPr>
        <cdr:cNvPr id="715" name="FracNo 320 StartRow 6826">
          <a:extLst xmlns:a="http://schemas.openxmlformats.org/drawingml/2006/main">
            <a:ext uri="{FF2B5EF4-FFF2-40B4-BE49-F238E27FC236}">
              <a16:creationId xmlns:a16="http://schemas.microsoft.com/office/drawing/2014/main" id="{710D1F0E-2D42-5051-E0A4-2B7F0BCFB2B6}"/>
            </a:ext>
          </a:extLst>
        </cdr:cNvPr>
        <cdr:cNvSpPr/>
      </cdr:nvSpPr>
      <cdr:spPr>
        <a:xfrm xmlns:a="http://schemas.openxmlformats.org/drawingml/2006/main">
          <a:off x="1224897" y="651036"/>
          <a:ext cx="164626" cy="151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626" h="151528">
              <a:moveTo>
                <a:pt x="54824" y="19203"/>
              </a:moveTo>
              <a:lnTo>
                <a:pt x="36258" y="0"/>
              </a:lnTo>
              <a:lnTo>
                <a:pt x="0" y="0"/>
              </a:lnTo>
              <a:lnTo>
                <a:pt x="21188" y="21916"/>
              </a:lnTo>
              <a:lnTo>
                <a:pt x="146496" y="151527"/>
              </a:lnTo>
              <a:lnTo>
                <a:pt x="164625" y="1327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0.44372</cdr:x>
      <cdr:y>0.18063</cdr:y>
    </cdr:from>
    <cdr:to>
      <cdr:x>0.46492</cdr:x>
      <cdr:y>0.20168</cdr:y>
    </cdr:to>
    <cdr:sp macro="" textlink="">
      <cdr:nvSpPr>
        <cdr:cNvPr id="716" name="FracNo 853 StartRow 6835">
          <a:extLst xmlns:a="http://schemas.openxmlformats.org/drawingml/2006/main">
            <a:ext uri="{FF2B5EF4-FFF2-40B4-BE49-F238E27FC236}">
              <a16:creationId xmlns:a16="http://schemas.microsoft.com/office/drawing/2014/main" id="{53393D35-E889-8F35-BB8B-C4F1CB0034C6}"/>
            </a:ext>
          </a:extLst>
        </cdr:cNvPr>
        <cdr:cNvSpPr/>
      </cdr:nvSpPr>
      <cdr:spPr>
        <a:xfrm xmlns:a="http://schemas.openxmlformats.org/drawingml/2006/main">
          <a:off x="3245936" y="1376417"/>
          <a:ext cx="155067" cy="160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67" h="160391">
              <a:moveTo>
                <a:pt x="87752" y="69625"/>
              </a:moveTo>
              <a:lnTo>
                <a:pt x="0" y="160390"/>
              </a:lnTo>
              <a:lnTo>
                <a:pt x="36259" y="160390"/>
              </a:lnTo>
              <a:lnTo>
                <a:pt x="103491" y="90848"/>
              </a:lnTo>
              <a:lnTo>
                <a:pt x="155066" y="37503"/>
              </a:lnTo>
              <a:lnTo>
                <a:pt x="1550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0.36861</cdr:x>
      <cdr:y>0.72082</cdr:y>
    </cdr:from>
    <cdr:to>
      <cdr:x>0.38848</cdr:x>
      <cdr:y>0.74302</cdr:y>
    </cdr:to>
    <cdr:sp macro="" textlink="">
      <cdr:nvSpPr>
        <cdr:cNvPr id="717" name="FracNo 33 StartRow 6844">
          <a:extLst xmlns:a="http://schemas.openxmlformats.org/drawingml/2006/main">
            <a:ext uri="{FF2B5EF4-FFF2-40B4-BE49-F238E27FC236}">
              <a16:creationId xmlns:a16="http://schemas.microsoft.com/office/drawing/2014/main" id="{75CAD059-1EEF-0CEC-F8A0-812825A64598}"/>
            </a:ext>
          </a:extLst>
        </cdr:cNvPr>
        <cdr:cNvSpPr/>
      </cdr:nvSpPr>
      <cdr:spPr>
        <a:xfrm xmlns:a="http://schemas.openxmlformats.org/drawingml/2006/main">
          <a:off x="2696437" y="5492641"/>
          <a:ext cx="145388" cy="169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388" h="169134">
              <a:moveTo>
                <a:pt x="0" y="150381"/>
              </a:moveTo>
              <a:lnTo>
                <a:pt x="18129" y="169133"/>
              </a:lnTo>
              <a:lnTo>
                <a:pt x="55829" y="130138"/>
              </a:lnTo>
              <a:lnTo>
                <a:pt x="145387" y="37504"/>
              </a:lnTo>
              <a:lnTo>
                <a:pt x="145387" y="0"/>
              </a:lnTo>
              <a:lnTo>
                <a:pt x="43070" y="105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0.21434</cdr:x>
      <cdr:y>0.90564</cdr:y>
    </cdr:from>
    <cdr:to>
      <cdr:x>0.23783</cdr:x>
      <cdr:y>0.92404</cdr:y>
    </cdr:to>
    <cdr:sp macro="" textlink="">
      <cdr:nvSpPr>
        <cdr:cNvPr id="718" name="FracNo 880 StartRow 6853">
          <a:extLst xmlns:a="http://schemas.openxmlformats.org/drawingml/2006/main">
            <a:ext uri="{FF2B5EF4-FFF2-40B4-BE49-F238E27FC236}">
              <a16:creationId xmlns:a16="http://schemas.microsoft.com/office/drawing/2014/main" id="{98FB7A23-16B1-99ED-5D96-19E62DC75F94}"/>
            </a:ext>
          </a:extLst>
        </cdr:cNvPr>
        <cdr:cNvSpPr/>
      </cdr:nvSpPr>
      <cdr:spPr>
        <a:xfrm xmlns:a="http://schemas.openxmlformats.org/drawingml/2006/main">
          <a:off x="1567951" y="6900966"/>
          <a:ext cx="171835" cy="140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835" h="140233">
              <a:moveTo>
                <a:pt x="50158" y="125855"/>
              </a:moveTo>
              <a:lnTo>
                <a:pt x="36259" y="140232"/>
              </a:lnTo>
              <a:lnTo>
                <a:pt x="0" y="140232"/>
              </a:lnTo>
              <a:lnTo>
                <a:pt x="13900" y="125855"/>
              </a:lnTo>
              <a:lnTo>
                <a:pt x="135576" y="0"/>
              </a:lnTo>
              <a:lnTo>
                <a:pt x="1718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0.4258</cdr:x>
      <cdr:y>0.70074</cdr:y>
    </cdr:from>
    <cdr:to>
      <cdr:x>0.44543</cdr:x>
      <cdr:y>0.72268</cdr:y>
    </cdr:to>
    <cdr:sp macro="" textlink="">
      <cdr:nvSpPr>
        <cdr:cNvPr id="719" name="FracNo 843 StartRow 6862">
          <a:extLst xmlns:a="http://schemas.openxmlformats.org/drawingml/2006/main">
            <a:ext uri="{FF2B5EF4-FFF2-40B4-BE49-F238E27FC236}">
              <a16:creationId xmlns:a16="http://schemas.microsoft.com/office/drawing/2014/main" id="{EE435E8E-A9D3-19B3-A51A-C7D6F8E3A3CB}"/>
            </a:ext>
          </a:extLst>
        </cdr:cNvPr>
        <cdr:cNvSpPr/>
      </cdr:nvSpPr>
      <cdr:spPr>
        <a:xfrm xmlns:a="http://schemas.openxmlformats.org/drawingml/2006/main">
          <a:off x="3114844" y="5339641"/>
          <a:ext cx="143531" cy="167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531" h="167213">
              <a:moveTo>
                <a:pt x="92090" y="90711"/>
              </a:moveTo>
              <a:lnTo>
                <a:pt x="18129" y="167212"/>
              </a:lnTo>
              <a:lnTo>
                <a:pt x="0" y="148460"/>
              </a:lnTo>
              <a:lnTo>
                <a:pt x="84653" y="60899"/>
              </a:lnTo>
              <a:lnTo>
                <a:pt x="143530" y="0"/>
              </a:lnTo>
              <a:lnTo>
                <a:pt x="14353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0.32188</cdr:y>
    </cdr:from>
    <cdr:to>
      <cdr:x>0.11268</cdr:x>
      <cdr:y>0.34259</cdr:y>
    </cdr:to>
    <cdr:sp macro="" textlink="">
      <cdr:nvSpPr>
        <cdr:cNvPr id="720" name="FracNo 910 StartRow 6871">
          <a:extLst xmlns:a="http://schemas.openxmlformats.org/drawingml/2006/main">
            <a:ext uri="{FF2B5EF4-FFF2-40B4-BE49-F238E27FC236}">
              <a16:creationId xmlns:a16="http://schemas.microsoft.com/office/drawing/2014/main" id="{A5A9DFE5-6A69-6619-F19F-D2CA564D7429}"/>
            </a:ext>
          </a:extLst>
        </cdr:cNvPr>
        <cdr:cNvSpPr/>
      </cdr:nvSpPr>
      <cdr:spPr>
        <a:xfrm xmlns:a="http://schemas.openxmlformats.org/drawingml/2006/main">
          <a:off x="671676" y="2452694"/>
          <a:ext cx="152593" cy="157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593" h="157833">
              <a:moveTo>
                <a:pt x="12407" y="12832"/>
              </a:moveTo>
              <a:lnTo>
                <a:pt x="0" y="0"/>
              </a:lnTo>
              <a:lnTo>
                <a:pt x="0" y="37503"/>
              </a:lnTo>
              <a:lnTo>
                <a:pt x="9459" y="47287"/>
              </a:lnTo>
              <a:lnTo>
                <a:pt x="116333" y="157832"/>
              </a:lnTo>
              <a:lnTo>
                <a:pt x="152592" y="1578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0.17171</cdr:x>
      <cdr:y>0.87289</cdr:y>
    </cdr:from>
    <cdr:to>
      <cdr:x>0.18992</cdr:x>
      <cdr:y>0.8959</cdr:y>
    </cdr:to>
    <cdr:sp macro="" textlink="">
      <cdr:nvSpPr>
        <cdr:cNvPr id="721" name="FracNo 1154 StartRow 6880">
          <a:extLst xmlns:a="http://schemas.openxmlformats.org/drawingml/2006/main">
            <a:ext uri="{FF2B5EF4-FFF2-40B4-BE49-F238E27FC236}">
              <a16:creationId xmlns:a16="http://schemas.microsoft.com/office/drawing/2014/main" id="{55697C4F-83AA-9FA2-F6D8-C7DBC842C58A}"/>
            </a:ext>
          </a:extLst>
        </cdr:cNvPr>
        <cdr:cNvSpPr/>
      </cdr:nvSpPr>
      <cdr:spPr>
        <a:xfrm xmlns:a="http://schemas.openxmlformats.org/drawingml/2006/main">
          <a:off x="1256112" y="6651433"/>
          <a:ext cx="133212" cy="175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12" h="175290">
              <a:moveTo>
                <a:pt x="6788" y="44525"/>
              </a:moveTo>
              <a:lnTo>
                <a:pt x="0" y="37503"/>
              </a:lnTo>
              <a:lnTo>
                <a:pt x="0" y="0"/>
              </a:lnTo>
              <a:lnTo>
                <a:pt x="6788" y="7021"/>
              </a:lnTo>
              <a:lnTo>
                <a:pt x="133211" y="137786"/>
              </a:lnTo>
              <a:lnTo>
                <a:pt x="133211" y="1752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0.31116</cdr:x>
      <cdr:y>0.64853</cdr:y>
    </cdr:from>
    <cdr:to>
      <cdr:x>0.32933</cdr:x>
      <cdr:y>0.6715</cdr:y>
    </cdr:to>
    <cdr:sp macro="" textlink="">
      <cdr:nvSpPr>
        <cdr:cNvPr id="722" name="FracNo 894 StartRow 6889">
          <a:extLst xmlns:a="http://schemas.openxmlformats.org/drawingml/2006/main">
            <a:ext uri="{FF2B5EF4-FFF2-40B4-BE49-F238E27FC236}">
              <a16:creationId xmlns:a16="http://schemas.microsoft.com/office/drawing/2014/main" id="{0E61A292-2E24-24E2-2A02-E5B7CE3C66AF}"/>
            </a:ext>
          </a:extLst>
        </cdr:cNvPr>
        <cdr:cNvSpPr/>
      </cdr:nvSpPr>
      <cdr:spPr>
        <a:xfrm xmlns:a="http://schemas.openxmlformats.org/drawingml/2006/main">
          <a:off x="2276163" y="4941793"/>
          <a:ext cx="132969" cy="175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969" h="175038">
              <a:moveTo>
                <a:pt x="14602" y="159934"/>
              </a:moveTo>
              <a:lnTo>
                <a:pt x="0" y="175037"/>
              </a:lnTo>
              <a:lnTo>
                <a:pt x="0" y="137534"/>
              </a:lnTo>
              <a:lnTo>
                <a:pt x="14602" y="122431"/>
              </a:lnTo>
              <a:lnTo>
                <a:pt x="132968" y="0"/>
              </a:lnTo>
              <a:lnTo>
                <a:pt x="13296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0.24165</cdr:x>
      <cdr:y>0.2154</cdr:y>
    </cdr:from>
    <cdr:to>
      <cdr:x>0.26465</cdr:x>
      <cdr:y>0.23332</cdr:y>
    </cdr:to>
    <cdr:sp macro="" textlink="">
      <cdr:nvSpPr>
        <cdr:cNvPr id="723" name="FracNo 929 StartRow 6898">
          <a:extLst xmlns:a="http://schemas.openxmlformats.org/drawingml/2006/main">
            <a:ext uri="{FF2B5EF4-FFF2-40B4-BE49-F238E27FC236}">
              <a16:creationId xmlns:a16="http://schemas.microsoft.com/office/drawing/2014/main" id="{425561EF-57A8-3BAE-E8D2-5476D0FE23E6}"/>
            </a:ext>
          </a:extLst>
        </cdr:cNvPr>
        <cdr:cNvSpPr/>
      </cdr:nvSpPr>
      <cdr:spPr>
        <a:xfrm xmlns:a="http://schemas.openxmlformats.org/drawingml/2006/main">
          <a:off x="1767710" y="1641361"/>
          <a:ext cx="168260" cy="136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260" h="136534">
              <a:moveTo>
                <a:pt x="40082" y="132578"/>
              </a:moveTo>
              <a:lnTo>
                <a:pt x="36258" y="136533"/>
              </a:lnTo>
              <a:lnTo>
                <a:pt x="0" y="136533"/>
              </a:lnTo>
              <a:lnTo>
                <a:pt x="3824" y="132578"/>
              </a:lnTo>
              <a:lnTo>
                <a:pt x="132000" y="0"/>
              </a:lnTo>
              <a:lnTo>
                <a:pt x="1682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0.73831</cdr:x>
      <cdr:y>0.56811</cdr:y>
    </cdr:from>
    <cdr:to>
      <cdr:x>0.76121</cdr:x>
      <cdr:y>0.58592</cdr:y>
    </cdr:to>
    <cdr:sp macro="" textlink="">
      <cdr:nvSpPr>
        <cdr:cNvPr id="724" name="FracNo 884 StartRow 6907">
          <a:extLst xmlns:a="http://schemas.openxmlformats.org/drawingml/2006/main">
            <a:ext uri="{FF2B5EF4-FFF2-40B4-BE49-F238E27FC236}">
              <a16:creationId xmlns:a16="http://schemas.microsoft.com/office/drawing/2014/main" id="{F6E08ECE-70FE-07E9-6F43-F323B7E91020}"/>
            </a:ext>
          </a:extLst>
        </cdr:cNvPr>
        <cdr:cNvSpPr/>
      </cdr:nvSpPr>
      <cdr:spPr>
        <a:xfrm xmlns:a="http://schemas.openxmlformats.org/drawingml/2006/main">
          <a:off x="5400906" y="4329014"/>
          <a:ext cx="167480" cy="135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480" h="135727">
              <a:moveTo>
                <a:pt x="56143" y="20567"/>
              </a:moveTo>
              <a:lnTo>
                <a:pt x="36259" y="0"/>
              </a:lnTo>
              <a:lnTo>
                <a:pt x="0" y="0"/>
              </a:lnTo>
              <a:lnTo>
                <a:pt x="19884" y="20567"/>
              </a:lnTo>
              <a:lnTo>
                <a:pt x="131220" y="135726"/>
              </a:lnTo>
              <a:lnTo>
                <a:pt x="167479" y="1357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0.26085</cdr:x>
      <cdr:y>0.19508</cdr:y>
    </cdr:from>
    <cdr:to>
      <cdr:x>0.28001</cdr:x>
      <cdr:y>0.21656</cdr:y>
    </cdr:to>
    <cdr:sp macro="" textlink="">
      <cdr:nvSpPr>
        <cdr:cNvPr id="725" name="FracNo 273 StartRow 6916">
          <a:extLst xmlns:a="http://schemas.openxmlformats.org/drawingml/2006/main">
            <a:ext uri="{FF2B5EF4-FFF2-40B4-BE49-F238E27FC236}">
              <a16:creationId xmlns:a16="http://schemas.microsoft.com/office/drawing/2014/main" id="{ACCE7857-47B7-9D83-BE9C-BCDF6A182BE9}"/>
            </a:ext>
          </a:extLst>
        </cdr:cNvPr>
        <cdr:cNvSpPr/>
      </cdr:nvSpPr>
      <cdr:spPr>
        <a:xfrm xmlns:a="http://schemas.openxmlformats.org/drawingml/2006/main">
          <a:off x="1908206" y="1486472"/>
          <a:ext cx="140114" cy="163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114" h="163678">
              <a:moveTo>
                <a:pt x="114511" y="7729"/>
              </a:moveTo>
              <a:lnTo>
                <a:pt x="0" y="126173"/>
              </a:lnTo>
              <a:lnTo>
                <a:pt x="0" y="163677"/>
              </a:lnTo>
              <a:lnTo>
                <a:pt x="131530" y="27630"/>
              </a:lnTo>
              <a:lnTo>
                <a:pt x="140113" y="18752"/>
              </a:lnTo>
              <a:lnTo>
                <a:pt x="1219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0.86786</cdr:x>
      <cdr:y>0.24218</cdr:y>
    </cdr:from>
    <cdr:to>
      <cdr:x>0.89071</cdr:x>
      <cdr:y>0.25995</cdr:y>
    </cdr:to>
    <cdr:sp macro="" textlink="">
      <cdr:nvSpPr>
        <cdr:cNvPr id="726" name="FracNo 946 StartRow 6925">
          <a:extLst xmlns:a="http://schemas.openxmlformats.org/drawingml/2006/main">
            <a:ext uri="{FF2B5EF4-FFF2-40B4-BE49-F238E27FC236}">
              <a16:creationId xmlns:a16="http://schemas.microsoft.com/office/drawing/2014/main" id="{E1103017-5333-D7EC-8225-EE6EE7597FC6}"/>
            </a:ext>
          </a:extLst>
        </cdr:cNvPr>
        <cdr:cNvSpPr/>
      </cdr:nvSpPr>
      <cdr:spPr>
        <a:xfrm xmlns:a="http://schemas.openxmlformats.org/drawingml/2006/main">
          <a:off x="6348580" y="1845439"/>
          <a:ext cx="167171" cy="135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171" h="135407">
              <a:moveTo>
                <a:pt x="95932" y="73684"/>
              </a:moveTo>
              <a:lnTo>
                <a:pt x="36259" y="135406"/>
              </a:lnTo>
              <a:lnTo>
                <a:pt x="0" y="135406"/>
              </a:lnTo>
              <a:lnTo>
                <a:pt x="59673" y="73684"/>
              </a:lnTo>
              <a:lnTo>
                <a:pt x="130911" y="0"/>
              </a:lnTo>
              <a:lnTo>
                <a:pt x="1671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0.4257</cdr:x>
      <cdr:y>0.72687</cdr:y>
    </cdr:from>
    <cdr:to>
      <cdr:x>0.44596</cdr:x>
      <cdr:y>0.74699</cdr:y>
    </cdr:to>
    <cdr:sp macro="" textlink="">
      <cdr:nvSpPr>
        <cdr:cNvPr id="727" name="FracNo 1227 StartRow 6934">
          <a:extLst xmlns:a="http://schemas.openxmlformats.org/drawingml/2006/main">
            <a:ext uri="{FF2B5EF4-FFF2-40B4-BE49-F238E27FC236}">
              <a16:creationId xmlns:a16="http://schemas.microsoft.com/office/drawing/2014/main" id="{DFDEF6D7-B750-C974-DF38-8455517442B2}"/>
            </a:ext>
          </a:extLst>
        </cdr:cNvPr>
        <cdr:cNvSpPr/>
      </cdr:nvSpPr>
      <cdr:spPr>
        <a:xfrm xmlns:a="http://schemas.openxmlformats.org/drawingml/2006/main">
          <a:off x="3114052" y="5538771"/>
          <a:ext cx="148203" cy="153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203" h="153293">
              <a:moveTo>
                <a:pt x="57853" y="93452"/>
              </a:moveTo>
              <a:lnTo>
                <a:pt x="0" y="153292"/>
              </a:lnTo>
              <a:lnTo>
                <a:pt x="36258" y="153292"/>
              </a:lnTo>
              <a:lnTo>
                <a:pt x="79957" y="108092"/>
              </a:lnTo>
              <a:lnTo>
                <a:pt x="148202" y="37504"/>
              </a:lnTo>
              <a:lnTo>
                <a:pt x="1482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0.51164</cdr:y>
    </cdr:from>
    <cdr:to>
      <cdr:x>0.11197</cdr:x>
      <cdr:y>0.53165</cdr:y>
    </cdr:to>
    <cdr:sp macro="" textlink="">
      <cdr:nvSpPr>
        <cdr:cNvPr id="728" name="FracNo 342 StartRow 6943">
          <a:extLst xmlns:a="http://schemas.openxmlformats.org/drawingml/2006/main">
            <a:ext uri="{FF2B5EF4-FFF2-40B4-BE49-F238E27FC236}">
              <a16:creationId xmlns:a16="http://schemas.microsoft.com/office/drawing/2014/main" id="{EF821BBA-FDB9-A83E-5355-8269720171E9}"/>
            </a:ext>
          </a:extLst>
        </cdr:cNvPr>
        <cdr:cNvSpPr/>
      </cdr:nvSpPr>
      <cdr:spPr>
        <a:xfrm xmlns:a="http://schemas.openxmlformats.org/drawingml/2006/main">
          <a:off x="671676" y="3898661"/>
          <a:ext cx="147427" cy="152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27" h="152490">
              <a:moveTo>
                <a:pt x="1972" y="112946"/>
              </a:moveTo>
              <a:lnTo>
                <a:pt x="0" y="114986"/>
              </a:lnTo>
              <a:lnTo>
                <a:pt x="0" y="152489"/>
              </a:lnTo>
              <a:lnTo>
                <a:pt x="2615" y="149785"/>
              </a:lnTo>
              <a:lnTo>
                <a:pt x="147426" y="0"/>
              </a:lnTo>
              <a:lnTo>
                <a:pt x="1111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0.2661</cdr:x>
      <cdr:y>0.47412</cdr:y>
    </cdr:from>
    <cdr:to>
      <cdr:x>0.28621</cdr:x>
      <cdr:y>0.49409</cdr:y>
    </cdr:to>
    <cdr:sp macro="" textlink="">
      <cdr:nvSpPr>
        <cdr:cNvPr id="729" name="FracNo 1180 StartRow 6952">
          <a:extLst xmlns:a="http://schemas.openxmlformats.org/drawingml/2006/main">
            <a:ext uri="{FF2B5EF4-FFF2-40B4-BE49-F238E27FC236}">
              <a16:creationId xmlns:a16="http://schemas.microsoft.com/office/drawing/2014/main" id="{DEF28A60-0DA6-8A28-0E7B-F6DFA6EC19ED}"/>
            </a:ext>
          </a:extLst>
        </cdr:cNvPr>
        <cdr:cNvSpPr/>
      </cdr:nvSpPr>
      <cdr:spPr>
        <a:xfrm xmlns:a="http://schemas.openxmlformats.org/drawingml/2006/main">
          <a:off x="1946604" y="3612788"/>
          <a:ext cx="147089" cy="152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89" h="152141">
              <a:moveTo>
                <a:pt x="32829" y="33957"/>
              </a:moveTo>
              <a:lnTo>
                <a:pt x="0" y="0"/>
              </a:lnTo>
              <a:lnTo>
                <a:pt x="36258" y="0"/>
              </a:lnTo>
              <a:lnTo>
                <a:pt x="60995" y="25586"/>
              </a:lnTo>
              <a:lnTo>
                <a:pt x="147088" y="114636"/>
              </a:lnTo>
              <a:lnTo>
                <a:pt x="147088" y="152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0.64913</cdr:x>
      <cdr:y>0.35023</cdr:y>
    </cdr:from>
    <cdr:to>
      <cdr:x>0.66923</cdr:x>
      <cdr:y>0.37019</cdr:y>
    </cdr:to>
    <cdr:sp macro="" textlink="">
      <cdr:nvSpPr>
        <cdr:cNvPr id="730" name="FracNo 1074 StartRow 6961">
          <a:extLst xmlns:a="http://schemas.openxmlformats.org/drawingml/2006/main">
            <a:ext uri="{FF2B5EF4-FFF2-40B4-BE49-F238E27FC236}">
              <a16:creationId xmlns:a16="http://schemas.microsoft.com/office/drawing/2014/main" id="{3D2C1B92-C0BD-080B-BCF4-4E2D083FF4AE}"/>
            </a:ext>
          </a:extLst>
        </cdr:cNvPr>
        <cdr:cNvSpPr/>
      </cdr:nvSpPr>
      <cdr:spPr>
        <a:xfrm xmlns:a="http://schemas.openxmlformats.org/drawingml/2006/main">
          <a:off x="4748491" y="2668721"/>
          <a:ext cx="147057" cy="152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57" h="152107">
              <a:moveTo>
                <a:pt x="123674" y="127922"/>
              </a:moveTo>
              <a:lnTo>
                <a:pt x="114452" y="118382"/>
              </a:lnTo>
              <a:lnTo>
                <a:pt x="77765" y="80436"/>
              </a:lnTo>
              <a:lnTo>
                <a:pt x="0" y="0"/>
              </a:lnTo>
              <a:lnTo>
                <a:pt x="0" y="37504"/>
              </a:lnTo>
              <a:lnTo>
                <a:pt x="65447" y="105198"/>
              </a:lnTo>
              <a:lnTo>
                <a:pt x="96322" y="137134"/>
              </a:lnTo>
              <a:lnTo>
                <a:pt x="100417" y="141369"/>
              </a:lnTo>
              <a:lnTo>
                <a:pt x="110797" y="152106"/>
              </a:lnTo>
              <a:lnTo>
                <a:pt x="147056" y="1521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0.1818</cdr:x>
      <cdr:y>0.38267</cdr:y>
    </cdr:from>
    <cdr:to>
      <cdr:x>0.20421</cdr:x>
      <cdr:y>0.4</cdr:y>
    </cdr:to>
    <cdr:sp macro="" textlink="">
      <cdr:nvSpPr>
        <cdr:cNvPr id="731" name="FracNo 1194 StartRow 6974">
          <a:extLst xmlns:a="http://schemas.openxmlformats.org/drawingml/2006/main">
            <a:ext uri="{FF2B5EF4-FFF2-40B4-BE49-F238E27FC236}">
              <a16:creationId xmlns:a16="http://schemas.microsoft.com/office/drawing/2014/main" id="{8BEFA51F-1F15-D9AF-5E80-51497208EC06}"/>
            </a:ext>
          </a:extLst>
        </cdr:cNvPr>
        <cdr:cNvSpPr/>
      </cdr:nvSpPr>
      <cdr:spPr>
        <a:xfrm xmlns:a="http://schemas.openxmlformats.org/drawingml/2006/main">
          <a:off x="1329917" y="2915930"/>
          <a:ext cx="163926" cy="132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926" h="132052">
              <a:moveTo>
                <a:pt x="103411" y="69459"/>
              </a:moveTo>
              <a:lnTo>
                <a:pt x="36259" y="0"/>
              </a:lnTo>
              <a:lnTo>
                <a:pt x="0" y="0"/>
              </a:lnTo>
              <a:lnTo>
                <a:pt x="67153" y="69459"/>
              </a:lnTo>
              <a:lnTo>
                <a:pt x="127667" y="132051"/>
              </a:lnTo>
              <a:lnTo>
                <a:pt x="163925" y="1320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0.45421</cdr:x>
      <cdr:y>0.91157</cdr:y>
    </cdr:from>
    <cdr:to>
      <cdr:x>0.47536</cdr:x>
      <cdr:y>0.9301</cdr:y>
    </cdr:to>
    <cdr:sp macro="" textlink="">
      <cdr:nvSpPr>
        <cdr:cNvPr id="732" name="FracNo 479 StartRow 6983">
          <a:extLst xmlns:a="http://schemas.openxmlformats.org/drawingml/2006/main">
            <a:ext uri="{FF2B5EF4-FFF2-40B4-BE49-F238E27FC236}">
              <a16:creationId xmlns:a16="http://schemas.microsoft.com/office/drawing/2014/main" id="{5DFBCF9F-A36C-260A-47BE-C5B64DD066B2}"/>
            </a:ext>
          </a:extLst>
        </cdr:cNvPr>
        <cdr:cNvSpPr/>
      </cdr:nvSpPr>
      <cdr:spPr>
        <a:xfrm xmlns:a="http://schemas.openxmlformats.org/drawingml/2006/main">
          <a:off x="3322649" y="6946136"/>
          <a:ext cx="154670" cy="141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670" h="141230">
              <a:moveTo>
                <a:pt x="28031" y="47745"/>
              </a:moveTo>
              <a:lnTo>
                <a:pt x="0" y="18752"/>
              </a:lnTo>
              <a:lnTo>
                <a:pt x="18130" y="0"/>
              </a:lnTo>
              <a:lnTo>
                <a:pt x="50452" y="33433"/>
              </a:lnTo>
              <a:lnTo>
                <a:pt x="154669" y="141229"/>
              </a:lnTo>
              <a:lnTo>
                <a:pt x="118411" y="1412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0.68277</cdr:x>
      <cdr:y>0.5114</cdr:y>
    </cdr:from>
    <cdr:to>
      <cdr:x>0.7026</cdr:x>
      <cdr:y>0.53108</cdr:y>
    </cdr:to>
    <cdr:sp macro="" textlink="">
      <cdr:nvSpPr>
        <cdr:cNvPr id="733" name="FracNo 1036 StartRow 6992">
          <a:extLst xmlns:a="http://schemas.openxmlformats.org/drawingml/2006/main">
            <a:ext uri="{FF2B5EF4-FFF2-40B4-BE49-F238E27FC236}">
              <a16:creationId xmlns:a16="http://schemas.microsoft.com/office/drawing/2014/main" id="{FEFFAC1A-785D-D657-4100-197EC52AC1BB}"/>
            </a:ext>
          </a:extLst>
        </cdr:cNvPr>
        <cdr:cNvSpPr/>
      </cdr:nvSpPr>
      <cdr:spPr>
        <a:xfrm xmlns:a="http://schemas.openxmlformats.org/drawingml/2006/main">
          <a:off x="4994630" y="3896874"/>
          <a:ext cx="144996" cy="149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96" h="149975">
              <a:moveTo>
                <a:pt x="85097" y="99459"/>
              </a:moveTo>
              <a:lnTo>
                <a:pt x="36259" y="149974"/>
              </a:lnTo>
              <a:lnTo>
                <a:pt x="0" y="149974"/>
              </a:lnTo>
              <a:lnTo>
                <a:pt x="65124" y="82614"/>
              </a:lnTo>
              <a:lnTo>
                <a:pt x="144995" y="0"/>
              </a:lnTo>
              <a:lnTo>
                <a:pt x="14499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0.6617</cdr:x>
      <cdr:y>0.2443</cdr:y>
    </cdr:from>
    <cdr:to>
      <cdr:x>0.68149</cdr:x>
      <cdr:y>0.26396</cdr:y>
    </cdr:to>
    <cdr:sp macro="" textlink="">
      <cdr:nvSpPr>
        <cdr:cNvPr id="734" name="FracNo 747 StartRow 7001">
          <a:extLst xmlns:a="http://schemas.openxmlformats.org/drawingml/2006/main">
            <a:ext uri="{FF2B5EF4-FFF2-40B4-BE49-F238E27FC236}">
              <a16:creationId xmlns:a16="http://schemas.microsoft.com/office/drawing/2014/main" id="{90DF1A00-BB2A-43A4-C094-E9C22F7B10A0}"/>
            </a:ext>
          </a:extLst>
        </cdr:cNvPr>
        <cdr:cNvSpPr/>
      </cdr:nvSpPr>
      <cdr:spPr>
        <a:xfrm xmlns:a="http://schemas.openxmlformats.org/drawingml/2006/main">
          <a:off x="4840432" y="1861583"/>
          <a:ext cx="144811" cy="149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811" h="149784">
              <a:moveTo>
                <a:pt x="27301" y="140296"/>
              </a:moveTo>
              <a:lnTo>
                <a:pt x="18129" y="149783"/>
              </a:lnTo>
              <a:lnTo>
                <a:pt x="0" y="131031"/>
              </a:lnTo>
              <a:lnTo>
                <a:pt x="9172" y="121544"/>
              </a:lnTo>
              <a:lnTo>
                <a:pt x="126681" y="0"/>
              </a:lnTo>
              <a:lnTo>
                <a:pt x="1448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0.18992</cdr:x>
      <cdr:y>0.10043</cdr:y>
    </cdr:from>
    <cdr:to>
      <cdr:x>0.20959</cdr:x>
      <cdr:y>0.11996</cdr:y>
    </cdr:to>
    <cdr:sp macro="" textlink="">
      <cdr:nvSpPr>
        <cdr:cNvPr id="735" name="FracNo 316 StartRow 7010">
          <a:extLst xmlns:a="http://schemas.openxmlformats.org/drawingml/2006/main">
            <a:ext uri="{FF2B5EF4-FFF2-40B4-BE49-F238E27FC236}">
              <a16:creationId xmlns:a16="http://schemas.microsoft.com/office/drawing/2014/main" id="{255F0148-D4BB-EAD9-D5E3-737367664B96}"/>
            </a:ext>
          </a:extLst>
        </cdr:cNvPr>
        <cdr:cNvSpPr/>
      </cdr:nvSpPr>
      <cdr:spPr>
        <a:xfrm xmlns:a="http://schemas.openxmlformats.org/drawingml/2006/main">
          <a:off x="1389297" y="765293"/>
          <a:ext cx="143870" cy="148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870" h="148811">
              <a:moveTo>
                <a:pt x="114354" y="137032"/>
              </a:moveTo>
              <a:lnTo>
                <a:pt x="0" y="18752"/>
              </a:lnTo>
              <a:lnTo>
                <a:pt x="18129" y="0"/>
              </a:lnTo>
              <a:lnTo>
                <a:pt x="132483" y="118281"/>
              </a:lnTo>
              <a:lnTo>
                <a:pt x="143869" y="130058"/>
              </a:lnTo>
              <a:lnTo>
                <a:pt x="125740" y="1488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0.13804</cdr:x>
      <cdr:y>0.37655</cdr:y>
    </cdr:from>
    <cdr:to>
      <cdr:x>0.15767</cdr:x>
      <cdr:y>0.39604</cdr:y>
    </cdr:to>
    <cdr:sp macro="" textlink="">
      <cdr:nvSpPr>
        <cdr:cNvPr id="736" name="FracNo 955 StartRow 7019">
          <a:extLst xmlns:a="http://schemas.openxmlformats.org/drawingml/2006/main">
            <a:ext uri="{FF2B5EF4-FFF2-40B4-BE49-F238E27FC236}">
              <a16:creationId xmlns:a16="http://schemas.microsoft.com/office/drawing/2014/main" id="{F794FAC1-5483-1D97-D0A5-DF4BD21A2457}"/>
            </a:ext>
          </a:extLst>
        </cdr:cNvPr>
        <cdr:cNvSpPr/>
      </cdr:nvSpPr>
      <cdr:spPr>
        <a:xfrm xmlns:a="http://schemas.openxmlformats.org/drawingml/2006/main">
          <a:off x="1009772" y="2869295"/>
          <a:ext cx="143616" cy="148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616" h="148548">
              <a:moveTo>
                <a:pt x="77466" y="105925"/>
              </a:moveTo>
              <a:lnTo>
                <a:pt x="36258" y="148547"/>
              </a:lnTo>
              <a:lnTo>
                <a:pt x="0" y="148547"/>
              </a:lnTo>
              <a:lnTo>
                <a:pt x="55125" y="91529"/>
              </a:lnTo>
              <a:lnTo>
                <a:pt x="143615" y="0"/>
              </a:lnTo>
              <a:lnTo>
                <a:pt x="14361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0.13725</cdr:x>
      <cdr:y>0.37577</cdr:y>
    </cdr:from>
    <cdr:to>
      <cdr:x>0.15689</cdr:x>
      <cdr:y>0.39526</cdr:y>
    </cdr:to>
    <cdr:sp macro="" textlink="">
      <cdr:nvSpPr>
        <cdr:cNvPr id="737" name="FracNo 1152 StartRow 7028">
          <a:extLst xmlns:a="http://schemas.openxmlformats.org/drawingml/2006/main">
            <a:ext uri="{FF2B5EF4-FFF2-40B4-BE49-F238E27FC236}">
              <a16:creationId xmlns:a16="http://schemas.microsoft.com/office/drawing/2014/main" id="{F9F3B812-A336-21C4-5E09-6D23280B9615}"/>
            </a:ext>
          </a:extLst>
        </cdr:cNvPr>
        <cdr:cNvSpPr/>
      </cdr:nvSpPr>
      <cdr:spPr>
        <a:xfrm xmlns:a="http://schemas.openxmlformats.org/drawingml/2006/main">
          <a:off x="1004040" y="2863367"/>
          <a:ext cx="143617" cy="148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617" h="148548">
              <a:moveTo>
                <a:pt x="34271" y="75596"/>
              </a:moveTo>
              <a:lnTo>
                <a:pt x="0" y="111043"/>
              </a:lnTo>
              <a:lnTo>
                <a:pt x="0" y="148547"/>
              </a:lnTo>
              <a:lnTo>
                <a:pt x="45846" y="101127"/>
              </a:lnTo>
              <a:lnTo>
                <a:pt x="143616" y="0"/>
              </a:lnTo>
              <a:lnTo>
                <a:pt x="1073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0.89181</cdr:x>
      <cdr:y>0.91312</cdr:y>
    </cdr:from>
    <cdr:to>
      <cdr:x>0.91387</cdr:x>
      <cdr:y>0.9301</cdr:y>
    </cdr:to>
    <cdr:sp macro="" textlink="">
      <cdr:nvSpPr>
        <cdr:cNvPr id="738" name="FracNo 948 StartRow 7037">
          <a:extLst xmlns:a="http://schemas.openxmlformats.org/drawingml/2006/main">
            <a:ext uri="{FF2B5EF4-FFF2-40B4-BE49-F238E27FC236}">
              <a16:creationId xmlns:a16="http://schemas.microsoft.com/office/drawing/2014/main" id="{65E79737-1175-45E6-44E8-3FA0219F5FE6}"/>
            </a:ext>
          </a:extLst>
        </cdr:cNvPr>
        <cdr:cNvSpPr/>
      </cdr:nvSpPr>
      <cdr:spPr>
        <a:xfrm xmlns:a="http://schemas.openxmlformats.org/drawingml/2006/main">
          <a:off x="6523751" y="6957948"/>
          <a:ext cx="161379" cy="1294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379" h="129418">
              <a:moveTo>
                <a:pt x="104565" y="21260"/>
              </a:moveTo>
              <a:lnTo>
                <a:pt x="0" y="129417"/>
              </a:lnTo>
              <a:lnTo>
                <a:pt x="36258" y="129417"/>
              </a:lnTo>
              <a:lnTo>
                <a:pt x="140824" y="21260"/>
              </a:lnTo>
              <a:lnTo>
                <a:pt x="161378" y="0"/>
              </a:lnTo>
              <a:lnTo>
                <a:pt x="125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0.37187</cdr:x>
      <cdr:y>0.73731</cdr:y>
    </cdr:from>
    <cdr:to>
      <cdr:x>0.39138</cdr:x>
      <cdr:y>0.75668</cdr:y>
    </cdr:to>
    <cdr:sp macro="" textlink="">
      <cdr:nvSpPr>
        <cdr:cNvPr id="739" name="FracNo 1000 StartRow 7046">
          <a:extLst xmlns:a="http://schemas.openxmlformats.org/drawingml/2006/main">
            <a:ext uri="{FF2B5EF4-FFF2-40B4-BE49-F238E27FC236}">
              <a16:creationId xmlns:a16="http://schemas.microsoft.com/office/drawing/2014/main" id="{32C4E22B-2ACA-9F0D-19D0-088280C8FF36}"/>
            </a:ext>
          </a:extLst>
        </cdr:cNvPr>
        <cdr:cNvSpPr/>
      </cdr:nvSpPr>
      <cdr:spPr>
        <a:xfrm xmlns:a="http://schemas.openxmlformats.org/drawingml/2006/main">
          <a:off x="2720322" y="5618316"/>
          <a:ext cx="142702" cy="1476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702" h="147603">
              <a:moveTo>
                <a:pt x="23980" y="24804"/>
              </a:moveTo>
              <a:lnTo>
                <a:pt x="0" y="0"/>
              </a:lnTo>
              <a:lnTo>
                <a:pt x="0" y="37504"/>
              </a:lnTo>
              <a:lnTo>
                <a:pt x="10730" y="48603"/>
              </a:lnTo>
              <a:lnTo>
                <a:pt x="15806" y="53853"/>
              </a:lnTo>
              <a:lnTo>
                <a:pt x="106443" y="147602"/>
              </a:lnTo>
              <a:lnTo>
                <a:pt x="142701" y="147602"/>
              </a:lnTo>
              <a:lnTo>
                <a:pt x="35323" y="365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0.72066</cdr:x>
      <cdr:y>0.10532</cdr:y>
    </cdr:from>
    <cdr:to>
      <cdr:x>0.74012</cdr:x>
      <cdr:y>0.12465</cdr:y>
    </cdr:to>
    <cdr:sp macro="" textlink="">
      <cdr:nvSpPr>
        <cdr:cNvPr id="740" name="FracNo 932 StartRow 7057">
          <a:extLst xmlns:a="http://schemas.openxmlformats.org/drawingml/2006/main">
            <a:ext uri="{FF2B5EF4-FFF2-40B4-BE49-F238E27FC236}">
              <a16:creationId xmlns:a16="http://schemas.microsoft.com/office/drawing/2014/main" id="{29B08B4F-81FB-8291-F641-330F9322891B}"/>
            </a:ext>
          </a:extLst>
        </cdr:cNvPr>
        <cdr:cNvSpPr/>
      </cdr:nvSpPr>
      <cdr:spPr>
        <a:xfrm xmlns:a="http://schemas.openxmlformats.org/drawingml/2006/main">
          <a:off x="5271753" y="802518"/>
          <a:ext cx="142409" cy="147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409" h="147300">
              <a:moveTo>
                <a:pt x="105850" y="71982"/>
              </a:moveTo>
              <a:lnTo>
                <a:pt x="36258" y="0"/>
              </a:lnTo>
              <a:lnTo>
                <a:pt x="0" y="0"/>
              </a:lnTo>
              <a:lnTo>
                <a:pt x="93363" y="96569"/>
              </a:lnTo>
              <a:lnTo>
                <a:pt x="142408" y="147299"/>
              </a:lnTo>
              <a:lnTo>
                <a:pt x="142408" y="1097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0.8805</cdr:x>
      <cdr:y>0.6673</cdr:y>
    </cdr:from>
    <cdr:to>
      <cdr:x>0.90115</cdr:x>
      <cdr:y>0.68535</cdr:y>
    </cdr:to>
    <cdr:sp macro="" textlink="">
      <cdr:nvSpPr>
        <cdr:cNvPr id="741" name="FracNo 726 StartRow 7066">
          <a:extLst xmlns:a="http://schemas.openxmlformats.org/drawingml/2006/main">
            <a:ext uri="{FF2B5EF4-FFF2-40B4-BE49-F238E27FC236}">
              <a16:creationId xmlns:a16="http://schemas.microsoft.com/office/drawing/2014/main" id="{59A8B306-F28E-BA9B-D531-BED681F78691}"/>
            </a:ext>
          </a:extLst>
        </cdr:cNvPr>
        <cdr:cNvSpPr/>
      </cdr:nvSpPr>
      <cdr:spPr>
        <a:xfrm xmlns:a="http://schemas.openxmlformats.org/drawingml/2006/main">
          <a:off x="6441025" y="5084819"/>
          <a:ext cx="151093" cy="137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093" h="137530">
              <a:moveTo>
                <a:pt x="127175" y="131542"/>
              </a:moveTo>
              <a:lnTo>
                <a:pt x="0" y="0"/>
              </a:lnTo>
              <a:lnTo>
                <a:pt x="36259" y="0"/>
              </a:lnTo>
              <a:lnTo>
                <a:pt x="146094" y="113607"/>
              </a:lnTo>
              <a:lnTo>
                <a:pt x="151092" y="118777"/>
              </a:lnTo>
              <a:lnTo>
                <a:pt x="132963" y="1375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0.89963</cdr:x>
      <cdr:y>0.68194</cdr:y>
    </cdr:from>
    <cdr:to>
      <cdr:x>0.92028</cdr:x>
      <cdr:y>0.69998</cdr:y>
    </cdr:to>
    <cdr:sp macro="" textlink="">
      <cdr:nvSpPr>
        <cdr:cNvPr id="742" name="FracNo 150 StartRow 7075">
          <a:extLst xmlns:a="http://schemas.openxmlformats.org/drawingml/2006/main">
            <a:ext uri="{FF2B5EF4-FFF2-40B4-BE49-F238E27FC236}">
              <a16:creationId xmlns:a16="http://schemas.microsoft.com/office/drawing/2014/main" id="{66308824-D23F-C55D-DDCC-E738401686D4}"/>
            </a:ext>
          </a:extLst>
        </cdr:cNvPr>
        <cdr:cNvSpPr/>
      </cdr:nvSpPr>
      <cdr:spPr>
        <a:xfrm xmlns:a="http://schemas.openxmlformats.org/drawingml/2006/main">
          <a:off x="6580962" y="5196382"/>
          <a:ext cx="151040" cy="137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040" h="137475">
              <a:moveTo>
                <a:pt x="8788" y="27842"/>
              </a:moveTo>
              <a:lnTo>
                <a:pt x="0" y="18752"/>
              </a:lnTo>
              <a:lnTo>
                <a:pt x="18129" y="0"/>
              </a:lnTo>
              <a:lnTo>
                <a:pt x="28306" y="10526"/>
              </a:lnTo>
              <a:lnTo>
                <a:pt x="151039" y="137474"/>
              </a:lnTo>
              <a:lnTo>
                <a:pt x="114780" y="1374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0.71739</cdr:x>
      <cdr:y>0.49163</cdr:y>
    </cdr:from>
    <cdr:to>
      <cdr:x>0.73412</cdr:x>
      <cdr:y>0.51316</cdr:y>
    </cdr:to>
    <cdr:sp macro="" textlink="">
      <cdr:nvSpPr>
        <cdr:cNvPr id="743" name="FracNo 1127 StartRow 7084">
          <a:extLst xmlns:a="http://schemas.openxmlformats.org/drawingml/2006/main">
            <a:ext uri="{FF2B5EF4-FFF2-40B4-BE49-F238E27FC236}">
              <a16:creationId xmlns:a16="http://schemas.microsoft.com/office/drawing/2014/main" id="{33D21F41-8473-CB17-6EF5-5D8FF6546DA7}"/>
            </a:ext>
          </a:extLst>
        </cdr:cNvPr>
        <cdr:cNvSpPr/>
      </cdr:nvSpPr>
      <cdr:spPr>
        <a:xfrm xmlns:a="http://schemas.openxmlformats.org/drawingml/2006/main">
          <a:off x="5247827" y="3746202"/>
          <a:ext cx="122375" cy="164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375" h="164081">
              <a:moveTo>
                <a:pt x="70044" y="91631"/>
              </a:moveTo>
              <a:lnTo>
                <a:pt x="0" y="164080"/>
              </a:lnTo>
              <a:lnTo>
                <a:pt x="0" y="126576"/>
              </a:lnTo>
              <a:lnTo>
                <a:pt x="70044" y="54127"/>
              </a:lnTo>
              <a:lnTo>
                <a:pt x="122374" y="0"/>
              </a:lnTo>
              <a:lnTo>
                <a:pt x="12237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0.62053</cdr:x>
      <cdr:y>0.19455</cdr:y>
    </cdr:from>
    <cdr:to>
      <cdr:x>0.63909</cdr:x>
      <cdr:y>0.21298</cdr:y>
    </cdr:to>
    <cdr:sp macro="" textlink="">
      <cdr:nvSpPr>
        <cdr:cNvPr id="744" name="FracNo 1176 StartRow 7093">
          <a:extLst xmlns:a="http://schemas.openxmlformats.org/drawingml/2006/main">
            <a:ext uri="{FF2B5EF4-FFF2-40B4-BE49-F238E27FC236}">
              <a16:creationId xmlns:a16="http://schemas.microsoft.com/office/drawing/2014/main" id="{A051B3F8-41C0-06AF-6668-7E99C8DD7C4C}"/>
            </a:ext>
          </a:extLst>
        </cdr:cNvPr>
        <cdr:cNvSpPr/>
      </cdr:nvSpPr>
      <cdr:spPr>
        <a:xfrm xmlns:a="http://schemas.openxmlformats.org/drawingml/2006/main">
          <a:off x="4539295" y="1482495"/>
          <a:ext cx="135772" cy="140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772" h="140434">
              <a:moveTo>
                <a:pt x="35241" y="36451"/>
              </a:moveTo>
              <a:lnTo>
                <a:pt x="0" y="0"/>
              </a:lnTo>
              <a:lnTo>
                <a:pt x="0" y="37503"/>
              </a:lnTo>
              <a:lnTo>
                <a:pt x="25829" y="64220"/>
              </a:lnTo>
              <a:lnTo>
                <a:pt x="99512" y="140433"/>
              </a:lnTo>
              <a:lnTo>
                <a:pt x="135771" y="1404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0.85257</cdr:x>
      <cdr:y>0.52204</cdr:y>
    </cdr:from>
    <cdr:to>
      <cdr:x>0.87113</cdr:x>
      <cdr:y>0.54047</cdr:y>
    </cdr:to>
    <cdr:sp macro="" textlink="">
      <cdr:nvSpPr>
        <cdr:cNvPr id="745" name="FracNo 1174 StartRow 7102">
          <a:extLst xmlns:a="http://schemas.openxmlformats.org/drawingml/2006/main">
            <a:ext uri="{FF2B5EF4-FFF2-40B4-BE49-F238E27FC236}">
              <a16:creationId xmlns:a16="http://schemas.microsoft.com/office/drawing/2014/main" id="{1EA45D51-5C14-C4ED-9227-5A920E780F4A}"/>
            </a:ext>
          </a:extLst>
        </cdr:cNvPr>
        <cdr:cNvSpPr/>
      </cdr:nvSpPr>
      <cdr:spPr>
        <a:xfrm xmlns:a="http://schemas.openxmlformats.org/drawingml/2006/main">
          <a:off x="6236753" y="3977940"/>
          <a:ext cx="135753" cy="140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753" h="140414">
              <a:moveTo>
                <a:pt x="111052" y="77362"/>
              </a:moveTo>
              <a:lnTo>
                <a:pt x="36258" y="0"/>
              </a:lnTo>
              <a:lnTo>
                <a:pt x="0" y="0"/>
              </a:lnTo>
              <a:lnTo>
                <a:pt x="102051" y="105555"/>
              </a:lnTo>
              <a:lnTo>
                <a:pt x="135752" y="140413"/>
              </a:lnTo>
              <a:lnTo>
                <a:pt x="135752" y="1029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0.85684</cdr:x>
      <cdr:y>0.5178</cdr:y>
    </cdr:from>
    <cdr:to>
      <cdr:x>0.8754</cdr:x>
      <cdr:y>0.53623</cdr:y>
    </cdr:to>
    <cdr:sp macro="" textlink="">
      <cdr:nvSpPr>
        <cdr:cNvPr id="746" name="FracNo 1079 StartRow 7111">
          <a:extLst xmlns:a="http://schemas.openxmlformats.org/drawingml/2006/main">
            <a:ext uri="{FF2B5EF4-FFF2-40B4-BE49-F238E27FC236}">
              <a16:creationId xmlns:a16="http://schemas.microsoft.com/office/drawing/2014/main" id="{DEB597EF-423D-662B-7D03-C4F68E6B7D9C}"/>
            </a:ext>
          </a:extLst>
        </cdr:cNvPr>
        <cdr:cNvSpPr/>
      </cdr:nvSpPr>
      <cdr:spPr>
        <a:xfrm xmlns:a="http://schemas.openxmlformats.org/drawingml/2006/main">
          <a:off x="6267947" y="3945674"/>
          <a:ext cx="135753" cy="140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753" h="140414">
              <a:moveTo>
                <a:pt x="74129" y="39172"/>
              </a:moveTo>
              <a:lnTo>
                <a:pt x="36259" y="0"/>
              </a:lnTo>
              <a:lnTo>
                <a:pt x="0" y="0"/>
              </a:lnTo>
              <a:lnTo>
                <a:pt x="51672" y="53447"/>
              </a:lnTo>
              <a:lnTo>
                <a:pt x="135752" y="140413"/>
              </a:lnTo>
              <a:lnTo>
                <a:pt x="135752" y="1029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0.47421</cdr:y>
    </cdr:from>
    <cdr:to>
      <cdr:x>0.11033</cdr:x>
      <cdr:y>0.4926</cdr:y>
    </cdr:to>
    <cdr:sp macro="" textlink="">
      <cdr:nvSpPr>
        <cdr:cNvPr id="747" name="FracNo 980 StartRow 7120">
          <a:extLst xmlns:a="http://schemas.openxmlformats.org/drawingml/2006/main">
            <a:ext uri="{FF2B5EF4-FFF2-40B4-BE49-F238E27FC236}">
              <a16:creationId xmlns:a16="http://schemas.microsoft.com/office/drawing/2014/main" id="{700EA8F1-5A6D-F12D-21DB-DABD80A1E78C}"/>
            </a:ext>
          </a:extLst>
        </cdr:cNvPr>
        <cdr:cNvSpPr/>
      </cdr:nvSpPr>
      <cdr:spPr>
        <a:xfrm xmlns:a="http://schemas.openxmlformats.org/drawingml/2006/main">
          <a:off x="671676" y="3613514"/>
          <a:ext cx="135428" cy="140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28" h="140078">
              <a:moveTo>
                <a:pt x="71609" y="74068"/>
              </a:moveTo>
              <a:lnTo>
                <a:pt x="0" y="0"/>
              </a:lnTo>
              <a:lnTo>
                <a:pt x="0" y="37504"/>
              </a:lnTo>
              <a:lnTo>
                <a:pt x="52437" y="91741"/>
              </a:lnTo>
              <a:lnTo>
                <a:pt x="99168" y="140077"/>
              </a:lnTo>
              <a:lnTo>
                <a:pt x="135427" y="1400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0.64004</cdr:x>
      <cdr:y>0.44167</cdr:y>
    </cdr:from>
    <cdr:to>
      <cdr:x>0.65965</cdr:x>
      <cdr:y>0.45868</cdr:y>
    </cdr:to>
    <cdr:sp macro="" textlink="">
      <cdr:nvSpPr>
        <cdr:cNvPr id="748" name="FracNo 673 StartRow 7129">
          <a:extLst xmlns:a="http://schemas.openxmlformats.org/drawingml/2006/main">
            <a:ext uri="{FF2B5EF4-FFF2-40B4-BE49-F238E27FC236}">
              <a16:creationId xmlns:a16="http://schemas.microsoft.com/office/drawing/2014/main" id="{F2481AC3-94FB-6F1A-42CF-71906BCB6D27}"/>
            </a:ext>
          </a:extLst>
        </cdr:cNvPr>
        <cdr:cNvSpPr/>
      </cdr:nvSpPr>
      <cdr:spPr>
        <a:xfrm xmlns:a="http://schemas.openxmlformats.org/drawingml/2006/main">
          <a:off x="4681985" y="3365513"/>
          <a:ext cx="143466" cy="129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466" h="129641">
              <a:moveTo>
                <a:pt x="123521" y="39380"/>
              </a:moveTo>
              <a:lnTo>
                <a:pt x="36259" y="129640"/>
              </a:lnTo>
              <a:lnTo>
                <a:pt x="0" y="129640"/>
              </a:lnTo>
              <a:lnTo>
                <a:pt x="102020" y="24117"/>
              </a:lnTo>
              <a:lnTo>
                <a:pt x="125336" y="0"/>
              </a:lnTo>
              <a:lnTo>
                <a:pt x="1434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0.45656</cdr:x>
      <cdr:y>0.43456</cdr:y>
    </cdr:from>
    <cdr:to>
      <cdr:x>0.47725</cdr:x>
      <cdr:y>0.45018</cdr:y>
    </cdr:to>
    <cdr:sp macro="" textlink="">
      <cdr:nvSpPr>
        <cdr:cNvPr id="749" name="FracNo 961 StartRow 7138">
          <a:extLst xmlns:a="http://schemas.openxmlformats.org/drawingml/2006/main">
            <a:ext uri="{FF2B5EF4-FFF2-40B4-BE49-F238E27FC236}">
              <a16:creationId xmlns:a16="http://schemas.microsoft.com/office/drawing/2014/main" id="{98E77A26-ABB0-F98F-1FCB-D803D000AA5C}"/>
            </a:ext>
          </a:extLst>
        </cdr:cNvPr>
        <cdr:cNvSpPr/>
      </cdr:nvSpPr>
      <cdr:spPr>
        <a:xfrm xmlns:a="http://schemas.openxmlformats.org/drawingml/2006/main">
          <a:off x="3339827" y="3311325"/>
          <a:ext cx="151373" cy="119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373" h="119068">
              <a:moveTo>
                <a:pt x="57568" y="97026"/>
              </a:moveTo>
              <a:lnTo>
                <a:pt x="36258" y="119067"/>
              </a:lnTo>
              <a:lnTo>
                <a:pt x="0" y="119067"/>
              </a:lnTo>
              <a:lnTo>
                <a:pt x="21309" y="97026"/>
              </a:lnTo>
              <a:lnTo>
                <a:pt x="115113" y="0"/>
              </a:lnTo>
              <a:lnTo>
                <a:pt x="1513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0.30293</cdr:x>
      <cdr:y>0.40641</cdr:y>
    </cdr:from>
    <cdr:to>
      <cdr:x>0.32111</cdr:x>
      <cdr:y>0.42447</cdr:y>
    </cdr:to>
    <cdr:sp macro="" textlink="">
      <cdr:nvSpPr>
        <cdr:cNvPr id="750" name="FracNo 848 StartRow 7147">
          <a:extLst xmlns:a="http://schemas.openxmlformats.org/drawingml/2006/main">
            <a:ext uri="{FF2B5EF4-FFF2-40B4-BE49-F238E27FC236}">
              <a16:creationId xmlns:a16="http://schemas.microsoft.com/office/drawing/2014/main" id="{E45CD299-06CB-FE05-348E-296D1BF7FB66}"/>
            </a:ext>
          </a:extLst>
        </cdr:cNvPr>
        <cdr:cNvSpPr/>
      </cdr:nvSpPr>
      <cdr:spPr>
        <a:xfrm xmlns:a="http://schemas.openxmlformats.org/drawingml/2006/main">
          <a:off x="2215976" y="3096878"/>
          <a:ext cx="133007" cy="137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007" h="137574">
              <a:moveTo>
                <a:pt x="106359" y="72507"/>
              </a:moveTo>
              <a:lnTo>
                <a:pt x="36259" y="0"/>
              </a:lnTo>
              <a:lnTo>
                <a:pt x="0" y="0"/>
              </a:lnTo>
              <a:lnTo>
                <a:pt x="96372" y="99681"/>
              </a:lnTo>
              <a:lnTo>
                <a:pt x="133006" y="137573"/>
              </a:lnTo>
              <a:lnTo>
                <a:pt x="133006" y="1000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0.8866</cdr:x>
      <cdr:y>0.81104</cdr:y>
    </cdr:from>
    <cdr:to>
      <cdr:x>0.90216</cdr:x>
      <cdr:y>0.83142</cdr:y>
    </cdr:to>
    <cdr:sp macro="" textlink="">
      <cdr:nvSpPr>
        <cdr:cNvPr id="751" name="FracNo 1133 StartRow 7156">
          <a:extLst xmlns:a="http://schemas.openxmlformats.org/drawingml/2006/main">
            <a:ext uri="{FF2B5EF4-FFF2-40B4-BE49-F238E27FC236}">
              <a16:creationId xmlns:a16="http://schemas.microsoft.com/office/drawing/2014/main" id="{02195A98-0C30-40AE-C66F-F8FBEB7549AA}"/>
            </a:ext>
          </a:extLst>
        </cdr:cNvPr>
        <cdr:cNvSpPr/>
      </cdr:nvSpPr>
      <cdr:spPr>
        <a:xfrm xmlns:a="http://schemas.openxmlformats.org/drawingml/2006/main">
          <a:off x="6485680" y="6180159"/>
          <a:ext cx="113818" cy="155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818" h="155230">
              <a:moveTo>
                <a:pt x="41541" y="80471"/>
              </a:moveTo>
              <a:lnTo>
                <a:pt x="0" y="37503"/>
              </a:lnTo>
              <a:lnTo>
                <a:pt x="0" y="0"/>
              </a:lnTo>
              <a:lnTo>
                <a:pt x="41541" y="42967"/>
              </a:lnTo>
              <a:lnTo>
                <a:pt x="113817" y="117725"/>
              </a:lnTo>
              <a:lnTo>
                <a:pt x="113817" y="1552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0.9084</cdr:x>
      <cdr:y>0.7894</cdr:y>
    </cdr:from>
    <cdr:to>
      <cdr:x>0.92892</cdr:x>
      <cdr:y>0.80485</cdr:y>
    </cdr:to>
    <cdr:sp macro="" textlink="">
      <cdr:nvSpPr>
        <cdr:cNvPr id="752" name="FracNo 938 StartRow 7165">
          <a:extLst xmlns:a="http://schemas.openxmlformats.org/drawingml/2006/main">
            <a:ext uri="{FF2B5EF4-FFF2-40B4-BE49-F238E27FC236}">
              <a16:creationId xmlns:a16="http://schemas.microsoft.com/office/drawing/2014/main" id="{B123BD23-1600-AA24-7FCC-FF65A4CC90CD}"/>
            </a:ext>
          </a:extLst>
        </cdr:cNvPr>
        <cdr:cNvSpPr/>
      </cdr:nvSpPr>
      <cdr:spPr>
        <a:xfrm xmlns:a="http://schemas.openxmlformats.org/drawingml/2006/main">
          <a:off x="6645161" y="6015201"/>
          <a:ext cx="150076" cy="117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076" h="117727">
              <a:moveTo>
                <a:pt x="81828" y="47136"/>
              </a:moveTo>
              <a:lnTo>
                <a:pt x="36258" y="0"/>
              </a:lnTo>
              <a:lnTo>
                <a:pt x="0" y="0"/>
              </a:lnTo>
              <a:lnTo>
                <a:pt x="45570" y="47136"/>
              </a:lnTo>
              <a:lnTo>
                <a:pt x="113816" y="117726"/>
              </a:lnTo>
              <a:lnTo>
                <a:pt x="150075" y="1177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0.28235</cdr:x>
      <cdr:y>0.17551</cdr:y>
    </cdr:from>
    <cdr:to>
      <cdr:x>0.30037</cdr:x>
      <cdr:y>0.19341</cdr:y>
    </cdr:to>
    <cdr:sp macro="" textlink="">
      <cdr:nvSpPr>
        <cdr:cNvPr id="753" name="FracNo 271 StartRow 7174">
          <a:extLst xmlns:a="http://schemas.openxmlformats.org/drawingml/2006/main">
            <a:ext uri="{FF2B5EF4-FFF2-40B4-BE49-F238E27FC236}">
              <a16:creationId xmlns:a16="http://schemas.microsoft.com/office/drawing/2014/main" id="{0CFD347D-AFCC-CEB1-5C76-A64ED9F13352}"/>
            </a:ext>
          </a:extLst>
        </cdr:cNvPr>
        <cdr:cNvSpPr/>
      </cdr:nvSpPr>
      <cdr:spPr>
        <a:xfrm xmlns:a="http://schemas.openxmlformats.org/drawingml/2006/main">
          <a:off x="2065421" y="1337411"/>
          <a:ext cx="131836" cy="136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836" h="136364">
              <a:moveTo>
                <a:pt x="26537" y="90164"/>
              </a:moveTo>
              <a:lnTo>
                <a:pt x="0" y="117611"/>
              </a:lnTo>
              <a:lnTo>
                <a:pt x="18130" y="136363"/>
              </a:lnTo>
              <a:lnTo>
                <a:pt x="44666" y="108915"/>
              </a:lnTo>
              <a:lnTo>
                <a:pt x="131835" y="18752"/>
              </a:lnTo>
              <a:lnTo>
                <a:pt x="1137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0.14104</cdr:x>
      <cdr:y>0.34721</cdr:y>
    </cdr:from>
    <cdr:to>
      <cdr:x>0.15892</cdr:x>
      <cdr:y>0.36496</cdr:y>
    </cdr:to>
    <cdr:sp macro="" textlink="">
      <cdr:nvSpPr>
        <cdr:cNvPr id="754" name="FracNo 1225 StartRow 7183">
          <a:extLst xmlns:a="http://schemas.openxmlformats.org/drawingml/2006/main">
            <a:ext uri="{FF2B5EF4-FFF2-40B4-BE49-F238E27FC236}">
              <a16:creationId xmlns:a16="http://schemas.microsoft.com/office/drawing/2014/main" id="{90BA62C0-2ECC-2515-0FD5-72016F99822A}"/>
            </a:ext>
          </a:extLst>
        </cdr:cNvPr>
        <cdr:cNvSpPr/>
      </cdr:nvSpPr>
      <cdr:spPr>
        <a:xfrm xmlns:a="http://schemas.openxmlformats.org/drawingml/2006/main">
          <a:off x="1031766" y="2645708"/>
          <a:ext cx="130802" cy="135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802" h="135294">
              <a:moveTo>
                <a:pt x="16884" y="117829"/>
              </a:moveTo>
              <a:lnTo>
                <a:pt x="0" y="135293"/>
              </a:lnTo>
              <a:lnTo>
                <a:pt x="36258" y="135293"/>
              </a:lnTo>
              <a:lnTo>
                <a:pt x="48462" y="122670"/>
              </a:lnTo>
              <a:lnTo>
                <a:pt x="130801" y="37504"/>
              </a:lnTo>
              <a:lnTo>
                <a:pt x="1308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0.26941</cdr:x>
      <cdr:y>0.15394</cdr:y>
    </cdr:from>
    <cdr:to>
      <cdr:x>0.28727</cdr:x>
      <cdr:y>0.17167</cdr:y>
    </cdr:to>
    <cdr:sp macro="" textlink="">
      <cdr:nvSpPr>
        <cdr:cNvPr id="755" name="FracNo 1068 StartRow 7192">
          <a:extLst xmlns:a="http://schemas.openxmlformats.org/drawingml/2006/main">
            <a:ext uri="{FF2B5EF4-FFF2-40B4-BE49-F238E27FC236}">
              <a16:creationId xmlns:a16="http://schemas.microsoft.com/office/drawing/2014/main" id="{B96990D2-A165-C460-65C7-6D9B284A55BE}"/>
            </a:ext>
          </a:extLst>
        </cdr:cNvPr>
        <cdr:cNvSpPr/>
      </cdr:nvSpPr>
      <cdr:spPr>
        <a:xfrm xmlns:a="http://schemas.openxmlformats.org/drawingml/2006/main">
          <a:off x="1970805" y="1172998"/>
          <a:ext cx="130641" cy="135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41" h="135127">
              <a:moveTo>
                <a:pt x="92905" y="76534"/>
              </a:moveTo>
              <a:lnTo>
                <a:pt x="36259" y="135126"/>
              </a:lnTo>
              <a:lnTo>
                <a:pt x="0" y="135126"/>
              </a:lnTo>
              <a:lnTo>
                <a:pt x="78409" y="54025"/>
              </a:lnTo>
              <a:lnTo>
                <a:pt x="130640" y="0"/>
              </a:lnTo>
              <a:lnTo>
                <a:pt x="13064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0.39251</cdr:x>
      <cdr:y>0.51141</cdr:y>
    </cdr:from>
    <cdr:to>
      <cdr:x>0.41036</cdr:x>
      <cdr:y>0.52913</cdr:y>
    </cdr:to>
    <cdr:sp macro="" textlink="">
      <cdr:nvSpPr>
        <cdr:cNvPr id="756" name="FracNo 906 StartRow 7201">
          <a:extLst xmlns:a="http://schemas.openxmlformats.org/drawingml/2006/main">
            <a:ext uri="{FF2B5EF4-FFF2-40B4-BE49-F238E27FC236}">
              <a16:creationId xmlns:a16="http://schemas.microsoft.com/office/drawing/2014/main" id="{DA59F36F-4E61-C477-D898-A8CF9329506C}"/>
            </a:ext>
          </a:extLst>
        </cdr:cNvPr>
        <cdr:cNvSpPr/>
      </cdr:nvSpPr>
      <cdr:spPr>
        <a:xfrm xmlns:a="http://schemas.openxmlformats.org/drawingml/2006/main">
          <a:off x="2871300" y="3896959"/>
          <a:ext cx="130538" cy="135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538" h="135021">
              <a:moveTo>
                <a:pt x="62881" y="65040"/>
              </a:moveTo>
              <a:lnTo>
                <a:pt x="0" y="0"/>
              </a:lnTo>
              <a:lnTo>
                <a:pt x="36258" y="0"/>
              </a:lnTo>
              <a:lnTo>
                <a:pt x="81673" y="46974"/>
              </a:lnTo>
              <a:lnTo>
                <a:pt x="130537" y="97516"/>
              </a:lnTo>
              <a:lnTo>
                <a:pt x="130537" y="1350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0.8646</cdr:x>
      <cdr:y>0.57491</cdr:y>
    </cdr:from>
    <cdr:to>
      <cdr:x>0.88241</cdr:x>
      <cdr:y>0.59259</cdr:y>
    </cdr:to>
    <cdr:sp macro="" textlink="">
      <cdr:nvSpPr>
        <cdr:cNvPr id="757" name="FracNo 624 StartRow 7210">
          <a:extLst xmlns:a="http://schemas.openxmlformats.org/drawingml/2006/main">
            <a:ext uri="{FF2B5EF4-FFF2-40B4-BE49-F238E27FC236}">
              <a16:creationId xmlns:a16="http://schemas.microsoft.com/office/drawing/2014/main" id="{733381D6-81C7-FE76-2EF3-8A93A1CA544D}"/>
            </a:ext>
          </a:extLst>
        </cdr:cNvPr>
        <cdr:cNvSpPr/>
      </cdr:nvSpPr>
      <cdr:spPr>
        <a:xfrm xmlns:a="http://schemas.openxmlformats.org/drawingml/2006/main">
          <a:off x="6324727" y="4380828"/>
          <a:ext cx="130261" cy="134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261" h="134735">
              <a:moveTo>
                <a:pt x="53205" y="92536"/>
              </a:moveTo>
              <a:lnTo>
                <a:pt x="0" y="37504"/>
              </a:lnTo>
              <a:lnTo>
                <a:pt x="0" y="0"/>
              </a:lnTo>
              <a:lnTo>
                <a:pt x="73727" y="76260"/>
              </a:lnTo>
              <a:lnTo>
                <a:pt x="130260" y="134734"/>
              </a:lnTo>
              <a:lnTo>
                <a:pt x="94001" y="1347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0.85417</cdr:x>
      <cdr:y>0.58527</cdr:y>
    </cdr:from>
    <cdr:to>
      <cdr:x>0.87198</cdr:x>
      <cdr:y>0.60295</cdr:y>
    </cdr:to>
    <cdr:sp macro="" textlink="">
      <cdr:nvSpPr>
        <cdr:cNvPr id="758" name="FracNo 1011 StartRow 7219">
          <a:extLst xmlns:a="http://schemas.openxmlformats.org/drawingml/2006/main">
            <a:ext uri="{FF2B5EF4-FFF2-40B4-BE49-F238E27FC236}">
              <a16:creationId xmlns:a16="http://schemas.microsoft.com/office/drawing/2014/main" id="{50B3BBF0-AD1E-7657-9410-E27117D92965}"/>
            </a:ext>
          </a:extLst>
        </cdr:cNvPr>
        <cdr:cNvSpPr/>
      </cdr:nvSpPr>
      <cdr:spPr>
        <a:xfrm xmlns:a="http://schemas.openxmlformats.org/drawingml/2006/main">
          <a:off x="6248416" y="4459760"/>
          <a:ext cx="130261" cy="134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261" h="134735">
              <a:moveTo>
                <a:pt x="119183" y="85772"/>
              </a:moveTo>
              <a:lnTo>
                <a:pt x="36258" y="0"/>
              </a:lnTo>
              <a:lnTo>
                <a:pt x="0" y="0"/>
              </a:lnTo>
              <a:lnTo>
                <a:pt x="114910" y="118857"/>
              </a:lnTo>
              <a:lnTo>
                <a:pt x="130260" y="134734"/>
              </a:lnTo>
              <a:lnTo>
                <a:pt x="130260" y="972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0.39456</cdr:x>
      <cdr:y>0.61024</cdr:y>
    </cdr:from>
    <cdr:to>
      <cdr:x>0.41227</cdr:x>
      <cdr:y>0.62783</cdr:y>
    </cdr:to>
    <cdr:sp macro="" textlink="">
      <cdr:nvSpPr>
        <cdr:cNvPr id="759" name="FracNo 1046 StartRow 7228">
          <a:extLst xmlns:a="http://schemas.openxmlformats.org/drawingml/2006/main">
            <a:ext uri="{FF2B5EF4-FFF2-40B4-BE49-F238E27FC236}">
              <a16:creationId xmlns:a16="http://schemas.microsoft.com/office/drawing/2014/main" id="{79D47390-FD93-BE09-7615-EF7D94A9041A}"/>
            </a:ext>
          </a:extLst>
        </cdr:cNvPr>
        <cdr:cNvSpPr/>
      </cdr:nvSpPr>
      <cdr:spPr>
        <a:xfrm xmlns:a="http://schemas.openxmlformats.org/drawingml/2006/main">
          <a:off x="2886252" y="4650017"/>
          <a:ext cx="129584" cy="134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584" h="134034">
              <a:moveTo>
                <a:pt x="103107" y="106648"/>
              </a:moveTo>
              <a:lnTo>
                <a:pt x="0" y="0"/>
              </a:lnTo>
              <a:lnTo>
                <a:pt x="36258" y="0"/>
              </a:lnTo>
              <a:lnTo>
                <a:pt x="110515" y="76806"/>
              </a:lnTo>
              <a:lnTo>
                <a:pt x="129583" y="96529"/>
              </a:lnTo>
              <a:lnTo>
                <a:pt x="129583" y="1340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0.41916</cdr:x>
      <cdr:y>0.5858</cdr:y>
    </cdr:from>
    <cdr:to>
      <cdr:x>0.43688</cdr:x>
      <cdr:y>0.60339</cdr:y>
    </cdr:to>
    <cdr:sp macro="" textlink="">
      <cdr:nvSpPr>
        <cdr:cNvPr id="760" name="FracNo 1072 StartRow 7237">
          <a:extLst xmlns:a="http://schemas.openxmlformats.org/drawingml/2006/main">
            <a:ext uri="{FF2B5EF4-FFF2-40B4-BE49-F238E27FC236}">
              <a16:creationId xmlns:a16="http://schemas.microsoft.com/office/drawing/2014/main" id="{A49983A2-A3DC-7726-9AB5-1435E588622D}"/>
            </a:ext>
          </a:extLst>
        </cdr:cNvPr>
        <cdr:cNvSpPr/>
      </cdr:nvSpPr>
      <cdr:spPr>
        <a:xfrm xmlns:a="http://schemas.openxmlformats.org/drawingml/2006/main">
          <a:off x="3066275" y="4463811"/>
          <a:ext cx="129584" cy="134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584" h="134034">
              <a:moveTo>
                <a:pt x="93574" y="96787"/>
              </a:moveTo>
              <a:lnTo>
                <a:pt x="0" y="0"/>
              </a:lnTo>
              <a:lnTo>
                <a:pt x="0" y="37504"/>
              </a:lnTo>
              <a:lnTo>
                <a:pt x="67391" y="107209"/>
              </a:lnTo>
              <a:lnTo>
                <a:pt x="93325" y="134033"/>
              </a:lnTo>
              <a:lnTo>
                <a:pt x="129583" y="1340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0.46642</cdr:x>
      <cdr:y>0.27346</cdr:y>
    </cdr:from>
    <cdr:to>
      <cdr:x>0.48649</cdr:x>
      <cdr:y>0.28847</cdr:y>
    </cdr:to>
    <cdr:sp macro="" textlink="">
      <cdr:nvSpPr>
        <cdr:cNvPr id="761" name="FracNo 1002 StartRow 7246">
          <a:extLst xmlns:a="http://schemas.openxmlformats.org/drawingml/2006/main">
            <a:ext uri="{FF2B5EF4-FFF2-40B4-BE49-F238E27FC236}">
              <a16:creationId xmlns:a16="http://schemas.microsoft.com/office/drawing/2014/main" id="{7132121D-3278-2031-F12C-775E19C3A22C}"/>
            </a:ext>
          </a:extLst>
        </cdr:cNvPr>
        <cdr:cNvSpPr/>
      </cdr:nvSpPr>
      <cdr:spPr>
        <a:xfrm xmlns:a="http://schemas.openxmlformats.org/drawingml/2006/main">
          <a:off x="3411968" y="2083754"/>
          <a:ext cx="146832" cy="114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832" h="114370">
              <a:moveTo>
                <a:pt x="61202" y="51065"/>
              </a:moveTo>
              <a:lnTo>
                <a:pt x="0" y="114369"/>
              </a:lnTo>
              <a:lnTo>
                <a:pt x="36259" y="114369"/>
              </a:lnTo>
              <a:lnTo>
                <a:pt x="97460" y="51065"/>
              </a:lnTo>
              <a:lnTo>
                <a:pt x="146831" y="0"/>
              </a:lnTo>
              <a:lnTo>
                <a:pt x="110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0.45472</cdr:x>
      <cdr:y>0.26184</cdr:y>
    </cdr:from>
    <cdr:to>
      <cdr:x>0.47479</cdr:x>
      <cdr:y>0.27685</cdr:y>
    </cdr:to>
    <cdr:sp macro="" textlink="">
      <cdr:nvSpPr>
        <cdr:cNvPr id="762" name="FracNo 1215 StartRow 7255">
          <a:extLst xmlns:a="http://schemas.openxmlformats.org/drawingml/2006/main">
            <a:ext uri="{FF2B5EF4-FFF2-40B4-BE49-F238E27FC236}">
              <a16:creationId xmlns:a16="http://schemas.microsoft.com/office/drawing/2014/main" id="{E8EAF383-3727-28EF-94DE-B3DE3CED2FD9}"/>
            </a:ext>
          </a:extLst>
        </cdr:cNvPr>
        <cdr:cNvSpPr/>
      </cdr:nvSpPr>
      <cdr:spPr>
        <a:xfrm xmlns:a="http://schemas.openxmlformats.org/drawingml/2006/main">
          <a:off x="3326375" y="1995221"/>
          <a:ext cx="146833" cy="114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833" h="114371">
              <a:moveTo>
                <a:pt x="63708" y="48475"/>
              </a:moveTo>
              <a:lnTo>
                <a:pt x="0" y="114370"/>
              </a:lnTo>
              <a:lnTo>
                <a:pt x="36259" y="114370"/>
              </a:lnTo>
              <a:lnTo>
                <a:pt x="99966" y="48475"/>
              </a:lnTo>
              <a:lnTo>
                <a:pt x="146832" y="0"/>
              </a:lnTo>
              <a:lnTo>
                <a:pt x="1105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0.77709</cdr:x>
      <cdr:y>0.47045</cdr:y>
    </cdr:from>
    <cdr:to>
      <cdr:x>0.79715</cdr:x>
      <cdr:y>0.48544</cdr:y>
    </cdr:to>
    <cdr:sp macro="" textlink="">
      <cdr:nvSpPr>
        <cdr:cNvPr id="763" name="FracNo 1037 StartRow 7264">
          <a:extLst xmlns:a="http://schemas.openxmlformats.org/drawingml/2006/main">
            <a:ext uri="{FF2B5EF4-FFF2-40B4-BE49-F238E27FC236}">
              <a16:creationId xmlns:a16="http://schemas.microsoft.com/office/drawing/2014/main" id="{9BF40754-79FA-4929-8A91-DC212AC1A604}"/>
            </a:ext>
          </a:extLst>
        </cdr:cNvPr>
        <cdr:cNvSpPr/>
      </cdr:nvSpPr>
      <cdr:spPr>
        <a:xfrm xmlns:a="http://schemas.openxmlformats.org/drawingml/2006/main">
          <a:off x="5684600" y="3584814"/>
          <a:ext cx="146725" cy="114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725" h="114260">
              <a:moveTo>
                <a:pt x="112836" y="79207"/>
              </a:moveTo>
              <a:lnTo>
                <a:pt x="36259" y="0"/>
              </a:lnTo>
              <a:lnTo>
                <a:pt x="0" y="0"/>
              </a:lnTo>
              <a:lnTo>
                <a:pt x="76577" y="79207"/>
              </a:lnTo>
              <a:lnTo>
                <a:pt x="110466" y="114259"/>
              </a:lnTo>
              <a:lnTo>
                <a:pt x="146724" y="1142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0.76038</cdr:x>
      <cdr:y>0.48705</cdr:y>
    </cdr:from>
    <cdr:to>
      <cdr:x>0.77548</cdr:x>
      <cdr:y>0.50696</cdr:y>
    </cdr:to>
    <cdr:sp macro="" textlink="">
      <cdr:nvSpPr>
        <cdr:cNvPr id="764" name="FracNo 1094 StartRow 7273">
          <a:extLst xmlns:a="http://schemas.openxmlformats.org/drawingml/2006/main">
            <a:ext uri="{FF2B5EF4-FFF2-40B4-BE49-F238E27FC236}">
              <a16:creationId xmlns:a16="http://schemas.microsoft.com/office/drawing/2014/main" id="{18AD70A5-D7E1-AAC5-D5DB-9E9DB716D527}"/>
            </a:ext>
          </a:extLst>
        </cdr:cNvPr>
        <cdr:cNvSpPr/>
      </cdr:nvSpPr>
      <cdr:spPr>
        <a:xfrm xmlns:a="http://schemas.openxmlformats.org/drawingml/2006/main">
          <a:off x="5562313" y="3711300"/>
          <a:ext cx="110467" cy="151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67" h="151764">
              <a:moveTo>
                <a:pt x="29647" y="68169"/>
              </a:moveTo>
              <a:lnTo>
                <a:pt x="0" y="37504"/>
              </a:lnTo>
              <a:lnTo>
                <a:pt x="0" y="0"/>
              </a:lnTo>
              <a:lnTo>
                <a:pt x="29647" y="30665"/>
              </a:lnTo>
              <a:lnTo>
                <a:pt x="110466" y="114260"/>
              </a:lnTo>
              <a:lnTo>
                <a:pt x="110466" y="1517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0.50307</cdr:x>
      <cdr:y>0.09378</cdr:y>
    </cdr:from>
    <cdr:to>
      <cdr:x>0.52058</cdr:x>
      <cdr:y>0.11117</cdr:y>
    </cdr:to>
    <cdr:sp macro="" textlink="">
      <cdr:nvSpPr>
        <cdr:cNvPr id="765" name="FracNo 1040 StartRow 7282">
          <a:extLst xmlns:a="http://schemas.openxmlformats.org/drawingml/2006/main">
            <a:ext uri="{FF2B5EF4-FFF2-40B4-BE49-F238E27FC236}">
              <a16:creationId xmlns:a16="http://schemas.microsoft.com/office/drawing/2014/main" id="{D70AC241-C26F-0B51-ADA1-0F6B4A4C4AD1}"/>
            </a:ext>
          </a:extLst>
        </cdr:cNvPr>
        <cdr:cNvSpPr/>
      </cdr:nvSpPr>
      <cdr:spPr>
        <a:xfrm xmlns:a="http://schemas.openxmlformats.org/drawingml/2006/main">
          <a:off x="3680066" y="714603"/>
          <a:ext cx="128111" cy="132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111" h="132511">
              <a:moveTo>
                <a:pt x="8658" y="123555"/>
              </a:moveTo>
              <a:lnTo>
                <a:pt x="0" y="132510"/>
              </a:lnTo>
              <a:lnTo>
                <a:pt x="36258" y="132510"/>
              </a:lnTo>
              <a:lnTo>
                <a:pt x="42466" y="126089"/>
              </a:lnTo>
              <a:lnTo>
                <a:pt x="128110" y="37504"/>
              </a:lnTo>
              <a:lnTo>
                <a:pt x="128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0.68684</cdr:x>
      <cdr:y>0.40851</cdr:y>
    </cdr:from>
    <cdr:to>
      <cdr:x>0.70185</cdr:x>
      <cdr:y>0.42832</cdr:y>
    </cdr:to>
    <cdr:sp macro="" textlink="">
      <cdr:nvSpPr>
        <cdr:cNvPr id="766" name="FracNo 1212 StartRow 7291">
          <a:extLst xmlns:a="http://schemas.openxmlformats.org/drawingml/2006/main">
            <a:ext uri="{FF2B5EF4-FFF2-40B4-BE49-F238E27FC236}">
              <a16:creationId xmlns:a16="http://schemas.microsoft.com/office/drawing/2014/main" id="{B3E8D253-9A6F-A22C-308A-7F4C8D332144}"/>
            </a:ext>
          </a:extLst>
        </cdr:cNvPr>
        <cdr:cNvSpPr/>
      </cdr:nvSpPr>
      <cdr:spPr>
        <a:xfrm xmlns:a="http://schemas.openxmlformats.org/drawingml/2006/main">
          <a:off x="5024394" y="3112810"/>
          <a:ext cx="109743" cy="151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43" h="151015">
              <a:moveTo>
                <a:pt x="73111" y="113125"/>
              </a:moveTo>
              <a:lnTo>
                <a:pt x="0" y="37503"/>
              </a:lnTo>
              <a:lnTo>
                <a:pt x="0" y="0"/>
              </a:lnTo>
              <a:lnTo>
                <a:pt x="73111" y="75621"/>
              </a:lnTo>
              <a:lnTo>
                <a:pt x="109742" y="113510"/>
              </a:lnTo>
              <a:lnTo>
                <a:pt x="109742" y="1510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0.54475</cdr:x>
      <cdr:y>0.59126</cdr:y>
    </cdr:from>
    <cdr:to>
      <cdr:x>0.56469</cdr:x>
      <cdr:y>0.60613</cdr:y>
    </cdr:to>
    <cdr:sp macro="" textlink="">
      <cdr:nvSpPr>
        <cdr:cNvPr id="767" name="FracNo 1084 StartRow 7300">
          <a:extLst xmlns:a="http://schemas.openxmlformats.org/drawingml/2006/main">
            <a:ext uri="{FF2B5EF4-FFF2-40B4-BE49-F238E27FC236}">
              <a16:creationId xmlns:a16="http://schemas.microsoft.com/office/drawing/2014/main" id="{5BB44E9C-C626-8EDE-362F-D0BEC5991D8A}"/>
            </a:ext>
          </a:extLst>
        </cdr:cNvPr>
        <cdr:cNvSpPr/>
      </cdr:nvSpPr>
      <cdr:spPr>
        <a:xfrm xmlns:a="http://schemas.openxmlformats.org/drawingml/2006/main">
          <a:off x="3984982" y="4505383"/>
          <a:ext cx="145819" cy="113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819" h="113324">
              <a:moveTo>
                <a:pt x="95743" y="14291"/>
              </a:moveTo>
              <a:lnTo>
                <a:pt x="0" y="113323"/>
              </a:lnTo>
              <a:lnTo>
                <a:pt x="36259" y="113323"/>
              </a:lnTo>
              <a:lnTo>
                <a:pt x="132002" y="14291"/>
              </a:lnTo>
              <a:lnTo>
                <a:pt x="145818" y="0"/>
              </a:lnTo>
              <a:lnTo>
                <a:pt x="109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0.36393</cdr:x>
      <cdr:y>0.84604</cdr:y>
    </cdr:from>
    <cdr:to>
      <cdr:x>0.38383</cdr:x>
      <cdr:y>0.86087</cdr:y>
    </cdr:to>
    <cdr:sp macro="" textlink="">
      <cdr:nvSpPr>
        <cdr:cNvPr id="768" name="FracNo 1189 StartRow 7309">
          <a:extLst xmlns:a="http://schemas.openxmlformats.org/drawingml/2006/main">
            <a:ext uri="{FF2B5EF4-FFF2-40B4-BE49-F238E27FC236}">
              <a16:creationId xmlns:a16="http://schemas.microsoft.com/office/drawing/2014/main" id="{CE9F56D8-4100-AB11-CD8F-B80F6F095176}"/>
            </a:ext>
          </a:extLst>
        </cdr:cNvPr>
        <cdr:cNvSpPr/>
      </cdr:nvSpPr>
      <cdr:spPr>
        <a:xfrm xmlns:a="http://schemas.openxmlformats.org/drawingml/2006/main">
          <a:off x="2662255" y="6446815"/>
          <a:ext cx="145555" cy="113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555" h="113048">
              <a:moveTo>
                <a:pt x="119532" y="26915"/>
              </a:moveTo>
              <a:lnTo>
                <a:pt x="94919" y="52373"/>
              </a:lnTo>
              <a:lnTo>
                <a:pt x="36259" y="113047"/>
              </a:lnTo>
              <a:lnTo>
                <a:pt x="0" y="113047"/>
              </a:lnTo>
              <a:lnTo>
                <a:pt x="72343" y="38220"/>
              </a:lnTo>
              <a:lnTo>
                <a:pt x="90305" y="19641"/>
              </a:lnTo>
              <a:lnTo>
                <a:pt x="109295" y="0"/>
              </a:lnTo>
              <a:lnTo>
                <a:pt x="1455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0.36706</cdr:x>
      <cdr:y>0.84914</cdr:y>
    </cdr:from>
    <cdr:to>
      <cdr:x>0.38695</cdr:x>
      <cdr:y>0.86397</cdr:y>
    </cdr:to>
    <cdr:sp macro="" textlink="">
      <cdr:nvSpPr>
        <cdr:cNvPr id="769" name="FracNo 939 StartRow 7320">
          <a:extLst xmlns:a="http://schemas.openxmlformats.org/drawingml/2006/main">
            <a:ext uri="{FF2B5EF4-FFF2-40B4-BE49-F238E27FC236}">
              <a16:creationId xmlns:a16="http://schemas.microsoft.com/office/drawing/2014/main" id="{D1706075-2B9B-F8B4-3924-472B15B97A67}"/>
            </a:ext>
          </a:extLst>
        </cdr:cNvPr>
        <cdr:cNvSpPr/>
      </cdr:nvSpPr>
      <cdr:spPr>
        <a:xfrm xmlns:a="http://schemas.openxmlformats.org/drawingml/2006/main">
          <a:off x="2685086" y="6470429"/>
          <a:ext cx="145554" cy="113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554" h="113048">
              <a:moveTo>
                <a:pt x="66756" y="81502"/>
              </a:moveTo>
              <a:lnTo>
                <a:pt x="36258" y="113047"/>
              </a:lnTo>
              <a:lnTo>
                <a:pt x="0" y="113047"/>
              </a:lnTo>
              <a:lnTo>
                <a:pt x="45620" y="65860"/>
              </a:lnTo>
              <a:lnTo>
                <a:pt x="51149" y="60142"/>
              </a:lnTo>
              <a:lnTo>
                <a:pt x="109294" y="0"/>
              </a:lnTo>
              <a:lnTo>
                <a:pt x="145553" y="0"/>
              </a:lnTo>
              <a:lnTo>
                <a:pt x="70452" y="776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0.37742</cdr:x>
      <cdr:y>0.8545</cdr:y>
    </cdr:from>
    <cdr:to>
      <cdr:x>0.39236</cdr:x>
      <cdr:y>0.87426</cdr:y>
    </cdr:to>
    <cdr:sp macro="" textlink="">
      <cdr:nvSpPr>
        <cdr:cNvPr id="770" name="FracNo 1138 StartRow 7331">
          <a:extLst xmlns:a="http://schemas.openxmlformats.org/drawingml/2006/main">
            <a:ext uri="{FF2B5EF4-FFF2-40B4-BE49-F238E27FC236}">
              <a16:creationId xmlns:a16="http://schemas.microsoft.com/office/drawing/2014/main" id="{A7E19C98-2236-6A63-B895-97B8887E6387}"/>
            </a:ext>
          </a:extLst>
        </cdr:cNvPr>
        <cdr:cNvSpPr/>
      </cdr:nvSpPr>
      <cdr:spPr>
        <a:xfrm xmlns:a="http://schemas.openxmlformats.org/drawingml/2006/main">
          <a:off x="2760884" y="6511326"/>
          <a:ext cx="109295" cy="150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95" h="150553">
              <a:moveTo>
                <a:pt x="85798" y="24304"/>
              </a:moveTo>
              <a:lnTo>
                <a:pt x="0" y="113049"/>
              </a:lnTo>
              <a:lnTo>
                <a:pt x="0" y="150552"/>
              </a:lnTo>
              <a:lnTo>
                <a:pt x="85798" y="61808"/>
              </a:lnTo>
              <a:lnTo>
                <a:pt x="109294" y="37504"/>
              </a:lnTo>
              <a:lnTo>
                <a:pt x="1092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0.78909</cdr:x>
      <cdr:y>0.12291</cdr:y>
    </cdr:from>
    <cdr:to>
      <cdr:x>0.80897</cdr:x>
      <cdr:y>0.13773</cdr:y>
    </cdr:to>
    <cdr:sp macro="" textlink="">
      <cdr:nvSpPr>
        <cdr:cNvPr id="771" name="FracNo 1211 StartRow 7340">
          <a:extLst xmlns:a="http://schemas.openxmlformats.org/drawingml/2006/main">
            <a:ext uri="{FF2B5EF4-FFF2-40B4-BE49-F238E27FC236}">
              <a16:creationId xmlns:a16="http://schemas.microsoft.com/office/drawing/2014/main" id="{BE005575-9711-DBE4-5483-A0F5F8BDE7A1}"/>
            </a:ext>
          </a:extLst>
        </cdr:cNvPr>
        <cdr:cNvSpPr/>
      </cdr:nvSpPr>
      <cdr:spPr>
        <a:xfrm xmlns:a="http://schemas.openxmlformats.org/drawingml/2006/main">
          <a:off x="5772373" y="936594"/>
          <a:ext cx="145393" cy="112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393" h="112883">
              <a:moveTo>
                <a:pt x="120250" y="86876"/>
              </a:moveTo>
              <a:lnTo>
                <a:pt x="36258" y="0"/>
              </a:lnTo>
              <a:lnTo>
                <a:pt x="0" y="0"/>
              </a:lnTo>
              <a:lnTo>
                <a:pt x="83992" y="86876"/>
              </a:lnTo>
              <a:lnTo>
                <a:pt x="109133" y="112882"/>
              </a:lnTo>
              <a:lnTo>
                <a:pt x="145392" y="1128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0.80359</cdr:x>
      <cdr:y>0.8666</cdr:y>
    </cdr:from>
    <cdr:to>
      <cdr:x>0.82082</cdr:x>
      <cdr:y>0.88371</cdr:y>
    </cdr:to>
    <cdr:sp macro="" textlink="">
      <cdr:nvSpPr>
        <cdr:cNvPr id="772" name="FracNo 156 StartRow 7349">
          <a:extLst xmlns:a="http://schemas.openxmlformats.org/drawingml/2006/main">
            <a:ext uri="{FF2B5EF4-FFF2-40B4-BE49-F238E27FC236}">
              <a16:creationId xmlns:a16="http://schemas.microsoft.com/office/drawing/2014/main" id="{C6F8A511-7C22-E661-DEBA-AD6F704FB1B2}"/>
            </a:ext>
          </a:extLst>
        </cdr:cNvPr>
        <cdr:cNvSpPr/>
      </cdr:nvSpPr>
      <cdr:spPr>
        <a:xfrm xmlns:a="http://schemas.openxmlformats.org/drawingml/2006/main">
          <a:off x="5878393" y="6603465"/>
          <a:ext cx="126097" cy="130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97" h="130429">
              <a:moveTo>
                <a:pt x="55372" y="57274"/>
              </a:moveTo>
              <a:lnTo>
                <a:pt x="0" y="0"/>
              </a:lnTo>
              <a:lnTo>
                <a:pt x="0" y="37504"/>
              </a:lnTo>
              <a:lnTo>
                <a:pt x="39450" y="78309"/>
              </a:lnTo>
              <a:lnTo>
                <a:pt x="89838" y="130428"/>
              </a:lnTo>
              <a:lnTo>
                <a:pt x="126096" y="1304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0.75522</cdr:x>
      <cdr:y>0.46306</cdr:y>
    </cdr:from>
    <cdr:to>
      <cdr:x>0.76987</cdr:x>
      <cdr:y>0.48254</cdr:y>
    </cdr:to>
    <cdr:sp macro="" textlink="">
      <cdr:nvSpPr>
        <cdr:cNvPr id="773" name="FracNo 1119 StartRow 7358">
          <a:extLst xmlns:a="http://schemas.openxmlformats.org/drawingml/2006/main">
            <a:ext uri="{FF2B5EF4-FFF2-40B4-BE49-F238E27FC236}">
              <a16:creationId xmlns:a16="http://schemas.microsoft.com/office/drawing/2014/main" id="{0302B746-330A-CD1D-6EFF-F82962E823E3}"/>
            </a:ext>
          </a:extLst>
        </cdr:cNvPr>
        <cdr:cNvSpPr/>
      </cdr:nvSpPr>
      <cdr:spPr>
        <a:xfrm xmlns:a="http://schemas.openxmlformats.org/drawingml/2006/main">
          <a:off x="5524563" y="3528534"/>
          <a:ext cx="107225" cy="1484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225" h="148411">
              <a:moveTo>
                <a:pt x="38608" y="77437"/>
              </a:moveTo>
              <a:lnTo>
                <a:pt x="0" y="37504"/>
              </a:lnTo>
              <a:lnTo>
                <a:pt x="0" y="0"/>
              </a:lnTo>
              <a:lnTo>
                <a:pt x="38608" y="39933"/>
              </a:lnTo>
              <a:lnTo>
                <a:pt x="107224" y="110907"/>
              </a:lnTo>
              <a:lnTo>
                <a:pt x="107224" y="1484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0.54521</cdr:x>
      <cdr:y>0.72065</cdr:y>
    </cdr:from>
    <cdr:to>
      <cdr:x>0.56458</cdr:x>
      <cdr:y>0.73497</cdr:y>
    </cdr:to>
    <cdr:sp macro="" textlink="">
      <cdr:nvSpPr>
        <cdr:cNvPr id="774" name="FracNo 933 StartRow 7367">
          <a:extLst xmlns:a="http://schemas.openxmlformats.org/drawingml/2006/main">
            <a:ext uri="{FF2B5EF4-FFF2-40B4-BE49-F238E27FC236}">
              <a16:creationId xmlns:a16="http://schemas.microsoft.com/office/drawing/2014/main" id="{1368691A-55AD-0B81-5288-3386822398D9}"/>
            </a:ext>
          </a:extLst>
        </cdr:cNvPr>
        <cdr:cNvSpPr/>
      </cdr:nvSpPr>
      <cdr:spPr>
        <a:xfrm xmlns:a="http://schemas.openxmlformats.org/drawingml/2006/main">
          <a:off x="3988298" y="5491383"/>
          <a:ext cx="141719" cy="109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719" h="109082">
              <a:moveTo>
                <a:pt x="31306" y="32382"/>
              </a:moveTo>
              <a:lnTo>
                <a:pt x="0" y="0"/>
              </a:lnTo>
              <a:lnTo>
                <a:pt x="36258" y="0"/>
              </a:lnTo>
              <a:lnTo>
                <a:pt x="67565" y="32382"/>
              </a:lnTo>
              <a:lnTo>
                <a:pt x="141718" y="109081"/>
              </a:lnTo>
              <a:lnTo>
                <a:pt x="105459" y="1090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0.55791</cdr:x>
      <cdr:y>0.70804</cdr:y>
    </cdr:from>
    <cdr:to>
      <cdr:x>0.57728</cdr:x>
      <cdr:y>0.72236</cdr:y>
    </cdr:to>
    <cdr:sp macro="" textlink="">
      <cdr:nvSpPr>
        <cdr:cNvPr id="775" name="FracNo 965 StartRow 7376">
          <a:extLst xmlns:a="http://schemas.openxmlformats.org/drawingml/2006/main">
            <a:ext uri="{FF2B5EF4-FFF2-40B4-BE49-F238E27FC236}">
              <a16:creationId xmlns:a16="http://schemas.microsoft.com/office/drawing/2014/main" id="{7ACCDD61-F0BC-4772-988E-F1DEDD1929FF}"/>
            </a:ext>
          </a:extLst>
        </cdr:cNvPr>
        <cdr:cNvSpPr/>
      </cdr:nvSpPr>
      <cdr:spPr>
        <a:xfrm xmlns:a="http://schemas.openxmlformats.org/drawingml/2006/main">
          <a:off x="4081189" y="5395301"/>
          <a:ext cx="141719" cy="109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719" h="109083">
              <a:moveTo>
                <a:pt x="50946" y="52696"/>
              </a:moveTo>
              <a:lnTo>
                <a:pt x="0" y="0"/>
              </a:lnTo>
              <a:lnTo>
                <a:pt x="36259" y="0"/>
              </a:lnTo>
              <a:lnTo>
                <a:pt x="87205" y="52696"/>
              </a:lnTo>
              <a:lnTo>
                <a:pt x="141718" y="109082"/>
              </a:lnTo>
              <a:lnTo>
                <a:pt x="105460" y="1090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0.23588</cdr:x>
      <cdr:y>0.57232</cdr:y>
    </cdr:from>
    <cdr:to>
      <cdr:x>0.25263</cdr:x>
      <cdr:y>0.58895</cdr:y>
    </cdr:to>
    <cdr:sp macro="" textlink="">
      <cdr:nvSpPr>
        <cdr:cNvPr id="776" name="FracNo 393 StartRow 7385">
          <a:extLst xmlns:a="http://schemas.openxmlformats.org/drawingml/2006/main">
            <a:ext uri="{FF2B5EF4-FFF2-40B4-BE49-F238E27FC236}">
              <a16:creationId xmlns:a16="http://schemas.microsoft.com/office/drawing/2014/main" id="{BBC0C0C8-B755-49C2-7D29-0E38DB413C9C}"/>
            </a:ext>
          </a:extLst>
        </cdr:cNvPr>
        <cdr:cNvSpPr/>
      </cdr:nvSpPr>
      <cdr:spPr>
        <a:xfrm xmlns:a="http://schemas.openxmlformats.org/drawingml/2006/main">
          <a:off x="1725510" y="4361073"/>
          <a:ext cx="122523" cy="126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523" h="126731">
              <a:moveTo>
                <a:pt x="19204" y="1112"/>
              </a:moveTo>
              <a:lnTo>
                <a:pt x="18129" y="0"/>
              </a:lnTo>
              <a:lnTo>
                <a:pt x="0" y="18752"/>
              </a:lnTo>
              <a:lnTo>
                <a:pt x="1075" y="19863"/>
              </a:lnTo>
              <a:lnTo>
                <a:pt x="104393" y="126730"/>
              </a:lnTo>
              <a:lnTo>
                <a:pt x="122522" y="1079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0.58501</cdr:x>
      <cdr:y>0.65308</cdr:y>
    </cdr:from>
    <cdr:to>
      <cdr:x>0.60161</cdr:x>
      <cdr:y>0.66957</cdr:y>
    </cdr:to>
    <cdr:sp macro="" textlink="">
      <cdr:nvSpPr>
        <cdr:cNvPr id="777" name="FracNo 923 StartRow 7394">
          <a:extLst xmlns:a="http://schemas.openxmlformats.org/drawingml/2006/main">
            <a:ext uri="{FF2B5EF4-FFF2-40B4-BE49-F238E27FC236}">
              <a16:creationId xmlns:a16="http://schemas.microsoft.com/office/drawing/2014/main" id="{82AAC000-F89D-D686-E684-BF41A2341A8F}"/>
            </a:ext>
          </a:extLst>
        </cdr:cNvPr>
        <cdr:cNvSpPr/>
      </cdr:nvSpPr>
      <cdr:spPr>
        <a:xfrm xmlns:a="http://schemas.openxmlformats.org/drawingml/2006/main">
          <a:off x="4279463" y="4976492"/>
          <a:ext cx="121445" cy="125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445" h="125616">
              <a:moveTo>
                <a:pt x="59402" y="98946"/>
              </a:moveTo>
              <a:lnTo>
                <a:pt x="0" y="37504"/>
              </a:lnTo>
              <a:lnTo>
                <a:pt x="0" y="0"/>
              </a:lnTo>
              <a:lnTo>
                <a:pt x="84687" y="87595"/>
              </a:lnTo>
              <a:lnTo>
                <a:pt x="121444" y="125615"/>
              </a:lnTo>
              <a:lnTo>
                <a:pt x="85185" y="1256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0.53956</cdr:x>
      <cdr:y>0.40519</cdr:y>
    </cdr:from>
    <cdr:to>
      <cdr:x>0.55615</cdr:x>
      <cdr:y>0.42166</cdr:y>
    </cdr:to>
    <cdr:sp macro="" textlink="">
      <cdr:nvSpPr>
        <cdr:cNvPr id="778" name="FracNo 913 StartRow 7403">
          <a:extLst xmlns:a="http://schemas.openxmlformats.org/drawingml/2006/main">
            <a:ext uri="{FF2B5EF4-FFF2-40B4-BE49-F238E27FC236}">
              <a16:creationId xmlns:a16="http://schemas.microsoft.com/office/drawing/2014/main" id="{8218A415-8339-3FC2-FDD6-6F2496050813}"/>
            </a:ext>
          </a:extLst>
        </cdr:cNvPr>
        <cdr:cNvSpPr/>
      </cdr:nvSpPr>
      <cdr:spPr>
        <a:xfrm xmlns:a="http://schemas.openxmlformats.org/drawingml/2006/main">
          <a:off x="3946954" y="3087531"/>
          <a:ext cx="121359" cy="125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359" h="125527">
              <a:moveTo>
                <a:pt x="77430" y="117592"/>
              </a:moveTo>
              <a:lnTo>
                <a:pt x="0" y="37503"/>
              </a:lnTo>
              <a:lnTo>
                <a:pt x="0" y="0"/>
              </a:lnTo>
              <a:lnTo>
                <a:pt x="110421" y="114212"/>
              </a:lnTo>
              <a:lnTo>
                <a:pt x="121358" y="125526"/>
              </a:lnTo>
              <a:lnTo>
                <a:pt x="85100" y="1255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0.89779</cdr:x>
      <cdr:y>0.86989</cdr:y>
    </cdr:from>
    <cdr:to>
      <cdr:x>0.91424</cdr:x>
      <cdr:y>0.88622</cdr:y>
    </cdr:to>
    <cdr:sp macro="" textlink="">
      <cdr:nvSpPr>
        <cdr:cNvPr id="779" name="FracNo 985 StartRow 7412">
          <a:extLst xmlns:a="http://schemas.openxmlformats.org/drawingml/2006/main">
            <a:ext uri="{FF2B5EF4-FFF2-40B4-BE49-F238E27FC236}">
              <a16:creationId xmlns:a16="http://schemas.microsoft.com/office/drawing/2014/main" id="{F39C9ADE-8805-44D5-57EA-F5AE5D286621}"/>
            </a:ext>
          </a:extLst>
        </cdr:cNvPr>
        <cdr:cNvSpPr/>
      </cdr:nvSpPr>
      <cdr:spPr>
        <a:xfrm xmlns:a="http://schemas.openxmlformats.org/drawingml/2006/main">
          <a:off x="6567534" y="6628533"/>
          <a:ext cx="120339" cy="124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339" h="124471">
              <a:moveTo>
                <a:pt x="86233" y="72780"/>
              </a:moveTo>
              <a:lnTo>
                <a:pt x="36258" y="124470"/>
              </a:lnTo>
              <a:lnTo>
                <a:pt x="0" y="124470"/>
              </a:lnTo>
              <a:lnTo>
                <a:pt x="71524" y="50490"/>
              </a:lnTo>
              <a:lnTo>
                <a:pt x="120338" y="0"/>
              </a:lnTo>
              <a:lnTo>
                <a:pt x="12033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0.26091</cdr:x>
      <cdr:y>0.4396</cdr:y>
    </cdr:from>
    <cdr:to>
      <cdr:x>0.27975</cdr:x>
      <cdr:y>0.45339</cdr:y>
    </cdr:to>
    <cdr:sp macro="" textlink="">
      <cdr:nvSpPr>
        <cdr:cNvPr id="780" name="FracNo 916 StartRow 7421">
          <a:extLst xmlns:a="http://schemas.openxmlformats.org/drawingml/2006/main">
            <a:ext uri="{FF2B5EF4-FFF2-40B4-BE49-F238E27FC236}">
              <a16:creationId xmlns:a16="http://schemas.microsoft.com/office/drawing/2014/main" id="{2A06CD87-B058-8848-704E-2D70EC720FE7}"/>
            </a:ext>
          </a:extLst>
        </cdr:cNvPr>
        <cdr:cNvSpPr/>
      </cdr:nvSpPr>
      <cdr:spPr>
        <a:xfrm xmlns:a="http://schemas.openxmlformats.org/drawingml/2006/main">
          <a:off x="1908576" y="3349763"/>
          <a:ext cx="137849" cy="105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849" h="105079">
              <a:moveTo>
                <a:pt x="88809" y="50724"/>
              </a:moveTo>
              <a:lnTo>
                <a:pt x="36259" y="105078"/>
              </a:lnTo>
              <a:lnTo>
                <a:pt x="0" y="105078"/>
              </a:lnTo>
              <a:lnTo>
                <a:pt x="52550" y="50724"/>
              </a:lnTo>
              <a:lnTo>
                <a:pt x="101590" y="0"/>
              </a:lnTo>
              <a:lnTo>
                <a:pt x="1378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0.57497</cdr:x>
      <cdr:y>0.09306</cdr:y>
    </cdr:from>
    <cdr:to>
      <cdr:x>0.59133</cdr:x>
      <cdr:y>0.10931</cdr:y>
    </cdr:to>
    <cdr:sp macro="" textlink="">
      <cdr:nvSpPr>
        <cdr:cNvPr id="781" name="FracNo 226 StartRow 7430">
          <a:extLst xmlns:a="http://schemas.openxmlformats.org/drawingml/2006/main">
            <a:ext uri="{FF2B5EF4-FFF2-40B4-BE49-F238E27FC236}">
              <a16:creationId xmlns:a16="http://schemas.microsoft.com/office/drawing/2014/main" id="{DB7EF2C9-A945-D021-8F50-4162EA383D55}"/>
            </a:ext>
          </a:extLst>
        </cdr:cNvPr>
        <cdr:cNvSpPr/>
      </cdr:nvSpPr>
      <cdr:spPr>
        <a:xfrm xmlns:a="http://schemas.openxmlformats.org/drawingml/2006/main">
          <a:off x="4205987" y="709133"/>
          <a:ext cx="119690" cy="123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690" h="123799">
              <a:moveTo>
                <a:pt x="15532" y="34817"/>
              </a:moveTo>
              <a:lnTo>
                <a:pt x="0" y="18751"/>
              </a:lnTo>
              <a:lnTo>
                <a:pt x="18130" y="0"/>
              </a:lnTo>
              <a:lnTo>
                <a:pt x="33662" y="16065"/>
              </a:lnTo>
              <a:lnTo>
                <a:pt x="119689" y="105046"/>
              </a:lnTo>
              <a:lnTo>
                <a:pt x="101559" y="1237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0.28165</cdr:x>
      <cdr:y>0.59201</cdr:y>
    </cdr:from>
    <cdr:to>
      <cdr:x>0.29762</cdr:x>
      <cdr:y>0.60787</cdr:y>
    </cdr:to>
    <cdr:sp macro="" textlink="">
      <cdr:nvSpPr>
        <cdr:cNvPr id="782" name="FracNo 1021 StartRow 7439">
          <a:extLst xmlns:a="http://schemas.openxmlformats.org/drawingml/2006/main">
            <a:ext uri="{FF2B5EF4-FFF2-40B4-BE49-F238E27FC236}">
              <a16:creationId xmlns:a16="http://schemas.microsoft.com/office/drawing/2014/main" id="{138E77F2-C86E-6DB4-8B0F-52EFB5630A8E}"/>
            </a:ext>
          </a:extLst>
        </cdr:cNvPr>
        <cdr:cNvSpPr/>
      </cdr:nvSpPr>
      <cdr:spPr>
        <a:xfrm xmlns:a="http://schemas.openxmlformats.org/drawingml/2006/main">
          <a:off x="2060326" y="4511125"/>
          <a:ext cx="116802" cy="120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802" h="120813">
              <a:moveTo>
                <a:pt x="21875" y="60682"/>
              </a:moveTo>
              <a:lnTo>
                <a:pt x="0" y="83309"/>
              </a:lnTo>
              <a:lnTo>
                <a:pt x="0" y="120812"/>
              </a:lnTo>
              <a:lnTo>
                <a:pt x="31723" y="88000"/>
              </a:lnTo>
              <a:lnTo>
                <a:pt x="116801" y="0"/>
              </a:lnTo>
              <a:lnTo>
                <a:pt x="805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0.69939</cdr:x>
      <cdr:y>0.22753</cdr:y>
    </cdr:from>
    <cdr:to>
      <cdr:x>0.71757</cdr:x>
      <cdr:y>0.24066</cdr:y>
    </cdr:to>
    <cdr:sp macro="" textlink="">
      <cdr:nvSpPr>
        <cdr:cNvPr id="783" name="FracNo 982 StartRow 7448">
          <a:extLst xmlns:a="http://schemas.openxmlformats.org/drawingml/2006/main">
            <a:ext uri="{FF2B5EF4-FFF2-40B4-BE49-F238E27FC236}">
              <a16:creationId xmlns:a16="http://schemas.microsoft.com/office/drawing/2014/main" id="{1356F89A-490A-FB76-58DE-8BF4455CFF11}"/>
            </a:ext>
          </a:extLst>
        </cdr:cNvPr>
        <cdr:cNvSpPr/>
      </cdr:nvSpPr>
      <cdr:spPr>
        <a:xfrm xmlns:a="http://schemas.openxmlformats.org/drawingml/2006/main">
          <a:off x="5116164" y="1733745"/>
          <a:ext cx="132986" cy="100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986" h="100047">
              <a:moveTo>
                <a:pt x="54277" y="18636"/>
              </a:moveTo>
              <a:lnTo>
                <a:pt x="36259" y="0"/>
              </a:lnTo>
              <a:lnTo>
                <a:pt x="0" y="0"/>
              </a:lnTo>
              <a:lnTo>
                <a:pt x="18018" y="18636"/>
              </a:lnTo>
              <a:lnTo>
                <a:pt x="96726" y="100046"/>
              </a:lnTo>
              <a:lnTo>
                <a:pt x="132985" y="1000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0.23289</cdr:y>
    </cdr:from>
    <cdr:to>
      <cdr:x>0.1048</cdr:x>
      <cdr:y>0.2507</cdr:y>
    </cdr:to>
    <cdr:sp macro="" textlink="">
      <cdr:nvSpPr>
        <cdr:cNvPr id="784" name="FracNo 1099 StartRow 7457">
          <a:extLst xmlns:a="http://schemas.openxmlformats.org/drawingml/2006/main">
            <a:ext uri="{FF2B5EF4-FFF2-40B4-BE49-F238E27FC236}">
              <a16:creationId xmlns:a16="http://schemas.microsoft.com/office/drawing/2014/main" id="{308EB50E-3F28-E896-E3E4-996DC1AF4790}"/>
            </a:ext>
          </a:extLst>
        </cdr:cNvPr>
        <cdr:cNvSpPr/>
      </cdr:nvSpPr>
      <cdr:spPr>
        <a:xfrm xmlns:a="http://schemas.openxmlformats.org/drawingml/2006/main">
          <a:off x="671676" y="1774609"/>
          <a:ext cx="94979" cy="135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79" h="135745">
              <a:moveTo>
                <a:pt x="62682" y="33405"/>
              </a:moveTo>
              <a:lnTo>
                <a:pt x="0" y="98240"/>
              </a:lnTo>
              <a:lnTo>
                <a:pt x="0" y="135744"/>
              </a:lnTo>
              <a:lnTo>
                <a:pt x="62682" y="70909"/>
              </a:lnTo>
              <a:lnTo>
                <a:pt x="94978" y="37504"/>
              </a:lnTo>
              <a:lnTo>
                <a:pt x="949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0.66895</cdr:x>
      <cdr:y>0.24837</cdr:y>
    </cdr:from>
    <cdr:to>
      <cdr:x>0.68559</cdr:x>
      <cdr:y>0.26243</cdr:y>
    </cdr:to>
    <cdr:sp macro="" textlink="">
      <cdr:nvSpPr>
        <cdr:cNvPr id="785" name="FracNo 516 StartRow 7466">
          <a:extLst xmlns:a="http://schemas.openxmlformats.org/drawingml/2006/main">
            <a:ext uri="{FF2B5EF4-FFF2-40B4-BE49-F238E27FC236}">
              <a16:creationId xmlns:a16="http://schemas.microsoft.com/office/drawing/2014/main" id="{4930C6E0-B3BE-0F0E-0F5C-B61166426747}"/>
            </a:ext>
          </a:extLst>
        </cdr:cNvPr>
        <cdr:cNvSpPr/>
      </cdr:nvSpPr>
      <cdr:spPr>
        <a:xfrm xmlns:a="http://schemas.openxmlformats.org/drawingml/2006/main">
          <a:off x="4893505" y="1892596"/>
          <a:ext cx="121722" cy="107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722" h="107151">
              <a:moveTo>
                <a:pt x="104343" y="36727"/>
              </a:moveTo>
              <a:lnTo>
                <a:pt x="36258" y="107150"/>
              </a:lnTo>
              <a:lnTo>
                <a:pt x="0" y="107150"/>
              </a:lnTo>
              <a:lnTo>
                <a:pt x="82528" y="21788"/>
              </a:lnTo>
              <a:lnTo>
                <a:pt x="103592" y="0"/>
              </a:lnTo>
              <a:lnTo>
                <a:pt x="1217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0.11327</cdr:x>
      <cdr:y>0.1499</cdr:y>
    </cdr:from>
    <cdr:to>
      <cdr:x>0.13112</cdr:x>
      <cdr:y>0.1627</cdr:y>
    </cdr:to>
    <cdr:sp macro="" textlink="">
      <cdr:nvSpPr>
        <cdr:cNvPr id="786" name="FracNo 1069 StartRow 7475">
          <a:extLst xmlns:a="http://schemas.openxmlformats.org/drawingml/2006/main">
            <a:ext uri="{FF2B5EF4-FFF2-40B4-BE49-F238E27FC236}">
              <a16:creationId xmlns:a16="http://schemas.microsoft.com/office/drawing/2014/main" id="{9361EAB8-8E81-D966-95D8-A75794B58A57}"/>
            </a:ext>
          </a:extLst>
        </cdr:cNvPr>
        <cdr:cNvSpPr/>
      </cdr:nvSpPr>
      <cdr:spPr>
        <a:xfrm xmlns:a="http://schemas.openxmlformats.org/drawingml/2006/main">
          <a:off x="828610" y="1142261"/>
          <a:ext cx="130552" cy="97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552" h="97531">
              <a:moveTo>
                <a:pt x="34820" y="36016"/>
              </a:moveTo>
              <a:lnTo>
                <a:pt x="0" y="0"/>
              </a:lnTo>
              <a:lnTo>
                <a:pt x="36258" y="0"/>
              </a:lnTo>
              <a:lnTo>
                <a:pt x="71079" y="36016"/>
              </a:lnTo>
              <a:lnTo>
                <a:pt x="130551" y="97530"/>
              </a:lnTo>
              <a:lnTo>
                <a:pt x="94293" y="975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0.68816</cdr:x>
      <cdr:y>0.5443</cdr:y>
    </cdr:from>
    <cdr:to>
      <cdr:x>0.70105</cdr:x>
      <cdr:y>0.56202</cdr:y>
    </cdr:to>
    <cdr:sp macro="" textlink="">
      <cdr:nvSpPr>
        <cdr:cNvPr id="787" name="FracNo 975 StartRow 7484">
          <a:extLst xmlns:a="http://schemas.openxmlformats.org/drawingml/2006/main">
            <a:ext uri="{FF2B5EF4-FFF2-40B4-BE49-F238E27FC236}">
              <a16:creationId xmlns:a16="http://schemas.microsoft.com/office/drawing/2014/main" id="{03889D46-E330-7A8C-C7F3-31D41DC5DBAF}"/>
            </a:ext>
          </a:extLst>
        </cdr:cNvPr>
        <cdr:cNvSpPr/>
      </cdr:nvSpPr>
      <cdr:spPr>
        <a:xfrm xmlns:a="http://schemas.openxmlformats.org/drawingml/2006/main">
          <a:off x="5034049" y="4147591"/>
          <a:ext cx="94239" cy="134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39" h="134980">
              <a:moveTo>
                <a:pt x="79203" y="15552"/>
              </a:moveTo>
              <a:lnTo>
                <a:pt x="0" y="97475"/>
              </a:lnTo>
              <a:lnTo>
                <a:pt x="0" y="134979"/>
              </a:lnTo>
              <a:lnTo>
                <a:pt x="79203" y="53056"/>
              </a:lnTo>
              <a:lnTo>
                <a:pt x="94238" y="37504"/>
              </a:lnTo>
              <a:lnTo>
                <a:pt x="94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0.67925</cdr:x>
      <cdr:y>0.54038</cdr:y>
    </cdr:from>
    <cdr:to>
      <cdr:x>0.69709</cdr:x>
      <cdr:y>0.55317</cdr:y>
    </cdr:to>
    <cdr:sp macro="" textlink="">
      <cdr:nvSpPr>
        <cdr:cNvPr id="788" name="FracNo 1059 StartRow 7493">
          <a:extLst xmlns:a="http://schemas.openxmlformats.org/drawingml/2006/main">
            <a:ext uri="{FF2B5EF4-FFF2-40B4-BE49-F238E27FC236}">
              <a16:creationId xmlns:a16="http://schemas.microsoft.com/office/drawing/2014/main" id="{CD7EABB4-F004-F119-F023-9D865AB32FA0}"/>
            </a:ext>
          </a:extLst>
        </cdr:cNvPr>
        <cdr:cNvSpPr/>
      </cdr:nvSpPr>
      <cdr:spPr>
        <a:xfrm xmlns:a="http://schemas.openxmlformats.org/drawingml/2006/main">
          <a:off x="4968877" y="4117685"/>
          <a:ext cx="130497" cy="97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97" h="97476">
              <a:moveTo>
                <a:pt x="102645" y="28808"/>
              </a:moveTo>
              <a:lnTo>
                <a:pt x="36258" y="97475"/>
              </a:lnTo>
              <a:lnTo>
                <a:pt x="0" y="97475"/>
              </a:lnTo>
              <a:lnTo>
                <a:pt x="66386" y="28808"/>
              </a:lnTo>
              <a:lnTo>
                <a:pt x="94238" y="0"/>
              </a:lnTo>
              <a:lnTo>
                <a:pt x="1304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0.60025</cdr:x>
      <cdr:y>0.87005</cdr:y>
    </cdr:from>
    <cdr:to>
      <cdr:x>0.61675</cdr:x>
      <cdr:y>0.88397</cdr:y>
    </cdr:to>
    <cdr:sp macro="" textlink="">
      <cdr:nvSpPr>
        <cdr:cNvPr id="789" name="FracNo 1204 StartRow 7502">
          <a:extLst xmlns:a="http://schemas.openxmlformats.org/drawingml/2006/main">
            <a:ext uri="{FF2B5EF4-FFF2-40B4-BE49-F238E27FC236}">
              <a16:creationId xmlns:a16="http://schemas.microsoft.com/office/drawing/2014/main" id="{5F427416-8209-AE64-1022-7BDD5780012E}"/>
            </a:ext>
          </a:extLst>
        </cdr:cNvPr>
        <cdr:cNvSpPr/>
      </cdr:nvSpPr>
      <cdr:spPr>
        <a:xfrm xmlns:a="http://schemas.openxmlformats.org/drawingml/2006/main">
          <a:off x="4390918" y="6629746"/>
          <a:ext cx="120699" cy="106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699" h="106090">
              <a:moveTo>
                <a:pt x="9357" y="9677"/>
              </a:moveTo>
              <a:lnTo>
                <a:pt x="0" y="0"/>
              </a:lnTo>
              <a:lnTo>
                <a:pt x="36259" y="0"/>
              </a:lnTo>
              <a:lnTo>
                <a:pt x="43962" y="7967"/>
              </a:lnTo>
              <a:lnTo>
                <a:pt x="120698" y="87338"/>
              </a:lnTo>
              <a:lnTo>
                <a:pt x="102568" y="1060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0.54821</cdr:x>
      <cdr:y>0.55255</cdr:y>
    </cdr:from>
    <cdr:to>
      <cdr:x>0.56344</cdr:x>
      <cdr:y>0.56767</cdr:y>
    </cdr:to>
    <cdr:sp macro="" textlink="">
      <cdr:nvSpPr>
        <cdr:cNvPr id="790" name="FracNo 715 StartRow 7511">
          <a:extLst xmlns:a="http://schemas.openxmlformats.org/drawingml/2006/main">
            <a:ext uri="{FF2B5EF4-FFF2-40B4-BE49-F238E27FC236}">
              <a16:creationId xmlns:a16="http://schemas.microsoft.com/office/drawing/2014/main" id="{81C02917-F0F4-EE89-0421-BFF3E3E9A00B}"/>
            </a:ext>
          </a:extLst>
        </cdr:cNvPr>
        <cdr:cNvSpPr/>
      </cdr:nvSpPr>
      <cdr:spPr>
        <a:xfrm xmlns:a="http://schemas.openxmlformats.org/drawingml/2006/main">
          <a:off x="4010287" y="4210442"/>
          <a:ext cx="111381" cy="115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381" h="115207">
              <a:moveTo>
                <a:pt x="99572" y="84241"/>
              </a:moveTo>
              <a:lnTo>
                <a:pt x="18129" y="0"/>
              </a:lnTo>
              <a:lnTo>
                <a:pt x="0" y="18753"/>
              </a:lnTo>
              <a:lnTo>
                <a:pt x="81443" y="102993"/>
              </a:lnTo>
              <a:lnTo>
                <a:pt x="93251" y="115206"/>
              </a:lnTo>
              <a:lnTo>
                <a:pt x="111380" y="964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0.66362</cdr:x>
      <cdr:y>0.6954</cdr:y>
    </cdr:from>
    <cdr:to>
      <cdr:x>0.6813</cdr:x>
      <cdr:y>0.70803</cdr:y>
    </cdr:to>
    <cdr:sp macro="" textlink="">
      <cdr:nvSpPr>
        <cdr:cNvPr id="791" name="FracNo 1233 StartRow 7520">
          <a:extLst xmlns:a="http://schemas.openxmlformats.org/drawingml/2006/main">
            <a:ext uri="{FF2B5EF4-FFF2-40B4-BE49-F238E27FC236}">
              <a16:creationId xmlns:a16="http://schemas.microsoft.com/office/drawing/2014/main" id="{B58FB36D-414D-BB3E-75FC-2F73CB933C02}"/>
            </a:ext>
          </a:extLst>
        </cdr:cNvPr>
        <cdr:cNvSpPr/>
      </cdr:nvSpPr>
      <cdr:spPr>
        <a:xfrm xmlns:a="http://schemas.openxmlformats.org/drawingml/2006/main">
          <a:off x="4854485" y="5298935"/>
          <a:ext cx="129331" cy="96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331" h="96269">
              <a:moveTo>
                <a:pt x="43213" y="7193"/>
              </a:moveTo>
              <a:lnTo>
                <a:pt x="36258" y="0"/>
              </a:lnTo>
              <a:lnTo>
                <a:pt x="0" y="0"/>
              </a:lnTo>
              <a:lnTo>
                <a:pt x="6954" y="7193"/>
              </a:lnTo>
              <a:lnTo>
                <a:pt x="93072" y="96268"/>
              </a:lnTo>
              <a:lnTo>
                <a:pt x="129330" y="962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0.54428</cdr:x>
      <cdr:y>0.56105</cdr:y>
    </cdr:from>
    <cdr:to>
      <cdr:x>0.55925</cdr:x>
      <cdr:y>0.57592</cdr:y>
    </cdr:to>
    <cdr:sp macro="" textlink="">
      <cdr:nvSpPr>
        <cdr:cNvPr id="792" name="FracNo 997 StartRow 7529">
          <a:extLst xmlns:a="http://schemas.openxmlformats.org/drawingml/2006/main">
            <a:ext uri="{FF2B5EF4-FFF2-40B4-BE49-F238E27FC236}">
              <a16:creationId xmlns:a16="http://schemas.microsoft.com/office/drawing/2014/main" id="{BD0781F1-70BD-1823-3757-3B18421F2E3B}"/>
            </a:ext>
          </a:extLst>
        </cdr:cNvPr>
        <cdr:cNvSpPr/>
      </cdr:nvSpPr>
      <cdr:spPr>
        <a:xfrm xmlns:a="http://schemas.openxmlformats.org/drawingml/2006/main">
          <a:off x="3981533" y="4275221"/>
          <a:ext cx="109512" cy="113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12" h="113273">
              <a:moveTo>
                <a:pt x="84566" y="25801"/>
              </a:moveTo>
              <a:lnTo>
                <a:pt x="0" y="113272"/>
              </a:lnTo>
              <a:lnTo>
                <a:pt x="0" y="75768"/>
              </a:lnTo>
              <a:lnTo>
                <a:pt x="56567" y="17258"/>
              </a:lnTo>
              <a:lnTo>
                <a:pt x="73252" y="0"/>
              </a:lnTo>
              <a:lnTo>
                <a:pt x="1095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0.84982</cdr:x>
      <cdr:y>0.17283</cdr:y>
    </cdr:from>
    <cdr:to>
      <cdr:x>0.86231</cdr:x>
      <cdr:y>0.19015</cdr:y>
    </cdr:to>
    <cdr:sp macro="" textlink="">
      <cdr:nvSpPr>
        <cdr:cNvPr id="793" name="FracNo 947 StartRow 7538">
          <a:extLst xmlns:a="http://schemas.openxmlformats.org/drawingml/2006/main">
            <a:ext uri="{FF2B5EF4-FFF2-40B4-BE49-F238E27FC236}">
              <a16:creationId xmlns:a16="http://schemas.microsoft.com/office/drawing/2014/main" id="{F85A0219-6494-8EC0-BC53-7EF98E79EE2B}"/>
            </a:ext>
          </a:extLst>
        </cdr:cNvPr>
        <cdr:cNvSpPr/>
      </cdr:nvSpPr>
      <cdr:spPr>
        <a:xfrm xmlns:a="http://schemas.openxmlformats.org/drawingml/2006/main">
          <a:off x="6216596" y="1316984"/>
          <a:ext cx="91339" cy="131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339" h="131980">
              <a:moveTo>
                <a:pt x="8507" y="8800"/>
              </a:moveTo>
              <a:lnTo>
                <a:pt x="0" y="0"/>
              </a:lnTo>
              <a:lnTo>
                <a:pt x="0" y="37504"/>
              </a:lnTo>
              <a:lnTo>
                <a:pt x="8507" y="46303"/>
              </a:lnTo>
              <a:lnTo>
                <a:pt x="91338" y="131979"/>
              </a:lnTo>
              <a:lnTo>
                <a:pt x="91338" y="94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0.88341</cdr:x>
      <cdr:y>0.13947</cdr:y>
    </cdr:from>
    <cdr:to>
      <cdr:x>0.8959</cdr:x>
      <cdr:y>0.15679</cdr:y>
    </cdr:to>
    <cdr:sp macro="" textlink="">
      <cdr:nvSpPr>
        <cdr:cNvPr id="794" name="FracNo 1007 StartRow 7547">
          <a:extLst xmlns:a="http://schemas.openxmlformats.org/drawingml/2006/main">
            <a:ext uri="{FF2B5EF4-FFF2-40B4-BE49-F238E27FC236}">
              <a16:creationId xmlns:a16="http://schemas.microsoft.com/office/drawing/2014/main" id="{4CE01DE1-5D9C-BD93-5696-7465919255F7}"/>
            </a:ext>
          </a:extLst>
        </cdr:cNvPr>
        <cdr:cNvSpPr/>
      </cdr:nvSpPr>
      <cdr:spPr>
        <a:xfrm xmlns:a="http://schemas.openxmlformats.org/drawingml/2006/main">
          <a:off x="6462351" y="1062789"/>
          <a:ext cx="91339" cy="131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339" h="131980">
              <a:moveTo>
                <a:pt x="69562" y="71951"/>
              </a:moveTo>
              <a:lnTo>
                <a:pt x="0" y="0"/>
              </a:lnTo>
              <a:lnTo>
                <a:pt x="0" y="37504"/>
              </a:lnTo>
              <a:lnTo>
                <a:pt x="69562" y="109455"/>
              </a:lnTo>
              <a:lnTo>
                <a:pt x="91338" y="131979"/>
              </a:lnTo>
              <a:lnTo>
                <a:pt x="91338" y="94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0.64826</cdr:x>
      <cdr:y>0.15784</cdr:y>
    </cdr:from>
    <cdr:to>
      <cdr:x>0.66045</cdr:x>
      <cdr:y>0.17487</cdr:y>
    </cdr:to>
    <cdr:sp macro="" textlink="">
      <cdr:nvSpPr>
        <cdr:cNvPr id="795" name="FracNo 1117 StartRow 7556">
          <a:extLst xmlns:a="http://schemas.openxmlformats.org/drawingml/2006/main">
            <a:ext uri="{FF2B5EF4-FFF2-40B4-BE49-F238E27FC236}">
              <a16:creationId xmlns:a16="http://schemas.microsoft.com/office/drawing/2014/main" id="{CA128533-1139-9C19-DF7D-2AFA7E338550}"/>
            </a:ext>
          </a:extLst>
        </cdr:cNvPr>
        <cdr:cNvSpPr/>
      </cdr:nvSpPr>
      <cdr:spPr>
        <a:xfrm xmlns:a="http://schemas.openxmlformats.org/drawingml/2006/main">
          <a:off x="4742162" y="1202750"/>
          <a:ext cx="89188" cy="129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88" h="129755">
              <a:moveTo>
                <a:pt x="44809" y="46348"/>
              </a:moveTo>
              <a:lnTo>
                <a:pt x="0" y="0"/>
              </a:lnTo>
              <a:lnTo>
                <a:pt x="0" y="37504"/>
              </a:lnTo>
              <a:lnTo>
                <a:pt x="42310" y="81267"/>
              </a:lnTo>
              <a:lnTo>
                <a:pt x="75699" y="115802"/>
              </a:lnTo>
              <a:lnTo>
                <a:pt x="89187" y="129754"/>
              </a:lnTo>
              <a:lnTo>
                <a:pt x="89187" y="92250"/>
              </a:lnTo>
              <a:lnTo>
                <a:pt x="80170" y="829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0.63723</cdr:x>
      <cdr:y>0.16879</cdr:y>
    </cdr:from>
    <cdr:to>
      <cdr:x>0.64942</cdr:x>
      <cdr:y>0.18582</cdr:y>
    </cdr:to>
    <cdr:sp macro="" textlink="">
      <cdr:nvSpPr>
        <cdr:cNvPr id="796" name="FracNo 1098 StartRow 7567">
          <a:extLst xmlns:a="http://schemas.openxmlformats.org/drawingml/2006/main">
            <a:ext uri="{FF2B5EF4-FFF2-40B4-BE49-F238E27FC236}">
              <a16:creationId xmlns:a16="http://schemas.microsoft.com/office/drawing/2014/main" id="{F48953A0-386D-E226-EC10-6060F0C57B7B}"/>
            </a:ext>
          </a:extLst>
        </cdr:cNvPr>
        <cdr:cNvSpPr/>
      </cdr:nvSpPr>
      <cdr:spPr>
        <a:xfrm xmlns:a="http://schemas.openxmlformats.org/drawingml/2006/main">
          <a:off x="4661469" y="1286216"/>
          <a:ext cx="89187" cy="129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87" h="129754">
              <a:moveTo>
                <a:pt x="39211" y="40558"/>
              </a:moveTo>
              <a:lnTo>
                <a:pt x="0" y="0"/>
              </a:lnTo>
              <a:lnTo>
                <a:pt x="0" y="37504"/>
              </a:lnTo>
              <a:lnTo>
                <a:pt x="39211" y="78062"/>
              </a:lnTo>
              <a:lnTo>
                <a:pt x="89186" y="129753"/>
              </a:lnTo>
              <a:lnTo>
                <a:pt x="89186" y="922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0.61784</cdr:x>
      <cdr:y>0.76822</cdr:y>
    </cdr:from>
    <cdr:to>
      <cdr:x>0.63003</cdr:x>
      <cdr:y>0.78525</cdr:y>
    </cdr:to>
    <cdr:sp macro="" textlink="">
      <cdr:nvSpPr>
        <cdr:cNvPr id="797" name="FracNo 891 StartRow 7576">
          <a:extLst xmlns:a="http://schemas.openxmlformats.org/drawingml/2006/main">
            <a:ext uri="{FF2B5EF4-FFF2-40B4-BE49-F238E27FC236}">
              <a16:creationId xmlns:a16="http://schemas.microsoft.com/office/drawing/2014/main" id="{A0C0EA72-BB1E-5036-672C-9BC315E12D64}"/>
            </a:ext>
          </a:extLst>
        </cdr:cNvPr>
        <cdr:cNvSpPr/>
      </cdr:nvSpPr>
      <cdr:spPr>
        <a:xfrm xmlns:a="http://schemas.openxmlformats.org/drawingml/2006/main">
          <a:off x="4519614" y="5853852"/>
          <a:ext cx="89161" cy="129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61" h="129726">
              <a:moveTo>
                <a:pt x="23820" y="105087"/>
              </a:moveTo>
              <a:lnTo>
                <a:pt x="0" y="129725"/>
              </a:lnTo>
              <a:lnTo>
                <a:pt x="0" y="92221"/>
              </a:lnTo>
              <a:lnTo>
                <a:pt x="23820" y="67583"/>
              </a:lnTo>
              <a:lnTo>
                <a:pt x="89160" y="0"/>
              </a:lnTo>
              <a:lnTo>
                <a:pt x="8916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0.61153</cdr:x>
      <cdr:y>0.76688</cdr:y>
    </cdr:from>
    <cdr:to>
      <cdr:x>0.62868</cdr:x>
      <cdr:y>0.77899</cdr:y>
    </cdr:to>
    <cdr:sp macro="" textlink="">
      <cdr:nvSpPr>
        <cdr:cNvPr id="798" name="FracNo 1075 StartRow 7585">
          <a:extLst xmlns:a="http://schemas.openxmlformats.org/drawingml/2006/main">
            <a:ext uri="{FF2B5EF4-FFF2-40B4-BE49-F238E27FC236}">
              <a16:creationId xmlns:a16="http://schemas.microsoft.com/office/drawing/2014/main" id="{DABC6B63-0466-FFEF-6470-3A139BFB3924}"/>
            </a:ext>
          </a:extLst>
        </cdr:cNvPr>
        <cdr:cNvSpPr/>
      </cdr:nvSpPr>
      <cdr:spPr>
        <a:xfrm xmlns:a="http://schemas.openxmlformats.org/drawingml/2006/main">
          <a:off x="4473500" y="5843657"/>
          <a:ext cx="125419" cy="92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9" h="92223">
              <a:moveTo>
                <a:pt x="35572" y="55428"/>
              </a:moveTo>
              <a:lnTo>
                <a:pt x="0" y="92222"/>
              </a:lnTo>
              <a:lnTo>
                <a:pt x="36259" y="92222"/>
              </a:lnTo>
              <a:lnTo>
                <a:pt x="71831" y="55428"/>
              </a:lnTo>
              <a:lnTo>
                <a:pt x="125418" y="0"/>
              </a:lnTo>
              <a:lnTo>
                <a:pt x="891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0.5878</cdr:x>
      <cdr:y>0.70699</cdr:y>
    </cdr:from>
    <cdr:to>
      <cdr:x>0.60225</cdr:x>
      <cdr:y>0.72134</cdr:y>
    </cdr:to>
    <cdr:sp macro="" textlink="">
      <cdr:nvSpPr>
        <cdr:cNvPr id="799" name="FracNo 1228 StartRow 7594">
          <a:extLst xmlns:a="http://schemas.openxmlformats.org/drawingml/2006/main">
            <a:ext uri="{FF2B5EF4-FFF2-40B4-BE49-F238E27FC236}">
              <a16:creationId xmlns:a16="http://schemas.microsoft.com/office/drawing/2014/main" id="{7E369E26-E68F-BB96-FABE-0BE0E2CB114A}"/>
            </a:ext>
          </a:extLst>
        </cdr:cNvPr>
        <cdr:cNvSpPr/>
      </cdr:nvSpPr>
      <cdr:spPr>
        <a:xfrm xmlns:a="http://schemas.openxmlformats.org/drawingml/2006/main">
          <a:off x="4299889" y="5387254"/>
          <a:ext cx="105709" cy="109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709" h="109340">
              <a:moveTo>
                <a:pt x="5408" y="5594"/>
              </a:moveTo>
              <a:lnTo>
                <a:pt x="0" y="0"/>
              </a:lnTo>
              <a:lnTo>
                <a:pt x="36258" y="0"/>
              </a:lnTo>
              <a:lnTo>
                <a:pt x="39811" y="3675"/>
              </a:lnTo>
              <a:lnTo>
                <a:pt x="105708" y="71835"/>
              </a:lnTo>
              <a:lnTo>
                <a:pt x="105708" y="1093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0.57149</cdr:x>
      <cdr:y>0.11871</cdr:y>
    </cdr:from>
    <cdr:to>
      <cdr:x>0.58335</cdr:x>
      <cdr:y>0.13541</cdr:y>
    </cdr:to>
    <cdr:sp macro="" textlink="">
      <cdr:nvSpPr>
        <cdr:cNvPr id="800" name="FracNo 944 StartRow 7603">
          <a:extLst xmlns:a="http://schemas.openxmlformats.org/drawingml/2006/main">
            <a:ext uri="{FF2B5EF4-FFF2-40B4-BE49-F238E27FC236}">
              <a16:creationId xmlns:a16="http://schemas.microsoft.com/office/drawing/2014/main" id="{F01FA529-0880-4C26-5F81-1850592AEE00}"/>
            </a:ext>
          </a:extLst>
        </cdr:cNvPr>
        <cdr:cNvSpPr/>
      </cdr:nvSpPr>
      <cdr:spPr>
        <a:xfrm xmlns:a="http://schemas.openxmlformats.org/drawingml/2006/main">
          <a:off x="4180586" y="904588"/>
          <a:ext cx="86724" cy="127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724" h="127206">
              <a:moveTo>
                <a:pt x="58704" y="28981"/>
              </a:moveTo>
              <a:lnTo>
                <a:pt x="0" y="89701"/>
              </a:lnTo>
              <a:lnTo>
                <a:pt x="0" y="127205"/>
              </a:lnTo>
              <a:lnTo>
                <a:pt x="58704" y="66484"/>
              </a:lnTo>
              <a:lnTo>
                <a:pt x="86723" y="37504"/>
              </a:lnTo>
              <a:lnTo>
                <a:pt x="867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0.85162</cdr:x>
      <cdr:y>0.34163</cdr:y>
    </cdr:from>
    <cdr:to>
      <cdr:x>0.86835</cdr:x>
      <cdr:y>0.35332</cdr:y>
    </cdr:to>
    <cdr:sp macro="" textlink="">
      <cdr:nvSpPr>
        <cdr:cNvPr id="801" name="FracNo 1114 StartRow 7612">
          <a:extLst xmlns:a="http://schemas.openxmlformats.org/drawingml/2006/main">
            <a:ext uri="{FF2B5EF4-FFF2-40B4-BE49-F238E27FC236}">
              <a16:creationId xmlns:a16="http://schemas.microsoft.com/office/drawing/2014/main" id="{45C9FAFF-C81C-0E77-3677-F5D9410D0281}"/>
            </a:ext>
          </a:extLst>
        </cdr:cNvPr>
        <cdr:cNvSpPr/>
      </cdr:nvSpPr>
      <cdr:spPr>
        <a:xfrm xmlns:a="http://schemas.openxmlformats.org/drawingml/2006/main">
          <a:off x="6229771" y="2603224"/>
          <a:ext cx="122383" cy="89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383" h="89083">
              <a:moveTo>
                <a:pt x="96283" y="26995"/>
              </a:moveTo>
              <a:lnTo>
                <a:pt x="36258" y="89082"/>
              </a:lnTo>
              <a:lnTo>
                <a:pt x="0" y="89082"/>
              </a:lnTo>
              <a:lnTo>
                <a:pt x="60024" y="26995"/>
              </a:lnTo>
              <a:lnTo>
                <a:pt x="86123" y="0"/>
              </a:lnTo>
              <a:lnTo>
                <a:pt x="1223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0.83916</cdr:x>
      <cdr:y>0.51224</cdr:y>
    </cdr:from>
    <cdr:to>
      <cdr:x>0.85328</cdr:x>
      <cdr:y>0.52626</cdr:y>
    </cdr:to>
    <cdr:sp macro="" textlink="">
      <cdr:nvSpPr>
        <cdr:cNvPr id="802" name="FracNo 1164 StartRow 7621">
          <a:extLst xmlns:a="http://schemas.openxmlformats.org/drawingml/2006/main">
            <a:ext uri="{FF2B5EF4-FFF2-40B4-BE49-F238E27FC236}">
              <a16:creationId xmlns:a16="http://schemas.microsoft.com/office/drawing/2014/main" id="{B15C233D-254E-CB42-9013-0E922B7C489F}"/>
            </a:ext>
          </a:extLst>
        </cdr:cNvPr>
        <cdr:cNvSpPr/>
      </cdr:nvSpPr>
      <cdr:spPr>
        <a:xfrm xmlns:a="http://schemas.openxmlformats.org/drawingml/2006/main">
          <a:off x="6138642" y="3903255"/>
          <a:ext cx="103288" cy="106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88" h="106835">
              <a:moveTo>
                <a:pt x="9986" y="10330"/>
              </a:moveTo>
              <a:lnTo>
                <a:pt x="0" y="0"/>
              </a:lnTo>
              <a:lnTo>
                <a:pt x="0" y="37504"/>
              </a:lnTo>
              <a:lnTo>
                <a:pt x="6481" y="44208"/>
              </a:lnTo>
              <a:lnTo>
                <a:pt x="67028" y="106834"/>
              </a:lnTo>
              <a:lnTo>
                <a:pt x="103287" y="1068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0.84611</cdr:x>
      <cdr:y>0.50534</cdr:y>
    </cdr:from>
    <cdr:to>
      <cdr:x>0.86023</cdr:x>
      <cdr:y>0.51936</cdr:y>
    </cdr:to>
    <cdr:sp macro="" textlink="">
      <cdr:nvSpPr>
        <cdr:cNvPr id="803" name="FracNo 1158 StartRow 7630">
          <a:extLst xmlns:a="http://schemas.openxmlformats.org/drawingml/2006/main">
            <a:ext uri="{FF2B5EF4-FFF2-40B4-BE49-F238E27FC236}">
              <a16:creationId xmlns:a16="http://schemas.microsoft.com/office/drawing/2014/main" id="{C7A8FD57-B502-C3C2-7DA5-B8066F5B3942}"/>
            </a:ext>
          </a:extLst>
        </cdr:cNvPr>
        <cdr:cNvSpPr/>
      </cdr:nvSpPr>
      <cdr:spPr>
        <a:xfrm xmlns:a="http://schemas.openxmlformats.org/drawingml/2006/main">
          <a:off x="6189438" y="3850714"/>
          <a:ext cx="103288" cy="106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88" h="106836">
              <a:moveTo>
                <a:pt x="14905" y="15418"/>
              </a:moveTo>
              <a:lnTo>
                <a:pt x="0" y="0"/>
              </a:lnTo>
              <a:lnTo>
                <a:pt x="0" y="37504"/>
              </a:lnTo>
              <a:lnTo>
                <a:pt x="9673" y="47509"/>
              </a:lnTo>
              <a:lnTo>
                <a:pt x="67029" y="106835"/>
              </a:lnTo>
              <a:lnTo>
                <a:pt x="103287" y="1068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0.28638</cdr:x>
      <cdr:y>0.67982</cdr:y>
    </cdr:from>
    <cdr:to>
      <cdr:x>0.30046</cdr:x>
      <cdr:y>0.6938</cdr:y>
    </cdr:to>
    <cdr:sp macro="" textlink="">
      <cdr:nvSpPr>
        <cdr:cNvPr id="804" name="FracNo 1177 StartRow 7639">
          <a:extLst xmlns:a="http://schemas.openxmlformats.org/drawingml/2006/main">
            <a:ext uri="{FF2B5EF4-FFF2-40B4-BE49-F238E27FC236}">
              <a16:creationId xmlns:a16="http://schemas.microsoft.com/office/drawing/2014/main" id="{3E0D52E0-E710-051B-7DD5-C58C01AE73F4}"/>
            </a:ext>
          </a:extLst>
        </cdr:cNvPr>
        <cdr:cNvSpPr/>
      </cdr:nvSpPr>
      <cdr:spPr>
        <a:xfrm xmlns:a="http://schemas.openxmlformats.org/drawingml/2006/main">
          <a:off x="2094955" y="5180234"/>
          <a:ext cx="103005" cy="106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005" h="106543">
              <a:moveTo>
                <a:pt x="86549" y="54524"/>
              </a:moveTo>
              <a:lnTo>
                <a:pt x="36258" y="106542"/>
              </a:lnTo>
              <a:lnTo>
                <a:pt x="0" y="106542"/>
              </a:lnTo>
              <a:lnTo>
                <a:pt x="77609" y="26267"/>
              </a:lnTo>
              <a:lnTo>
                <a:pt x="103004" y="0"/>
              </a:lnTo>
              <a:lnTo>
                <a:pt x="10300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0.61941</cdr:x>
      <cdr:y>0.31122</cdr:y>
    </cdr:from>
    <cdr:to>
      <cdr:x>0.63345</cdr:x>
      <cdr:y>0.32515</cdr:y>
    </cdr:to>
    <cdr:sp macro="" textlink="">
      <cdr:nvSpPr>
        <cdr:cNvPr id="805" name="FracNo 1160 StartRow 7648">
          <a:extLst xmlns:a="http://schemas.openxmlformats.org/drawingml/2006/main">
            <a:ext uri="{FF2B5EF4-FFF2-40B4-BE49-F238E27FC236}">
              <a16:creationId xmlns:a16="http://schemas.microsoft.com/office/drawing/2014/main" id="{C2539F2A-8ECE-3397-FCEB-FEE8111A1A8C}"/>
            </a:ext>
          </a:extLst>
        </cdr:cNvPr>
        <cdr:cNvSpPr/>
      </cdr:nvSpPr>
      <cdr:spPr>
        <a:xfrm xmlns:a="http://schemas.openxmlformats.org/drawingml/2006/main">
          <a:off x="4531136" y="2371465"/>
          <a:ext cx="102688" cy="106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688" h="106215">
              <a:moveTo>
                <a:pt x="12265" y="50189"/>
              </a:moveTo>
              <a:lnTo>
                <a:pt x="0" y="37504"/>
              </a:lnTo>
              <a:lnTo>
                <a:pt x="0" y="0"/>
              </a:lnTo>
              <a:lnTo>
                <a:pt x="18959" y="19610"/>
              </a:lnTo>
              <a:lnTo>
                <a:pt x="102687" y="106214"/>
              </a:lnTo>
              <a:lnTo>
                <a:pt x="66429" y="1062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0.19734</cdr:x>
      <cdr:y>0.91863</cdr:y>
    </cdr:from>
    <cdr:to>
      <cdr:x>0.21385</cdr:x>
      <cdr:y>0.9301</cdr:y>
    </cdr:to>
    <cdr:sp macro="" textlink="">
      <cdr:nvSpPr>
        <cdr:cNvPr id="806" name="FracNo 1144 StartRow 7657">
          <a:extLst xmlns:a="http://schemas.openxmlformats.org/drawingml/2006/main">
            <a:ext uri="{FF2B5EF4-FFF2-40B4-BE49-F238E27FC236}">
              <a16:creationId xmlns:a16="http://schemas.microsoft.com/office/drawing/2014/main" id="{2D048A69-B979-C528-2DEE-623D5E75CF1E}"/>
            </a:ext>
          </a:extLst>
        </cdr:cNvPr>
        <cdr:cNvSpPr/>
      </cdr:nvSpPr>
      <cdr:spPr>
        <a:xfrm xmlns:a="http://schemas.openxmlformats.org/drawingml/2006/main">
          <a:off x="1443562" y="6999951"/>
          <a:ext cx="120771" cy="87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71" h="87415">
              <a:moveTo>
                <a:pt x="53763" y="69309"/>
              </a:moveTo>
              <a:lnTo>
                <a:pt x="36259" y="87414"/>
              </a:lnTo>
              <a:lnTo>
                <a:pt x="0" y="87414"/>
              </a:lnTo>
              <a:lnTo>
                <a:pt x="17504" y="69309"/>
              </a:lnTo>
              <a:lnTo>
                <a:pt x="84512" y="0"/>
              </a:lnTo>
              <a:lnTo>
                <a:pt x="120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0.47479</cdr:x>
      <cdr:y>0.12762</cdr:y>
    </cdr:from>
    <cdr:to>
      <cdr:x>0.48877</cdr:x>
      <cdr:y>0.14151</cdr:y>
    </cdr:to>
    <cdr:sp macro="" textlink="">
      <cdr:nvSpPr>
        <cdr:cNvPr id="807" name="FracNo 983 StartRow 7666">
          <a:extLst xmlns:a="http://schemas.openxmlformats.org/drawingml/2006/main">
            <a:ext uri="{FF2B5EF4-FFF2-40B4-BE49-F238E27FC236}">
              <a16:creationId xmlns:a16="http://schemas.microsoft.com/office/drawing/2014/main" id="{0074CE09-5AEF-1DFB-1078-AA755C56E823}"/>
            </a:ext>
          </a:extLst>
        </cdr:cNvPr>
        <cdr:cNvSpPr/>
      </cdr:nvSpPr>
      <cdr:spPr>
        <a:xfrm xmlns:a="http://schemas.openxmlformats.org/drawingml/2006/main">
          <a:off x="3473188" y="972493"/>
          <a:ext cx="102295" cy="105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295" h="105809">
              <a:moveTo>
                <a:pt x="93335" y="9268"/>
              </a:moveTo>
              <a:lnTo>
                <a:pt x="0" y="105808"/>
              </a:lnTo>
              <a:lnTo>
                <a:pt x="36258" y="105808"/>
              </a:lnTo>
              <a:lnTo>
                <a:pt x="96510" y="43486"/>
              </a:lnTo>
              <a:lnTo>
                <a:pt x="102294" y="37504"/>
              </a:lnTo>
              <a:lnTo>
                <a:pt x="1022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0.3475</cdr:x>
      <cdr:y>0.2132</cdr:y>
    </cdr:from>
    <cdr:to>
      <cdr:x>0.3627</cdr:x>
      <cdr:y>0.22584</cdr:y>
    </cdr:to>
    <cdr:sp macro="" textlink="">
      <cdr:nvSpPr>
        <cdr:cNvPr id="808" name="FracNo 1055 StartRow 7675">
          <a:extLst xmlns:a="http://schemas.openxmlformats.org/drawingml/2006/main">
            <a:ext uri="{FF2B5EF4-FFF2-40B4-BE49-F238E27FC236}">
              <a16:creationId xmlns:a16="http://schemas.microsoft.com/office/drawing/2014/main" id="{7CF5F694-280C-49E4-8286-C73DA743DB00}"/>
            </a:ext>
          </a:extLst>
        </cdr:cNvPr>
        <cdr:cNvSpPr/>
      </cdr:nvSpPr>
      <cdr:spPr>
        <a:xfrm xmlns:a="http://schemas.openxmlformats.org/drawingml/2006/main">
          <a:off x="2542022" y="1624612"/>
          <a:ext cx="111206" cy="96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06" h="96274">
              <a:moveTo>
                <a:pt x="50449" y="62843"/>
              </a:moveTo>
              <a:lnTo>
                <a:pt x="18129" y="96273"/>
              </a:lnTo>
              <a:lnTo>
                <a:pt x="0" y="77521"/>
              </a:lnTo>
              <a:lnTo>
                <a:pt x="26025" y="50603"/>
              </a:lnTo>
              <a:lnTo>
                <a:pt x="74947" y="0"/>
              </a:lnTo>
              <a:lnTo>
                <a:pt x="111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0.1598</cdr:x>
      <cdr:y>0.74563</cdr:y>
    </cdr:from>
    <cdr:to>
      <cdr:x>0.17111</cdr:x>
      <cdr:y>0.76178</cdr:y>
    </cdr:to>
    <cdr:sp macro="" textlink="">
      <cdr:nvSpPr>
        <cdr:cNvPr id="809" name="FracNo 1107 StartRow 7684">
          <a:extLst xmlns:a="http://schemas.openxmlformats.org/drawingml/2006/main">
            <a:ext uri="{FF2B5EF4-FFF2-40B4-BE49-F238E27FC236}">
              <a16:creationId xmlns:a16="http://schemas.microsoft.com/office/drawing/2014/main" id="{B2B394BE-5932-A472-4E16-15EA8C544A29}"/>
            </a:ext>
          </a:extLst>
        </cdr:cNvPr>
        <cdr:cNvSpPr/>
      </cdr:nvSpPr>
      <cdr:spPr>
        <a:xfrm xmlns:a="http://schemas.openxmlformats.org/drawingml/2006/main">
          <a:off x="1168982" y="5681737"/>
          <a:ext cx="82704" cy="123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04" h="123047">
              <a:moveTo>
                <a:pt x="49949" y="33879"/>
              </a:moveTo>
              <a:lnTo>
                <a:pt x="0" y="85543"/>
              </a:lnTo>
              <a:lnTo>
                <a:pt x="0" y="123046"/>
              </a:lnTo>
              <a:lnTo>
                <a:pt x="49949" y="71383"/>
              </a:lnTo>
              <a:lnTo>
                <a:pt x="82703" y="37503"/>
              </a:lnTo>
              <a:lnTo>
                <a:pt x="827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0.32477</cdr:x>
      <cdr:y>0.83073</cdr:y>
    </cdr:from>
    <cdr:to>
      <cdr:x>0.33854</cdr:x>
      <cdr:y>0.84441</cdr:y>
    </cdr:to>
    <cdr:sp macro="" textlink="">
      <cdr:nvSpPr>
        <cdr:cNvPr id="810" name="FracNo 1124 StartRow 7693">
          <a:extLst xmlns:a="http://schemas.openxmlformats.org/drawingml/2006/main">
            <a:ext uri="{FF2B5EF4-FFF2-40B4-BE49-F238E27FC236}">
              <a16:creationId xmlns:a16="http://schemas.microsoft.com/office/drawing/2014/main" id="{70EF5357-827C-C60F-B9F4-AA984144317C}"/>
            </a:ext>
          </a:extLst>
        </cdr:cNvPr>
        <cdr:cNvSpPr/>
      </cdr:nvSpPr>
      <cdr:spPr>
        <a:xfrm xmlns:a="http://schemas.openxmlformats.org/drawingml/2006/main">
          <a:off x="2375738" y="6330192"/>
          <a:ext cx="100732" cy="104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732" h="104192">
              <a:moveTo>
                <a:pt x="86160" y="15072"/>
              </a:moveTo>
              <a:lnTo>
                <a:pt x="0" y="104191"/>
              </a:lnTo>
              <a:lnTo>
                <a:pt x="0" y="66687"/>
              </a:lnTo>
              <a:lnTo>
                <a:pt x="55146" y="9647"/>
              </a:lnTo>
              <a:lnTo>
                <a:pt x="64473" y="0"/>
              </a:lnTo>
              <a:lnTo>
                <a:pt x="1007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0.1757</cdr:x>
      <cdr:y>0.37876</cdr:y>
    </cdr:from>
    <cdr:to>
      <cdr:x>0.1907</cdr:x>
      <cdr:y>0.39119</cdr:y>
    </cdr:to>
    <cdr:sp macro="" textlink="">
      <cdr:nvSpPr>
        <cdr:cNvPr id="811" name="FracNo 847 StartRow 7702">
          <a:extLst xmlns:a="http://schemas.openxmlformats.org/drawingml/2006/main">
            <a:ext uri="{FF2B5EF4-FFF2-40B4-BE49-F238E27FC236}">
              <a16:creationId xmlns:a16="http://schemas.microsoft.com/office/drawing/2014/main" id="{B7AE5AD6-0F18-5F29-B75E-63FF08508D03}"/>
            </a:ext>
          </a:extLst>
        </cdr:cNvPr>
        <cdr:cNvSpPr/>
      </cdr:nvSpPr>
      <cdr:spPr>
        <a:xfrm xmlns:a="http://schemas.openxmlformats.org/drawingml/2006/main">
          <a:off x="1285291" y="2886120"/>
          <a:ext cx="109706" cy="94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06" h="94722">
              <a:moveTo>
                <a:pt x="28105" y="84403"/>
              </a:moveTo>
              <a:lnTo>
                <a:pt x="18129" y="94721"/>
              </a:lnTo>
              <a:lnTo>
                <a:pt x="0" y="75969"/>
              </a:lnTo>
              <a:lnTo>
                <a:pt x="8001" y="67693"/>
              </a:lnTo>
              <a:lnTo>
                <a:pt x="73447" y="0"/>
              </a:lnTo>
              <a:lnTo>
                <a:pt x="1097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0.79456</cdr:x>
      <cdr:y>0.22842</cdr:y>
    </cdr:from>
    <cdr:to>
      <cdr:x>0.80575</cdr:x>
      <cdr:y>0.24445</cdr:y>
    </cdr:to>
    <cdr:sp macro="" textlink="">
      <cdr:nvSpPr>
        <cdr:cNvPr id="812" name="FracNo 1039 StartRow 7711">
          <a:extLst xmlns:a="http://schemas.openxmlformats.org/drawingml/2006/main">
            <a:ext uri="{FF2B5EF4-FFF2-40B4-BE49-F238E27FC236}">
              <a16:creationId xmlns:a16="http://schemas.microsoft.com/office/drawing/2014/main" id="{562F7F39-1D0B-830E-5115-18EA7E7A44DA}"/>
            </a:ext>
          </a:extLst>
        </cdr:cNvPr>
        <cdr:cNvSpPr/>
      </cdr:nvSpPr>
      <cdr:spPr>
        <a:xfrm xmlns:a="http://schemas.openxmlformats.org/drawingml/2006/main">
          <a:off x="5812387" y="1740574"/>
          <a:ext cx="81835" cy="122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835" h="122150">
              <a:moveTo>
                <a:pt x="76951" y="79594"/>
              </a:moveTo>
              <a:lnTo>
                <a:pt x="0" y="0"/>
              </a:lnTo>
              <a:lnTo>
                <a:pt x="0" y="37504"/>
              </a:lnTo>
              <a:lnTo>
                <a:pt x="76951" y="117097"/>
              </a:lnTo>
              <a:lnTo>
                <a:pt x="81834" y="122149"/>
              </a:lnTo>
              <a:lnTo>
                <a:pt x="81834" y="846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0.80648</cdr:x>
      <cdr:y>0.21658</cdr:y>
    </cdr:from>
    <cdr:to>
      <cdr:x>0.82263</cdr:x>
      <cdr:y>0.22769</cdr:y>
    </cdr:to>
    <cdr:sp macro="" textlink="">
      <cdr:nvSpPr>
        <cdr:cNvPr id="813" name="FracNo 850 StartRow 7720">
          <a:extLst xmlns:a="http://schemas.openxmlformats.org/drawingml/2006/main">
            <a:ext uri="{FF2B5EF4-FFF2-40B4-BE49-F238E27FC236}">
              <a16:creationId xmlns:a16="http://schemas.microsoft.com/office/drawing/2014/main" id="{1956B7B2-314C-AF6E-DD7A-0B6F15E98C38}"/>
            </a:ext>
          </a:extLst>
        </cdr:cNvPr>
        <cdr:cNvSpPr/>
      </cdr:nvSpPr>
      <cdr:spPr>
        <a:xfrm xmlns:a="http://schemas.openxmlformats.org/drawingml/2006/main">
          <a:off x="5899596" y="1650370"/>
          <a:ext cx="118094" cy="84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094" h="84646">
              <a:moveTo>
                <a:pt x="44287" y="45809"/>
              </a:moveTo>
              <a:lnTo>
                <a:pt x="0" y="0"/>
              </a:lnTo>
              <a:lnTo>
                <a:pt x="36258" y="0"/>
              </a:lnTo>
              <a:lnTo>
                <a:pt x="80546" y="45809"/>
              </a:lnTo>
              <a:lnTo>
                <a:pt x="118093" y="84645"/>
              </a:lnTo>
              <a:lnTo>
                <a:pt x="81835" y="846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0.21134</cdr:x>
      <cdr:y>0.12863</cdr:y>
    </cdr:from>
    <cdr:to>
      <cdr:x>0.2262</cdr:x>
      <cdr:y>0.14092</cdr:y>
    </cdr:to>
    <cdr:sp macro="" textlink="">
      <cdr:nvSpPr>
        <cdr:cNvPr id="814" name="FracNo 302 StartRow 7729">
          <a:extLst xmlns:a="http://schemas.openxmlformats.org/drawingml/2006/main">
            <a:ext uri="{FF2B5EF4-FFF2-40B4-BE49-F238E27FC236}">
              <a16:creationId xmlns:a16="http://schemas.microsoft.com/office/drawing/2014/main" id="{BE72C5CC-4326-DD18-A1A6-3284D6DD93C6}"/>
            </a:ext>
          </a:extLst>
        </cdr:cNvPr>
        <cdr:cNvSpPr/>
      </cdr:nvSpPr>
      <cdr:spPr>
        <a:xfrm xmlns:a="http://schemas.openxmlformats.org/drawingml/2006/main">
          <a:off x="1545998" y="980127"/>
          <a:ext cx="108714" cy="93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714" h="93695">
              <a:moveTo>
                <a:pt x="46274" y="66615"/>
              </a:moveTo>
              <a:lnTo>
                <a:pt x="0" y="18752"/>
              </a:lnTo>
              <a:lnTo>
                <a:pt x="18129" y="0"/>
              </a:lnTo>
              <a:lnTo>
                <a:pt x="75981" y="59839"/>
              </a:lnTo>
              <a:lnTo>
                <a:pt x="108713" y="93694"/>
              </a:lnTo>
              <a:lnTo>
                <a:pt x="72454" y="936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0.56044</cdr:x>
      <cdr:y>0.08544</cdr:y>
    </cdr:from>
    <cdr:to>
      <cdr:x>0.57526</cdr:x>
      <cdr:y>0.09769</cdr:y>
    </cdr:to>
    <cdr:sp macro="" textlink="">
      <cdr:nvSpPr>
        <cdr:cNvPr id="815" name="FracNo 240 StartRow 7738">
          <a:extLst xmlns:a="http://schemas.openxmlformats.org/drawingml/2006/main">
            <a:ext uri="{FF2B5EF4-FFF2-40B4-BE49-F238E27FC236}">
              <a16:creationId xmlns:a16="http://schemas.microsoft.com/office/drawing/2014/main" id="{3267B68A-DD8E-5645-6D6A-06E740E4E30C}"/>
            </a:ext>
          </a:extLst>
        </cdr:cNvPr>
        <cdr:cNvSpPr/>
      </cdr:nvSpPr>
      <cdr:spPr>
        <a:xfrm xmlns:a="http://schemas.openxmlformats.org/drawingml/2006/main">
          <a:off x="4099741" y="651036"/>
          <a:ext cx="108402" cy="93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02" h="93373">
              <a:moveTo>
                <a:pt x="69948" y="72350"/>
              </a:moveTo>
              <a:lnTo>
                <a:pt x="0" y="0"/>
              </a:lnTo>
              <a:lnTo>
                <a:pt x="36259" y="0"/>
              </a:lnTo>
              <a:lnTo>
                <a:pt x="92159" y="57820"/>
              </a:lnTo>
              <a:lnTo>
                <a:pt x="108401" y="74620"/>
              </a:lnTo>
              <a:lnTo>
                <a:pt x="90272" y="93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0.35232</cdr:x>
      <cdr:y>0.88018</cdr:y>
    </cdr:from>
    <cdr:to>
      <cdr:x>0.36325</cdr:x>
      <cdr:y>0.89596</cdr:y>
    </cdr:to>
    <cdr:sp macro="" textlink="">
      <cdr:nvSpPr>
        <cdr:cNvPr id="816" name="FracNo 1145 StartRow 7747">
          <a:extLst xmlns:a="http://schemas.openxmlformats.org/drawingml/2006/main">
            <a:ext uri="{FF2B5EF4-FFF2-40B4-BE49-F238E27FC236}">
              <a16:creationId xmlns:a16="http://schemas.microsoft.com/office/drawing/2014/main" id="{1178C456-9AEB-F4EA-2852-1E910CDDC574}"/>
            </a:ext>
          </a:extLst>
        </cdr:cNvPr>
        <cdr:cNvSpPr/>
      </cdr:nvSpPr>
      <cdr:spPr>
        <a:xfrm xmlns:a="http://schemas.openxmlformats.org/drawingml/2006/main">
          <a:off x="2577264" y="6706957"/>
          <a:ext cx="80006" cy="120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006" h="120256">
              <a:moveTo>
                <a:pt x="31081" y="32147"/>
              </a:moveTo>
              <a:lnTo>
                <a:pt x="0" y="0"/>
              </a:lnTo>
              <a:lnTo>
                <a:pt x="0" y="37503"/>
              </a:lnTo>
              <a:lnTo>
                <a:pt x="31081" y="69651"/>
              </a:lnTo>
              <a:lnTo>
                <a:pt x="80005" y="120255"/>
              </a:lnTo>
              <a:lnTo>
                <a:pt x="80005" y="82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0.18818</cdr:x>
      <cdr:y>0.48272</cdr:y>
    </cdr:from>
    <cdr:to>
      <cdr:x>0.20389</cdr:x>
      <cdr:y>0.4934</cdr:y>
    </cdr:to>
    <cdr:sp macro="" textlink="">
      <cdr:nvSpPr>
        <cdr:cNvPr id="817" name="FracNo 1153 StartRow 7756">
          <a:extLst xmlns:a="http://schemas.openxmlformats.org/drawingml/2006/main">
            <a:ext uri="{FF2B5EF4-FFF2-40B4-BE49-F238E27FC236}">
              <a16:creationId xmlns:a16="http://schemas.microsoft.com/office/drawing/2014/main" id="{DF483452-89B2-AEB6-F7EE-96DD665271DA}"/>
            </a:ext>
          </a:extLst>
        </cdr:cNvPr>
        <cdr:cNvSpPr/>
      </cdr:nvSpPr>
      <cdr:spPr>
        <a:xfrm xmlns:a="http://schemas.openxmlformats.org/drawingml/2006/main">
          <a:off x="1376560" y="3678339"/>
          <a:ext cx="114927" cy="81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927" h="81370">
              <a:moveTo>
                <a:pt x="113176" y="79559"/>
              </a:moveTo>
              <a:lnTo>
                <a:pt x="36258" y="0"/>
              </a:lnTo>
              <a:lnTo>
                <a:pt x="0" y="0"/>
              </a:lnTo>
              <a:lnTo>
                <a:pt x="76917" y="79559"/>
              </a:lnTo>
              <a:lnTo>
                <a:pt x="78668" y="81369"/>
              </a:lnTo>
              <a:lnTo>
                <a:pt x="114926" y="81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0.55222</cdr:x>
      <cdr:y>0.64167</cdr:y>
    </cdr:from>
    <cdr:to>
      <cdr:x>0.56786</cdr:x>
      <cdr:y>0.65228</cdr:y>
    </cdr:to>
    <cdr:sp macro="" textlink="">
      <cdr:nvSpPr>
        <cdr:cNvPr id="818" name="FracNo 941 StartRow 7765">
          <a:extLst xmlns:a="http://schemas.openxmlformats.org/drawingml/2006/main">
            <a:ext uri="{FF2B5EF4-FFF2-40B4-BE49-F238E27FC236}">
              <a16:creationId xmlns:a16="http://schemas.microsoft.com/office/drawing/2014/main" id="{EB069AEB-7389-EA1C-E4A1-39A00E712FBD}"/>
            </a:ext>
          </a:extLst>
        </cdr:cNvPr>
        <cdr:cNvSpPr/>
      </cdr:nvSpPr>
      <cdr:spPr>
        <a:xfrm xmlns:a="http://schemas.openxmlformats.org/drawingml/2006/main">
          <a:off x="4039600" y="4889556"/>
          <a:ext cx="114422" cy="80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422" h="80847">
              <a:moveTo>
                <a:pt x="65094" y="29826"/>
              </a:moveTo>
              <a:lnTo>
                <a:pt x="36259" y="0"/>
              </a:lnTo>
              <a:lnTo>
                <a:pt x="0" y="0"/>
              </a:lnTo>
              <a:lnTo>
                <a:pt x="35784" y="37013"/>
              </a:lnTo>
              <a:lnTo>
                <a:pt x="56071" y="57996"/>
              </a:lnTo>
              <a:lnTo>
                <a:pt x="78163" y="80846"/>
              </a:lnTo>
              <a:lnTo>
                <a:pt x="114421" y="80846"/>
              </a:lnTo>
              <a:lnTo>
                <a:pt x="81443" y="467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0.44481</cdr:x>
      <cdr:y>0.83547</cdr:y>
    </cdr:from>
    <cdr:to>
      <cdr:x>0.45772</cdr:x>
      <cdr:y>0.84829</cdr:y>
    </cdr:to>
    <cdr:sp macro="" textlink="">
      <cdr:nvSpPr>
        <cdr:cNvPr id="819" name="FracNo 874 StartRow 7776">
          <a:extLst xmlns:a="http://schemas.openxmlformats.org/drawingml/2006/main">
            <a:ext uri="{FF2B5EF4-FFF2-40B4-BE49-F238E27FC236}">
              <a16:creationId xmlns:a16="http://schemas.microsoft.com/office/drawing/2014/main" id="{78EF5FCF-9098-007E-1B2D-45906A0751DA}"/>
            </a:ext>
          </a:extLst>
        </cdr:cNvPr>
        <cdr:cNvSpPr/>
      </cdr:nvSpPr>
      <cdr:spPr>
        <a:xfrm xmlns:a="http://schemas.openxmlformats.org/drawingml/2006/main">
          <a:off x="3253874" y="6366283"/>
          <a:ext cx="94469" cy="97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469" h="97713">
              <a:moveTo>
                <a:pt x="54760" y="19137"/>
              </a:moveTo>
              <a:lnTo>
                <a:pt x="36259" y="0"/>
              </a:lnTo>
              <a:lnTo>
                <a:pt x="0" y="0"/>
              </a:lnTo>
              <a:lnTo>
                <a:pt x="30026" y="31057"/>
              </a:lnTo>
              <a:lnTo>
                <a:pt x="94468" y="97712"/>
              </a:lnTo>
              <a:lnTo>
                <a:pt x="94468" y="602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0.21692</cdr:x>
      <cdr:y>0.12567</cdr:y>
    </cdr:from>
    <cdr:to>
      <cdr:x>0.23048</cdr:x>
      <cdr:y>0.13667</cdr:y>
    </cdr:to>
    <cdr:sp macro="" textlink="">
      <cdr:nvSpPr>
        <cdr:cNvPr id="820" name="FracNo 303 StartRow 7785">
          <a:extLst xmlns:a="http://schemas.openxmlformats.org/drawingml/2006/main">
            <a:ext uri="{FF2B5EF4-FFF2-40B4-BE49-F238E27FC236}">
              <a16:creationId xmlns:a16="http://schemas.microsoft.com/office/drawing/2014/main" id="{9C795659-D5E6-D9C0-5B72-FC720C013EB4}"/>
            </a:ext>
          </a:extLst>
        </cdr:cNvPr>
        <cdr:cNvSpPr/>
      </cdr:nvSpPr>
      <cdr:spPr>
        <a:xfrm xmlns:a="http://schemas.openxmlformats.org/drawingml/2006/main">
          <a:off x="1586798" y="957568"/>
          <a:ext cx="99218" cy="83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218" h="83874">
              <a:moveTo>
                <a:pt x="25726" y="45362"/>
              </a:moveTo>
              <a:lnTo>
                <a:pt x="0" y="18752"/>
              </a:lnTo>
              <a:lnTo>
                <a:pt x="18129" y="0"/>
              </a:lnTo>
              <a:lnTo>
                <a:pt x="51263" y="34272"/>
              </a:lnTo>
              <a:lnTo>
                <a:pt x="99217" y="83873"/>
              </a:lnTo>
              <a:lnTo>
                <a:pt x="62959" y="838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0.37066</cdr:x>
      <cdr:y>0.55177</cdr:y>
    </cdr:from>
    <cdr:to>
      <cdr:x>0.38546</cdr:x>
      <cdr:y>0.56154</cdr:y>
    </cdr:to>
    <cdr:sp macro="" textlink="">
      <cdr:nvSpPr>
        <cdr:cNvPr id="821" name="FracNo 966 StartRow 7794">
          <a:extLst xmlns:a="http://schemas.openxmlformats.org/drawingml/2006/main">
            <a:ext uri="{FF2B5EF4-FFF2-40B4-BE49-F238E27FC236}">
              <a16:creationId xmlns:a16="http://schemas.microsoft.com/office/drawing/2014/main" id="{8E7AECDD-6980-3D88-4CD7-AC8B4F6FDFC1}"/>
            </a:ext>
          </a:extLst>
        </cdr:cNvPr>
        <cdr:cNvSpPr/>
      </cdr:nvSpPr>
      <cdr:spPr>
        <a:xfrm xmlns:a="http://schemas.openxmlformats.org/drawingml/2006/main">
          <a:off x="2711453" y="4204463"/>
          <a:ext cx="108244" cy="74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244" h="74457">
              <a:moveTo>
                <a:pt x="66896" y="31690"/>
              </a:moveTo>
              <a:lnTo>
                <a:pt x="48172" y="12323"/>
              </a:lnTo>
              <a:lnTo>
                <a:pt x="36258" y="0"/>
              </a:lnTo>
              <a:lnTo>
                <a:pt x="0" y="0"/>
              </a:lnTo>
              <a:lnTo>
                <a:pt x="20695" y="21406"/>
              </a:lnTo>
              <a:lnTo>
                <a:pt x="36682" y="37942"/>
              </a:lnTo>
              <a:lnTo>
                <a:pt x="71984" y="74456"/>
              </a:lnTo>
              <a:lnTo>
                <a:pt x="108243" y="744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0.87526</cdr:x>
      <cdr:y>0.1281</cdr:y>
    </cdr:from>
    <cdr:to>
      <cdr:x>0.88754</cdr:x>
      <cdr:y>0.1403</cdr:y>
    </cdr:to>
    <cdr:sp macro="" textlink="">
      <cdr:nvSpPr>
        <cdr:cNvPr id="822" name="FracNo 1135 StartRow 7805">
          <a:extLst xmlns:a="http://schemas.openxmlformats.org/drawingml/2006/main">
            <a:ext uri="{FF2B5EF4-FFF2-40B4-BE49-F238E27FC236}">
              <a16:creationId xmlns:a16="http://schemas.microsoft.com/office/drawing/2014/main" id="{CD9ABCB9-B4BB-24DD-61F1-3B3DF7CC29DA}"/>
            </a:ext>
          </a:extLst>
        </cdr:cNvPr>
        <cdr:cNvSpPr/>
      </cdr:nvSpPr>
      <cdr:spPr>
        <a:xfrm xmlns:a="http://schemas.openxmlformats.org/drawingml/2006/main">
          <a:off x="6402705" y="976107"/>
          <a:ext cx="89855" cy="92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855" h="92941">
              <a:moveTo>
                <a:pt x="28237" y="66710"/>
              </a:moveTo>
              <a:lnTo>
                <a:pt x="0" y="37504"/>
              </a:lnTo>
              <a:lnTo>
                <a:pt x="0" y="0"/>
              </a:lnTo>
              <a:lnTo>
                <a:pt x="47340" y="48965"/>
              </a:lnTo>
              <a:lnTo>
                <a:pt x="89854" y="92940"/>
              </a:lnTo>
              <a:lnTo>
                <a:pt x="53596" y="929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0.3397</cdr:x>
      <cdr:y>0.52183</cdr:y>
    </cdr:from>
    <cdr:to>
      <cdr:x>0.35431</cdr:x>
      <cdr:y>0.53142</cdr:y>
    </cdr:to>
    <cdr:sp macro="" textlink="">
      <cdr:nvSpPr>
        <cdr:cNvPr id="823" name="FracNo 1044 StartRow 7814">
          <a:extLst xmlns:a="http://schemas.openxmlformats.org/drawingml/2006/main">
            <a:ext uri="{FF2B5EF4-FFF2-40B4-BE49-F238E27FC236}">
              <a16:creationId xmlns:a16="http://schemas.microsoft.com/office/drawing/2014/main" id="{9F384B30-9E24-4D34-24CC-1B1156E057CE}"/>
            </a:ext>
          </a:extLst>
        </cdr:cNvPr>
        <cdr:cNvSpPr/>
      </cdr:nvSpPr>
      <cdr:spPr>
        <a:xfrm xmlns:a="http://schemas.openxmlformats.org/drawingml/2006/main">
          <a:off x="2484940" y="3976363"/>
          <a:ext cx="106910" cy="73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910" h="73078">
              <a:moveTo>
                <a:pt x="24944" y="47277"/>
              </a:moveTo>
              <a:lnTo>
                <a:pt x="0" y="73077"/>
              </a:lnTo>
              <a:lnTo>
                <a:pt x="36258" y="73077"/>
              </a:lnTo>
              <a:lnTo>
                <a:pt x="61202" y="47277"/>
              </a:lnTo>
              <a:lnTo>
                <a:pt x="106909" y="0"/>
              </a:lnTo>
              <a:lnTo>
                <a:pt x="706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0.13607</cdr:x>
      <cdr:y>0.55069</cdr:y>
    </cdr:from>
    <cdr:to>
      <cdr:x>0.14797</cdr:x>
      <cdr:y>0.5625</cdr:y>
    </cdr:to>
    <cdr:sp macro="" textlink="">
      <cdr:nvSpPr>
        <cdr:cNvPr id="824" name="FracNo 1095 StartRow 7823">
          <a:extLst xmlns:a="http://schemas.openxmlformats.org/drawingml/2006/main">
            <a:ext uri="{FF2B5EF4-FFF2-40B4-BE49-F238E27FC236}">
              <a16:creationId xmlns:a16="http://schemas.microsoft.com/office/drawing/2014/main" id="{3EA31804-FBE8-82F3-0349-7F5C42348A3C}"/>
            </a:ext>
          </a:extLst>
        </cdr:cNvPr>
        <cdr:cNvSpPr/>
      </cdr:nvSpPr>
      <cdr:spPr>
        <a:xfrm xmlns:a="http://schemas.openxmlformats.org/drawingml/2006/main">
          <a:off x="995407" y="4196235"/>
          <a:ext cx="87055" cy="90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055" h="90045">
              <a:moveTo>
                <a:pt x="12487" y="39625"/>
              </a:moveTo>
              <a:lnTo>
                <a:pt x="0" y="52540"/>
              </a:lnTo>
              <a:lnTo>
                <a:pt x="0" y="90044"/>
              </a:lnTo>
              <a:lnTo>
                <a:pt x="21400" y="67909"/>
              </a:lnTo>
              <a:lnTo>
                <a:pt x="87054" y="0"/>
              </a:lnTo>
              <a:lnTo>
                <a:pt x="50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0.56983</cdr:x>
      <cdr:y>0.08544</cdr:y>
    </cdr:from>
    <cdr:to>
      <cdr:x>0.58418</cdr:x>
      <cdr:y>0.09476</cdr:y>
    </cdr:to>
    <cdr:sp macro="" textlink="">
      <cdr:nvSpPr>
        <cdr:cNvPr id="825" name="FracNo 865 StartRow 7832">
          <a:extLst xmlns:a="http://schemas.openxmlformats.org/drawingml/2006/main">
            <a:ext uri="{FF2B5EF4-FFF2-40B4-BE49-F238E27FC236}">
              <a16:creationId xmlns:a16="http://schemas.microsoft.com/office/drawing/2014/main" id="{12336116-719F-DFB1-175E-350DE7A8D6F0}"/>
            </a:ext>
          </a:extLst>
        </cdr:cNvPr>
        <cdr:cNvSpPr/>
      </cdr:nvSpPr>
      <cdr:spPr>
        <a:xfrm xmlns:a="http://schemas.openxmlformats.org/drawingml/2006/main">
          <a:off x="4168429" y="651036"/>
          <a:ext cx="104948" cy="71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948" h="71048">
              <a:moveTo>
                <a:pt x="5434" y="65426"/>
              </a:moveTo>
              <a:lnTo>
                <a:pt x="0" y="71047"/>
              </a:lnTo>
              <a:lnTo>
                <a:pt x="36259" y="71047"/>
              </a:lnTo>
              <a:lnTo>
                <a:pt x="41693" y="65426"/>
              </a:lnTo>
              <a:lnTo>
                <a:pt x="104947" y="0"/>
              </a:lnTo>
              <a:lnTo>
                <a:pt x="686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0.87359</cdr:x>
      <cdr:y>0.57946</cdr:y>
    </cdr:from>
    <cdr:to>
      <cdr:x>0.88791</cdr:x>
      <cdr:y>0.58876</cdr:y>
    </cdr:to>
    <cdr:sp macro="" textlink="">
      <cdr:nvSpPr>
        <cdr:cNvPr id="826" name="FracNo 1173 StartRow 7841">
          <a:extLst xmlns:a="http://schemas.openxmlformats.org/drawingml/2006/main">
            <a:ext uri="{FF2B5EF4-FFF2-40B4-BE49-F238E27FC236}">
              <a16:creationId xmlns:a16="http://schemas.microsoft.com/office/drawing/2014/main" id="{664EA9C7-3A2A-73A5-FA12-8AE12BD37F7A}"/>
            </a:ext>
          </a:extLst>
        </cdr:cNvPr>
        <cdr:cNvSpPr/>
      </cdr:nvSpPr>
      <cdr:spPr>
        <a:xfrm xmlns:a="http://schemas.openxmlformats.org/drawingml/2006/main">
          <a:off x="6390493" y="4415503"/>
          <a:ext cx="104762" cy="70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762" h="70855">
              <a:moveTo>
                <a:pt x="2827" y="67930"/>
              </a:moveTo>
              <a:lnTo>
                <a:pt x="0" y="70854"/>
              </a:lnTo>
              <a:lnTo>
                <a:pt x="36259" y="70854"/>
              </a:lnTo>
              <a:lnTo>
                <a:pt x="39085" y="67930"/>
              </a:lnTo>
              <a:lnTo>
                <a:pt x="104761" y="0"/>
              </a:lnTo>
              <a:lnTo>
                <a:pt x="685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0.61714</cdr:y>
    </cdr:from>
    <cdr:to>
      <cdr:x>0.10239</cdr:x>
      <cdr:y>0.6301</cdr:y>
    </cdr:to>
    <cdr:sp macro="" textlink="">
      <cdr:nvSpPr>
        <cdr:cNvPr id="827" name="FracNo 899 StartRow 7850">
          <a:extLst xmlns:a="http://schemas.openxmlformats.org/drawingml/2006/main">
            <a:ext uri="{FF2B5EF4-FFF2-40B4-BE49-F238E27FC236}">
              <a16:creationId xmlns:a16="http://schemas.microsoft.com/office/drawing/2014/main" id="{2FED9BCB-A6B8-CE45-F1D8-43DAF5B76DCB}"/>
            </a:ext>
          </a:extLst>
        </cdr:cNvPr>
        <cdr:cNvSpPr/>
      </cdr:nvSpPr>
      <cdr:spPr>
        <a:xfrm xmlns:a="http://schemas.openxmlformats.org/drawingml/2006/main">
          <a:off x="671676" y="4702634"/>
          <a:ext cx="77294" cy="98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294" h="98700">
              <a:moveTo>
                <a:pt x="33217" y="71861"/>
              </a:moveTo>
              <a:lnTo>
                <a:pt x="0" y="37503"/>
              </a:lnTo>
              <a:lnTo>
                <a:pt x="0" y="0"/>
              </a:lnTo>
              <a:lnTo>
                <a:pt x="43395" y="44886"/>
              </a:lnTo>
              <a:lnTo>
                <a:pt x="77293" y="79947"/>
              </a:lnTo>
              <a:lnTo>
                <a:pt x="59164" y="986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0.45409</cdr:x>
      <cdr:y>0.14378</cdr:y>
    </cdr:from>
    <cdr:to>
      <cdr:x>0.46581</cdr:x>
      <cdr:y>0.15542</cdr:y>
    </cdr:to>
    <cdr:sp macro="" textlink="">
      <cdr:nvSpPr>
        <cdr:cNvPr id="828" name="FracNo 934 StartRow 7859">
          <a:extLst xmlns:a="http://schemas.openxmlformats.org/drawingml/2006/main">
            <a:ext uri="{FF2B5EF4-FFF2-40B4-BE49-F238E27FC236}">
              <a16:creationId xmlns:a16="http://schemas.microsoft.com/office/drawing/2014/main" id="{90C27A7B-247F-3BD0-2204-2CD21F30BC3C}"/>
            </a:ext>
          </a:extLst>
        </cdr:cNvPr>
        <cdr:cNvSpPr/>
      </cdr:nvSpPr>
      <cdr:spPr>
        <a:xfrm xmlns:a="http://schemas.openxmlformats.org/drawingml/2006/main">
          <a:off x="3321789" y="1095625"/>
          <a:ext cx="85731" cy="88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731" h="88676">
              <a:moveTo>
                <a:pt x="21055" y="59282"/>
              </a:moveTo>
              <a:lnTo>
                <a:pt x="0" y="37504"/>
              </a:lnTo>
              <a:lnTo>
                <a:pt x="0" y="0"/>
              </a:lnTo>
              <a:lnTo>
                <a:pt x="36486" y="37740"/>
              </a:lnTo>
              <a:lnTo>
                <a:pt x="85730" y="88675"/>
              </a:lnTo>
              <a:lnTo>
                <a:pt x="49472" y="886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0.20434</cdr:x>
      <cdr:y>0.76705</cdr:y>
    </cdr:from>
    <cdr:to>
      <cdr:x>0.21844</cdr:x>
      <cdr:y>0.77613</cdr:y>
    </cdr:to>
    <cdr:sp macro="" textlink="">
      <cdr:nvSpPr>
        <cdr:cNvPr id="829" name="FracNo 881 StartRow 7868">
          <a:extLst xmlns:a="http://schemas.openxmlformats.org/drawingml/2006/main">
            <a:ext uri="{FF2B5EF4-FFF2-40B4-BE49-F238E27FC236}">
              <a16:creationId xmlns:a16="http://schemas.microsoft.com/office/drawing/2014/main" id="{0AC38DA8-BB74-B6BB-EC1C-D194E3642FB7}"/>
            </a:ext>
          </a:extLst>
        </cdr:cNvPr>
        <cdr:cNvSpPr/>
      </cdr:nvSpPr>
      <cdr:spPr>
        <a:xfrm xmlns:a="http://schemas.openxmlformats.org/drawingml/2006/main">
          <a:off x="1494776" y="5844943"/>
          <a:ext cx="103158" cy="69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158" h="69197">
              <a:moveTo>
                <a:pt x="73169" y="38179"/>
              </a:moveTo>
              <a:lnTo>
                <a:pt x="36258" y="0"/>
              </a:lnTo>
              <a:lnTo>
                <a:pt x="0" y="0"/>
              </a:lnTo>
              <a:lnTo>
                <a:pt x="36911" y="38179"/>
              </a:lnTo>
              <a:lnTo>
                <a:pt x="66898" y="69196"/>
              </a:lnTo>
              <a:lnTo>
                <a:pt x="103157" y="691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0.44813</cdr:x>
      <cdr:y>0.88932</cdr:y>
    </cdr:from>
    <cdr:to>
      <cdr:x>0.45692</cdr:x>
      <cdr:y>0.90297</cdr:y>
    </cdr:to>
    <cdr:sp macro="" textlink="">
      <cdr:nvSpPr>
        <cdr:cNvPr id="830" name="FracNo 1029 StartRow 7877">
          <a:extLst xmlns:a="http://schemas.openxmlformats.org/drawingml/2006/main">
            <a:ext uri="{FF2B5EF4-FFF2-40B4-BE49-F238E27FC236}">
              <a16:creationId xmlns:a16="http://schemas.microsoft.com/office/drawing/2014/main" id="{286BABB7-306E-0287-48C9-8F6C75038384}"/>
            </a:ext>
          </a:extLst>
        </cdr:cNvPr>
        <cdr:cNvSpPr/>
      </cdr:nvSpPr>
      <cdr:spPr>
        <a:xfrm xmlns:a="http://schemas.openxmlformats.org/drawingml/2006/main">
          <a:off x="3278184" y="6776592"/>
          <a:ext cx="64311" cy="104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311" h="104023">
              <a:moveTo>
                <a:pt x="24083" y="79113"/>
              </a:moveTo>
              <a:lnTo>
                <a:pt x="0" y="104022"/>
              </a:lnTo>
              <a:lnTo>
                <a:pt x="0" y="66519"/>
              </a:lnTo>
              <a:lnTo>
                <a:pt x="24083" y="41609"/>
              </a:lnTo>
              <a:lnTo>
                <a:pt x="64310" y="0"/>
              </a:lnTo>
              <a:lnTo>
                <a:pt x="6431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0.51021</cdr:x>
      <cdr:y>0.52161</cdr:y>
    </cdr:from>
    <cdr:to>
      <cdr:x>0.52259</cdr:x>
      <cdr:y>0.53143</cdr:y>
    </cdr:to>
    <cdr:sp macro="" textlink="">
      <cdr:nvSpPr>
        <cdr:cNvPr id="831" name="FracNo 1054 StartRow 7886">
          <a:extLst xmlns:a="http://schemas.openxmlformats.org/drawingml/2006/main">
            <a:ext uri="{FF2B5EF4-FFF2-40B4-BE49-F238E27FC236}">
              <a16:creationId xmlns:a16="http://schemas.microsoft.com/office/drawing/2014/main" id="{F22E5000-015F-4FB3-362C-8679C87BFB02}"/>
            </a:ext>
          </a:extLst>
        </cdr:cNvPr>
        <cdr:cNvSpPr/>
      </cdr:nvSpPr>
      <cdr:spPr>
        <a:xfrm xmlns:a="http://schemas.openxmlformats.org/drawingml/2006/main">
          <a:off x="3732301" y="3974637"/>
          <a:ext cx="90524" cy="74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24" h="74880">
              <a:moveTo>
                <a:pt x="53415" y="17746"/>
              </a:moveTo>
              <a:lnTo>
                <a:pt x="36259" y="0"/>
              </a:lnTo>
              <a:lnTo>
                <a:pt x="0" y="0"/>
              </a:lnTo>
              <a:lnTo>
                <a:pt x="22889" y="23675"/>
              </a:lnTo>
              <a:lnTo>
                <a:pt x="72393" y="74879"/>
              </a:lnTo>
              <a:lnTo>
                <a:pt x="90523" y="561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0.85784</cdr:x>
      <cdr:y>0.89828</cdr:y>
    </cdr:from>
    <cdr:to>
      <cdr:x>0.86894</cdr:x>
      <cdr:y>0.90929</cdr:y>
    </cdr:to>
    <cdr:sp macro="" textlink="">
      <cdr:nvSpPr>
        <cdr:cNvPr id="832" name="FracNo 1232 StartRow 7895">
          <a:extLst xmlns:a="http://schemas.openxmlformats.org/drawingml/2006/main">
            <a:ext uri="{FF2B5EF4-FFF2-40B4-BE49-F238E27FC236}">
              <a16:creationId xmlns:a16="http://schemas.microsoft.com/office/drawing/2014/main" id="{C3CDEE8E-00DC-D0B9-21F0-96BEA803CD10}"/>
            </a:ext>
          </a:extLst>
        </cdr:cNvPr>
        <cdr:cNvSpPr/>
      </cdr:nvSpPr>
      <cdr:spPr>
        <a:xfrm xmlns:a="http://schemas.openxmlformats.org/drawingml/2006/main">
          <a:off x="6275305" y="6844870"/>
          <a:ext cx="81140" cy="83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40" h="83927">
              <a:moveTo>
                <a:pt x="25170" y="20388"/>
              </a:moveTo>
              <a:lnTo>
                <a:pt x="0" y="46422"/>
              </a:lnTo>
              <a:lnTo>
                <a:pt x="0" y="83926"/>
              </a:lnTo>
              <a:lnTo>
                <a:pt x="45504" y="36858"/>
              </a:lnTo>
              <a:lnTo>
                <a:pt x="81139" y="0"/>
              </a:lnTo>
              <a:lnTo>
                <a:pt x="44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0.78197</cdr:x>
      <cdr:y>0.6363</cdr:y>
    </cdr:from>
    <cdr:to>
      <cdr:x>0.79152</cdr:x>
      <cdr:y>0.64825</cdr:y>
    </cdr:to>
    <cdr:sp macro="" textlink="">
      <cdr:nvSpPr>
        <cdr:cNvPr id="833" name="FracNo 870 StartRow 7904">
          <a:extLst xmlns:a="http://schemas.openxmlformats.org/drawingml/2006/main">
            <a:ext uri="{FF2B5EF4-FFF2-40B4-BE49-F238E27FC236}">
              <a16:creationId xmlns:a16="http://schemas.microsoft.com/office/drawing/2014/main" id="{D963DCD9-3118-EAA1-D4F5-C59B6AFBF903}"/>
            </a:ext>
          </a:extLst>
        </cdr:cNvPr>
        <cdr:cNvSpPr/>
      </cdr:nvSpPr>
      <cdr:spPr>
        <a:xfrm xmlns:a="http://schemas.openxmlformats.org/drawingml/2006/main">
          <a:off x="5720244" y="4848624"/>
          <a:ext cx="69869" cy="910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69" h="91020">
              <a:moveTo>
                <a:pt x="24182" y="84758"/>
              </a:moveTo>
              <a:lnTo>
                <a:pt x="18129" y="91019"/>
              </a:lnTo>
              <a:lnTo>
                <a:pt x="0" y="72267"/>
              </a:lnTo>
              <a:lnTo>
                <a:pt x="8174" y="63813"/>
              </a:lnTo>
              <a:lnTo>
                <a:pt x="69868" y="0"/>
              </a:lnTo>
              <a:lnTo>
                <a:pt x="6986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0.36175</cdr:x>
      <cdr:y>0.7432</cdr:y>
    </cdr:from>
    <cdr:to>
      <cdr:x>0.37375</cdr:x>
      <cdr:y>0.75266</cdr:y>
    </cdr:to>
    <cdr:sp macro="" textlink="">
      <cdr:nvSpPr>
        <cdr:cNvPr id="834" name="FracNo 21 StartRow 7913">
          <a:extLst xmlns:a="http://schemas.openxmlformats.org/drawingml/2006/main">
            <a:ext uri="{FF2B5EF4-FFF2-40B4-BE49-F238E27FC236}">
              <a16:creationId xmlns:a16="http://schemas.microsoft.com/office/drawing/2014/main" id="{FDB06B6E-2F27-3AE5-8D8B-D99E5E8054A2}"/>
            </a:ext>
          </a:extLst>
        </cdr:cNvPr>
        <cdr:cNvSpPr/>
      </cdr:nvSpPr>
      <cdr:spPr>
        <a:xfrm xmlns:a="http://schemas.openxmlformats.org/drawingml/2006/main">
          <a:off x="2646275" y="5663204"/>
          <a:ext cx="87804" cy="72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04" h="72067">
              <a:moveTo>
                <a:pt x="66636" y="3142"/>
              </a:moveTo>
              <a:lnTo>
                <a:pt x="0" y="72066"/>
              </a:lnTo>
              <a:lnTo>
                <a:pt x="36259" y="72066"/>
              </a:lnTo>
              <a:lnTo>
                <a:pt x="85556" y="21076"/>
              </a:lnTo>
              <a:lnTo>
                <a:pt x="87803" y="18752"/>
              </a:lnTo>
              <a:lnTo>
                <a:pt x="696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0.42384</cdr:x>
      <cdr:y>0.30247</cdr:y>
    </cdr:from>
    <cdr:to>
      <cdr:x>0.43445</cdr:x>
      <cdr:y>0.31299</cdr:y>
    </cdr:to>
    <cdr:sp macro="" textlink="">
      <cdr:nvSpPr>
        <cdr:cNvPr id="835" name="FracNo 1200 StartRow 7922">
          <a:extLst xmlns:a="http://schemas.openxmlformats.org/drawingml/2006/main">
            <a:ext uri="{FF2B5EF4-FFF2-40B4-BE49-F238E27FC236}">
              <a16:creationId xmlns:a16="http://schemas.microsoft.com/office/drawing/2014/main" id="{83ED696B-A49E-B22D-16C5-C6A0D23E9E00}"/>
            </a:ext>
          </a:extLst>
        </cdr:cNvPr>
        <cdr:cNvSpPr/>
      </cdr:nvSpPr>
      <cdr:spPr>
        <a:xfrm xmlns:a="http://schemas.openxmlformats.org/drawingml/2006/main">
          <a:off x="3100502" y="2304793"/>
          <a:ext cx="77558" cy="80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558" h="80222">
              <a:moveTo>
                <a:pt x="18344" y="56478"/>
              </a:moveTo>
              <a:lnTo>
                <a:pt x="0" y="37504"/>
              </a:lnTo>
              <a:lnTo>
                <a:pt x="0" y="0"/>
              </a:lnTo>
              <a:lnTo>
                <a:pt x="34449" y="35633"/>
              </a:lnTo>
              <a:lnTo>
                <a:pt x="77557" y="80221"/>
              </a:lnTo>
              <a:lnTo>
                <a:pt x="41298" y="802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0.88601</cdr:x>
      <cdr:y>0.77261</cdr:y>
    </cdr:from>
    <cdr:to>
      <cdr:x>0.8965</cdr:x>
      <cdr:y>0.78302</cdr:y>
    </cdr:to>
    <cdr:sp macro="" textlink="">
      <cdr:nvSpPr>
        <cdr:cNvPr id="836" name="FracNo 1087 StartRow 7931">
          <a:extLst xmlns:a="http://schemas.openxmlformats.org/drawingml/2006/main">
            <a:ext uri="{FF2B5EF4-FFF2-40B4-BE49-F238E27FC236}">
              <a16:creationId xmlns:a16="http://schemas.microsoft.com/office/drawing/2014/main" id="{C60C3A41-B9D7-DC63-B9A6-0122DD5B574A}"/>
            </a:ext>
          </a:extLst>
        </cdr:cNvPr>
        <cdr:cNvSpPr/>
      </cdr:nvSpPr>
      <cdr:spPr>
        <a:xfrm xmlns:a="http://schemas.openxmlformats.org/drawingml/2006/main">
          <a:off x="6481349" y="5887296"/>
          <a:ext cx="76704" cy="793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704" h="79339">
              <a:moveTo>
                <a:pt x="66206" y="10857"/>
              </a:moveTo>
              <a:lnTo>
                <a:pt x="0" y="79338"/>
              </a:lnTo>
              <a:lnTo>
                <a:pt x="36259" y="79338"/>
              </a:lnTo>
              <a:lnTo>
                <a:pt x="71168" y="43229"/>
              </a:lnTo>
              <a:lnTo>
                <a:pt x="76703" y="37504"/>
              </a:lnTo>
              <a:lnTo>
                <a:pt x="767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0.78085</cdr:x>
      <cdr:y>0.91288</cdr:y>
    </cdr:from>
    <cdr:to>
      <cdr:x>0.79363</cdr:x>
      <cdr:y>0.92065</cdr:y>
    </cdr:to>
    <cdr:sp macro="" textlink="">
      <cdr:nvSpPr>
        <cdr:cNvPr id="837" name="FracNo 1167 StartRow 7940">
          <a:extLst xmlns:a="http://schemas.openxmlformats.org/drawingml/2006/main">
            <a:ext uri="{FF2B5EF4-FFF2-40B4-BE49-F238E27FC236}">
              <a16:creationId xmlns:a16="http://schemas.microsoft.com/office/drawing/2014/main" id="{540DE289-9CC4-F6BF-EEA1-E69625891EA7}"/>
            </a:ext>
          </a:extLst>
        </cdr:cNvPr>
        <cdr:cNvSpPr/>
      </cdr:nvSpPr>
      <cdr:spPr>
        <a:xfrm xmlns:a="http://schemas.openxmlformats.org/drawingml/2006/main">
          <a:off x="5712063" y="6956160"/>
          <a:ext cx="93479" cy="59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79" h="59186">
              <a:moveTo>
                <a:pt x="51889" y="43017"/>
              </a:moveTo>
              <a:lnTo>
                <a:pt x="36258" y="59185"/>
              </a:lnTo>
              <a:lnTo>
                <a:pt x="0" y="59185"/>
              </a:lnTo>
              <a:lnTo>
                <a:pt x="15630" y="43017"/>
              </a:lnTo>
              <a:lnTo>
                <a:pt x="57220" y="0"/>
              </a:lnTo>
              <a:lnTo>
                <a:pt x="934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0.20476</cdr:x>
      <cdr:y>0.11984</cdr:y>
    </cdr:from>
    <cdr:to>
      <cdr:x>0.21495</cdr:x>
      <cdr:y>0.12996</cdr:y>
    </cdr:to>
    <cdr:sp macro="" textlink="">
      <cdr:nvSpPr>
        <cdr:cNvPr id="838" name="FracNo 737 StartRow 7949">
          <a:extLst xmlns:a="http://schemas.openxmlformats.org/drawingml/2006/main">
            <a:ext uri="{FF2B5EF4-FFF2-40B4-BE49-F238E27FC236}">
              <a16:creationId xmlns:a16="http://schemas.microsoft.com/office/drawing/2014/main" id="{BB41B72D-ACE5-EFEA-3022-ED5CEB61188D}"/>
            </a:ext>
          </a:extLst>
        </cdr:cNvPr>
        <cdr:cNvSpPr/>
      </cdr:nvSpPr>
      <cdr:spPr>
        <a:xfrm xmlns:a="http://schemas.openxmlformats.org/drawingml/2006/main">
          <a:off x="1497833" y="913146"/>
          <a:ext cx="74592" cy="77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92" h="77153">
              <a:moveTo>
                <a:pt x="25037" y="7145"/>
              </a:moveTo>
              <a:lnTo>
                <a:pt x="18130" y="0"/>
              </a:lnTo>
              <a:lnTo>
                <a:pt x="0" y="18751"/>
              </a:lnTo>
              <a:lnTo>
                <a:pt x="6908" y="25896"/>
              </a:lnTo>
              <a:lnTo>
                <a:pt x="56462" y="77152"/>
              </a:lnTo>
              <a:lnTo>
                <a:pt x="74591" y="584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0.58023</cdr:x>
      <cdr:y>0.80438</cdr:y>
    </cdr:from>
    <cdr:to>
      <cdr:x>0.58753</cdr:x>
      <cdr:y>0.81655</cdr:y>
    </cdr:to>
    <cdr:sp macro="" textlink="">
      <cdr:nvSpPr>
        <cdr:cNvPr id="839" name="FracNo 1203 StartRow 7958">
          <a:extLst xmlns:a="http://schemas.openxmlformats.org/drawingml/2006/main">
            <a:ext uri="{FF2B5EF4-FFF2-40B4-BE49-F238E27FC236}">
              <a16:creationId xmlns:a16="http://schemas.microsoft.com/office/drawing/2014/main" id="{410797E1-EF7D-EF19-2B82-193CB760C082}"/>
            </a:ext>
          </a:extLst>
        </cdr:cNvPr>
        <cdr:cNvSpPr/>
      </cdr:nvSpPr>
      <cdr:spPr>
        <a:xfrm xmlns:a="http://schemas.openxmlformats.org/drawingml/2006/main">
          <a:off x="4244484" y="6129359"/>
          <a:ext cx="53445" cy="92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45" h="92785">
              <a:moveTo>
                <a:pt x="7638" y="84883"/>
              </a:moveTo>
              <a:lnTo>
                <a:pt x="0" y="92784"/>
              </a:lnTo>
              <a:lnTo>
                <a:pt x="0" y="55280"/>
              </a:lnTo>
              <a:lnTo>
                <a:pt x="7638" y="47379"/>
              </a:lnTo>
              <a:lnTo>
                <a:pt x="53444" y="0"/>
              </a:lnTo>
              <a:lnTo>
                <a:pt x="5344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0.49167</cdr:y>
    </cdr:from>
    <cdr:to>
      <cdr:x>0.10154</cdr:x>
      <cdr:y>0.50133</cdr:y>
    </cdr:to>
    <cdr:sp macro="" textlink="">
      <cdr:nvSpPr>
        <cdr:cNvPr id="840" name="FracNo 917 StartRow 7967">
          <a:extLst xmlns:a="http://schemas.openxmlformats.org/drawingml/2006/main">
            <a:ext uri="{FF2B5EF4-FFF2-40B4-BE49-F238E27FC236}">
              <a16:creationId xmlns:a16="http://schemas.microsoft.com/office/drawing/2014/main" id="{B82E1945-1177-8F16-2D10-C3AB4AD931D6}"/>
            </a:ext>
          </a:extLst>
        </cdr:cNvPr>
        <cdr:cNvSpPr/>
      </cdr:nvSpPr>
      <cdr:spPr>
        <a:xfrm xmlns:a="http://schemas.openxmlformats.org/drawingml/2006/main">
          <a:off x="671676" y="3746524"/>
          <a:ext cx="71130" cy="73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0" h="73574">
              <a:moveTo>
                <a:pt x="43766" y="45269"/>
              </a:moveTo>
              <a:lnTo>
                <a:pt x="0" y="0"/>
              </a:lnTo>
              <a:lnTo>
                <a:pt x="0" y="37504"/>
              </a:lnTo>
              <a:lnTo>
                <a:pt x="21456" y="59697"/>
              </a:lnTo>
              <a:lnTo>
                <a:pt x="34871" y="73573"/>
              </a:lnTo>
              <a:lnTo>
                <a:pt x="71129" y="735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0.28515</cdr:x>
      <cdr:y>0.37022</cdr:y>
    </cdr:from>
    <cdr:to>
      <cdr:x>0.29587</cdr:x>
      <cdr:y>0.37841</cdr:y>
    </cdr:to>
    <cdr:sp macro="" textlink="">
      <cdr:nvSpPr>
        <cdr:cNvPr id="841" name="FracNo 882 StartRow 7976">
          <a:extLst xmlns:a="http://schemas.openxmlformats.org/drawingml/2006/main">
            <a:ext uri="{FF2B5EF4-FFF2-40B4-BE49-F238E27FC236}">
              <a16:creationId xmlns:a16="http://schemas.microsoft.com/office/drawing/2014/main" id="{EA191249-0E88-2A88-E5FC-FF88A380764D}"/>
            </a:ext>
          </a:extLst>
        </cdr:cNvPr>
        <cdr:cNvSpPr/>
      </cdr:nvSpPr>
      <cdr:spPr>
        <a:xfrm xmlns:a="http://schemas.openxmlformats.org/drawingml/2006/main">
          <a:off x="2085948" y="2821090"/>
          <a:ext cx="78421" cy="62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21" h="62362">
              <a:moveTo>
                <a:pt x="38809" y="22220"/>
              </a:moveTo>
              <a:lnTo>
                <a:pt x="0" y="62361"/>
              </a:lnTo>
              <a:lnTo>
                <a:pt x="36259" y="62361"/>
              </a:lnTo>
              <a:lnTo>
                <a:pt x="63398" y="34290"/>
              </a:lnTo>
              <a:lnTo>
                <a:pt x="78420" y="18752"/>
              </a:lnTo>
              <a:lnTo>
                <a:pt x="60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0.72688</cdr:x>
      <cdr:y>0.64633</cdr:y>
    </cdr:from>
    <cdr:to>
      <cdr:x>0.73621</cdr:x>
      <cdr:y>0.65559</cdr:y>
    </cdr:to>
    <cdr:sp macro="" textlink="">
      <cdr:nvSpPr>
        <cdr:cNvPr id="842" name="FracNo 1070 StartRow 7985">
          <a:extLst xmlns:a="http://schemas.openxmlformats.org/drawingml/2006/main">
            <a:ext uri="{FF2B5EF4-FFF2-40B4-BE49-F238E27FC236}">
              <a16:creationId xmlns:a16="http://schemas.microsoft.com/office/drawing/2014/main" id="{5B5F359A-C478-F74B-E54D-EF6F76D03B23}"/>
            </a:ext>
          </a:extLst>
        </cdr:cNvPr>
        <cdr:cNvSpPr/>
      </cdr:nvSpPr>
      <cdr:spPr>
        <a:xfrm xmlns:a="http://schemas.openxmlformats.org/drawingml/2006/main">
          <a:off x="5317296" y="4925042"/>
          <a:ext cx="68232" cy="70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232" h="70576">
              <a:moveTo>
                <a:pt x="54968" y="13720"/>
              </a:moveTo>
              <a:lnTo>
                <a:pt x="0" y="70575"/>
              </a:lnTo>
              <a:lnTo>
                <a:pt x="36259" y="70575"/>
              </a:lnTo>
              <a:lnTo>
                <a:pt x="62016" y="43933"/>
              </a:lnTo>
              <a:lnTo>
                <a:pt x="68231" y="37504"/>
              </a:lnTo>
              <a:lnTo>
                <a:pt x="682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0.67539</cdr:x>
      <cdr:y>0.6001</cdr:y>
    </cdr:from>
    <cdr:to>
      <cdr:x>0.68454</cdr:x>
      <cdr:y>0.60918</cdr:y>
    </cdr:to>
    <cdr:sp macro="" textlink="">
      <cdr:nvSpPr>
        <cdr:cNvPr id="843" name="FracNo 943 StartRow 7994">
          <a:extLst xmlns:a="http://schemas.openxmlformats.org/drawingml/2006/main">
            <a:ext uri="{FF2B5EF4-FFF2-40B4-BE49-F238E27FC236}">
              <a16:creationId xmlns:a16="http://schemas.microsoft.com/office/drawing/2014/main" id="{16B193B7-A862-3D00-06AE-73B8F4D3F379}"/>
            </a:ext>
          </a:extLst>
        </cdr:cNvPr>
        <cdr:cNvSpPr/>
      </cdr:nvSpPr>
      <cdr:spPr>
        <a:xfrm xmlns:a="http://schemas.openxmlformats.org/drawingml/2006/main">
          <a:off x="4940609" y="4572725"/>
          <a:ext cx="66955" cy="69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955" h="69255">
              <a:moveTo>
                <a:pt x="11227" y="49117"/>
              </a:moveTo>
              <a:lnTo>
                <a:pt x="0" y="37504"/>
              </a:lnTo>
              <a:lnTo>
                <a:pt x="0" y="0"/>
              </a:lnTo>
              <a:lnTo>
                <a:pt x="24489" y="25330"/>
              </a:lnTo>
              <a:lnTo>
                <a:pt x="66954" y="69254"/>
              </a:lnTo>
              <a:lnTo>
                <a:pt x="30696" y="692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0.60924</cdr:x>
      <cdr:y>0.73177</cdr:y>
    </cdr:from>
    <cdr:to>
      <cdr:x>0.61838</cdr:x>
      <cdr:y>0.74083</cdr:y>
    </cdr:to>
    <cdr:sp macro="" textlink="">
      <cdr:nvSpPr>
        <cdr:cNvPr id="844" name="FracNo 1030 StartRow 8003">
          <a:extLst xmlns:a="http://schemas.openxmlformats.org/drawingml/2006/main">
            <a:ext uri="{FF2B5EF4-FFF2-40B4-BE49-F238E27FC236}">
              <a16:creationId xmlns:a16="http://schemas.microsoft.com/office/drawing/2014/main" id="{523BEA90-CECD-289E-3F89-D9DD7D307ECF}"/>
            </a:ext>
          </a:extLst>
        </cdr:cNvPr>
        <cdr:cNvSpPr/>
      </cdr:nvSpPr>
      <cdr:spPr>
        <a:xfrm xmlns:a="http://schemas.openxmlformats.org/drawingml/2006/main">
          <a:off x="4456744" y="5576064"/>
          <a:ext cx="66794" cy="69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94" h="69087">
              <a:moveTo>
                <a:pt x="35862" y="37092"/>
              </a:moveTo>
              <a:lnTo>
                <a:pt x="0" y="0"/>
              </a:lnTo>
              <a:lnTo>
                <a:pt x="36259" y="0"/>
              </a:lnTo>
              <a:lnTo>
                <a:pt x="52652" y="16956"/>
              </a:lnTo>
              <a:lnTo>
                <a:pt x="66793" y="31582"/>
              </a:lnTo>
              <a:lnTo>
                <a:pt x="66793" y="690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0.62724</cdr:x>
      <cdr:y>0.88108</cdr:y>
    </cdr:from>
    <cdr:to>
      <cdr:x>0.63625</cdr:x>
      <cdr:y>0.89003</cdr:y>
    </cdr:to>
    <cdr:sp macro="" textlink="">
      <cdr:nvSpPr>
        <cdr:cNvPr id="845" name="FracNo 765 StartRow 8012">
          <a:extLst xmlns:a="http://schemas.openxmlformats.org/drawingml/2006/main">
            <a:ext uri="{FF2B5EF4-FFF2-40B4-BE49-F238E27FC236}">
              <a16:creationId xmlns:a16="http://schemas.microsoft.com/office/drawing/2014/main" id="{26E2FCBF-8351-FE5E-AC3C-71B845D20931}"/>
            </a:ext>
          </a:extLst>
        </cdr:cNvPr>
        <cdr:cNvSpPr/>
      </cdr:nvSpPr>
      <cdr:spPr>
        <a:xfrm xmlns:a="http://schemas.openxmlformats.org/drawingml/2006/main">
          <a:off x="4588394" y="6713865"/>
          <a:ext cx="65867" cy="68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67" h="68131">
              <a:moveTo>
                <a:pt x="6894" y="42247"/>
              </a:moveTo>
              <a:lnTo>
                <a:pt x="0" y="49377"/>
              </a:lnTo>
              <a:lnTo>
                <a:pt x="18129" y="68130"/>
              </a:lnTo>
              <a:lnTo>
                <a:pt x="25023" y="60998"/>
              </a:lnTo>
              <a:lnTo>
                <a:pt x="65866" y="18753"/>
              </a:lnTo>
              <a:lnTo>
                <a:pt x="477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0.30231</cdr:x>
      <cdr:y>0.42702</cdr:y>
    </cdr:from>
    <cdr:to>
      <cdr:x>0.31116</cdr:x>
      <cdr:y>0.43581</cdr:y>
    </cdr:to>
    <cdr:sp macro="" textlink="">
      <cdr:nvSpPr>
        <cdr:cNvPr id="846" name="FracNo 775 StartRow 8021">
          <a:extLst xmlns:a="http://schemas.openxmlformats.org/drawingml/2006/main">
            <a:ext uri="{FF2B5EF4-FFF2-40B4-BE49-F238E27FC236}">
              <a16:creationId xmlns:a16="http://schemas.microsoft.com/office/drawing/2014/main" id="{3C7A0A97-264B-F27A-067B-8EB0874B5AED}"/>
            </a:ext>
          </a:extLst>
        </cdr:cNvPr>
        <cdr:cNvSpPr/>
      </cdr:nvSpPr>
      <cdr:spPr>
        <a:xfrm xmlns:a="http://schemas.openxmlformats.org/drawingml/2006/main">
          <a:off x="2211451" y="3253893"/>
          <a:ext cx="64754" cy="66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754" h="66977">
              <a:moveTo>
                <a:pt x="29317" y="17901"/>
              </a:moveTo>
              <a:lnTo>
                <a:pt x="0" y="48224"/>
              </a:lnTo>
              <a:lnTo>
                <a:pt x="18129" y="66976"/>
              </a:lnTo>
              <a:lnTo>
                <a:pt x="47446" y="36652"/>
              </a:lnTo>
              <a:lnTo>
                <a:pt x="64753" y="18752"/>
              </a:lnTo>
              <a:lnTo>
                <a:pt x="466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0.21438</cdr:x>
      <cdr:y>0.68317</cdr:y>
    </cdr:from>
    <cdr:to>
      <cdr:x>0.22323</cdr:x>
      <cdr:y>0.69196</cdr:y>
    </cdr:to>
    <cdr:sp macro="" textlink="">
      <cdr:nvSpPr>
        <cdr:cNvPr id="847" name="FracNo 1218 StartRow 8030">
          <a:extLst xmlns:a="http://schemas.openxmlformats.org/drawingml/2006/main">
            <a:ext uri="{FF2B5EF4-FFF2-40B4-BE49-F238E27FC236}">
              <a16:creationId xmlns:a16="http://schemas.microsoft.com/office/drawing/2014/main" id="{2EA808E7-FDEC-87A1-D7BA-974A4CDA0BDF}"/>
            </a:ext>
          </a:extLst>
        </cdr:cNvPr>
        <cdr:cNvSpPr/>
      </cdr:nvSpPr>
      <cdr:spPr>
        <a:xfrm xmlns:a="http://schemas.openxmlformats.org/drawingml/2006/main">
          <a:off x="1568227" y="5205771"/>
          <a:ext cx="64750" cy="66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750" h="66974">
              <a:moveTo>
                <a:pt x="52478" y="50197"/>
              </a:moveTo>
              <a:lnTo>
                <a:pt x="36258" y="66973"/>
              </a:lnTo>
              <a:lnTo>
                <a:pt x="0" y="66973"/>
              </a:lnTo>
              <a:lnTo>
                <a:pt x="36861" y="28846"/>
              </a:lnTo>
              <a:lnTo>
                <a:pt x="64749" y="0"/>
              </a:lnTo>
              <a:lnTo>
                <a:pt x="6474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0.84424</cdr:x>
      <cdr:y>0.7025</cdr:y>
    </cdr:from>
    <cdr:to>
      <cdr:x>0.85051</cdr:x>
      <cdr:y>0.71364</cdr:y>
    </cdr:to>
    <cdr:sp macro="" textlink="">
      <cdr:nvSpPr>
        <cdr:cNvPr id="848" name="FracNo 937 StartRow 8039">
          <a:extLst xmlns:a="http://schemas.openxmlformats.org/drawingml/2006/main">
            <a:ext uri="{FF2B5EF4-FFF2-40B4-BE49-F238E27FC236}">
              <a16:creationId xmlns:a16="http://schemas.microsoft.com/office/drawing/2014/main" id="{7A4CB45D-AD05-D9D8-2CD1-2489F4C438E9}"/>
            </a:ext>
          </a:extLst>
        </cdr:cNvPr>
        <cdr:cNvSpPr/>
      </cdr:nvSpPr>
      <cdr:spPr>
        <a:xfrm xmlns:a="http://schemas.openxmlformats.org/drawingml/2006/main">
          <a:off x="6175784" y="5353016"/>
          <a:ext cx="45840" cy="84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40" h="84919">
              <a:moveTo>
                <a:pt x="31938" y="14379"/>
              </a:moveTo>
              <a:lnTo>
                <a:pt x="0" y="47414"/>
              </a:lnTo>
              <a:lnTo>
                <a:pt x="0" y="84918"/>
              </a:lnTo>
              <a:lnTo>
                <a:pt x="31938" y="51882"/>
              </a:lnTo>
              <a:lnTo>
                <a:pt x="45839" y="37504"/>
              </a:lnTo>
              <a:lnTo>
                <a:pt x="458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0.67839</cdr:x>
      <cdr:y>0.3178</cdr:y>
    </cdr:from>
    <cdr:to>
      <cdr:x>0.68696</cdr:x>
      <cdr:y>0.32631</cdr:y>
    </cdr:to>
    <cdr:sp macro="" textlink="">
      <cdr:nvSpPr>
        <cdr:cNvPr id="849" name="FracNo 1129 StartRow 8048">
          <a:extLst xmlns:a="http://schemas.openxmlformats.org/drawingml/2006/main">
            <a:ext uri="{FF2B5EF4-FFF2-40B4-BE49-F238E27FC236}">
              <a16:creationId xmlns:a16="http://schemas.microsoft.com/office/drawing/2014/main" id="{24579E11-4F32-DACE-5C74-4BC86417B8CF}"/>
            </a:ext>
          </a:extLst>
        </cdr:cNvPr>
        <cdr:cNvSpPr/>
      </cdr:nvSpPr>
      <cdr:spPr>
        <a:xfrm xmlns:a="http://schemas.openxmlformats.org/drawingml/2006/main">
          <a:off x="4962548" y="2421640"/>
          <a:ext cx="62709" cy="64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709" h="64863">
              <a:moveTo>
                <a:pt x="50270" y="50369"/>
              </a:moveTo>
              <a:lnTo>
                <a:pt x="36259" y="64862"/>
              </a:lnTo>
              <a:lnTo>
                <a:pt x="0" y="64862"/>
              </a:lnTo>
              <a:lnTo>
                <a:pt x="33219" y="30502"/>
              </a:lnTo>
              <a:lnTo>
                <a:pt x="62708" y="0"/>
              </a:lnTo>
              <a:lnTo>
                <a:pt x="6270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0.57674</cdr:x>
      <cdr:y>0.26997</cdr:y>
    </cdr:from>
    <cdr:to>
      <cdr:x>0.58528</cdr:x>
      <cdr:y>0.27846</cdr:y>
    </cdr:to>
    <cdr:sp macro="" textlink="">
      <cdr:nvSpPr>
        <cdr:cNvPr id="850" name="FracNo 1005 StartRow 8057">
          <a:extLst xmlns:a="http://schemas.openxmlformats.org/drawingml/2006/main">
            <a:ext uri="{FF2B5EF4-FFF2-40B4-BE49-F238E27FC236}">
              <a16:creationId xmlns:a16="http://schemas.microsoft.com/office/drawing/2014/main" id="{1767A14F-0AF2-0165-A251-3C5A58879855}"/>
            </a:ext>
          </a:extLst>
        </cdr:cNvPr>
        <cdr:cNvSpPr/>
      </cdr:nvSpPr>
      <cdr:spPr>
        <a:xfrm xmlns:a="http://schemas.openxmlformats.org/drawingml/2006/main">
          <a:off x="4218968" y="2057185"/>
          <a:ext cx="62503" cy="64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503" h="64650">
              <a:moveTo>
                <a:pt x="59527" y="24068"/>
              </a:moveTo>
              <a:lnTo>
                <a:pt x="36259" y="0"/>
              </a:lnTo>
              <a:lnTo>
                <a:pt x="0" y="0"/>
              </a:lnTo>
              <a:lnTo>
                <a:pt x="55417" y="57320"/>
              </a:lnTo>
              <a:lnTo>
                <a:pt x="62502" y="64649"/>
              </a:lnTo>
              <a:lnTo>
                <a:pt x="62502" y="27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0.56319</cdr:x>
      <cdr:y>0.652</cdr:y>
    </cdr:from>
    <cdr:to>
      <cdr:x>0.57129</cdr:x>
      <cdr:y>0.66004</cdr:y>
    </cdr:to>
    <cdr:sp macro="" textlink="">
      <cdr:nvSpPr>
        <cdr:cNvPr id="851" name="FracNo 1162 StartRow 8066">
          <a:extLst xmlns:a="http://schemas.openxmlformats.org/drawingml/2006/main">
            <a:ext uri="{FF2B5EF4-FFF2-40B4-BE49-F238E27FC236}">
              <a16:creationId xmlns:a16="http://schemas.microsoft.com/office/drawing/2014/main" id="{48C47A0A-1C6C-0104-ADBF-DFE08ED72480}"/>
            </a:ext>
          </a:extLst>
        </cdr:cNvPr>
        <cdr:cNvSpPr/>
      </cdr:nvSpPr>
      <cdr:spPr>
        <a:xfrm xmlns:a="http://schemas.openxmlformats.org/drawingml/2006/main">
          <a:off x="4119850" y="4968243"/>
          <a:ext cx="59263" cy="61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263" h="61299">
              <a:moveTo>
                <a:pt x="38455" y="2273"/>
              </a:moveTo>
              <a:lnTo>
                <a:pt x="36258" y="0"/>
              </a:lnTo>
              <a:lnTo>
                <a:pt x="0" y="0"/>
              </a:lnTo>
              <a:lnTo>
                <a:pt x="5659" y="5854"/>
              </a:lnTo>
              <a:lnTo>
                <a:pt x="59262" y="61298"/>
              </a:lnTo>
              <a:lnTo>
                <a:pt x="59262" y="237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0.36717</cdr:x>
      <cdr:y>0.73105</cdr:y>
    </cdr:from>
    <cdr:to>
      <cdr:x>0.37267</cdr:x>
      <cdr:y>0.74144</cdr:y>
    </cdr:to>
    <cdr:sp macro="" textlink="">
      <cdr:nvSpPr>
        <cdr:cNvPr id="852" name="FracNo 926 StartRow 8075">
          <a:extLst xmlns:a="http://schemas.openxmlformats.org/drawingml/2006/main">
            <a:ext uri="{FF2B5EF4-FFF2-40B4-BE49-F238E27FC236}">
              <a16:creationId xmlns:a16="http://schemas.microsoft.com/office/drawing/2014/main" id="{8D4BF4A3-94AA-3E12-7A9D-0F926DEDA491}"/>
            </a:ext>
          </a:extLst>
        </cdr:cNvPr>
        <cdr:cNvSpPr/>
      </cdr:nvSpPr>
      <cdr:spPr>
        <a:xfrm xmlns:a="http://schemas.openxmlformats.org/drawingml/2006/main">
          <a:off x="2685909" y="5570624"/>
          <a:ext cx="40262" cy="79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62" h="79148">
              <a:moveTo>
                <a:pt x="22016" y="22773"/>
              </a:moveTo>
              <a:lnTo>
                <a:pt x="0" y="0"/>
              </a:lnTo>
              <a:lnTo>
                <a:pt x="0" y="37504"/>
              </a:lnTo>
              <a:lnTo>
                <a:pt x="22016" y="60276"/>
              </a:lnTo>
              <a:lnTo>
                <a:pt x="40261" y="79147"/>
              </a:lnTo>
              <a:lnTo>
                <a:pt x="40261" y="416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0.93454</cdr:x>
      <cdr:y>0.08544</cdr:y>
    </cdr:from>
    <cdr:to>
      <cdr:x>0.94246</cdr:x>
      <cdr:y>0.09331</cdr:y>
    </cdr:to>
    <cdr:sp macro="" textlink="">
      <cdr:nvSpPr>
        <cdr:cNvPr id="853" name="FracNo 792 StartRow 8084">
          <a:extLst xmlns:a="http://schemas.openxmlformats.org/drawingml/2006/main">
            <a:ext uri="{FF2B5EF4-FFF2-40B4-BE49-F238E27FC236}">
              <a16:creationId xmlns:a16="http://schemas.microsoft.com/office/drawing/2014/main" id="{0F049EA2-E6BD-6573-D967-924030830236}"/>
            </a:ext>
          </a:extLst>
        </cdr:cNvPr>
        <cdr:cNvSpPr/>
      </cdr:nvSpPr>
      <cdr:spPr>
        <a:xfrm xmlns:a="http://schemas.openxmlformats.org/drawingml/2006/main">
          <a:off x="6836337" y="651036"/>
          <a:ext cx="57971" cy="59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971" h="59962">
              <a:moveTo>
                <a:pt x="41537" y="5460"/>
              </a:moveTo>
              <a:lnTo>
                <a:pt x="36259" y="0"/>
              </a:lnTo>
              <a:lnTo>
                <a:pt x="0" y="0"/>
              </a:lnTo>
              <a:lnTo>
                <a:pt x="14094" y="14578"/>
              </a:lnTo>
              <a:lnTo>
                <a:pt x="57970" y="59961"/>
              </a:lnTo>
              <a:lnTo>
                <a:pt x="57970" y="224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0.4783</cdr:x>
      <cdr:y>0.25994</cdr:y>
    </cdr:from>
    <cdr:to>
      <cdr:x>0.48372</cdr:x>
      <cdr:y>0.27025</cdr:y>
    </cdr:to>
    <cdr:sp macro="" textlink="">
      <cdr:nvSpPr>
        <cdr:cNvPr id="854" name="FracNo 918 StartRow 8093">
          <a:extLst xmlns:a="http://schemas.openxmlformats.org/drawingml/2006/main">
            <a:ext uri="{FF2B5EF4-FFF2-40B4-BE49-F238E27FC236}">
              <a16:creationId xmlns:a16="http://schemas.microsoft.com/office/drawing/2014/main" id="{984D40E9-2432-C49F-D5A7-4E31A2E97C31}"/>
            </a:ext>
          </a:extLst>
        </cdr:cNvPr>
        <cdr:cNvSpPr/>
      </cdr:nvSpPr>
      <cdr:spPr>
        <a:xfrm xmlns:a="http://schemas.openxmlformats.org/drawingml/2006/main">
          <a:off x="3498867" y="1980748"/>
          <a:ext cx="39654" cy="78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654" h="78520">
              <a:moveTo>
                <a:pt x="20846" y="56957"/>
              </a:moveTo>
              <a:lnTo>
                <a:pt x="0" y="78519"/>
              </a:lnTo>
              <a:lnTo>
                <a:pt x="0" y="41015"/>
              </a:lnTo>
              <a:lnTo>
                <a:pt x="20846" y="19453"/>
              </a:lnTo>
              <a:lnTo>
                <a:pt x="39653" y="0"/>
              </a:lnTo>
              <a:lnTo>
                <a:pt x="3965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0.25222</cdr:x>
      <cdr:y>0.24662</cdr:y>
    </cdr:from>
    <cdr:to>
      <cdr:x>0.26</cdr:x>
      <cdr:y>0.25435</cdr:y>
    </cdr:to>
    <cdr:sp macro="" textlink="">
      <cdr:nvSpPr>
        <cdr:cNvPr id="855" name="FracNo 1198 StartRow 8102">
          <a:extLst xmlns:a="http://schemas.openxmlformats.org/drawingml/2006/main">
            <a:ext uri="{FF2B5EF4-FFF2-40B4-BE49-F238E27FC236}">
              <a16:creationId xmlns:a16="http://schemas.microsoft.com/office/drawing/2014/main" id="{91F11151-0D25-9DD8-26DE-8631EA098C1B}"/>
            </a:ext>
          </a:extLst>
        </cdr:cNvPr>
        <cdr:cNvSpPr/>
      </cdr:nvSpPr>
      <cdr:spPr>
        <a:xfrm xmlns:a="http://schemas.openxmlformats.org/drawingml/2006/main">
          <a:off x="1845064" y="1879260"/>
          <a:ext cx="56906" cy="58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06" h="58860">
              <a:moveTo>
                <a:pt x="26763" y="31178"/>
              </a:moveTo>
              <a:lnTo>
                <a:pt x="0" y="58859"/>
              </a:lnTo>
              <a:lnTo>
                <a:pt x="36259" y="58859"/>
              </a:lnTo>
              <a:lnTo>
                <a:pt x="45969" y="48816"/>
              </a:lnTo>
              <a:lnTo>
                <a:pt x="56905" y="37504"/>
              </a:lnTo>
              <a:lnTo>
                <a:pt x="569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0.67724</cdr:x>
      <cdr:y>0.8369</cdr:y>
    </cdr:from>
    <cdr:to>
      <cdr:x>0.68483</cdr:x>
      <cdr:y>0.84443</cdr:y>
    </cdr:to>
    <cdr:sp macro="" textlink="">
      <cdr:nvSpPr>
        <cdr:cNvPr id="856" name="FracNo 1038 StartRow 8111">
          <a:extLst xmlns:a="http://schemas.openxmlformats.org/drawingml/2006/main">
            <a:ext uri="{FF2B5EF4-FFF2-40B4-BE49-F238E27FC236}">
              <a16:creationId xmlns:a16="http://schemas.microsoft.com/office/drawing/2014/main" id="{A593E3F5-7421-0A8A-D8BD-AC5FBE54A8F9}"/>
            </a:ext>
          </a:extLst>
        </cdr:cNvPr>
        <cdr:cNvSpPr/>
      </cdr:nvSpPr>
      <cdr:spPr>
        <a:xfrm xmlns:a="http://schemas.openxmlformats.org/drawingml/2006/main">
          <a:off x="4954179" y="6377155"/>
          <a:ext cx="55493" cy="57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93" h="57397">
              <a:moveTo>
                <a:pt x="1538" y="39094"/>
              </a:moveTo>
              <a:lnTo>
                <a:pt x="0" y="37503"/>
              </a:lnTo>
              <a:lnTo>
                <a:pt x="0" y="0"/>
              </a:lnTo>
              <a:lnTo>
                <a:pt x="4436" y="4588"/>
              </a:lnTo>
              <a:lnTo>
                <a:pt x="55492" y="57396"/>
              </a:lnTo>
              <a:lnTo>
                <a:pt x="19233" y="573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0.70247</cdr:x>
      <cdr:y>0.81184</cdr:y>
    </cdr:from>
    <cdr:to>
      <cdr:x>0.71006</cdr:x>
      <cdr:y>0.81938</cdr:y>
    </cdr:to>
    <cdr:sp macro="" textlink="">
      <cdr:nvSpPr>
        <cdr:cNvPr id="857" name="FracNo 1151 StartRow 8120">
          <a:extLst xmlns:a="http://schemas.openxmlformats.org/drawingml/2006/main">
            <a:ext uri="{FF2B5EF4-FFF2-40B4-BE49-F238E27FC236}">
              <a16:creationId xmlns:a16="http://schemas.microsoft.com/office/drawing/2014/main" id="{60641896-7534-6D1E-2CFB-928BBDF3D23E}"/>
            </a:ext>
          </a:extLst>
        </cdr:cNvPr>
        <cdr:cNvSpPr/>
      </cdr:nvSpPr>
      <cdr:spPr>
        <a:xfrm xmlns:a="http://schemas.openxmlformats.org/drawingml/2006/main">
          <a:off x="5138740" y="6186255"/>
          <a:ext cx="55493" cy="57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93" h="57398">
              <a:moveTo>
                <a:pt x="10109" y="47961"/>
              </a:moveTo>
              <a:lnTo>
                <a:pt x="0" y="37504"/>
              </a:lnTo>
              <a:lnTo>
                <a:pt x="0" y="0"/>
              </a:lnTo>
              <a:lnTo>
                <a:pt x="29168" y="30169"/>
              </a:lnTo>
              <a:lnTo>
                <a:pt x="55492" y="57397"/>
              </a:lnTo>
              <a:lnTo>
                <a:pt x="19233" y="573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0.68435</cdr:x>
      <cdr:y>0.82984</cdr:y>
    </cdr:from>
    <cdr:to>
      <cdr:x>0.69193</cdr:x>
      <cdr:y>0.83738</cdr:y>
    </cdr:to>
    <cdr:sp macro="" textlink="">
      <cdr:nvSpPr>
        <cdr:cNvPr id="858" name="FracNo 951 StartRow 8129">
          <a:extLst xmlns:a="http://schemas.openxmlformats.org/drawingml/2006/main">
            <a:ext uri="{FF2B5EF4-FFF2-40B4-BE49-F238E27FC236}">
              <a16:creationId xmlns:a16="http://schemas.microsoft.com/office/drawing/2014/main" id="{11161231-5108-641E-AD22-0895679FE78D}"/>
            </a:ext>
          </a:extLst>
        </cdr:cNvPr>
        <cdr:cNvSpPr/>
      </cdr:nvSpPr>
      <cdr:spPr>
        <a:xfrm xmlns:a="http://schemas.openxmlformats.org/drawingml/2006/main">
          <a:off x="5006134" y="6323416"/>
          <a:ext cx="55493" cy="57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493" h="57397">
              <a:moveTo>
                <a:pt x="17441" y="55543"/>
              </a:moveTo>
              <a:lnTo>
                <a:pt x="0" y="37503"/>
              </a:lnTo>
              <a:lnTo>
                <a:pt x="0" y="0"/>
              </a:lnTo>
              <a:lnTo>
                <a:pt x="50322" y="52049"/>
              </a:lnTo>
              <a:lnTo>
                <a:pt x="55492" y="57396"/>
              </a:lnTo>
              <a:lnTo>
                <a:pt x="19233" y="573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0.67621</cdr:x>
      <cdr:y>0.23677</cdr:y>
    </cdr:from>
    <cdr:to>
      <cdr:x>0.68342</cdr:x>
      <cdr:y>0.24393</cdr:y>
    </cdr:to>
    <cdr:sp macro="" textlink="">
      <cdr:nvSpPr>
        <cdr:cNvPr id="859" name="FracNo 1103 StartRow 8138">
          <a:extLst xmlns:a="http://schemas.openxmlformats.org/drawingml/2006/main">
            <a:ext uri="{FF2B5EF4-FFF2-40B4-BE49-F238E27FC236}">
              <a16:creationId xmlns:a16="http://schemas.microsoft.com/office/drawing/2014/main" id="{5A753403-23F9-BFAF-A665-B8D2B3E85205}"/>
            </a:ext>
          </a:extLst>
        </cdr:cNvPr>
        <cdr:cNvSpPr/>
      </cdr:nvSpPr>
      <cdr:spPr>
        <a:xfrm xmlns:a="http://schemas.openxmlformats.org/drawingml/2006/main">
          <a:off x="4946599" y="1804159"/>
          <a:ext cx="52753" cy="54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53" h="54564">
              <a:moveTo>
                <a:pt x="26364" y="46021"/>
              </a:moveTo>
              <a:lnTo>
                <a:pt x="0" y="18752"/>
              </a:lnTo>
              <a:lnTo>
                <a:pt x="18129" y="0"/>
              </a:lnTo>
              <a:lnTo>
                <a:pt x="44494" y="27269"/>
              </a:lnTo>
              <a:lnTo>
                <a:pt x="52752" y="35811"/>
              </a:lnTo>
              <a:lnTo>
                <a:pt x="34622" y="545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0.48231</cdr:x>
      <cdr:y>0.32263</cdr:y>
    </cdr:from>
    <cdr:to>
      <cdr:x>0.48693</cdr:x>
      <cdr:y>0.33214</cdr:y>
    </cdr:to>
    <cdr:sp macro="" textlink="">
      <cdr:nvSpPr>
        <cdr:cNvPr id="860" name="FracNo 1003 StartRow 8147">
          <a:extLst xmlns:a="http://schemas.openxmlformats.org/drawingml/2006/main">
            <a:ext uri="{FF2B5EF4-FFF2-40B4-BE49-F238E27FC236}">
              <a16:creationId xmlns:a16="http://schemas.microsoft.com/office/drawing/2014/main" id="{6F4C60AF-D41E-E63C-310B-19B17202A878}"/>
            </a:ext>
          </a:extLst>
        </cdr:cNvPr>
        <cdr:cNvSpPr/>
      </cdr:nvSpPr>
      <cdr:spPr>
        <a:xfrm xmlns:a="http://schemas.openxmlformats.org/drawingml/2006/main">
          <a:off x="3528188" y="2458416"/>
          <a:ext cx="33795" cy="72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95" h="72459">
              <a:moveTo>
                <a:pt x="10372" y="10728"/>
              </a:moveTo>
              <a:lnTo>
                <a:pt x="0" y="0"/>
              </a:lnTo>
              <a:lnTo>
                <a:pt x="0" y="37504"/>
              </a:lnTo>
              <a:lnTo>
                <a:pt x="10372" y="48231"/>
              </a:lnTo>
              <a:lnTo>
                <a:pt x="33794" y="72458"/>
              </a:lnTo>
              <a:lnTo>
                <a:pt x="33794" y="349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0.27956</cdr:x>
      <cdr:y>0.19263</cdr:y>
    </cdr:from>
    <cdr:to>
      <cdr:x>0.28652</cdr:x>
      <cdr:y>0.19955</cdr:y>
    </cdr:to>
    <cdr:sp macro="" textlink="">
      <cdr:nvSpPr>
        <cdr:cNvPr id="861" name="FracNo 262 StartRow 8156">
          <a:extLst xmlns:a="http://schemas.openxmlformats.org/drawingml/2006/main">
            <a:ext uri="{FF2B5EF4-FFF2-40B4-BE49-F238E27FC236}">
              <a16:creationId xmlns:a16="http://schemas.microsoft.com/office/drawing/2014/main" id="{F36BECC9-5A20-EB0D-51FE-809236AB035C}"/>
            </a:ext>
          </a:extLst>
        </cdr:cNvPr>
        <cdr:cNvSpPr/>
      </cdr:nvSpPr>
      <cdr:spPr>
        <a:xfrm xmlns:a="http://schemas.openxmlformats.org/drawingml/2006/main">
          <a:off x="2045003" y="1467848"/>
          <a:ext cx="50949" cy="52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49" h="52699">
              <a:moveTo>
                <a:pt x="5708" y="28042"/>
              </a:moveTo>
              <a:lnTo>
                <a:pt x="0" y="33946"/>
              </a:lnTo>
              <a:lnTo>
                <a:pt x="18130" y="52698"/>
              </a:lnTo>
              <a:lnTo>
                <a:pt x="23838" y="46794"/>
              </a:lnTo>
              <a:lnTo>
                <a:pt x="50948" y="18753"/>
              </a:lnTo>
              <a:lnTo>
                <a:pt x="328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0.81974</cdr:x>
      <cdr:y>0.49744</cdr:y>
    </cdr:from>
    <cdr:to>
      <cdr:x>0.82781</cdr:x>
      <cdr:y>0.50299</cdr:y>
    </cdr:to>
    <cdr:sp macro="" textlink="">
      <cdr:nvSpPr>
        <cdr:cNvPr id="862" name="FracNo 1025 StartRow 8165">
          <a:extLst xmlns:a="http://schemas.openxmlformats.org/drawingml/2006/main">
            <a:ext uri="{FF2B5EF4-FFF2-40B4-BE49-F238E27FC236}">
              <a16:creationId xmlns:a16="http://schemas.microsoft.com/office/drawing/2014/main" id="{A6556E05-AE65-E83F-AA8A-A10FDA0B2DE5}"/>
            </a:ext>
          </a:extLst>
        </cdr:cNvPr>
        <cdr:cNvSpPr/>
      </cdr:nvSpPr>
      <cdr:spPr>
        <a:xfrm xmlns:a="http://schemas.openxmlformats.org/drawingml/2006/main">
          <a:off x="5996546" y="3790498"/>
          <a:ext cx="59032" cy="42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032" h="42307">
              <a:moveTo>
                <a:pt x="1862" y="20677"/>
              </a:moveTo>
              <a:lnTo>
                <a:pt x="0" y="18752"/>
              </a:lnTo>
              <a:lnTo>
                <a:pt x="18130" y="0"/>
              </a:lnTo>
              <a:lnTo>
                <a:pt x="21472" y="3458"/>
              </a:lnTo>
              <a:lnTo>
                <a:pt x="59031" y="42306"/>
              </a:lnTo>
              <a:lnTo>
                <a:pt x="22773" y="423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0.24626</cdr:x>
      <cdr:y>0.29587</cdr:y>
    </cdr:from>
    <cdr:to>
      <cdr:x>0.2555</cdr:x>
      <cdr:y>0.30012</cdr:y>
    </cdr:to>
    <cdr:sp macro="" textlink="">
      <cdr:nvSpPr>
        <cdr:cNvPr id="863" name="FracNo 1185 StartRow 8174">
          <a:extLst xmlns:a="http://schemas.openxmlformats.org/drawingml/2006/main">
            <a:ext uri="{FF2B5EF4-FFF2-40B4-BE49-F238E27FC236}">
              <a16:creationId xmlns:a16="http://schemas.microsoft.com/office/drawing/2014/main" id="{40B5FADD-3638-FA70-5204-3DFF1C9D9018}"/>
            </a:ext>
          </a:extLst>
        </cdr:cNvPr>
        <cdr:cNvSpPr/>
      </cdr:nvSpPr>
      <cdr:spPr>
        <a:xfrm xmlns:a="http://schemas.openxmlformats.org/drawingml/2006/main">
          <a:off x="1801460" y="2254520"/>
          <a:ext cx="67544" cy="32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44" h="32360">
              <a:moveTo>
                <a:pt x="10370" y="21633"/>
              </a:moveTo>
              <a:lnTo>
                <a:pt x="0" y="32359"/>
              </a:lnTo>
              <a:lnTo>
                <a:pt x="36258" y="32359"/>
              </a:lnTo>
              <a:lnTo>
                <a:pt x="46629" y="21633"/>
              </a:lnTo>
              <a:lnTo>
                <a:pt x="67543" y="0"/>
              </a:lnTo>
              <a:lnTo>
                <a:pt x="31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0.9306</cdr:x>
      <cdr:y>0.68481</cdr:y>
    </cdr:from>
    <cdr:to>
      <cdr:x>0.93734</cdr:x>
      <cdr:y>0.6915</cdr:y>
    </cdr:to>
    <cdr:sp macro="" textlink="">
      <cdr:nvSpPr>
        <cdr:cNvPr id="864" name="FracNo 995 StartRow 8183">
          <a:extLst xmlns:a="http://schemas.openxmlformats.org/drawingml/2006/main">
            <a:ext uri="{FF2B5EF4-FFF2-40B4-BE49-F238E27FC236}">
              <a16:creationId xmlns:a16="http://schemas.microsoft.com/office/drawing/2014/main" id="{38645EC2-11F6-0698-705F-1B9DDCB22B11}"/>
            </a:ext>
          </a:extLst>
        </cdr:cNvPr>
        <cdr:cNvSpPr/>
      </cdr:nvSpPr>
      <cdr:spPr>
        <a:xfrm xmlns:a="http://schemas.openxmlformats.org/drawingml/2006/main">
          <a:off x="6807533" y="5218226"/>
          <a:ext cx="49282" cy="50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82" h="50974">
              <a:moveTo>
                <a:pt x="21856" y="22606"/>
              </a:moveTo>
              <a:lnTo>
                <a:pt x="0" y="0"/>
              </a:lnTo>
              <a:lnTo>
                <a:pt x="0" y="37503"/>
              </a:lnTo>
              <a:lnTo>
                <a:pt x="5776" y="43477"/>
              </a:lnTo>
              <a:lnTo>
                <a:pt x="13023" y="50973"/>
              </a:lnTo>
              <a:lnTo>
                <a:pt x="49281" y="509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0.31449</cdr:x>
      <cdr:y>0.14002</cdr:y>
    </cdr:from>
    <cdr:to>
      <cdr:x>0.31862</cdr:x>
      <cdr:y>0.14904</cdr:y>
    </cdr:to>
    <cdr:sp macro="" textlink="">
      <cdr:nvSpPr>
        <cdr:cNvPr id="865" name="FracNo 1147 StartRow 8192">
          <a:extLst xmlns:a="http://schemas.openxmlformats.org/drawingml/2006/main">
            <a:ext uri="{FF2B5EF4-FFF2-40B4-BE49-F238E27FC236}">
              <a16:creationId xmlns:a16="http://schemas.microsoft.com/office/drawing/2014/main" id="{691AD2B2-50F9-90BB-E711-7AFB5D8C3B6B}"/>
            </a:ext>
          </a:extLst>
        </cdr:cNvPr>
        <cdr:cNvSpPr/>
      </cdr:nvSpPr>
      <cdr:spPr>
        <a:xfrm xmlns:a="http://schemas.openxmlformats.org/drawingml/2006/main">
          <a:off x="2300563" y="1066921"/>
          <a:ext cx="30234" cy="68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34" h="68776">
              <a:moveTo>
                <a:pt x="21880" y="22631"/>
              </a:moveTo>
              <a:lnTo>
                <a:pt x="0" y="0"/>
              </a:lnTo>
              <a:lnTo>
                <a:pt x="0" y="37504"/>
              </a:lnTo>
              <a:lnTo>
                <a:pt x="21880" y="60135"/>
              </a:lnTo>
              <a:lnTo>
                <a:pt x="30233" y="68775"/>
              </a:lnTo>
              <a:lnTo>
                <a:pt x="30233" y="312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0.66826</cdr:x>
      <cdr:y>0.25498</cdr:y>
    </cdr:from>
    <cdr:to>
      <cdr:x>0.67731</cdr:x>
      <cdr:y>0.25905</cdr:y>
    </cdr:to>
    <cdr:sp macro="" textlink="">
      <cdr:nvSpPr>
        <cdr:cNvPr id="866" name="FracNo 1184 StartRow 8201">
          <a:extLst xmlns:a="http://schemas.openxmlformats.org/drawingml/2006/main">
            <a:ext uri="{FF2B5EF4-FFF2-40B4-BE49-F238E27FC236}">
              <a16:creationId xmlns:a16="http://schemas.microsoft.com/office/drawing/2014/main" id="{90EE3D6C-D7ED-A738-FE8D-1582E032620F}"/>
            </a:ext>
          </a:extLst>
        </cdr:cNvPr>
        <cdr:cNvSpPr/>
      </cdr:nvSpPr>
      <cdr:spPr>
        <a:xfrm xmlns:a="http://schemas.openxmlformats.org/drawingml/2006/main">
          <a:off x="4888437" y="1942961"/>
          <a:ext cx="66244" cy="31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244" h="31014">
              <a:moveTo>
                <a:pt x="47621" y="11752"/>
              </a:moveTo>
              <a:lnTo>
                <a:pt x="36259" y="0"/>
              </a:lnTo>
              <a:lnTo>
                <a:pt x="0" y="0"/>
              </a:lnTo>
              <a:lnTo>
                <a:pt x="11362" y="11752"/>
              </a:lnTo>
              <a:lnTo>
                <a:pt x="29984" y="31013"/>
              </a:lnTo>
              <a:lnTo>
                <a:pt x="66243" y="310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0.24382</cdr:x>
      <cdr:y>0.74601</cdr:y>
    </cdr:from>
    <cdr:to>
      <cdr:x>0.25037</cdr:x>
      <cdr:y>0.75251</cdr:y>
    </cdr:to>
    <cdr:sp macro="" textlink="">
      <cdr:nvSpPr>
        <cdr:cNvPr id="867" name="FracNo 1178 StartRow 8210">
          <a:extLst xmlns:a="http://schemas.openxmlformats.org/drawingml/2006/main">
            <a:ext uri="{FF2B5EF4-FFF2-40B4-BE49-F238E27FC236}">
              <a16:creationId xmlns:a16="http://schemas.microsoft.com/office/drawing/2014/main" id="{FC97436A-989C-EC8A-DF9F-D4ACCFC78A9D}"/>
            </a:ext>
          </a:extLst>
        </cdr:cNvPr>
        <cdr:cNvSpPr/>
      </cdr:nvSpPr>
      <cdr:spPr>
        <a:xfrm xmlns:a="http://schemas.openxmlformats.org/drawingml/2006/main">
          <a:off x="1783599" y="5684593"/>
          <a:ext cx="47898" cy="49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98" h="49542">
              <a:moveTo>
                <a:pt x="6715" y="44449"/>
              </a:moveTo>
              <a:lnTo>
                <a:pt x="0" y="37504"/>
              </a:lnTo>
              <a:lnTo>
                <a:pt x="0" y="0"/>
              </a:lnTo>
              <a:lnTo>
                <a:pt x="27635" y="28584"/>
              </a:lnTo>
              <a:lnTo>
                <a:pt x="47897" y="49541"/>
              </a:lnTo>
              <a:lnTo>
                <a:pt x="11638" y="495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0.75227</cdr:x>
      <cdr:y>0.75477</cdr:y>
    </cdr:from>
    <cdr:to>
      <cdr:x>0.76107</cdr:x>
      <cdr:y>0.75858</cdr:y>
    </cdr:to>
    <cdr:sp macro="" textlink="">
      <cdr:nvSpPr>
        <cdr:cNvPr id="868" name="FracNo 901 StartRow 8219">
          <a:extLst xmlns:a="http://schemas.openxmlformats.org/drawingml/2006/main">
            <a:ext uri="{FF2B5EF4-FFF2-40B4-BE49-F238E27FC236}">
              <a16:creationId xmlns:a16="http://schemas.microsoft.com/office/drawing/2014/main" id="{1BC1EDEE-2EE5-F2AE-3170-0F4879308D84}"/>
            </a:ext>
          </a:extLst>
        </cdr:cNvPr>
        <cdr:cNvSpPr/>
      </cdr:nvSpPr>
      <cdr:spPr>
        <a:xfrm xmlns:a="http://schemas.openxmlformats.org/drawingml/2006/main">
          <a:off x="5503018" y="5751318"/>
          <a:ext cx="64369" cy="29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369" h="29076">
              <a:moveTo>
                <a:pt x="44296" y="8313"/>
              </a:moveTo>
              <a:lnTo>
                <a:pt x="36259" y="0"/>
              </a:lnTo>
              <a:lnTo>
                <a:pt x="0" y="0"/>
              </a:lnTo>
              <a:lnTo>
                <a:pt x="8037" y="8313"/>
              </a:lnTo>
              <a:lnTo>
                <a:pt x="28110" y="29075"/>
              </a:lnTo>
              <a:lnTo>
                <a:pt x="64368" y="290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0.43687</cdr:x>
      <cdr:y>0.30567</cdr:y>
    </cdr:from>
    <cdr:to>
      <cdr:x>0.44316</cdr:x>
      <cdr:y>0.31191</cdr:y>
    </cdr:to>
    <cdr:sp macro="" textlink="">
      <cdr:nvSpPr>
        <cdr:cNvPr id="869" name="FracNo 1196 StartRow 8228">
          <a:extLst xmlns:a="http://schemas.openxmlformats.org/drawingml/2006/main">
            <a:ext uri="{FF2B5EF4-FFF2-40B4-BE49-F238E27FC236}">
              <a16:creationId xmlns:a16="http://schemas.microsoft.com/office/drawing/2014/main" id="{D234B197-C3D5-128E-9F9E-755233F6140A}"/>
            </a:ext>
          </a:extLst>
        </cdr:cNvPr>
        <cdr:cNvSpPr/>
      </cdr:nvSpPr>
      <cdr:spPr>
        <a:xfrm xmlns:a="http://schemas.openxmlformats.org/drawingml/2006/main">
          <a:off x="3195771" y="2329190"/>
          <a:ext cx="46003" cy="475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03" h="47583">
              <a:moveTo>
                <a:pt x="22691" y="23470"/>
              </a:moveTo>
              <a:lnTo>
                <a:pt x="0" y="0"/>
              </a:lnTo>
              <a:lnTo>
                <a:pt x="36259" y="0"/>
              </a:lnTo>
              <a:lnTo>
                <a:pt x="41065" y="4971"/>
              </a:lnTo>
              <a:lnTo>
                <a:pt x="46002" y="10078"/>
              </a:lnTo>
              <a:lnTo>
                <a:pt x="46002" y="475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0.42103</cdr:x>
      <cdr:y>0.3214</cdr:y>
    </cdr:from>
    <cdr:to>
      <cdr:x>0.42731</cdr:x>
      <cdr:y>0.32764</cdr:y>
    </cdr:to>
    <cdr:sp macro="" textlink="">
      <cdr:nvSpPr>
        <cdr:cNvPr id="870" name="FracNo 1223 StartRow 8237">
          <a:extLst xmlns:a="http://schemas.openxmlformats.org/drawingml/2006/main">
            <a:ext uri="{FF2B5EF4-FFF2-40B4-BE49-F238E27FC236}">
              <a16:creationId xmlns:a16="http://schemas.microsoft.com/office/drawing/2014/main" id="{15CDEF88-D8A6-34E2-DEFD-CCE5030E5AE4}"/>
            </a:ext>
          </a:extLst>
        </cdr:cNvPr>
        <cdr:cNvSpPr/>
      </cdr:nvSpPr>
      <cdr:spPr>
        <a:xfrm xmlns:a="http://schemas.openxmlformats.org/drawingml/2006/main">
          <a:off x="3079883" y="2449058"/>
          <a:ext cx="46003" cy="475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03" h="47583">
              <a:moveTo>
                <a:pt x="20015" y="20703"/>
              </a:moveTo>
              <a:lnTo>
                <a:pt x="0" y="0"/>
              </a:lnTo>
              <a:lnTo>
                <a:pt x="0" y="37504"/>
              </a:lnTo>
              <a:lnTo>
                <a:pt x="4239" y="41889"/>
              </a:lnTo>
              <a:lnTo>
                <a:pt x="9743" y="47582"/>
              </a:lnTo>
              <a:lnTo>
                <a:pt x="46002" y="475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0.45446</cdr:x>
      <cdr:y>0.53249</cdr:y>
    </cdr:from>
    <cdr:to>
      <cdr:x>0.45996</cdr:x>
      <cdr:y>0.53795</cdr:y>
    </cdr:to>
    <cdr:sp macro="" textlink="">
      <cdr:nvSpPr>
        <cdr:cNvPr id="871" name="FracNo 1141 StartRow 8246">
          <a:extLst xmlns:a="http://schemas.openxmlformats.org/drawingml/2006/main">
            <a:ext uri="{FF2B5EF4-FFF2-40B4-BE49-F238E27FC236}">
              <a16:creationId xmlns:a16="http://schemas.microsoft.com/office/drawing/2014/main" id="{2D2D87E8-4041-943E-B757-F229E768699D}"/>
            </a:ext>
          </a:extLst>
        </cdr:cNvPr>
        <cdr:cNvSpPr/>
      </cdr:nvSpPr>
      <cdr:spPr>
        <a:xfrm xmlns:a="http://schemas.openxmlformats.org/drawingml/2006/main">
          <a:off x="3324458" y="4057588"/>
          <a:ext cx="40219" cy="41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19" h="41599">
              <a:moveTo>
                <a:pt x="3764" y="41396"/>
              </a:moveTo>
              <a:lnTo>
                <a:pt x="0" y="37503"/>
              </a:lnTo>
              <a:lnTo>
                <a:pt x="0" y="0"/>
              </a:lnTo>
              <a:lnTo>
                <a:pt x="38230" y="39542"/>
              </a:lnTo>
              <a:lnTo>
                <a:pt x="40218" y="41598"/>
              </a:lnTo>
              <a:lnTo>
                <a:pt x="3959" y="415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0.41034</cdr:x>
      <cdr:y>0.38859</cdr:y>
    </cdr:from>
    <cdr:to>
      <cdr:x>0.41311</cdr:x>
      <cdr:y>0.39626</cdr:y>
    </cdr:to>
    <cdr:sp macro="" textlink="">
      <cdr:nvSpPr>
        <cdr:cNvPr id="872" name="FracNo 1085 StartRow 8255">
          <a:extLst xmlns:a="http://schemas.openxmlformats.org/drawingml/2006/main">
            <a:ext uri="{FF2B5EF4-FFF2-40B4-BE49-F238E27FC236}">
              <a16:creationId xmlns:a16="http://schemas.microsoft.com/office/drawing/2014/main" id="{7417A9CA-A952-0AB4-AB14-CECC7E428DB9}"/>
            </a:ext>
          </a:extLst>
        </cdr:cNvPr>
        <cdr:cNvSpPr/>
      </cdr:nvSpPr>
      <cdr:spPr>
        <a:xfrm xmlns:a="http://schemas.openxmlformats.org/drawingml/2006/main">
          <a:off x="3001702" y="2961082"/>
          <a:ext cx="20255" cy="58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55" h="58455">
              <a:moveTo>
                <a:pt x="13606" y="14074"/>
              </a:moveTo>
              <a:lnTo>
                <a:pt x="0" y="0"/>
              </a:lnTo>
              <a:lnTo>
                <a:pt x="0" y="37504"/>
              </a:lnTo>
              <a:lnTo>
                <a:pt x="13606" y="51578"/>
              </a:lnTo>
              <a:lnTo>
                <a:pt x="20254" y="58454"/>
              </a:lnTo>
              <a:lnTo>
                <a:pt x="20254" y="20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0.65943</cdr:x>
      <cdr:y>0.61051</cdr:y>
    </cdr:from>
    <cdr:to>
      <cdr:x>0.66464</cdr:x>
      <cdr:y>0.61569</cdr:y>
    </cdr:to>
    <cdr:sp macro="" textlink="">
      <cdr:nvSpPr>
        <cdr:cNvPr id="873" name="FracNo 958 StartRow 8264">
          <a:extLst xmlns:a="http://schemas.openxmlformats.org/drawingml/2006/main">
            <a:ext uri="{FF2B5EF4-FFF2-40B4-BE49-F238E27FC236}">
              <a16:creationId xmlns:a16="http://schemas.microsoft.com/office/drawing/2014/main" id="{DE5837AE-6DAC-52BA-4AA2-1ED77F0DA44A}"/>
            </a:ext>
          </a:extLst>
        </cdr:cNvPr>
        <cdr:cNvSpPr/>
      </cdr:nvSpPr>
      <cdr:spPr>
        <a:xfrm xmlns:a="http://schemas.openxmlformats.org/drawingml/2006/main">
          <a:off x="4823838" y="4652106"/>
          <a:ext cx="38143" cy="39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43" h="39452">
              <a:moveTo>
                <a:pt x="10398" y="10755"/>
              </a:moveTo>
              <a:lnTo>
                <a:pt x="0" y="0"/>
              </a:lnTo>
              <a:lnTo>
                <a:pt x="0" y="37503"/>
              </a:lnTo>
              <a:lnTo>
                <a:pt x="514" y="38034"/>
              </a:lnTo>
              <a:lnTo>
                <a:pt x="1884" y="39451"/>
              </a:lnTo>
              <a:lnTo>
                <a:pt x="38142" y="394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0.68103</cdr:x>
      <cdr:y>0.8219</cdr:y>
    </cdr:from>
    <cdr:to>
      <cdr:x>0.68624</cdr:x>
      <cdr:y>0.82708</cdr:y>
    </cdr:to>
    <cdr:sp macro="" textlink="">
      <cdr:nvSpPr>
        <cdr:cNvPr id="874" name="FracNo 1214 StartRow 8273">
          <a:extLst xmlns:a="http://schemas.openxmlformats.org/drawingml/2006/main">
            <a:ext uri="{FF2B5EF4-FFF2-40B4-BE49-F238E27FC236}">
              <a16:creationId xmlns:a16="http://schemas.microsoft.com/office/drawing/2014/main" id="{CD977749-3D0F-828B-F9AA-3D4551883D39}"/>
            </a:ext>
          </a:extLst>
        </cdr:cNvPr>
        <cdr:cNvSpPr/>
      </cdr:nvSpPr>
      <cdr:spPr>
        <a:xfrm xmlns:a="http://schemas.openxmlformats.org/drawingml/2006/main">
          <a:off x="4981844" y="6262883"/>
          <a:ext cx="38141" cy="39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41" h="39452">
              <a:moveTo>
                <a:pt x="3831" y="3963"/>
              </a:moveTo>
              <a:lnTo>
                <a:pt x="0" y="0"/>
              </a:lnTo>
              <a:lnTo>
                <a:pt x="0" y="37504"/>
              </a:lnTo>
              <a:lnTo>
                <a:pt x="189" y="37699"/>
              </a:lnTo>
              <a:lnTo>
                <a:pt x="1881" y="39451"/>
              </a:lnTo>
              <a:lnTo>
                <a:pt x="38140" y="394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89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5.2367126805683797E-2</v>
      </c>
      <c r="C4">
        <v>5.2367126805683797E-2</v>
      </c>
      <c r="D4" s="1">
        <v>8.9453731943162396E-5</v>
      </c>
      <c r="E4" s="1">
        <v>8.9453731943162396E-5</v>
      </c>
      <c r="F4">
        <v>-5.2367126805683798E-4</v>
      </c>
      <c r="G4">
        <v>-5.2367126805683798E-4</v>
      </c>
      <c r="H4" t="s">
        <v>74</v>
      </c>
      <c r="I4">
        <v>0</v>
      </c>
      <c r="J4" t="s">
        <v>75</v>
      </c>
      <c r="K4">
        <v>3.14159265358979</v>
      </c>
      <c r="L4">
        <v>0.99200000000000099</v>
      </c>
      <c r="M4">
        <v>0</v>
      </c>
      <c r="N4">
        <v>5.82453462424753E-2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0.99200000000000099</v>
      </c>
      <c r="AA4">
        <v>0</v>
      </c>
      <c r="AB4">
        <v>5.82453462424753E-2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0.99200000000000099</v>
      </c>
      <c r="AO4">
        <v>0</v>
      </c>
      <c r="AP4">
        <v>5.82453462424753E-2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0.99200000000000099</v>
      </c>
      <c r="BC4">
        <v>0</v>
      </c>
      <c r="BD4">
        <v>5.82453462424753E-2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1.16490692484951E-4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6.4647166010496697E-5</v>
      </c>
      <c r="BS4">
        <v>0</v>
      </c>
    </row>
    <row r="5" spans="1:149" x14ac:dyDescent="0.25">
      <c r="A5">
        <v>2</v>
      </c>
      <c r="B5">
        <v>3.7058582292237401E-2</v>
      </c>
      <c r="C5">
        <v>8.9425709097921205E-2</v>
      </c>
      <c r="D5">
        <v>-1.8409951707238899E-4</v>
      </c>
      <c r="E5">
        <v>-1.8409951707238899E-4</v>
      </c>
      <c r="F5">
        <v>-8.9425709097921198E-4</v>
      </c>
      <c r="G5">
        <v>-8.9425709097921198E-4</v>
      </c>
      <c r="H5" t="s">
        <v>74</v>
      </c>
      <c r="I5">
        <v>0</v>
      </c>
      <c r="J5" t="s">
        <v>75</v>
      </c>
      <c r="K5">
        <v>3.14159265358979</v>
      </c>
      <c r="L5">
        <v>0.99031230879623</v>
      </c>
      <c r="M5">
        <v>0</v>
      </c>
      <c r="N5">
        <v>5.8146253340747397E-2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2950789.6976008299</v>
      </c>
      <c r="X5" t="s">
        <v>76</v>
      </c>
      <c r="Y5">
        <v>-1.5707963267949001</v>
      </c>
      <c r="Z5">
        <v>0.988876793222914</v>
      </c>
      <c r="AA5">
        <v>0</v>
      </c>
      <c r="AB5">
        <v>5.7239910040489402E-2</v>
      </c>
      <c r="AC5" s="1">
        <v>1.31026328284965E-5</v>
      </c>
      <c r="AD5">
        <v>1.8875923960716301E-2</v>
      </c>
      <c r="AE5">
        <v>0</v>
      </c>
      <c r="AF5">
        <v>0</v>
      </c>
      <c r="AG5">
        <v>2.54647908947032E-3</v>
      </c>
      <c r="AH5">
        <v>0</v>
      </c>
      <c r="AI5">
        <v>0.99829869838329599</v>
      </c>
      <c r="AJ5" t="s">
        <v>74</v>
      </c>
      <c r="AK5">
        <v>0</v>
      </c>
      <c r="AL5" t="s">
        <v>77</v>
      </c>
      <c r="AM5">
        <v>0</v>
      </c>
      <c r="AN5">
        <v>0.99031230879623</v>
      </c>
      <c r="AO5">
        <v>0</v>
      </c>
      <c r="AP5">
        <v>5.8146253340747397E-2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78</v>
      </c>
      <c r="AY5">
        <v>2950789.6976008299</v>
      </c>
      <c r="AZ5" t="s">
        <v>76</v>
      </c>
      <c r="BA5">
        <v>-1.5707963267949001</v>
      </c>
      <c r="BB5">
        <v>0.988876793222914</v>
      </c>
      <c r="BC5">
        <v>0</v>
      </c>
      <c r="BD5">
        <v>5.7239910040489402E-2</v>
      </c>
      <c r="BE5" s="1">
        <v>1.31026328284959E-5</v>
      </c>
      <c r="BF5">
        <v>1.8875923960716301E-2</v>
      </c>
      <c r="BG5">
        <v>0</v>
      </c>
      <c r="BH5">
        <v>0</v>
      </c>
      <c r="BI5">
        <v>2.5464790894702801E-3</v>
      </c>
      <c r="BJ5">
        <v>0</v>
      </c>
      <c r="BK5">
        <v>0.99829869838329599</v>
      </c>
      <c r="BL5">
        <v>1.1539926601406499E-4</v>
      </c>
      <c r="BM5" s="1">
        <v>2.5464790894703002E-6</v>
      </c>
      <c r="BN5" s="1">
        <v>4.26058730569446E-7</v>
      </c>
      <c r="BO5" s="1">
        <v>3.9999999999999498E-8</v>
      </c>
      <c r="BP5">
        <v>0</v>
      </c>
      <c r="BQ5">
        <v>0</v>
      </c>
      <c r="BR5" s="1">
        <v>7.0640071158246695E-5</v>
      </c>
      <c r="BS5" s="1">
        <v>1.4260958301192901E-6</v>
      </c>
    </row>
    <row r="6" spans="1:149" x14ac:dyDescent="0.25">
      <c r="A6">
        <v>3</v>
      </c>
      <c r="B6">
        <v>2.5527278648424499E-4</v>
      </c>
      <c r="C6">
        <v>8.9680981884405403E-2</v>
      </c>
      <c r="D6">
        <v>-1.8563469631759799E-4</v>
      </c>
      <c r="E6">
        <v>-1.8563469631759799E-4</v>
      </c>
      <c r="F6">
        <v>-8.9680981884405402E-4</v>
      </c>
      <c r="G6">
        <v>-8.9680981884405402E-4</v>
      </c>
      <c r="H6" t="s">
        <v>74</v>
      </c>
      <c r="I6">
        <v>0</v>
      </c>
      <c r="J6" t="s">
        <v>75</v>
      </c>
      <c r="K6">
        <v>3.14159265358979</v>
      </c>
      <c r="L6">
        <v>0.98862838637587702</v>
      </c>
      <c r="M6">
        <v>0</v>
      </c>
      <c r="N6">
        <v>5.80473817233896E-2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0.99829892641900497</v>
      </c>
      <c r="V6" t="s">
        <v>78</v>
      </c>
      <c r="W6">
        <v>2967349.5122513101</v>
      </c>
      <c r="X6" t="s">
        <v>76</v>
      </c>
      <c r="Y6">
        <v>-1.5707963267949001</v>
      </c>
      <c r="Z6">
        <v>0.98682786433164904</v>
      </c>
      <c r="AA6">
        <v>0</v>
      </c>
      <c r="AB6">
        <v>5.69148226103489E-2</v>
      </c>
      <c r="AC6" s="1">
        <v>2.5552040877616801E-5</v>
      </c>
      <c r="AD6">
        <v>1.9526414998067801E-2</v>
      </c>
      <c r="AE6" s="1">
        <v>7.7730921542853098E-5</v>
      </c>
      <c r="AF6" s="1">
        <v>6.4734663456229404E-6</v>
      </c>
      <c r="AG6">
        <v>5.0706242214135404E-3</v>
      </c>
      <c r="AH6" s="1">
        <v>1.6647414785558499E-5</v>
      </c>
      <c r="AI6">
        <v>0.99490590320580197</v>
      </c>
      <c r="AJ6" t="s">
        <v>74</v>
      </c>
      <c r="AK6">
        <v>0</v>
      </c>
      <c r="AL6" t="s">
        <v>77</v>
      </c>
      <c r="AM6">
        <v>0</v>
      </c>
      <c r="AN6">
        <v>0.98862838637587702</v>
      </c>
      <c r="AO6">
        <v>0</v>
      </c>
      <c r="AP6">
        <v>5.80473817233896E-2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0.99829892641900597</v>
      </c>
      <c r="AX6" t="s">
        <v>78</v>
      </c>
      <c r="AY6">
        <v>2967349.5122513101</v>
      </c>
      <c r="AZ6" t="s">
        <v>76</v>
      </c>
      <c r="BA6">
        <v>-1.5707963267949001</v>
      </c>
      <c r="BB6">
        <v>0.98682786433164904</v>
      </c>
      <c r="BC6">
        <v>0</v>
      </c>
      <c r="BD6">
        <v>5.69148226103489E-2</v>
      </c>
      <c r="BE6" s="1">
        <v>2.5552040877617099E-5</v>
      </c>
      <c r="BF6">
        <v>1.9526414998067801E-2</v>
      </c>
      <c r="BG6" s="1">
        <v>7.7730921542855104E-5</v>
      </c>
      <c r="BH6" s="1">
        <v>6.4734663456229302E-6</v>
      </c>
      <c r="BI6">
        <v>5.0706242214134901E-3</v>
      </c>
      <c r="BJ6" s="1">
        <v>1.66474147855588E-5</v>
      </c>
      <c r="BK6">
        <v>0.99490590320580197</v>
      </c>
      <c r="BL6">
        <v>1.14987756374616E-4</v>
      </c>
      <c r="BM6" s="1">
        <v>5.0872716361990803E-6</v>
      </c>
      <c r="BN6" s="1">
        <v>4.2341768389815099E-7</v>
      </c>
      <c r="BO6" s="1">
        <v>7.9910675995493701E-8</v>
      </c>
      <c r="BP6">
        <v>0</v>
      </c>
      <c r="BQ6">
        <v>0</v>
      </c>
      <c r="BR6" s="1">
        <v>7.0445050951715605E-5</v>
      </c>
      <c r="BS6" s="1">
        <v>2.8501120503733699E-6</v>
      </c>
    </row>
    <row r="7" spans="1:149" x14ac:dyDescent="0.25">
      <c r="A7">
        <v>4</v>
      </c>
      <c r="B7">
        <v>1.5949098310655201E-4</v>
      </c>
      <c r="C7">
        <v>8.9840472867511997E-2</v>
      </c>
      <c r="D7">
        <v>-1.86592631302505E-4</v>
      </c>
      <c r="E7">
        <v>-1.86592631302505E-4</v>
      </c>
      <c r="F7">
        <v>-8.9840472867512003E-4</v>
      </c>
      <c r="G7">
        <v>-8.9840472867512003E-4</v>
      </c>
      <c r="H7" t="s">
        <v>74</v>
      </c>
      <c r="I7">
        <v>0</v>
      </c>
      <c r="J7" t="s">
        <v>75</v>
      </c>
      <c r="K7">
        <v>3.14159265358979</v>
      </c>
      <c r="L7">
        <v>0.98694469913510896</v>
      </c>
      <c r="M7">
        <v>0</v>
      </c>
      <c r="N7">
        <v>5.7948523914616898E-2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0.99631747069029197</v>
      </c>
      <c r="V7" t="s">
        <v>78</v>
      </c>
      <c r="W7">
        <v>2977682.6546819299</v>
      </c>
      <c r="X7" t="s">
        <v>76</v>
      </c>
      <c r="Y7">
        <v>-1.5707963267949001</v>
      </c>
      <c r="Z7">
        <v>0.98492114355911098</v>
      </c>
      <c r="AA7">
        <v>0</v>
      </c>
      <c r="AB7">
        <v>5.6679563494398497E-2</v>
      </c>
      <c r="AC7" s="1">
        <v>3.79112781607666E-5</v>
      </c>
      <c r="AD7">
        <v>1.9884498128117101E-2</v>
      </c>
      <c r="AE7">
        <v>1.57900264671883E-4</v>
      </c>
      <c r="AF7" s="1">
        <v>1.9418799104471199E-5</v>
      </c>
      <c r="AG7">
        <v>7.5811993229786597E-3</v>
      </c>
      <c r="AH7" s="1">
        <v>4.6510008365440197E-5</v>
      </c>
      <c r="AI7">
        <v>0.991238739089634</v>
      </c>
      <c r="AJ7" t="s">
        <v>74</v>
      </c>
      <c r="AK7">
        <v>0</v>
      </c>
      <c r="AL7" t="s">
        <v>77</v>
      </c>
      <c r="AM7">
        <v>0</v>
      </c>
      <c r="AN7">
        <v>0.98694469913510896</v>
      </c>
      <c r="AO7">
        <v>0</v>
      </c>
      <c r="AP7">
        <v>5.7948523914616898E-2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0.99631747069029097</v>
      </c>
      <c r="AX7" t="s">
        <v>78</v>
      </c>
      <c r="AY7">
        <v>2977682.6546819299</v>
      </c>
      <c r="AZ7" t="s">
        <v>76</v>
      </c>
      <c r="BA7">
        <v>-1.5707963267949001</v>
      </c>
      <c r="BB7">
        <v>0.98492114355911098</v>
      </c>
      <c r="BC7">
        <v>0</v>
      </c>
      <c r="BD7">
        <v>5.6679563494398497E-2</v>
      </c>
      <c r="BE7" s="1">
        <v>3.7911278160766898E-5</v>
      </c>
      <c r="BF7">
        <v>1.9884498128117101E-2</v>
      </c>
      <c r="BG7">
        <v>1.5790026467188501E-4</v>
      </c>
      <c r="BH7" s="1">
        <v>1.9418799104471199E-5</v>
      </c>
      <c r="BI7">
        <v>7.5811993229786103E-3</v>
      </c>
      <c r="BJ7" s="1">
        <v>4.6510008365440197E-5</v>
      </c>
      <c r="BK7">
        <v>0.991238739089634</v>
      </c>
      <c r="BL7">
        <v>1.1466599868717599E-4</v>
      </c>
      <c r="BM7" s="1">
        <v>7.6277093313440698E-6</v>
      </c>
      <c r="BN7" s="1">
        <v>4.2158290257200298E-7</v>
      </c>
      <c r="BO7" s="1">
        <v>1.19815777995344E-7</v>
      </c>
      <c r="BP7">
        <v>0</v>
      </c>
      <c r="BQ7">
        <v>0</v>
      </c>
      <c r="BR7" s="1">
        <v>7.0283024801201895E-5</v>
      </c>
      <c r="BS7" s="1">
        <v>4.2744113209163597E-6</v>
      </c>
    </row>
    <row r="8" spans="1:149" x14ac:dyDescent="0.25">
      <c r="A8">
        <v>5</v>
      </c>
      <c r="B8">
        <v>1.16669587158604E-4</v>
      </c>
      <c r="C8">
        <v>8.9957142454670597E-2</v>
      </c>
      <c r="D8">
        <v>-1.8729281354465399E-4</v>
      </c>
      <c r="E8">
        <v>-1.8729281354465399E-4</v>
      </c>
      <c r="F8">
        <v>-8.99571424546706E-4</v>
      </c>
      <c r="G8">
        <v>-8.99571424546706E-4</v>
      </c>
      <c r="H8" t="s">
        <v>74</v>
      </c>
      <c r="I8">
        <v>0</v>
      </c>
      <c r="J8" t="s">
        <v>75</v>
      </c>
      <c r="K8">
        <v>3.14159265358979</v>
      </c>
      <c r="L8">
        <v>0.98526126742672104</v>
      </c>
      <c r="M8">
        <v>0</v>
      </c>
      <c r="N8">
        <v>5.7849681109444898E-2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0.99433649569944704</v>
      </c>
      <c r="V8" t="s">
        <v>78</v>
      </c>
      <c r="W8">
        <v>2985235.4457893702</v>
      </c>
      <c r="X8" t="s">
        <v>76</v>
      </c>
      <c r="Y8">
        <v>-1.5707963267949001</v>
      </c>
      <c r="Z8">
        <v>0.98307615766786105</v>
      </c>
      <c r="AA8">
        <v>0</v>
      </c>
      <c r="AB8">
        <v>5.6483043659593599E-2</v>
      </c>
      <c r="AC8" s="1">
        <v>5.0211614446648202E-5</v>
      </c>
      <c r="AD8">
        <v>2.0111969597620499E-2</v>
      </c>
      <c r="AE8">
        <v>2.3955027302425299E-4</v>
      </c>
      <c r="AF8" s="1">
        <v>3.8859623371863401E-5</v>
      </c>
      <c r="AG8">
        <v>1.00766389748556E-2</v>
      </c>
      <c r="AH8" s="1">
        <v>9.1122490661679593E-5</v>
      </c>
      <c r="AI8">
        <v>0.987578101504473</v>
      </c>
      <c r="AJ8" t="s">
        <v>74</v>
      </c>
      <c r="AK8">
        <v>0</v>
      </c>
      <c r="AL8" t="s">
        <v>77</v>
      </c>
      <c r="AM8">
        <v>0</v>
      </c>
      <c r="AN8">
        <v>0.98526126742672104</v>
      </c>
      <c r="AO8">
        <v>0</v>
      </c>
      <c r="AP8">
        <v>5.7849681109444898E-2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0.99433649569944704</v>
      </c>
      <c r="AX8" t="s">
        <v>78</v>
      </c>
      <c r="AY8">
        <v>2985235.4457893702</v>
      </c>
      <c r="AZ8" t="s">
        <v>76</v>
      </c>
      <c r="BA8">
        <v>-1.5707963267949001</v>
      </c>
      <c r="BB8">
        <v>0.98307615766786105</v>
      </c>
      <c r="BC8">
        <v>0</v>
      </c>
      <c r="BD8">
        <v>5.6483043659593599E-2</v>
      </c>
      <c r="BE8" s="1">
        <v>5.0211614446649103E-5</v>
      </c>
      <c r="BF8">
        <v>2.0111969597620499E-2</v>
      </c>
      <c r="BG8">
        <v>2.3955027302425299E-4</v>
      </c>
      <c r="BH8" s="1">
        <v>3.8859623371861097E-5</v>
      </c>
      <c r="BI8">
        <v>1.0076638974855501E-2</v>
      </c>
      <c r="BJ8" s="1">
        <v>9.1122490661677195E-5</v>
      </c>
      <c r="BK8">
        <v>0.987578101504473</v>
      </c>
      <c r="BL8">
        <v>1.14382936383485E-4</v>
      </c>
      <c r="BM8" s="1">
        <v>1.01677614655172E-5</v>
      </c>
      <c r="BN8" s="1">
        <v>4.2009504761775298E-7</v>
      </c>
      <c r="BO8" s="1">
        <v>1.59714823617612E-7</v>
      </c>
      <c r="BP8">
        <v>0</v>
      </c>
      <c r="BQ8">
        <v>0</v>
      </c>
      <c r="BR8" s="1">
        <v>7.0134940678705303E-5</v>
      </c>
      <c r="BS8" s="1">
        <v>5.6988134062789602E-6</v>
      </c>
    </row>
    <row r="9" spans="1:149" x14ac:dyDescent="0.25">
      <c r="A9">
        <v>6</v>
      </c>
      <c r="B9" s="1">
        <v>9.2242938764609101E-5</v>
      </c>
      <c r="C9">
        <v>9.0049385393435197E-2</v>
      </c>
      <c r="D9">
        <v>-1.8784607847549599E-4</v>
      </c>
      <c r="E9">
        <v>-1.8784607847549599E-4</v>
      </c>
      <c r="F9">
        <v>-9.0049385393435198E-4</v>
      </c>
      <c r="G9">
        <v>-9.0049385393435198E-4</v>
      </c>
      <c r="H9" t="s">
        <v>74</v>
      </c>
      <c r="I9">
        <v>0</v>
      </c>
      <c r="J9" t="s">
        <v>75</v>
      </c>
      <c r="K9">
        <v>3.14159265358979</v>
      </c>
      <c r="L9">
        <v>0.98357809602465596</v>
      </c>
      <c r="M9">
        <v>0</v>
      </c>
      <c r="N9">
        <v>5.7750853588175999E-2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0.992411942881957</v>
      </c>
      <c r="V9" t="s">
        <v>78</v>
      </c>
      <c r="W9">
        <v>2991203.4555419302</v>
      </c>
      <c r="X9" t="s">
        <v>76</v>
      </c>
      <c r="Y9">
        <v>-1.5707963267949001</v>
      </c>
      <c r="Z9">
        <v>0.981266167270194</v>
      </c>
      <c r="AA9">
        <v>0</v>
      </c>
      <c r="AB9">
        <v>5.6308318230436499E-2</v>
      </c>
      <c r="AC9" s="1">
        <v>6.2535469561623901E-5</v>
      </c>
      <c r="AD9">
        <v>2.0262690499705201E-2</v>
      </c>
      <c r="AE9">
        <v>3.2225100004427298E-4</v>
      </c>
      <c r="AF9" s="1">
        <v>6.4831278993774199E-5</v>
      </c>
      <c r="AG9">
        <v>1.25553920879904E-2</v>
      </c>
      <c r="AH9">
        <v>1.52028747545354E-4</v>
      </c>
      <c r="AI9">
        <v>0.98397994706278502</v>
      </c>
      <c r="AJ9" t="s">
        <v>74</v>
      </c>
      <c r="AK9">
        <v>0</v>
      </c>
      <c r="AL9" t="s">
        <v>77</v>
      </c>
      <c r="AM9">
        <v>0</v>
      </c>
      <c r="AN9">
        <v>0.98357809602465596</v>
      </c>
      <c r="AO9">
        <v>0</v>
      </c>
      <c r="AP9">
        <v>5.7750853588175999E-2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0.992411942881957</v>
      </c>
      <c r="AX9" t="s">
        <v>78</v>
      </c>
      <c r="AY9">
        <v>2991203.4555419302</v>
      </c>
      <c r="AZ9" t="s">
        <v>76</v>
      </c>
      <c r="BA9">
        <v>-1.5707963267949001</v>
      </c>
      <c r="BB9">
        <v>0.981266167270194</v>
      </c>
      <c r="BC9">
        <v>0</v>
      </c>
      <c r="BD9">
        <v>5.6308318230436499E-2</v>
      </c>
      <c r="BE9" s="1">
        <v>6.2535469561624104E-5</v>
      </c>
      <c r="BF9">
        <v>2.0262690499705201E-2</v>
      </c>
      <c r="BG9">
        <v>3.2225100004427498E-4</v>
      </c>
      <c r="BH9" s="1">
        <v>6.4831278993771895E-5</v>
      </c>
      <c r="BI9">
        <v>1.2555392087990299E-2</v>
      </c>
      <c r="BJ9">
        <v>1.52028747545352E-4</v>
      </c>
      <c r="BK9">
        <v>0.98397994706278502</v>
      </c>
      <c r="BL9">
        <v>1.1412170728817401E-4</v>
      </c>
      <c r="BM9" s="1">
        <v>1.2707420835535699E-5</v>
      </c>
      <c r="BN9" s="1">
        <v>4.1880230749835599E-7</v>
      </c>
      <c r="BO9" s="1">
        <v>1.9960769971496499E-7</v>
      </c>
      <c r="BP9">
        <v>0</v>
      </c>
      <c r="BQ9">
        <v>0</v>
      </c>
      <c r="BR9" s="1">
        <v>6.9994669672396605E-5</v>
      </c>
      <c r="BS9" s="1">
        <v>7.1232354333758403E-6</v>
      </c>
    </row>
    <row r="10" spans="1:149" x14ac:dyDescent="0.25">
      <c r="A10">
        <v>7</v>
      </c>
      <c r="B10" s="1">
        <v>7.6424990178808398E-5</v>
      </c>
      <c r="C10">
        <v>9.0125810383614002E-2</v>
      </c>
      <c r="D10">
        <v>-1.88304257343254E-4</v>
      </c>
      <c r="E10">
        <v>-1.88304257343254E-4</v>
      </c>
      <c r="F10">
        <v>-9.0125810383614004E-4</v>
      </c>
      <c r="G10">
        <v>-9.0125810383614004E-4</v>
      </c>
      <c r="H10" t="s">
        <v>74</v>
      </c>
      <c r="I10">
        <v>0</v>
      </c>
      <c r="J10" t="s">
        <v>75</v>
      </c>
      <c r="K10">
        <v>3.14159265358979</v>
      </c>
      <c r="L10">
        <v>0.98189441770034602</v>
      </c>
      <c r="M10">
        <v>0</v>
      </c>
      <c r="N10">
        <v>5.7651996302933703E-2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0.99054320671788998</v>
      </c>
      <c r="V10" t="s">
        <v>78</v>
      </c>
      <c r="W10">
        <v>2996145.7820816701</v>
      </c>
      <c r="X10" t="s">
        <v>76</v>
      </c>
      <c r="Y10">
        <v>-1.5707963267949001</v>
      </c>
      <c r="Z10">
        <v>0.97947810648434197</v>
      </c>
      <c r="AA10">
        <v>0</v>
      </c>
      <c r="AB10">
        <v>5.6147565527724902E-2</v>
      </c>
      <c r="AC10" s="1">
        <v>7.4781139366057893E-5</v>
      </c>
      <c r="AD10">
        <v>2.0380122500060199E-2</v>
      </c>
      <c r="AE10">
        <v>4.0578649911471001E-4</v>
      </c>
      <c r="AF10" s="1">
        <v>7.8765480409164105E-5</v>
      </c>
      <c r="AG10">
        <v>1.5029668136232899E-2</v>
      </c>
      <c r="AH10">
        <v>2.18176940817204E-4</v>
      </c>
      <c r="AI10">
        <v>0.98044291876178702</v>
      </c>
      <c r="AJ10" t="s">
        <v>74</v>
      </c>
      <c r="AK10">
        <v>0</v>
      </c>
      <c r="AL10" t="s">
        <v>77</v>
      </c>
      <c r="AM10">
        <v>0</v>
      </c>
      <c r="AN10">
        <v>0.98189441770034602</v>
      </c>
      <c r="AO10">
        <v>0</v>
      </c>
      <c r="AP10">
        <v>5.7651996302933703E-2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0.99054320671788998</v>
      </c>
      <c r="AX10" t="s">
        <v>78</v>
      </c>
      <c r="AY10">
        <v>2996145.7820816701</v>
      </c>
      <c r="AZ10" t="s">
        <v>76</v>
      </c>
      <c r="BA10">
        <v>-1.5707963267949001</v>
      </c>
      <c r="BB10">
        <v>0.97947810648434297</v>
      </c>
      <c r="BC10">
        <v>0</v>
      </c>
      <c r="BD10">
        <v>5.6147565527724902E-2</v>
      </c>
      <c r="BE10" s="1">
        <v>7.4781139366058205E-5</v>
      </c>
      <c r="BF10">
        <v>2.0380122500060199E-2</v>
      </c>
      <c r="BG10">
        <v>4.0578649911471402E-4</v>
      </c>
      <c r="BH10" s="1">
        <v>7.8765480409157302E-5</v>
      </c>
      <c r="BI10">
        <v>1.5029668136232801E-2</v>
      </c>
      <c r="BJ10">
        <v>2.1817694081719999E-4</v>
      </c>
      <c r="BK10">
        <v>0.98044291876178802</v>
      </c>
      <c r="BL10">
        <v>1.1387434297002499E-4</v>
      </c>
      <c r="BM10" s="1">
        <v>1.5247845077050099E-5</v>
      </c>
      <c r="BN10" s="1">
        <v>4.1763379579788901E-7</v>
      </c>
      <c r="BO10" s="1">
        <v>2.3951259038567901E-7</v>
      </c>
      <c r="BP10">
        <v>0</v>
      </c>
      <c r="BQ10">
        <v>0</v>
      </c>
      <c r="BR10" s="1">
        <v>6.9859296215315903E-5</v>
      </c>
      <c r="BS10" s="1">
        <v>8.5482796537104198E-6</v>
      </c>
      <c r="ES10" s="1"/>
    </row>
    <row r="11" spans="1:149" x14ac:dyDescent="0.25">
      <c r="A11">
        <v>8</v>
      </c>
      <c r="B11" s="1">
        <v>6.5284917402154007E-5</v>
      </c>
      <c r="C11">
        <v>9.01910953010161E-2</v>
      </c>
      <c r="D11">
        <v>-1.88695500302929E-4</v>
      </c>
      <c r="E11">
        <v>-1.88695500302929E-4</v>
      </c>
      <c r="F11">
        <v>-9.0191095301016104E-4</v>
      </c>
      <c r="G11">
        <v>-9.0191095301016104E-4</v>
      </c>
      <c r="H11" t="s">
        <v>74</v>
      </c>
      <c r="I11">
        <v>0</v>
      </c>
      <c r="J11" t="s">
        <v>75</v>
      </c>
      <c r="K11">
        <v>3.14159265358979</v>
      </c>
      <c r="L11">
        <v>0.98021176731656601</v>
      </c>
      <c r="M11">
        <v>0</v>
      </c>
      <c r="N11">
        <v>5.7553199373288302E-2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0.98871921626222703</v>
      </c>
      <c r="V11" t="s">
        <v>78</v>
      </c>
      <c r="W11">
        <v>3000366.0781257502</v>
      </c>
      <c r="X11" t="s">
        <v>76</v>
      </c>
      <c r="Y11">
        <v>-1.5707963267949001</v>
      </c>
      <c r="Z11">
        <v>0.97770687756412999</v>
      </c>
      <c r="AA11">
        <v>0</v>
      </c>
      <c r="AB11">
        <v>5.59966879300745E-2</v>
      </c>
      <c r="AC11" s="1">
        <v>8.6925149613880501E-5</v>
      </c>
      <c r="AD11">
        <v>2.0440599675253201E-2</v>
      </c>
      <c r="AE11">
        <v>4.8994085129517499E-4</v>
      </c>
      <c r="AF11">
        <v>1.17592476872291E-4</v>
      </c>
      <c r="AG11">
        <v>1.7470626913127299E-2</v>
      </c>
      <c r="AH11">
        <v>3.16091393581922E-4</v>
      </c>
      <c r="AI11">
        <v>0.97695747687100398</v>
      </c>
      <c r="AJ11" t="s">
        <v>74</v>
      </c>
      <c r="AK11">
        <v>0</v>
      </c>
      <c r="AL11" t="s">
        <v>77</v>
      </c>
      <c r="AM11">
        <v>0</v>
      </c>
      <c r="AN11">
        <v>0.98021176731656701</v>
      </c>
      <c r="AO11">
        <v>0</v>
      </c>
      <c r="AP11">
        <v>5.7553199373288302E-2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0.98871921626222703</v>
      </c>
      <c r="AX11" t="s">
        <v>78</v>
      </c>
      <c r="AY11">
        <v>3000366.0781257502</v>
      </c>
      <c r="AZ11" t="s">
        <v>76</v>
      </c>
      <c r="BA11">
        <v>-1.5707963267949001</v>
      </c>
      <c r="BB11">
        <v>0.97770687756412999</v>
      </c>
      <c r="BC11">
        <v>0</v>
      </c>
      <c r="BD11">
        <v>5.59966879300745E-2</v>
      </c>
      <c r="BE11" s="1">
        <v>8.6925149613880704E-5</v>
      </c>
      <c r="BF11">
        <v>2.0440599675253201E-2</v>
      </c>
      <c r="BG11">
        <v>4.89940851295179E-4</v>
      </c>
      <c r="BH11">
        <v>1.17592476872282E-4</v>
      </c>
      <c r="BI11">
        <v>1.7470626913127198E-2</v>
      </c>
      <c r="BJ11">
        <v>3.1609139358191598E-4</v>
      </c>
      <c r="BK11">
        <v>0.97695747687100398</v>
      </c>
      <c r="BL11">
        <v>1.13636812452977E-4</v>
      </c>
      <c r="BM11" s="1">
        <v>1.77867183067092E-5</v>
      </c>
      <c r="BN11" s="1">
        <v>4.1655240491278303E-7</v>
      </c>
      <c r="BO11" s="1">
        <v>2.79393117819143E-7</v>
      </c>
      <c r="BP11">
        <v>0</v>
      </c>
      <c r="BQ11">
        <v>0</v>
      </c>
      <c r="BR11" s="1">
        <v>6.9727416198225899E-5</v>
      </c>
      <c r="BS11" s="1">
        <v>9.9726159954817505E-6</v>
      </c>
    </row>
    <row r="12" spans="1:149" x14ac:dyDescent="0.25">
      <c r="A12">
        <v>9</v>
      </c>
      <c r="B12" s="1">
        <v>5.7098234454109902E-5</v>
      </c>
      <c r="C12">
        <v>9.0248193535470297E-2</v>
      </c>
      <c r="D12">
        <v>-1.8903756997288801E-4</v>
      </c>
      <c r="E12">
        <v>-1.8903756997288801E-4</v>
      </c>
      <c r="F12">
        <v>-9.0248193535470201E-4</v>
      </c>
      <c r="G12">
        <v>-9.0248193535470201E-4</v>
      </c>
      <c r="H12" t="s">
        <v>74</v>
      </c>
      <c r="I12">
        <v>0</v>
      </c>
      <c r="J12" t="s">
        <v>75</v>
      </c>
      <c r="K12">
        <v>3.14159265358979</v>
      </c>
      <c r="L12">
        <v>0.97852938255615196</v>
      </c>
      <c r="M12">
        <v>0</v>
      </c>
      <c r="N12">
        <v>5.7454418039736402E-2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0.98692764025153401</v>
      </c>
      <c r="V12" t="s">
        <v>78</v>
      </c>
      <c r="W12">
        <v>3004055.9471425102</v>
      </c>
      <c r="X12" t="s">
        <v>76</v>
      </c>
      <c r="Y12">
        <v>-1.5707963267949001</v>
      </c>
      <c r="Z12">
        <v>0.97594755084142204</v>
      </c>
      <c r="AA12">
        <v>0</v>
      </c>
      <c r="AB12">
        <v>5.5853021649228202E-2</v>
      </c>
      <c r="AC12" s="1">
        <v>9.9103449389826393E-5</v>
      </c>
      <c r="AD12">
        <v>2.0470994799968001E-2</v>
      </c>
      <c r="AE12">
        <v>5.7456958404738905E-4</v>
      </c>
      <c r="AF12">
        <v>1.6299263468160901E-4</v>
      </c>
      <c r="AG12">
        <v>1.98903509945467E-2</v>
      </c>
      <c r="AH12">
        <v>4.34839755029374E-4</v>
      </c>
      <c r="AI12">
        <v>0.97351053930739695</v>
      </c>
      <c r="AJ12" t="s">
        <v>74</v>
      </c>
      <c r="AK12">
        <v>0</v>
      </c>
      <c r="AL12" t="s">
        <v>77</v>
      </c>
      <c r="AM12">
        <v>0</v>
      </c>
      <c r="AN12">
        <v>0.97852938255615196</v>
      </c>
      <c r="AO12">
        <v>0</v>
      </c>
      <c r="AP12">
        <v>5.7454418039736402E-2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0.98692764025153401</v>
      </c>
      <c r="AX12" t="s">
        <v>78</v>
      </c>
      <c r="AY12">
        <v>3004055.94714252</v>
      </c>
      <c r="AZ12" t="s">
        <v>76</v>
      </c>
      <c r="BA12">
        <v>-1.5707963267949001</v>
      </c>
      <c r="BB12">
        <v>0.97594755084142204</v>
      </c>
      <c r="BC12">
        <v>0</v>
      </c>
      <c r="BD12">
        <v>5.5853021649228202E-2</v>
      </c>
      <c r="BE12" s="1">
        <v>9.9103449389826204E-5</v>
      </c>
      <c r="BF12">
        <v>2.0470994799968001E-2</v>
      </c>
      <c r="BG12">
        <v>5.7456958404739804E-4</v>
      </c>
      <c r="BH12">
        <v>1.6299263468160199E-4</v>
      </c>
      <c r="BI12">
        <v>1.98903509945467E-2</v>
      </c>
      <c r="BJ12">
        <v>4.34839755029374E-4</v>
      </c>
      <c r="BK12">
        <v>0.97351053930739695</v>
      </c>
      <c r="BL12">
        <v>1.13406543138354E-4</v>
      </c>
      <c r="BM12" s="1">
        <v>2.03251907495761E-5</v>
      </c>
      <c r="BN12" s="1">
        <v>4.15535274476797E-7</v>
      </c>
      <c r="BO12" s="1">
        <v>3.1926734970839699E-7</v>
      </c>
      <c r="BP12">
        <v>0</v>
      </c>
      <c r="BQ12">
        <v>0</v>
      </c>
      <c r="BR12" s="1">
        <v>6.9598117064443202E-5</v>
      </c>
      <c r="BS12" s="1">
        <v>1.1396868047775901E-5</v>
      </c>
    </row>
    <row r="13" spans="1:149" x14ac:dyDescent="0.25">
      <c r="A13">
        <v>10</v>
      </c>
      <c r="B13" s="1">
        <v>5.0797117237492902E-5</v>
      </c>
      <c r="C13">
        <v>9.0298990652707703E-2</v>
      </c>
      <c r="D13">
        <v>-1.8934180341470999E-4</v>
      </c>
      <c r="E13">
        <v>-1.8934180341470999E-4</v>
      </c>
      <c r="F13">
        <v>-9.0298990652707702E-4</v>
      </c>
      <c r="G13">
        <v>-9.0298990652707702E-4</v>
      </c>
      <c r="H13" t="s">
        <v>74</v>
      </c>
      <c r="I13">
        <v>0</v>
      </c>
      <c r="J13" t="s">
        <v>75</v>
      </c>
      <c r="K13">
        <v>3.14159265358979</v>
      </c>
      <c r="L13">
        <v>0.97684726841860403</v>
      </c>
      <c r="M13">
        <v>0</v>
      </c>
      <c r="N13">
        <v>5.73556525958243E-2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0.98515911439175197</v>
      </c>
      <c r="V13" t="s">
        <v>78</v>
      </c>
      <c r="W13">
        <v>3007337.6808050699</v>
      </c>
      <c r="X13" t="s">
        <v>76</v>
      </c>
      <c r="Y13">
        <v>-1.5707963267949001</v>
      </c>
      <c r="Z13">
        <v>0.97419747452053695</v>
      </c>
      <c r="AA13">
        <v>0</v>
      </c>
      <c r="AB13">
        <v>5.5714899436460803E-2</v>
      </c>
      <c r="AC13">
        <v>1.11160166691694E-4</v>
      </c>
      <c r="AD13">
        <v>2.0476646689351001E-2</v>
      </c>
      <c r="AE13">
        <v>6.5956763802109799E-4</v>
      </c>
      <c r="AF13">
        <v>2.1502544443319501E-4</v>
      </c>
      <c r="AG13">
        <v>2.22872599195005E-2</v>
      </c>
      <c r="AH13">
        <v>5.75994942632275E-4</v>
      </c>
      <c r="AI13">
        <v>0.970092753590444</v>
      </c>
      <c r="AJ13" t="s">
        <v>74</v>
      </c>
      <c r="AK13">
        <v>0</v>
      </c>
      <c r="AL13" t="s">
        <v>77</v>
      </c>
      <c r="AM13">
        <v>0</v>
      </c>
      <c r="AN13">
        <v>0.97684726841860403</v>
      </c>
      <c r="AO13">
        <v>0</v>
      </c>
      <c r="AP13">
        <v>5.73556525958243E-2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0.98515911439175197</v>
      </c>
      <c r="AX13" t="s">
        <v>78</v>
      </c>
      <c r="AY13">
        <v>3007337.6808050699</v>
      </c>
      <c r="AZ13" t="s">
        <v>76</v>
      </c>
      <c r="BA13">
        <v>-1.5707963267949001</v>
      </c>
      <c r="BB13">
        <v>0.97419747452053695</v>
      </c>
      <c r="BC13">
        <v>0</v>
      </c>
      <c r="BD13">
        <v>5.5714899436460803E-2</v>
      </c>
      <c r="BE13">
        <v>1.11160166691693E-4</v>
      </c>
      <c r="BF13">
        <v>2.0476646689351001E-2</v>
      </c>
      <c r="BG13">
        <v>6.5956763802110698E-4</v>
      </c>
      <c r="BH13">
        <v>2.1502544443318601E-4</v>
      </c>
      <c r="BI13">
        <v>2.22872599195005E-2</v>
      </c>
      <c r="BJ13">
        <v>5.7599494263227196E-4</v>
      </c>
      <c r="BK13">
        <v>0.970092753590444</v>
      </c>
      <c r="BL13">
        <v>1.13181712198977E-4</v>
      </c>
      <c r="BM13" s="1">
        <v>2.28632548621328E-5</v>
      </c>
      <c r="BN13" s="1">
        <v>4.1456642522092497E-7</v>
      </c>
      <c r="BO13" s="1">
        <v>3.5913516756013798E-7</v>
      </c>
      <c r="BP13">
        <v>0</v>
      </c>
      <c r="BQ13">
        <v>0</v>
      </c>
      <c r="BR13" s="1">
        <v>6.9470718412398497E-5</v>
      </c>
      <c r="BS13" s="1">
        <v>1.28210151621661E-5</v>
      </c>
    </row>
    <row r="14" spans="1:149" x14ac:dyDescent="0.25">
      <c r="A14">
        <v>11</v>
      </c>
      <c r="B14" s="1">
        <v>4.5799470175766003E-5</v>
      </c>
      <c r="C14">
        <v>9.0344790122883503E-2</v>
      </c>
      <c r="D14">
        <v>-1.89616035344318E-4</v>
      </c>
      <c r="E14">
        <v>-1.89616035344318E-4</v>
      </c>
      <c r="F14">
        <v>-9.0344790122883498E-4</v>
      </c>
      <c r="G14">
        <v>-9.0344790122883498E-4</v>
      </c>
      <c r="H14" t="s">
        <v>74</v>
      </c>
      <c r="I14">
        <v>0</v>
      </c>
      <c r="J14" t="s">
        <v>75</v>
      </c>
      <c r="K14">
        <v>3.14159265358979</v>
      </c>
      <c r="L14">
        <v>0.97516543074621298</v>
      </c>
      <c r="M14">
        <v>0</v>
      </c>
      <c r="N14">
        <v>5.7256903384582301E-2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0.98340695479828799</v>
      </c>
      <c r="V14" t="s">
        <v>78</v>
      </c>
      <c r="W14">
        <v>3010295.7913577701</v>
      </c>
      <c r="X14" t="s">
        <v>76</v>
      </c>
      <c r="Y14">
        <v>-1.5707963267949001</v>
      </c>
      <c r="Z14">
        <v>0.97245481863646199</v>
      </c>
      <c r="AA14">
        <v>0</v>
      </c>
      <c r="AB14">
        <v>5.5581172565255903E-2</v>
      </c>
      <c r="AC14">
        <v>1.2316447906987699E-4</v>
      </c>
      <c r="AD14">
        <v>2.0461223286486099E-2</v>
      </c>
      <c r="AE14">
        <v>7.4484850666636598E-4</v>
      </c>
      <c r="AF14">
        <v>2.7376268591948E-4</v>
      </c>
      <c r="AG14">
        <v>2.4659736847121298E-2</v>
      </c>
      <c r="AH14">
        <v>7.4116498209871604E-4</v>
      </c>
      <c r="AI14">
        <v>0.966697448302268</v>
      </c>
      <c r="AJ14" t="s">
        <v>74</v>
      </c>
      <c r="AK14">
        <v>0</v>
      </c>
      <c r="AL14" t="s">
        <v>77</v>
      </c>
      <c r="AM14">
        <v>0</v>
      </c>
      <c r="AN14">
        <v>0.97516543074621298</v>
      </c>
      <c r="AO14">
        <v>0</v>
      </c>
      <c r="AP14">
        <v>5.7256903384582301E-2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0.98340695479828799</v>
      </c>
      <c r="AX14" t="s">
        <v>78</v>
      </c>
      <c r="AY14">
        <v>3010295.7913577701</v>
      </c>
      <c r="AZ14" t="s">
        <v>76</v>
      </c>
      <c r="BA14">
        <v>-1.5707963267949001</v>
      </c>
      <c r="BB14">
        <v>0.97245481863646199</v>
      </c>
      <c r="BC14">
        <v>0</v>
      </c>
      <c r="BD14">
        <v>5.5581172565255903E-2</v>
      </c>
      <c r="BE14">
        <v>1.2316447906987799E-4</v>
      </c>
      <c r="BF14">
        <v>2.0461223286486099E-2</v>
      </c>
      <c r="BG14">
        <v>7.4484850666637497E-4</v>
      </c>
      <c r="BH14">
        <v>2.73762685919471E-4</v>
      </c>
      <c r="BI14">
        <v>2.4659736847121399E-2</v>
      </c>
      <c r="BJ14">
        <v>7.4116498209871398E-4</v>
      </c>
      <c r="BK14">
        <v>0.966697448302267</v>
      </c>
      <c r="BL14">
        <v>1.12961240428908E-4</v>
      </c>
      <c r="BM14" s="1">
        <v>2.5400901829220101E-5</v>
      </c>
      <c r="BN14" s="1">
        <v>4.1363605936431802E-7</v>
      </c>
      <c r="BO14" s="1">
        <v>3.98996432906167E-7</v>
      </c>
      <c r="BP14">
        <v>0</v>
      </c>
      <c r="BQ14">
        <v>0</v>
      </c>
      <c r="BR14" s="1">
        <v>6.9344851477475298E-5</v>
      </c>
      <c r="BS14" s="1">
        <v>1.42450396957535E-5</v>
      </c>
    </row>
    <row r="15" spans="1:149" x14ac:dyDescent="0.25">
      <c r="A15">
        <v>12</v>
      </c>
      <c r="B15" s="1">
        <v>4.17409239337327E-5</v>
      </c>
      <c r="C15">
        <v>9.0386531046817306E-2</v>
      </c>
      <c r="D15">
        <v>-1.8986590882118099E-4</v>
      </c>
      <c r="E15">
        <v>-1.8986590882118099E-4</v>
      </c>
      <c r="F15">
        <v>-9.0386531046817201E-4</v>
      </c>
      <c r="G15">
        <v>-9.0386531046817201E-4</v>
      </c>
      <c r="H15" t="s">
        <v>74</v>
      </c>
      <c r="I15">
        <v>0</v>
      </c>
      <c r="J15" t="s">
        <v>75</v>
      </c>
      <c r="K15">
        <v>3.14159265358979</v>
      </c>
      <c r="L15">
        <v>0.97348387626986799</v>
      </c>
      <c r="M15">
        <v>0</v>
      </c>
      <c r="N15">
        <v>5.7158170801215102E-2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0.98166654395847397</v>
      </c>
      <c r="V15" t="s">
        <v>78</v>
      </c>
      <c r="W15">
        <v>3012991.1498807902</v>
      </c>
      <c r="X15" t="s">
        <v>76</v>
      </c>
      <c r="Y15">
        <v>-1.5707963267949001</v>
      </c>
      <c r="Z15">
        <v>0.97071826679052498</v>
      </c>
      <c r="AA15">
        <v>0</v>
      </c>
      <c r="AB15">
        <v>5.5451015617822501E-2</v>
      </c>
      <c r="AC15">
        <v>1.3511239887056901E-4</v>
      </c>
      <c r="AD15">
        <v>2.0427343690373901E-2</v>
      </c>
      <c r="AE15">
        <v>8.3033835879559698E-4</v>
      </c>
      <c r="AF15">
        <v>3.3928899952116498E-4</v>
      </c>
      <c r="AG15">
        <v>2.7006120173031601E-2</v>
      </c>
      <c r="AH15">
        <v>9.3200132187815803E-4</v>
      </c>
      <c r="AI15">
        <v>0.96332001914237797</v>
      </c>
      <c r="AJ15" t="s">
        <v>74</v>
      </c>
      <c r="AK15">
        <v>0</v>
      </c>
      <c r="AL15" t="s">
        <v>77</v>
      </c>
      <c r="AM15">
        <v>0</v>
      </c>
      <c r="AN15">
        <v>0.97348387626986799</v>
      </c>
      <c r="AO15">
        <v>0</v>
      </c>
      <c r="AP15">
        <v>5.7158170801215102E-2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0.98166654395847397</v>
      </c>
      <c r="AX15" t="s">
        <v>78</v>
      </c>
      <c r="AY15">
        <v>3012991.1498807902</v>
      </c>
      <c r="AZ15" t="s">
        <v>76</v>
      </c>
      <c r="BA15">
        <v>-1.5707963267949001</v>
      </c>
      <c r="BB15">
        <v>0.97071826679052498</v>
      </c>
      <c r="BC15">
        <v>0</v>
      </c>
      <c r="BD15">
        <v>5.5451015617822501E-2</v>
      </c>
      <c r="BE15">
        <v>1.3511239887056901E-4</v>
      </c>
      <c r="BF15">
        <v>2.0427343690373901E-2</v>
      </c>
      <c r="BG15">
        <v>8.3033835879560501E-4</v>
      </c>
      <c r="BH15">
        <v>3.3928899952115598E-4</v>
      </c>
      <c r="BI15">
        <v>2.7006120173031702E-2</v>
      </c>
      <c r="BJ15">
        <v>9.3200132187815597E-4</v>
      </c>
      <c r="BK15">
        <v>0.96332001914237797</v>
      </c>
      <c r="BL15">
        <v>1.12744298817908E-4</v>
      </c>
      <c r="BM15" s="1">
        <v>2.7938121494909801E-5</v>
      </c>
      <c r="BN15" s="1">
        <v>4.1273678376933801E-7</v>
      </c>
      <c r="BO15" s="1">
        <v>4.3885098621753899E-7</v>
      </c>
      <c r="BP15">
        <v>0</v>
      </c>
      <c r="BQ15">
        <v>0</v>
      </c>
      <c r="BR15" s="1">
        <v>6.9220221835886294E-5</v>
      </c>
      <c r="BS15" s="1">
        <v>1.56689258588486E-5</v>
      </c>
    </row>
    <row r="16" spans="1:149" x14ac:dyDescent="0.25">
      <c r="A16">
        <v>13</v>
      </c>
      <c r="B16" s="1">
        <v>3.8381662218157301E-5</v>
      </c>
      <c r="C16">
        <v>9.0424912709035396E-2</v>
      </c>
      <c r="D16">
        <v>-1.9009562481422999E-4</v>
      </c>
      <c r="E16">
        <v>-1.9009562481422999E-4</v>
      </c>
      <c r="F16">
        <v>-9.0424912709035396E-4</v>
      </c>
      <c r="G16">
        <v>-9.0424912709035396E-4</v>
      </c>
      <c r="H16" t="s">
        <v>74</v>
      </c>
      <c r="I16">
        <v>0</v>
      </c>
      <c r="J16" t="s">
        <v>75</v>
      </c>
      <c r="K16">
        <v>3.14159265358979</v>
      </c>
      <c r="L16">
        <v>0.97180260851718803</v>
      </c>
      <c r="M16">
        <v>0</v>
      </c>
      <c r="N16">
        <v>5.7059455052847E-2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0.97993471905699003</v>
      </c>
      <c r="V16" t="s">
        <v>78</v>
      </c>
      <c r="W16">
        <v>3015469.07177753</v>
      </c>
      <c r="X16" t="s">
        <v>76</v>
      </c>
      <c r="Y16">
        <v>-1.5707963267949001</v>
      </c>
      <c r="Z16">
        <v>0.96898683638641503</v>
      </c>
      <c r="AA16">
        <v>0</v>
      </c>
      <c r="AB16">
        <v>5.53238151232145E-2</v>
      </c>
      <c r="AC16">
        <v>1.4707478253916299E-4</v>
      </c>
      <c r="AD16">
        <v>2.0377033203331701E-2</v>
      </c>
      <c r="AE16">
        <v>9.1597253021601197E-4</v>
      </c>
      <c r="AF16">
        <v>4.11601835112376E-4</v>
      </c>
      <c r="AG16">
        <v>2.9324839817092E-2</v>
      </c>
      <c r="AH16">
        <v>1.1500687194478899E-3</v>
      </c>
      <c r="AI16">
        <v>0.95995731329176903</v>
      </c>
      <c r="AJ16" t="s">
        <v>74</v>
      </c>
      <c r="AK16">
        <v>0</v>
      </c>
      <c r="AL16" t="s">
        <v>77</v>
      </c>
      <c r="AM16">
        <v>0</v>
      </c>
      <c r="AN16">
        <v>0.97180260851718803</v>
      </c>
      <c r="AO16">
        <v>0</v>
      </c>
      <c r="AP16">
        <v>5.7059455052847E-2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0.97993471905699003</v>
      </c>
      <c r="AX16" t="s">
        <v>78</v>
      </c>
      <c r="AY16">
        <v>3015469.07177753</v>
      </c>
      <c r="AZ16" t="s">
        <v>76</v>
      </c>
      <c r="BA16">
        <v>-1.5707963267949001</v>
      </c>
      <c r="BB16">
        <v>0.96898683638641503</v>
      </c>
      <c r="BC16">
        <v>0</v>
      </c>
      <c r="BD16">
        <v>5.53238151232145E-2</v>
      </c>
      <c r="BE16">
        <v>1.4707478253916199E-4</v>
      </c>
      <c r="BF16">
        <v>2.0377033203331701E-2</v>
      </c>
      <c r="BG16">
        <v>9.1597253021602303E-4</v>
      </c>
      <c r="BH16">
        <v>4.1160183511236901E-4</v>
      </c>
      <c r="BI16">
        <v>2.9324839817092101E-2</v>
      </c>
      <c r="BJ16">
        <v>1.1500687194478899E-3</v>
      </c>
      <c r="BK16">
        <v>0.95995731329176903</v>
      </c>
      <c r="BL16">
        <v>1.12530344958601E-4</v>
      </c>
      <c r="BM16" s="1">
        <v>3.047490853654E-5</v>
      </c>
      <c r="BN16" s="1">
        <v>4.1186361269608697E-7</v>
      </c>
      <c r="BO16" s="1">
        <v>4.7869874388607403E-7</v>
      </c>
      <c r="BP16">
        <v>0</v>
      </c>
      <c r="BQ16">
        <v>0</v>
      </c>
      <c r="BR16" s="1">
        <v>6.90966523292083E-5</v>
      </c>
      <c r="BS16" s="1">
        <v>1.7092662470862199E-5</v>
      </c>
    </row>
    <row r="17" spans="1:71" x14ac:dyDescent="0.25">
      <c r="A17">
        <v>14</v>
      </c>
      <c r="B17" s="1">
        <v>3.5557192008773598E-5</v>
      </c>
      <c r="C17">
        <v>9.0460469901044199E-2</v>
      </c>
      <c r="D17">
        <v>-1.90308395384408E-4</v>
      </c>
      <c r="E17">
        <v>-1.90308395384408E-4</v>
      </c>
      <c r="F17">
        <v>-9.0460469901044202E-4</v>
      </c>
      <c r="G17">
        <v>-9.0460469901044202E-4</v>
      </c>
      <c r="H17" t="s">
        <v>74</v>
      </c>
      <c r="I17">
        <v>0</v>
      </c>
      <c r="J17" t="s">
        <v>75</v>
      </c>
      <c r="K17">
        <v>3.14159265358979</v>
      </c>
      <c r="L17">
        <v>0.97012162761419396</v>
      </c>
      <c r="M17">
        <v>0</v>
      </c>
      <c r="N17">
        <v>5.6960756146877303E-2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0.97820930467714795</v>
      </c>
      <c r="V17" t="s">
        <v>78</v>
      </c>
      <c r="W17">
        <v>3017764.20520656</v>
      </c>
      <c r="X17" t="s">
        <v>76</v>
      </c>
      <c r="Y17">
        <v>-1.5707963267949001</v>
      </c>
      <c r="Z17">
        <v>0.96725977246820405</v>
      </c>
      <c r="AA17">
        <v>0</v>
      </c>
      <c r="AB17">
        <v>5.5199102575702097E-2</v>
      </c>
      <c r="AC17">
        <v>1.58900514156428E-4</v>
      </c>
      <c r="AD17">
        <v>2.03119416759878E-2</v>
      </c>
      <c r="AE17">
        <v>1.0016933829719301E-3</v>
      </c>
      <c r="AF17">
        <v>4.9060690070704496E-4</v>
      </c>
      <c r="AG17">
        <v>3.1614462998995799E-2</v>
      </c>
      <c r="AH17">
        <v>1.39679976497174E-3</v>
      </c>
      <c r="AI17">
        <v>0.956607161983831</v>
      </c>
      <c r="AJ17" t="s">
        <v>74</v>
      </c>
      <c r="AK17">
        <v>0</v>
      </c>
      <c r="AL17" t="s">
        <v>77</v>
      </c>
      <c r="AM17">
        <v>0</v>
      </c>
      <c r="AN17">
        <v>0.97012162761419396</v>
      </c>
      <c r="AO17">
        <v>0</v>
      </c>
      <c r="AP17">
        <v>5.6960756146877303E-2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0.97820930467714895</v>
      </c>
      <c r="AX17" t="s">
        <v>78</v>
      </c>
      <c r="AY17">
        <v>3017764.20520656</v>
      </c>
      <c r="AZ17" t="s">
        <v>76</v>
      </c>
      <c r="BA17">
        <v>-1.5707963267949001</v>
      </c>
      <c r="BB17">
        <v>0.96725977246820405</v>
      </c>
      <c r="BC17">
        <v>0</v>
      </c>
      <c r="BD17">
        <v>5.5199102575702097E-2</v>
      </c>
      <c r="BE17">
        <v>1.58900514156427E-4</v>
      </c>
      <c r="BF17">
        <v>2.03119416759878E-2</v>
      </c>
      <c r="BG17">
        <v>1.0016933829719401E-3</v>
      </c>
      <c r="BH17">
        <v>4.9060690070703802E-4</v>
      </c>
      <c r="BI17">
        <v>3.1614462998995903E-2</v>
      </c>
      <c r="BJ17">
        <v>1.39679976497175E-3</v>
      </c>
      <c r="BK17">
        <v>0.956607161983831</v>
      </c>
      <c r="BL17">
        <v>1.12318759236736E-4</v>
      </c>
      <c r="BM17" s="1">
        <v>3.30112627639676E-5</v>
      </c>
      <c r="BN17" s="1">
        <v>4.1101135421325702E-7</v>
      </c>
      <c r="BO17" s="1">
        <v>5.1853970292501399E-7</v>
      </c>
      <c r="BP17">
        <v>0</v>
      </c>
      <c r="BQ17">
        <v>0</v>
      </c>
      <c r="BR17" s="1">
        <v>6.8973892651290903E-5</v>
      </c>
      <c r="BS17" s="1">
        <v>1.85162426539265E-5</v>
      </c>
    </row>
    <row r="18" spans="1:71" x14ac:dyDescent="0.25">
      <c r="A18">
        <v>15</v>
      </c>
      <c r="B18" s="1">
        <v>3.3150854118415398E-5</v>
      </c>
      <c r="C18">
        <v>9.0493620755162596E-2</v>
      </c>
      <c r="D18">
        <v>-1.90506731409171E-4</v>
      </c>
      <c r="E18">
        <v>-1.90506731409171E-4</v>
      </c>
      <c r="F18">
        <v>-9.0493620755162602E-4</v>
      </c>
      <c r="G18">
        <v>-9.0493620755162602E-4</v>
      </c>
      <c r="H18" t="s">
        <v>74</v>
      </c>
      <c r="I18">
        <v>0</v>
      </c>
      <c r="J18" t="s">
        <v>75</v>
      </c>
      <c r="K18">
        <v>3.14159265358979</v>
      </c>
      <c r="L18">
        <v>0.96844093865669101</v>
      </c>
      <c r="M18">
        <v>0</v>
      </c>
      <c r="N18">
        <v>5.6862074382506698E-2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0.97648879350720197</v>
      </c>
      <c r="V18" t="s">
        <v>78</v>
      </c>
      <c r="W18">
        <v>3019903.6347349598</v>
      </c>
      <c r="X18" t="s">
        <v>76</v>
      </c>
      <c r="Y18">
        <v>-1.5707963267949001</v>
      </c>
      <c r="Z18">
        <v>0.96553648888853605</v>
      </c>
      <c r="AA18">
        <v>0</v>
      </c>
      <c r="AB18">
        <v>5.5076512499759499E-2</v>
      </c>
      <c r="AC18">
        <v>1.7073477474099699E-4</v>
      </c>
      <c r="AD18">
        <v>2.0233275483131401E-2</v>
      </c>
      <c r="AE18">
        <v>1.08744851813524E-3</v>
      </c>
      <c r="AF18">
        <v>5.7632159648702695E-4</v>
      </c>
      <c r="AG18">
        <v>3.3873394651950398E-2</v>
      </c>
      <c r="AH18">
        <v>1.67378183641323E-3</v>
      </c>
      <c r="AI18">
        <v>0.95326806933049202</v>
      </c>
      <c r="AJ18" t="s">
        <v>74</v>
      </c>
      <c r="AK18">
        <v>0</v>
      </c>
      <c r="AL18" t="s">
        <v>77</v>
      </c>
      <c r="AM18">
        <v>0</v>
      </c>
      <c r="AN18">
        <v>0.96844093865669101</v>
      </c>
      <c r="AO18">
        <v>0</v>
      </c>
      <c r="AP18">
        <v>5.6862074382506698E-2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0.97648879350720097</v>
      </c>
      <c r="AX18" t="s">
        <v>78</v>
      </c>
      <c r="AY18">
        <v>3019903.6347349598</v>
      </c>
      <c r="AZ18" t="s">
        <v>76</v>
      </c>
      <c r="BA18">
        <v>-1.5707963267949001</v>
      </c>
      <c r="BB18">
        <v>0.96553648888853605</v>
      </c>
      <c r="BC18">
        <v>0</v>
      </c>
      <c r="BD18">
        <v>5.5076512499759499E-2</v>
      </c>
      <c r="BE18">
        <v>1.7073477474099699E-4</v>
      </c>
      <c r="BF18">
        <v>2.0233275483131401E-2</v>
      </c>
      <c r="BG18">
        <v>1.0874485181352599E-3</v>
      </c>
      <c r="BH18">
        <v>5.7632159648702001E-4</v>
      </c>
      <c r="BI18">
        <v>3.3873394651950502E-2</v>
      </c>
      <c r="BJ18">
        <v>1.6737818364132399E-3</v>
      </c>
      <c r="BK18">
        <v>0.95326806933049202</v>
      </c>
      <c r="BL18">
        <v>1.12109321657007E-4</v>
      </c>
      <c r="BM18" s="1">
        <v>3.5547176488363702E-5</v>
      </c>
      <c r="BN18" s="1">
        <v>4.1017774573415301E-7</v>
      </c>
      <c r="BO18" s="1">
        <v>5.5837374255851601E-7</v>
      </c>
      <c r="BP18">
        <v>0</v>
      </c>
      <c r="BQ18">
        <v>0</v>
      </c>
      <c r="BR18" s="1">
        <v>6.8851895501468696E-5</v>
      </c>
      <c r="BS18" s="1">
        <v>1.9939656418150501E-5</v>
      </c>
    </row>
    <row r="19" spans="1:71" x14ac:dyDescent="0.25">
      <c r="A19">
        <v>16</v>
      </c>
      <c r="B19" s="1">
        <v>3.1077864780003203E-5</v>
      </c>
      <c r="C19">
        <v>9.0524698619942598E-2</v>
      </c>
      <c r="D19">
        <v>-1.9069263426556201E-4</v>
      </c>
      <c r="E19">
        <v>-1.9069263426556201E-4</v>
      </c>
      <c r="F19">
        <v>-9.0524698619942601E-4</v>
      </c>
      <c r="G19">
        <v>-9.0524698619942601E-4</v>
      </c>
      <c r="H19" t="s">
        <v>74</v>
      </c>
      <c r="I19">
        <v>0</v>
      </c>
      <c r="J19" t="s">
        <v>75</v>
      </c>
      <c r="K19">
        <v>3.14159265358979</v>
      </c>
      <c r="L19">
        <v>0.96676054719678195</v>
      </c>
      <c r="M19">
        <v>0</v>
      </c>
      <c r="N19">
        <v>5.6763410085727203E-2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0.97477212390127399</v>
      </c>
      <c r="V19" t="s">
        <v>78</v>
      </c>
      <c r="W19">
        <v>3021908.9490032699</v>
      </c>
      <c r="X19" t="s">
        <v>76</v>
      </c>
      <c r="Y19">
        <v>-1.5707963267949001</v>
      </c>
      <c r="Z19">
        <v>0.96381651907688104</v>
      </c>
      <c r="AA19">
        <v>0</v>
      </c>
      <c r="AB19">
        <v>5.4955754015013701E-2</v>
      </c>
      <c r="AC19">
        <v>1.82574504632075E-4</v>
      </c>
      <c r="AD19">
        <v>2.01419984194386E-2</v>
      </c>
      <c r="AE19">
        <v>1.1731894910001E-3</v>
      </c>
      <c r="AF19">
        <v>6.6876494364768101E-4</v>
      </c>
      <c r="AG19">
        <v>3.61000211890036E-2</v>
      </c>
      <c r="AH19">
        <v>1.9826201434163001E-3</v>
      </c>
      <c r="AI19">
        <v>0.94993898546149602</v>
      </c>
      <c r="AJ19" t="s">
        <v>74</v>
      </c>
      <c r="AK19">
        <v>0</v>
      </c>
      <c r="AL19" t="s">
        <v>77</v>
      </c>
      <c r="AM19">
        <v>0</v>
      </c>
      <c r="AN19">
        <v>0.96676054719678195</v>
      </c>
      <c r="AO19">
        <v>0</v>
      </c>
      <c r="AP19">
        <v>5.6763410085727203E-2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0.97477212390127399</v>
      </c>
      <c r="AX19" t="s">
        <v>78</v>
      </c>
      <c r="AY19">
        <v>3021908.9490032699</v>
      </c>
      <c r="AZ19" t="s">
        <v>76</v>
      </c>
      <c r="BA19">
        <v>-1.5707963267949001</v>
      </c>
      <c r="BB19">
        <v>0.96381651907688104</v>
      </c>
      <c r="BC19">
        <v>0</v>
      </c>
      <c r="BD19">
        <v>5.4955754015013701E-2</v>
      </c>
      <c r="BE19">
        <v>1.8257450463207399E-4</v>
      </c>
      <c r="BF19">
        <v>2.01419984194386E-2</v>
      </c>
      <c r="BG19">
        <v>1.1731894910001199E-3</v>
      </c>
      <c r="BH19">
        <v>6.6876494364767397E-4</v>
      </c>
      <c r="BI19">
        <v>3.6100021189003698E-2</v>
      </c>
      <c r="BJ19">
        <v>1.9826201434163201E-3</v>
      </c>
      <c r="BK19">
        <v>0.94993898546149602</v>
      </c>
      <c r="BL19">
        <v>1.11901738605373E-4</v>
      </c>
      <c r="BM19" s="1">
        <v>3.8082641332419997E-5</v>
      </c>
      <c r="BN19" s="1">
        <v>4.0936018646475501E-7</v>
      </c>
      <c r="BO19" s="1">
        <v>5.9820073119612799E-7</v>
      </c>
      <c r="BP19">
        <v>0</v>
      </c>
      <c r="BQ19">
        <v>0</v>
      </c>
      <c r="BR19" s="1">
        <v>6.8730556906823799E-5</v>
      </c>
      <c r="BS19" s="1">
        <v>2.1362894253512101E-5</v>
      </c>
    </row>
    <row r="20" spans="1:71" x14ac:dyDescent="0.25">
      <c r="A20">
        <v>17</v>
      </c>
      <c r="B20" s="1">
        <v>2.9275013817996101E-5</v>
      </c>
      <c r="C20">
        <v>9.0553973633760595E-2</v>
      </c>
      <c r="D20">
        <v>-1.9086772554199099E-4</v>
      </c>
      <c r="E20">
        <v>-1.9086772554199099E-4</v>
      </c>
      <c r="F20">
        <v>-9.0553973633760603E-4</v>
      </c>
      <c r="G20">
        <v>-9.0553973633760603E-4</v>
      </c>
      <c r="H20" t="s">
        <v>74</v>
      </c>
      <c r="I20">
        <v>0</v>
      </c>
      <c r="J20" t="s">
        <v>75</v>
      </c>
      <c r="K20">
        <v>3.14159265358979</v>
      </c>
      <c r="L20">
        <v>0.96508045919118102</v>
      </c>
      <c r="M20">
        <v>0</v>
      </c>
      <c r="N20">
        <v>5.6664763606287603E-2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0.97305853493912398</v>
      </c>
      <c r="V20" t="s">
        <v>78</v>
      </c>
      <c r="W20">
        <v>3023797.6399125699</v>
      </c>
      <c r="X20" t="s">
        <v>76</v>
      </c>
      <c r="Y20">
        <v>-1.5707963267949001</v>
      </c>
      <c r="Z20">
        <v>0.96209948573412396</v>
      </c>
      <c r="AA20">
        <v>0</v>
      </c>
      <c r="AB20">
        <v>5.4836591787802202E-2</v>
      </c>
      <c r="AC20">
        <v>1.9434361637952899E-4</v>
      </c>
      <c r="AD20">
        <v>2.0038894539676399E-2</v>
      </c>
      <c r="AE20">
        <v>1.2588709601371499E-3</v>
      </c>
      <c r="AF20">
        <v>7.6795591592610098E-4</v>
      </c>
      <c r="AG20">
        <v>3.8292711341317801E-2</v>
      </c>
      <c r="AH20">
        <v>2.3249369670076802E-3</v>
      </c>
      <c r="AI20">
        <v>0.94661916152244097</v>
      </c>
      <c r="AJ20" t="s">
        <v>74</v>
      </c>
      <c r="AK20">
        <v>0</v>
      </c>
      <c r="AL20" t="s">
        <v>77</v>
      </c>
      <c r="AM20">
        <v>0</v>
      </c>
      <c r="AN20">
        <v>0.96508045919118102</v>
      </c>
      <c r="AO20">
        <v>0</v>
      </c>
      <c r="AP20">
        <v>5.6664763606287603E-2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0.97305853493912398</v>
      </c>
      <c r="AX20" t="s">
        <v>78</v>
      </c>
      <c r="AY20">
        <v>3023797.6399125699</v>
      </c>
      <c r="AZ20" t="s">
        <v>76</v>
      </c>
      <c r="BA20">
        <v>-1.5707963267949001</v>
      </c>
      <c r="BB20">
        <v>0.96209948573412396</v>
      </c>
      <c r="BC20">
        <v>0</v>
      </c>
      <c r="BD20">
        <v>5.4836591787802202E-2</v>
      </c>
      <c r="BE20">
        <v>1.9434361637952899E-4</v>
      </c>
      <c r="BF20">
        <v>2.0038894539676399E-2</v>
      </c>
      <c r="BG20">
        <v>1.2588709601371599E-3</v>
      </c>
      <c r="BH20">
        <v>7.6795591592609199E-4</v>
      </c>
      <c r="BI20">
        <v>3.8292711341317898E-2</v>
      </c>
      <c r="BJ20">
        <v>2.3249369670077001E-3</v>
      </c>
      <c r="BK20">
        <v>0.94661916152244097</v>
      </c>
      <c r="BL20">
        <v>1.1169569901046899E-4</v>
      </c>
      <c r="BM20" s="1">
        <v>4.0617648308325502E-5</v>
      </c>
      <c r="BN20" s="1">
        <v>4.0855607647004199E-7</v>
      </c>
      <c r="BO20" s="1">
        <v>6.3802052765764697E-7</v>
      </c>
      <c r="BP20">
        <v>0</v>
      </c>
      <c r="BQ20">
        <v>0</v>
      </c>
      <c r="BR20" s="1">
        <v>6.8609751618398305E-5</v>
      </c>
      <c r="BS20" s="1">
        <v>2.27859470033645E-5</v>
      </c>
    </row>
    <row r="21" spans="1:71" x14ac:dyDescent="0.25">
      <c r="A21">
        <v>18</v>
      </c>
      <c r="B21" s="1">
        <v>2.7694212537838301E-5</v>
      </c>
      <c r="C21">
        <v>9.0581667846298397E-2</v>
      </c>
      <c r="D21">
        <v>-1.9103333794026899E-4</v>
      </c>
      <c r="E21">
        <v>-1.9103333794026899E-4</v>
      </c>
      <c r="F21">
        <v>-9.0581667846298397E-4</v>
      </c>
      <c r="G21">
        <v>-9.0581667846298397E-4</v>
      </c>
      <c r="H21" t="s">
        <v>74</v>
      </c>
      <c r="I21">
        <v>0</v>
      </c>
      <c r="J21" t="s">
        <v>75</v>
      </c>
      <c r="K21">
        <v>3.14159265358979</v>
      </c>
      <c r="L21">
        <v>0.96340068101987097</v>
      </c>
      <c r="M21">
        <v>0</v>
      </c>
      <c r="N21">
        <v>5.6566135318789103E-2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0.97134747118630704</v>
      </c>
      <c r="V21" t="s">
        <v>78</v>
      </c>
      <c r="W21">
        <v>3025584.0831750599</v>
      </c>
      <c r="X21" t="s">
        <v>76</v>
      </c>
      <c r="Y21">
        <v>-1.5707963267949001</v>
      </c>
      <c r="Z21">
        <v>0.96038507964912001</v>
      </c>
      <c r="AA21">
        <v>0</v>
      </c>
      <c r="AB21">
        <v>5.47188327031835E-2</v>
      </c>
      <c r="AC21">
        <v>2.0603975350521299E-4</v>
      </c>
      <c r="AD21">
        <v>1.9924611045002899E-2</v>
      </c>
      <c r="AE21">
        <v>1.3444500568120001E-3</v>
      </c>
      <c r="AF21">
        <v>8.7391342584218804E-4</v>
      </c>
      <c r="AG21">
        <v>4.0449814595340201E-2</v>
      </c>
      <c r="AH21">
        <v>2.7023731942802201E-3</v>
      </c>
      <c r="AI21">
        <v>0.94330805444177401</v>
      </c>
      <c r="AJ21" t="s">
        <v>74</v>
      </c>
      <c r="AK21">
        <v>0</v>
      </c>
      <c r="AL21" t="s">
        <v>77</v>
      </c>
      <c r="AM21">
        <v>0</v>
      </c>
      <c r="AN21">
        <v>0.96340068101987097</v>
      </c>
      <c r="AO21">
        <v>0</v>
      </c>
      <c r="AP21">
        <v>5.6566135318789103E-2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0.97134747118630804</v>
      </c>
      <c r="AX21" t="s">
        <v>78</v>
      </c>
      <c r="AY21">
        <v>3025584.0831750599</v>
      </c>
      <c r="AZ21" t="s">
        <v>76</v>
      </c>
      <c r="BA21">
        <v>-1.5707963267949001</v>
      </c>
      <c r="BB21">
        <v>0.96038507964912001</v>
      </c>
      <c r="BC21">
        <v>0</v>
      </c>
      <c r="BD21">
        <v>5.47188327031835E-2</v>
      </c>
      <c r="BE21">
        <v>2.0603975350521299E-4</v>
      </c>
      <c r="BF21">
        <v>1.9924611045002899E-2</v>
      </c>
      <c r="BG21">
        <v>1.34445005681202E-3</v>
      </c>
      <c r="BH21">
        <v>8.7391342584217601E-4</v>
      </c>
      <c r="BI21">
        <v>4.0449814595340298E-2</v>
      </c>
      <c r="BJ21">
        <v>2.70237319428023E-3</v>
      </c>
      <c r="BK21">
        <v>0.94330805444177401</v>
      </c>
      <c r="BL21">
        <v>1.11491007775478E-4</v>
      </c>
      <c r="BM21" s="1">
        <v>4.31521877896205E-5</v>
      </c>
      <c r="BN21" s="1">
        <v>4.0776369204577E-7</v>
      </c>
      <c r="BO21" s="1">
        <v>6.7783298073099503E-7</v>
      </c>
      <c r="BP21">
        <v>0</v>
      </c>
      <c r="BQ21">
        <v>0</v>
      </c>
      <c r="BR21" s="1">
        <v>6.8489410702442298E-5</v>
      </c>
      <c r="BS21" s="1">
        <v>2.42088057211074E-5</v>
      </c>
    </row>
    <row r="22" spans="1:71" x14ac:dyDescent="0.25">
      <c r="A22">
        <v>19</v>
      </c>
      <c r="B22" s="1">
        <v>2.6298229732081399E-5</v>
      </c>
      <c r="C22">
        <v>9.0607966076030499E-2</v>
      </c>
      <c r="D22">
        <v>-1.9119058053402899E-4</v>
      </c>
      <c r="E22">
        <v>-1.9119058053402899E-4</v>
      </c>
      <c r="F22">
        <v>-9.0607966076030504E-4</v>
      </c>
      <c r="G22">
        <v>-9.0607966076030504E-4</v>
      </c>
      <c r="H22" t="s">
        <v>74</v>
      </c>
      <c r="I22">
        <v>0</v>
      </c>
      <c r="J22" t="s">
        <v>75</v>
      </c>
      <c r="K22">
        <v>3.14159265358979</v>
      </c>
      <c r="L22">
        <v>0.96172121950699896</v>
      </c>
      <c r="M22">
        <v>0</v>
      </c>
      <c r="N22">
        <v>5.6467525623911899E-2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0.96963851985454697</v>
      </c>
      <c r="V22" t="s">
        <v>78</v>
      </c>
      <c r="W22">
        <v>3027280.2422496099</v>
      </c>
      <c r="X22" t="s">
        <v>76</v>
      </c>
      <c r="Y22">
        <v>-1.5707963267949001</v>
      </c>
      <c r="Z22">
        <v>0.95867304449448199</v>
      </c>
      <c r="AA22">
        <v>0</v>
      </c>
      <c r="AB22">
        <v>5.4602316308298898E-2</v>
      </c>
      <c r="AC22">
        <v>2.17732754805773E-4</v>
      </c>
      <c r="AD22">
        <v>1.97996890888083E-2</v>
      </c>
      <c r="AE22">
        <v>1.42988590706431E-3</v>
      </c>
      <c r="AF22">
        <v>9.8665631099049706E-4</v>
      </c>
      <c r="AG22">
        <v>4.2569659604920998E-2</v>
      </c>
      <c r="AH22">
        <v>3.1165898747435301E-3</v>
      </c>
      <c r="AI22">
        <v>0.940005264100366</v>
      </c>
      <c r="AJ22" t="s">
        <v>74</v>
      </c>
      <c r="AK22">
        <v>0</v>
      </c>
      <c r="AL22" t="s">
        <v>77</v>
      </c>
      <c r="AM22">
        <v>0</v>
      </c>
      <c r="AN22">
        <v>0.96172121950699796</v>
      </c>
      <c r="AO22">
        <v>0</v>
      </c>
      <c r="AP22">
        <v>5.6467525623911899E-2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0.96963851985454697</v>
      </c>
      <c r="AX22" t="s">
        <v>78</v>
      </c>
      <c r="AY22">
        <v>3027280.2422496099</v>
      </c>
      <c r="AZ22" t="s">
        <v>76</v>
      </c>
      <c r="BA22">
        <v>-1.5707963267949001</v>
      </c>
      <c r="BB22">
        <v>0.95867304449448199</v>
      </c>
      <c r="BC22">
        <v>0</v>
      </c>
      <c r="BD22">
        <v>5.4602316308298898E-2</v>
      </c>
      <c r="BE22">
        <v>2.17732754805774E-4</v>
      </c>
      <c r="BF22">
        <v>1.97996890888084E-2</v>
      </c>
      <c r="BG22">
        <v>1.42988590706433E-3</v>
      </c>
      <c r="BH22">
        <v>9.86656310990486E-4</v>
      </c>
      <c r="BI22">
        <v>4.2569659604921102E-2</v>
      </c>
      <c r="BJ22">
        <v>3.1165898747435401E-3</v>
      </c>
      <c r="BK22">
        <v>0.940005264100366</v>
      </c>
      <c r="BL22">
        <v>1.11287574687017E-4</v>
      </c>
      <c r="BM22" s="1">
        <v>4.5686249479664597E-5</v>
      </c>
      <c r="BN22" s="1">
        <v>4.0698208975802002E-7</v>
      </c>
      <c r="BO22" s="1">
        <v>7.1763792867692402E-7</v>
      </c>
      <c r="BP22">
        <v>0</v>
      </c>
      <c r="BQ22">
        <v>0</v>
      </c>
      <c r="BR22" s="1">
        <v>6.8369517297658494E-5</v>
      </c>
      <c r="BS22" s="1">
        <v>2.5631461555159698E-5</v>
      </c>
    </row>
    <row r="23" spans="1:71" x14ac:dyDescent="0.25">
      <c r="A23">
        <v>20</v>
      </c>
      <c r="B23" s="1">
        <v>2.50577947702568E-5</v>
      </c>
      <c r="C23">
        <v>9.06330238708008E-2</v>
      </c>
      <c r="D23">
        <v>-1.9134038660799401E-4</v>
      </c>
      <c r="E23">
        <v>-1.9134038660799401E-4</v>
      </c>
      <c r="F23">
        <v>-9.0633023870800703E-4</v>
      </c>
      <c r="G23">
        <v>-9.0633023870800703E-4</v>
      </c>
      <c r="H23" t="s">
        <v>74</v>
      </c>
      <c r="I23">
        <v>0</v>
      </c>
      <c r="J23" t="s">
        <v>75</v>
      </c>
      <c r="K23">
        <v>3.14159265358979</v>
      </c>
      <c r="L23">
        <v>0.96004208194415197</v>
      </c>
      <c r="M23">
        <v>0</v>
      </c>
      <c r="N23">
        <v>5.6368934949782103E-2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0.96793136896014398</v>
      </c>
      <c r="V23" t="s">
        <v>78</v>
      </c>
      <c r="W23">
        <v>3028896.1843789201</v>
      </c>
      <c r="X23" t="s">
        <v>76</v>
      </c>
      <c r="Y23">
        <v>-1.5707963267949001</v>
      </c>
      <c r="Z23">
        <v>0.95696316568341899</v>
      </c>
      <c r="AA23">
        <v>0</v>
      </c>
      <c r="AB23">
        <v>5.4486907814171398E-2</v>
      </c>
      <c r="AC23">
        <v>2.2941941907346101E-4</v>
      </c>
      <c r="AD23">
        <v>1.9664586378662901E-2</v>
      </c>
      <c r="AE23">
        <v>1.51513926288664E-3</v>
      </c>
      <c r="AF23">
        <v>1.10620332024212E-3</v>
      </c>
      <c r="AG23">
        <v>4.4650552565990403E-2</v>
      </c>
      <c r="AH23">
        <v>3.56926981052906E-3</v>
      </c>
      <c r="AI23">
        <v>0.93671049150153696</v>
      </c>
      <c r="AJ23" t="s">
        <v>74</v>
      </c>
      <c r="AK23">
        <v>0</v>
      </c>
      <c r="AL23" t="s">
        <v>77</v>
      </c>
      <c r="AM23">
        <v>0</v>
      </c>
      <c r="AN23">
        <v>0.96004208194415197</v>
      </c>
      <c r="AO23">
        <v>0</v>
      </c>
      <c r="AP23">
        <v>5.6368934949782103E-2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0.96793136896014298</v>
      </c>
      <c r="AX23" t="s">
        <v>78</v>
      </c>
      <c r="AY23">
        <v>3028896.1843789201</v>
      </c>
      <c r="AZ23" t="s">
        <v>76</v>
      </c>
      <c r="BA23">
        <v>-1.5707963267949001</v>
      </c>
      <c r="BB23">
        <v>0.95696316568341899</v>
      </c>
      <c r="BC23">
        <v>0</v>
      </c>
      <c r="BD23">
        <v>5.4486907814171398E-2</v>
      </c>
      <c r="BE23">
        <v>2.2941941907346001E-4</v>
      </c>
      <c r="BF23">
        <v>1.9664586378662901E-2</v>
      </c>
      <c r="BG23">
        <v>1.5151392628866599E-3</v>
      </c>
      <c r="BH23">
        <v>1.10620332024211E-3</v>
      </c>
      <c r="BI23">
        <v>4.4650552565990501E-2</v>
      </c>
      <c r="BJ23">
        <v>3.56926981052907E-3</v>
      </c>
      <c r="BK23">
        <v>0.93671049150153696</v>
      </c>
      <c r="BL23">
        <v>1.11085262183027E-4</v>
      </c>
      <c r="BM23" s="1">
        <v>4.8219822376519503E-5</v>
      </c>
      <c r="BN23" s="1">
        <v>4.0621005954581902E-7</v>
      </c>
      <c r="BO23" s="1">
        <v>7.5743519867739198E-7</v>
      </c>
      <c r="BP23">
        <v>0</v>
      </c>
      <c r="BQ23">
        <v>0</v>
      </c>
      <c r="BR23" s="1">
        <v>6.8250022657901805E-5</v>
      </c>
      <c r="BS23" s="1">
        <v>2.7053905653752001E-5</v>
      </c>
    </row>
    <row r="24" spans="1:71" x14ac:dyDescent="0.25">
      <c r="A24">
        <v>21</v>
      </c>
      <c r="B24" s="1">
        <v>2.3949582191981599E-5</v>
      </c>
      <c r="C24">
        <v>9.0656973452992798E-2</v>
      </c>
      <c r="D24">
        <v>-1.91483549380428E-4</v>
      </c>
      <c r="E24">
        <v>-1.91483549380428E-4</v>
      </c>
      <c r="F24">
        <v>-9.0656973452992698E-4</v>
      </c>
      <c r="G24">
        <v>-9.0656973452992698E-4</v>
      </c>
      <c r="H24" t="s">
        <v>74</v>
      </c>
      <c r="I24">
        <v>0</v>
      </c>
      <c r="J24" t="s">
        <v>75</v>
      </c>
      <c r="K24">
        <v>3.14159265358979</v>
      </c>
      <c r="L24">
        <v>0.958363276116176</v>
      </c>
      <c r="M24">
        <v>0</v>
      </c>
      <c r="N24">
        <v>5.6270363753487401E-2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0.96622577910780905</v>
      </c>
      <c r="V24" t="s">
        <v>78</v>
      </c>
      <c r="W24">
        <v>3030440.4659237298</v>
      </c>
      <c r="X24" t="s">
        <v>76</v>
      </c>
      <c r="Y24">
        <v>-1.5707963267949001</v>
      </c>
      <c r="Z24">
        <v>0.95525526205209599</v>
      </c>
      <c r="AA24">
        <v>0</v>
      </c>
      <c r="AB24">
        <v>5.4372492875223999E-2</v>
      </c>
      <c r="AC24">
        <v>2.4102526527859501E-4</v>
      </c>
      <c r="AD24">
        <v>1.95196940716546E-2</v>
      </c>
      <c r="AE24">
        <v>1.6001722130186101E-3</v>
      </c>
      <c r="AF24">
        <v>1.23257309963353E-3</v>
      </c>
      <c r="AG24">
        <v>4.6690775542605999E-2</v>
      </c>
      <c r="AH24">
        <v>4.0621191913870298E-3</v>
      </c>
      <c r="AI24">
        <v>0.93342351056884998</v>
      </c>
      <c r="AJ24" t="s">
        <v>74</v>
      </c>
      <c r="AK24">
        <v>0</v>
      </c>
      <c r="AL24" t="s">
        <v>77</v>
      </c>
      <c r="AM24">
        <v>0</v>
      </c>
      <c r="AN24">
        <v>0.958363276116176</v>
      </c>
      <c r="AO24">
        <v>0</v>
      </c>
      <c r="AP24">
        <v>5.6270363753487498E-2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0.96622577910781005</v>
      </c>
      <c r="AX24" t="s">
        <v>78</v>
      </c>
      <c r="AY24">
        <v>3030440.4659237401</v>
      </c>
      <c r="AZ24" t="s">
        <v>76</v>
      </c>
      <c r="BA24">
        <v>-1.5707963267949001</v>
      </c>
      <c r="BB24">
        <v>0.95525526205209599</v>
      </c>
      <c r="BC24">
        <v>0</v>
      </c>
      <c r="BD24">
        <v>5.4372492875223999E-2</v>
      </c>
      <c r="BE24">
        <v>2.4102526527859701E-4</v>
      </c>
      <c r="BF24">
        <v>1.95196940716547E-2</v>
      </c>
      <c r="BG24">
        <v>1.6001722130186101E-3</v>
      </c>
      <c r="BH24">
        <v>1.2325730996334901E-3</v>
      </c>
      <c r="BI24">
        <v>4.6690775542605603E-2</v>
      </c>
      <c r="BJ24">
        <v>4.0621191913869301E-3</v>
      </c>
      <c r="BK24">
        <v>0.93342351056885098</v>
      </c>
      <c r="BL24">
        <v>1.1088388189399001E-4</v>
      </c>
      <c r="BM24" s="1">
        <v>5.0752894733992799E-5</v>
      </c>
      <c r="BN24" s="1">
        <v>4.05446089937417E-7</v>
      </c>
      <c r="BO24" s="1">
        <v>7.9722460622363901E-7</v>
      </c>
      <c r="BP24">
        <v>0</v>
      </c>
      <c r="BQ24">
        <v>0</v>
      </c>
      <c r="BR24" s="1">
        <v>6.8130845283371997E-5</v>
      </c>
      <c r="BS24" s="1">
        <v>2.8476129083675999E-5</v>
      </c>
    </row>
    <row r="25" spans="1:71" x14ac:dyDescent="0.25">
      <c r="A25">
        <v>22</v>
      </c>
      <c r="B25" s="1">
        <v>2.2954779894827501E-5</v>
      </c>
      <c r="C25">
        <v>9.0679928232887605E-2</v>
      </c>
      <c r="D25">
        <v>-1.91620749118614E-4</v>
      </c>
      <c r="E25">
        <v>-1.91620749118614E-4</v>
      </c>
      <c r="F25">
        <v>-9.0679928232887601E-4</v>
      </c>
      <c r="G25">
        <v>-9.0679928232887601E-4</v>
      </c>
      <c r="H25" t="s">
        <v>74</v>
      </c>
      <c r="I25">
        <v>0</v>
      </c>
      <c r="J25" t="s">
        <v>75</v>
      </c>
      <c r="K25">
        <v>3.14159265358979</v>
      </c>
      <c r="L25">
        <v>0.95668481032973895</v>
      </c>
      <c r="M25">
        <v>0</v>
      </c>
      <c r="N25">
        <v>5.6171812522754397E-2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0.96452156417551305</v>
      </c>
      <c r="V25" t="s">
        <v>78</v>
      </c>
      <c r="W25">
        <v>3031920.4248546101</v>
      </c>
      <c r="X25" t="s">
        <v>76</v>
      </c>
      <c r="Y25">
        <v>-1.5707963267949001</v>
      </c>
      <c r="Z25">
        <v>0.95354917955023599</v>
      </c>
      <c r="AA25">
        <v>0</v>
      </c>
      <c r="AB25">
        <v>5.4258973630419503E-2</v>
      </c>
      <c r="AC25">
        <v>2.5268926365635598E-4</v>
      </c>
      <c r="AD25">
        <v>1.9365349615372798E-2</v>
      </c>
      <c r="AE25">
        <v>1.68494795294004E-3</v>
      </c>
      <c r="AF25">
        <v>1.36578417770874E-3</v>
      </c>
      <c r="AG25">
        <v>4.8688584733780099E-2</v>
      </c>
      <c r="AH25">
        <v>4.5968692847570304E-3</v>
      </c>
      <c r="AI25">
        <v>0.93014414884730301</v>
      </c>
      <c r="AJ25" t="s">
        <v>74</v>
      </c>
      <c r="AK25">
        <v>0</v>
      </c>
      <c r="AL25" t="s">
        <v>77</v>
      </c>
      <c r="AM25">
        <v>0</v>
      </c>
      <c r="AN25">
        <v>0.95668481032973895</v>
      </c>
      <c r="AO25">
        <v>0</v>
      </c>
      <c r="AP25">
        <v>5.6171812522754397E-2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0.96452156417551305</v>
      </c>
      <c r="AX25" t="s">
        <v>78</v>
      </c>
      <c r="AY25">
        <v>3031920.4248546101</v>
      </c>
      <c r="AZ25" t="s">
        <v>76</v>
      </c>
      <c r="BA25">
        <v>-1.5707963267949001</v>
      </c>
      <c r="BB25">
        <v>0.95354917955023599</v>
      </c>
      <c r="BC25">
        <v>0</v>
      </c>
      <c r="BD25">
        <v>5.4258973630419503E-2</v>
      </c>
      <c r="BE25">
        <v>2.5268926365635598E-4</v>
      </c>
      <c r="BF25">
        <v>1.9365349615372798E-2</v>
      </c>
      <c r="BG25">
        <v>1.68494795294004E-3</v>
      </c>
      <c r="BH25">
        <v>1.3657841777087001E-3</v>
      </c>
      <c r="BI25">
        <v>4.86885847337796E-2</v>
      </c>
      <c r="BJ25">
        <v>4.5968692847569098E-3</v>
      </c>
      <c r="BK25">
        <v>0.93014414884730401</v>
      </c>
      <c r="BL25">
        <v>1.1068347541683001E-4</v>
      </c>
      <c r="BM25" s="1">
        <v>5.3285454018536799E-5</v>
      </c>
      <c r="BN25" s="1">
        <v>4.0469026260642901E-7</v>
      </c>
      <c r="BO25" s="1">
        <v>8.3700595443916E-7</v>
      </c>
      <c r="BP25">
        <v>0</v>
      </c>
      <c r="BQ25">
        <v>0</v>
      </c>
      <c r="BR25" s="1">
        <v>6.8012029274389606E-5</v>
      </c>
      <c r="BS25" s="1">
        <v>2.9898122758814399E-5</v>
      </c>
    </row>
    <row r="26" spans="1:71" x14ac:dyDescent="0.25">
      <c r="A26">
        <v>23</v>
      </c>
      <c r="B26" s="1">
        <v>2.2058052816969498E-5</v>
      </c>
      <c r="C26">
        <v>9.07019862857045E-2</v>
      </c>
      <c r="D26">
        <v>-1.9175257402559201E-4</v>
      </c>
      <c r="E26">
        <v>-1.9175257402559201E-4</v>
      </c>
      <c r="F26">
        <v>-9.0701986285704505E-4</v>
      </c>
      <c r="G26">
        <v>-9.0701986285704505E-4</v>
      </c>
      <c r="H26" t="s">
        <v>74</v>
      </c>
      <c r="I26">
        <v>0</v>
      </c>
      <c r="J26" t="s">
        <v>75</v>
      </c>
      <c r="K26">
        <v>3.14159265358979</v>
      </c>
      <c r="L26">
        <v>0.95500669344488798</v>
      </c>
      <c r="M26">
        <v>0</v>
      </c>
      <c r="N26">
        <v>5.6073281777801298E-2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0.96281857787576697</v>
      </c>
      <c r="V26" t="s">
        <v>78</v>
      </c>
      <c r="W26">
        <v>3033342.4060549801</v>
      </c>
      <c r="X26" t="s">
        <v>76</v>
      </c>
      <c r="Y26">
        <v>-1.5707963267949001</v>
      </c>
      <c r="Z26">
        <v>0.95184478638644598</v>
      </c>
      <c r="AA26">
        <v>0</v>
      </c>
      <c r="AB26">
        <v>5.41462656567216E-2</v>
      </c>
      <c r="AC26">
        <v>2.6426673522023401E-4</v>
      </c>
      <c r="AD26">
        <v>1.9201846653828999E-2</v>
      </c>
      <c r="AE26">
        <v>1.7694305996327599E-3</v>
      </c>
      <c r="AF26">
        <v>1.50585495009342E-3</v>
      </c>
      <c r="AG26">
        <v>5.0642208670709503E-2</v>
      </c>
      <c r="AH26">
        <v>5.1752781909286298E-3</v>
      </c>
      <c r="AI26">
        <v>0.92687227408337503</v>
      </c>
      <c r="AJ26" t="s">
        <v>74</v>
      </c>
      <c r="AK26">
        <v>0</v>
      </c>
      <c r="AL26" t="s">
        <v>77</v>
      </c>
      <c r="AM26">
        <v>0</v>
      </c>
      <c r="AN26">
        <v>0.95500669344488898</v>
      </c>
      <c r="AO26">
        <v>0</v>
      </c>
      <c r="AP26">
        <v>5.6073281777801298E-2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0.96281857787576797</v>
      </c>
      <c r="AX26" t="s">
        <v>78</v>
      </c>
      <c r="AY26">
        <v>3033342.4060549801</v>
      </c>
      <c r="AZ26" t="s">
        <v>76</v>
      </c>
      <c r="BA26">
        <v>-1.5707963267949001</v>
      </c>
      <c r="BB26">
        <v>0.95184478638644698</v>
      </c>
      <c r="BC26">
        <v>0</v>
      </c>
      <c r="BD26">
        <v>5.41462656567216E-2</v>
      </c>
      <c r="BE26">
        <v>2.6426673522023699E-4</v>
      </c>
      <c r="BF26">
        <v>1.9201846653828999E-2</v>
      </c>
      <c r="BG26">
        <v>1.7694305996327599E-3</v>
      </c>
      <c r="BH26">
        <v>1.5058549500933801E-3</v>
      </c>
      <c r="BI26">
        <v>5.06422086707091E-2</v>
      </c>
      <c r="BJ26">
        <v>5.1752781909285102E-3</v>
      </c>
      <c r="BK26">
        <v>0.92687227408337602</v>
      </c>
      <c r="BL26">
        <v>1.10483814169743E-4</v>
      </c>
      <c r="BM26" s="1">
        <v>5.5817486861637903E-5</v>
      </c>
      <c r="BN26" s="1">
        <v>4.0394085595296499E-7</v>
      </c>
      <c r="BO26" s="1">
        <v>8.7677903333183202E-7</v>
      </c>
      <c r="BP26">
        <v>0</v>
      </c>
      <c r="BQ26">
        <v>0</v>
      </c>
      <c r="BR26" s="1">
        <v>6.7893464346632795E-5</v>
      </c>
      <c r="BS26" s="1">
        <v>3.1319877375391099E-5</v>
      </c>
    </row>
    <row r="27" spans="1:71" x14ac:dyDescent="0.25">
      <c r="A27">
        <v>24</v>
      </c>
      <c r="B27" s="1">
        <v>2.1246780283018898E-5</v>
      </c>
      <c r="C27">
        <v>9.0723233065987605E-2</v>
      </c>
      <c r="D27">
        <v>-1.9187953654357199E-4</v>
      </c>
      <c r="E27">
        <v>-1.9187953654357199E-4</v>
      </c>
      <c r="F27">
        <v>-9.0723233065987503E-4</v>
      </c>
      <c r="G27">
        <v>-9.0723233065987503E-4</v>
      </c>
      <c r="H27" t="s">
        <v>74</v>
      </c>
      <c r="I27">
        <v>0</v>
      </c>
      <c r="J27" t="s">
        <v>75</v>
      </c>
      <c r="K27">
        <v>3.14159265358979</v>
      </c>
      <c r="L27">
        <v>0.95332893490987303</v>
      </c>
      <c r="M27">
        <v>0</v>
      </c>
      <c r="N27">
        <v>5.5974772073382702E-2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0.96111670424834095</v>
      </c>
      <c r="V27" t="s">
        <v>78</v>
      </c>
      <c r="W27">
        <v>3034711.9371842402</v>
      </c>
      <c r="X27" t="s">
        <v>76</v>
      </c>
      <c r="Y27">
        <v>-1.5707963267949001</v>
      </c>
      <c r="Z27">
        <v>0.95014196924548799</v>
      </c>
      <c r="AA27">
        <v>0</v>
      </c>
      <c r="AB27">
        <v>5.40342955934556E-2</v>
      </c>
      <c r="AC27">
        <v>2.7582480919986302E-4</v>
      </c>
      <c r="AD27">
        <v>1.9029442772693101E-2</v>
      </c>
      <c r="AE27">
        <v>1.8535850407185701E-3</v>
      </c>
      <c r="AF27">
        <v>1.65280366309326E-3</v>
      </c>
      <c r="AG27">
        <v>5.2549846333953099E-2</v>
      </c>
      <c r="AH27">
        <v>5.7991326733163604E-3</v>
      </c>
      <c r="AI27">
        <v>0.92360778473903804</v>
      </c>
      <c r="AJ27" t="s">
        <v>74</v>
      </c>
      <c r="AK27">
        <v>0</v>
      </c>
      <c r="AL27" t="s">
        <v>77</v>
      </c>
      <c r="AM27">
        <v>0</v>
      </c>
      <c r="AN27">
        <v>0.95332893490987403</v>
      </c>
      <c r="AO27">
        <v>0</v>
      </c>
      <c r="AP27">
        <v>5.5974772073382799E-2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0.96111670424834095</v>
      </c>
      <c r="AX27" t="s">
        <v>78</v>
      </c>
      <c r="AY27">
        <v>3034711.9371842402</v>
      </c>
      <c r="AZ27" t="s">
        <v>76</v>
      </c>
      <c r="BA27">
        <v>-1.5707963267949001</v>
      </c>
      <c r="BB27">
        <v>0.95014196924548799</v>
      </c>
      <c r="BC27">
        <v>0</v>
      </c>
      <c r="BD27">
        <v>5.40342955934556E-2</v>
      </c>
      <c r="BE27">
        <v>2.7582480919986302E-4</v>
      </c>
      <c r="BF27">
        <v>1.9029442772693101E-2</v>
      </c>
      <c r="BG27">
        <v>1.8535850407185701E-3</v>
      </c>
      <c r="BH27">
        <v>1.6528036630932201E-3</v>
      </c>
      <c r="BI27">
        <v>5.2549846333952703E-2</v>
      </c>
      <c r="BJ27">
        <v>5.7991326733162398E-3</v>
      </c>
      <c r="BK27">
        <v>0.92360778473903904</v>
      </c>
      <c r="BL27">
        <v>1.1028489247603799E-4</v>
      </c>
      <c r="BM27" s="1">
        <v>5.8348979007269199E-5</v>
      </c>
      <c r="BN27" s="1">
        <v>4.0319768201823997E-7</v>
      </c>
      <c r="BO27" s="1">
        <v>9.1654361896851004E-7</v>
      </c>
      <c r="BP27">
        <v>0</v>
      </c>
      <c r="BQ27">
        <v>0</v>
      </c>
      <c r="BR27" s="1">
        <v>6.77751629826071E-5</v>
      </c>
      <c r="BS27" s="1">
        <v>3.2741383351626597E-5</v>
      </c>
    </row>
    <row r="28" spans="1:71" x14ac:dyDescent="0.25">
      <c r="A28">
        <v>25</v>
      </c>
      <c r="B28" s="1">
        <v>2.0510486285850399E-5</v>
      </c>
      <c r="C28">
        <v>9.0743743552273395E-2</v>
      </c>
      <c r="D28">
        <v>-1.9200208623389601E-4</v>
      </c>
      <c r="E28">
        <v>-1.9200208623389601E-4</v>
      </c>
      <c r="F28">
        <v>-9.0743743552273396E-4</v>
      </c>
      <c r="G28">
        <v>-9.0743743552273396E-4</v>
      </c>
      <c r="H28" t="s">
        <v>74</v>
      </c>
      <c r="I28">
        <v>0</v>
      </c>
      <c r="J28" t="s">
        <v>75</v>
      </c>
      <c r="K28">
        <v>3.14159265358979</v>
      </c>
      <c r="L28">
        <v>0.95165154479956804</v>
      </c>
      <c r="M28">
        <v>0</v>
      </c>
      <c r="N28">
        <v>5.5876284001045599E-2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0.95941585082303904</v>
      </c>
      <c r="V28" t="s">
        <v>78</v>
      </c>
      <c r="W28">
        <v>3036033.8676126101</v>
      </c>
      <c r="X28" t="s">
        <v>76</v>
      </c>
      <c r="Y28">
        <v>-1.5707963267949001</v>
      </c>
      <c r="Z28">
        <v>0.94844063030776704</v>
      </c>
      <c r="AA28">
        <v>0</v>
      </c>
      <c r="AB28">
        <v>5.3922999267538102E-2</v>
      </c>
      <c r="AC28">
        <v>2.8742871266223001E-4</v>
      </c>
      <c r="AD28">
        <v>1.8848365629820799E-2</v>
      </c>
      <c r="AE28">
        <v>1.9373768103616699E-3</v>
      </c>
      <c r="AF28">
        <v>1.80664839611845E-3</v>
      </c>
      <c r="AG28">
        <v>5.4409665179823E-2</v>
      </c>
      <c r="AH28">
        <v>6.4702500740981298E-3</v>
      </c>
      <c r="AI28">
        <v>0.92035060317852802</v>
      </c>
      <c r="AJ28" t="s">
        <v>74</v>
      </c>
      <c r="AK28">
        <v>0</v>
      </c>
      <c r="AL28" t="s">
        <v>77</v>
      </c>
      <c r="AM28">
        <v>0</v>
      </c>
      <c r="AN28">
        <v>0.95165154479956804</v>
      </c>
      <c r="AO28">
        <v>0</v>
      </c>
      <c r="AP28">
        <v>5.5876284001045599E-2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0.95941585082303904</v>
      </c>
      <c r="AX28" t="s">
        <v>78</v>
      </c>
      <c r="AY28">
        <v>3036033.8676126101</v>
      </c>
      <c r="AZ28" t="s">
        <v>76</v>
      </c>
      <c r="BA28">
        <v>-1.5707963267949001</v>
      </c>
      <c r="BB28">
        <v>0.94844063030776804</v>
      </c>
      <c r="BC28">
        <v>0</v>
      </c>
      <c r="BD28">
        <v>5.3922999267538102E-2</v>
      </c>
      <c r="BE28">
        <v>2.8742871266223202E-4</v>
      </c>
      <c r="BF28">
        <v>1.8848365629820899E-2</v>
      </c>
      <c r="BG28">
        <v>1.9373768103616699E-3</v>
      </c>
      <c r="BH28">
        <v>1.8066483961184101E-3</v>
      </c>
      <c r="BI28">
        <v>5.4409665179822597E-2</v>
      </c>
      <c r="BJ28">
        <v>6.4702500740980102E-3</v>
      </c>
      <c r="BK28">
        <v>0.92035060317852901</v>
      </c>
      <c r="BL28">
        <v>1.10086711981246E-4</v>
      </c>
      <c r="BM28" s="1">
        <v>6.08799152539208E-5</v>
      </c>
      <c r="BN28" s="1">
        <v>4.0246062132041498E-7</v>
      </c>
      <c r="BO28" s="1">
        <v>9.5629947256443507E-7</v>
      </c>
      <c r="BP28">
        <v>0</v>
      </c>
      <c r="BQ28">
        <v>0</v>
      </c>
      <c r="BR28" s="1">
        <v>6.7657139867563704E-5</v>
      </c>
      <c r="BS28" s="1">
        <v>3.4162630769995002E-5</v>
      </c>
    </row>
    <row r="29" spans="1:71" x14ac:dyDescent="0.25">
      <c r="A29">
        <v>26</v>
      </c>
      <c r="B29" s="1">
        <v>1.9840408108849601E-5</v>
      </c>
      <c r="C29">
        <v>9.0763583960382296E-2</v>
      </c>
      <c r="D29">
        <v>-1.92120620065133E-4</v>
      </c>
      <c r="E29">
        <v>-1.92120620065133E-4</v>
      </c>
      <c r="F29">
        <v>-9.0763583960382305E-4</v>
      </c>
      <c r="G29">
        <v>-9.0763583960382305E-4</v>
      </c>
      <c r="H29" t="s">
        <v>74</v>
      </c>
      <c r="I29">
        <v>0</v>
      </c>
      <c r="J29" t="s">
        <v>75</v>
      </c>
      <c r="K29">
        <v>3.14159265358979</v>
      </c>
      <c r="L29">
        <v>0.94997453385785202</v>
      </c>
      <c r="M29">
        <v>0</v>
      </c>
      <c r="N29">
        <v>5.5777818191617499E-2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0.95771594362540602</v>
      </c>
      <c r="V29" t="s">
        <v>78</v>
      </c>
      <c r="W29">
        <v>3037312.4793976601</v>
      </c>
      <c r="X29" t="s">
        <v>76</v>
      </c>
      <c r="Y29">
        <v>-1.5707963267949001</v>
      </c>
      <c r="Z29">
        <v>0.94674068487778695</v>
      </c>
      <c r="AA29">
        <v>0</v>
      </c>
      <c r="AB29">
        <v>5.3812320197775598E-2</v>
      </c>
      <c r="AC29">
        <v>2.9893720375380998E-4</v>
      </c>
      <c r="AD29">
        <v>1.8658817862650199E-2</v>
      </c>
      <c r="AE29">
        <v>2.0207719862733501E-3</v>
      </c>
      <c r="AF29">
        <v>1.9674070427372001E-3</v>
      </c>
      <c r="AG29">
        <v>5.6219799064782E-2</v>
      </c>
      <c r="AH29">
        <v>7.19048032586683E-3</v>
      </c>
      <c r="AI29">
        <v>0.91710067070094303</v>
      </c>
      <c r="AJ29" t="s">
        <v>74</v>
      </c>
      <c r="AK29">
        <v>0</v>
      </c>
      <c r="AL29" t="s">
        <v>77</v>
      </c>
      <c r="AM29">
        <v>0</v>
      </c>
      <c r="AN29">
        <v>0.94997453385785202</v>
      </c>
      <c r="AO29">
        <v>0</v>
      </c>
      <c r="AP29">
        <v>5.5777818191617499E-2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0.95771594362540602</v>
      </c>
      <c r="AX29" t="s">
        <v>78</v>
      </c>
      <c r="AY29">
        <v>3037312.4793976601</v>
      </c>
      <c r="AZ29" t="s">
        <v>76</v>
      </c>
      <c r="BA29">
        <v>-1.5707963267949001</v>
      </c>
      <c r="BB29">
        <v>0.94674068487778695</v>
      </c>
      <c r="BC29">
        <v>0</v>
      </c>
      <c r="BD29">
        <v>5.3812320197775598E-2</v>
      </c>
      <c r="BE29">
        <v>2.9893720375381199E-4</v>
      </c>
      <c r="BF29">
        <v>1.8658817862650199E-2</v>
      </c>
      <c r="BG29">
        <v>2.0207719862733401E-3</v>
      </c>
      <c r="BH29">
        <v>1.9674070427371602E-3</v>
      </c>
      <c r="BI29">
        <v>5.6219799064781598E-2</v>
      </c>
      <c r="BJ29">
        <v>7.1904803258666999E-3</v>
      </c>
      <c r="BK29">
        <v>0.91710067070094403</v>
      </c>
      <c r="BL29">
        <v>1.0988907559314699E-4</v>
      </c>
      <c r="BM29" s="1">
        <v>6.3410279390648601E-5</v>
      </c>
      <c r="BN29" s="1">
        <v>4.0172822304330498E-7</v>
      </c>
      <c r="BO29" s="1">
        <v>9.9604633947869001E-7</v>
      </c>
      <c r="BP29">
        <v>0</v>
      </c>
      <c r="BQ29">
        <v>0</v>
      </c>
      <c r="BR29" s="1">
        <v>6.7539296567334199E-5</v>
      </c>
      <c r="BS29" s="1">
        <v>3.5583609320623899E-5</v>
      </c>
    </row>
    <row r="30" spans="1:71" x14ac:dyDescent="0.25">
      <c r="A30">
        <v>27</v>
      </c>
      <c r="B30" s="1">
        <v>1.9229165677323899E-5</v>
      </c>
      <c r="C30">
        <v>9.0782813126059597E-2</v>
      </c>
      <c r="D30">
        <v>-1.9223549071470999E-4</v>
      </c>
      <c r="E30">
        <v>-1.9223549071470999E-4</v>
      </c>
      <c r="F30">
        <v>-9.0782813126059599E-4</v>
      </c>
      <c r="G30">
        <v>-9.0782813126059599E-4</v>
      </c>
      <c r="H30" t="s">
        <v>74</v>
      </c>
      <c r="I30">
        <v>0</v>
      </c>
      <c r="J30" t="s">
        <v>75</v>
      </c>
      <c r="K30">
        <v>3.14159265358979</v>
      </c>
      <c r="L30">
        <v>0.94829791354437099</v>
      </c>
      <c r="M30">
        <v>0</v>
      </c>
      <c r="N30">
        <v>5.56793753179523E-2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0.95601692347577705</v>
      </c>
      <c r="V30" t="s">
        <v>78</v>
      </c>
      <c r="W30">
        <v>3038551.5768331601</v>
      </c>
      <c r="X30" t="s">
        <v>76</v>
      </c>
      <c r="Y30">
        <v>-1.5707963267949001</v>
      </c>
      <c r="Z30">
        <v>0.945042059480943</v>
      </c>
      <c r="AA30">
        <v>0</v>
      </c>
      <c r="AB30">
        <v>5.3702208389628199E-2</v>
      </c>
      <c r="AC30">
        <v>3.10482779350616E-4</v>
      </c>
      <c r="AD30">
        <v>1.84609810577041E-2</v>
      </c>
      <c r="AE30">
        <v>2.1037371035486098E-3</v>
      </c>
      <c r="AF30">
        <v>2.13509729015693E-3</v>
      </c>
      <c r="AG30">
        <v>5.79783460560108E-2</v>
      </c>
      <c r="AH30">
        <v>7.9617080705159209E-3</v>
      </c>
      <c r="AI30">
        <v>0.91385794386934105</v>
      </c>
      <c r="AJ30" t="s">
        <v>74</v>
      </c>
      <c r="AK30">
        <v>0</v>
      </c>
      <c r="AL30" t="s">
        <v>77</v>
      </c>
      <c r="AM30">
        <v>0</v>
      </c>
      <c r="AN30">
        <v>0.94829791354437099</v>
      </c>
      <c r="AO30">
        <v>0</v>
      </c>
      <c r="AP30">
        <v>5.56793753179523E-2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0.95601692347577705</v>
      </c>
      <c r="AX30" t="s">
        <v>78</v>
      </c>
      <c r="AY30">
        <v>3038551.5768331699</v>
      </c>
      <c r="AZ30" t="s">
        <v>76</v>
      </c>
      <c r="BA30">
        <v>-1.5707963267949001</v>
      </c>
      <c r="BB30">
        <v>0.945042059480943</v>
      </c>
      <c r="BC30">
        <v>0</v>
      </c>
      <c r="BD30">
        <v>5.3702208389628199E-2</v>
      </c>
      <c r="BE30">
        <v>3.10482779350618E-4</v>
      </c>
      <c r="BF30">
        <v>1.84609810577041E-2</v>
      </c>
      <c r="BG30">
        <v>2.1037371035486098E-3</v>
      </c>
      <c r="BH30">
        <v>2.1350972901569001E-3</v>
      </c>
      <c r="BI30">
        <v>5.7978346056010502E-2</v>
      </c>
      <c r="BJ30">
        <v>7.9617080705158098E-3</v>
      </c>
      <c r="BK30">
        <v>0.91385794386934105</v>
      </c>
      <c r="BL30">
        <v>1.09692066486931E-4</v>
      </c>
      <c r="BM30" s="1">
        <v>6.5940054126526498E-5</v>
      </c>
      <c r="BN30" s="1">
        <v>4.0100094902980402E-7</v>
      </c>
      <c r="BO30" s="1">
        <v>1.03578394810604E-6</v>
      </c>
      <c r="BP30">
        <v>0</v>
      </c>
      <c r="BQ30">
        <v>0</v>
      </c>
      <c r="BR30" s="1">
        <v>6.7421690571637706E-5</v>
      </c>
      <c r="BS30" s="1">
        <v>3.70043082446253E-5</v>
      </c>
    </row>
    <row r="31" spans="1:71" x14ac:dyDescent="0.25">
      <c r="A31">
        <v>28</v>
      </c>
      <c r="B31" s="1">
        <v>1.8670505289944799E-5</v>
      </c>
      <c r="C31">
        <v>9.0801483631349503E-2</v>
      </c>
      <c r="D31">
        <v>-1.9234701333109899E-4</v>
      </c>
      <c r="E31">
        <v>-1.9234701333109899E-4</v>
      </c>
      <c r="F31">
        <v>-9.0801483631349498E-4</v>
      </c>
      <c r="G31">
        <v>-9.0801483631349498E-4</v>
      </c>
      <c r="H31" t="s">
        <v>74</v>
      </c>
      <c r="I31">
        <v>0</v>
      </c>
      <c r="J31" t="s">
        <v>75</v>
      </c>
      <c r="K31">
        <v>3.14159265358979</v>
      </c>
      <c r="L31">
        <v>0.94662169608615998</v>
      </c>
      <c r="M31">
        <v>0</v>
      </c>
      <c r="N31">
        <v>5.5580956097961202E-2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0.95431874321133003</v>
      </c>
      <c r="V31" t="s">
        <v>78</v>
      </c>
      <c r="W31">
        <v>3039754.5593920401</v>
      </c>
      <c r="X31" t="s">
        <v>76</v>
      </c>
      <c r="Y31">
        <v>-1.5707963267949001</v>
      </c>
      <c r="Z31">
        <v>0.94334469032502399</v>
      </c>
      <c r="AA31">
        <v>0</v>
      </c>
      <c r="AB31">
        <v>5.3592619355072597E-2</v>
      </c>
      <c r="AC31">
        <v>3.2192680879137902E-4</v>
      </c>
      <c r="AD31">
        <v>1.8255018992961398E-2</v>
      </c>
      <c r="AE31">
        <v>2.18623908207053E-3</v>
      </c>
      <c r="AF31">
        <v>2.3097365969159001E-3</v>
      </c>
      <c r="AG31">
        <v>5.9683366115459102E-2</v>
      </c>
      <c r="AH31">
        <v>8.7858548972863399E-3</v>
      </c>
      <c r="AI31">
        <v>0.91062239176631299</v>
      </c>
      <c r="AJ31" t="s">
        <v>74</v>
      </c>
      <c r="AK31">
        <v>0</v>
      </c>
      <c r="AL31" t="s">
        <v>77</v>
      </c>
      <c r="AM31">
        <v>0</v>
      </c>
      <c r="AN31">
        <v>0.94662169608615998</v>
      </c>
      <c r="AO31">
        <v>0</v>
      </c>
      <c r="AP31">
        <v>5.5580956097961202E-2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0.95431874321133003</v>
      </c>
      <c r="AX31" t="s">
        <v>78</v>
      </c>
      <c r="AY31">
        <v>3039754.5593920401</v>
      </c>
      <c r="AZ31" t="s">
        <v>76</v>
      </c>
      <c r="BA31">
        <v>-1.5707963267949001</v>
      </c>
      <c r="BB31">
        <v>0.94334469032502399</v>
      </c>
      <c r="BC31">
        <v>0</v>
      </c>
      <c r="BD31">
        <v>5.3592619355072701E-2</v>
      </c>
      <c r="BE31">
        <v>3.2192680879137799E-4</v>
      </c>
      <c r="BF31">
        <v>1.8255018992961398E-2</v>
      </c>
      <c r="BG31">
        <v>2.1862390820705201E-3</v>
      </c>
      <c r="BH31">
        <v>2.3097365969158598E-3</v>
      </c>
      <c r="BI31">
        <v>5.9683366115458797E-2</v>
      </c>
      <c r="BJ31">
        <v>8.7858548972862306E-3</v>
      </c>
      <c r="BK31">
        <v>0.91062239176631399</v>
      </c>
      <c r="BL31">
        <v>1.0949550226182499E-4</v>
      </c>
      <c r="BM31" s="1">
        <v>6.8469221012745199E-5</v>
      </c>
      <c r="BN31" s="1">
        <v>4.0027747213671898E-7</v>
      </c>
      <c r="BO31" s="1">
        <v>1.0755120086532799E-6</v>
      </c>
      <c r="BP31">
        <v>0</v>
      </c>
      <c r="BQ31">
        <v>0</v>
      </c>
      <c r="BR31" s="1">
        <v>6.7304229196243207E-5</v>
      </c>
      <c r="BS31" s="1">
        <v>3.8424716276269698E-5</v>
      </c>
    </row>
    <row r="32" spans="1:71" x14ac:dyDescent="0.25">
      <c r="A32">
        <v>29</v>
      </c>
      <c r="B32" s="1">
        <v>1.8159098987635498E-5</v>
      </c>
      <c r="C32">
        <v>9.0819642730337199E-2</v>
      </c>
      <c r="D32">
        <v>-1.9245547109086601E-4</v>
      </c>
      <c r="E32">
        <v>-1.9245547109086601E-4</v>
      </c>
      <c r="F32">
        <v>-9.0819642730337205E-4</v>
      </c>
      <c r="G32">
        <v>-9.0819642730337205E-4</v>
      </c>
      <c r="H32" t="s">
        <v>74</v>
      </c>
      <c r="I32">
        <v>0</v>
      </c>
      <c r="J32" t="s">
        <v>75</v>
      </c>
      <c r="K32">
        <v>3.14159265358979</v>
      </c>
      <c r="L32">
        <v>0.94494589453468603</v>
      </c>
      <c r="M32">
        <v>0</v>
      </c>
      <c r="N32">
        <v>5.5482561297961898E-2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0.95262136557778399</v>
      </c>
      <c r="V32" t="s">
        <v>78</v>
      </c>
      <c r="W32">
        <v>3040924.4816696802</v>
      </c>
      <c r="X32" t="s">
        <v>76</v>
      </c>
      <c r="Y32">
        <v>-1.5707963267949001</v>
      </c>
      <c r="Z32">
        <v>0.94164852204900196</v>
      </c>
      <c r="AA32">
        <v>0</v>
      </c>
      <c r="AB32">
        <v>5.3483513308715598E-2</v>
      </c>
      <c r="AC32">
        <v>3.3339879887279999E-4</v>
      </c>
      <c r="AD32">
        <v>1.8041080310873699E-2</v>
      </c>
      <c r="AE32">
        <v>2.2682451649612902E-3</v>
      </c>
      <c r="AF32">
        <v>2.4913421685520401E-3</v>
      </c>
      <c r="AG32">
        <v>6.1332878643757603E-2</v>
      </c>
      <c r="AH32">
        <v>9.6648817127947696E-3</v>
      </c>
      <c r="AI32">
        <v>0.90739399392303799</v>
      </c>
      <c r="AJ32" t="s">
        <v>74</v>
      </c>
      <c r="AK32">
        <v>0</v>
      </c>
      <c r="AL32" t="s">
        <v>77</v>
      </c>
      <c r="AM32">
        <v>0</v>
      </c>
      <c r="AN32">
        <v>0.94494589453468603</v>
      </c>
      <c r="AO32">
        <v>0</v>
      </c>
      <c r="AP32">
        <v>5.5482561297962002E-2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0.95262136557778399</v>
      </c>
      <c r="AX32" t="s">
        <v>78</v>
      </c>
      <c r="AY32">
        <v>3040924.4816696802</v>
      </c>
      <c r="AZ32" t="s">
        <v>76</v>
      </c>
      <c r="BA32">
        <v>-1.5707963267949001</v>
      </c>
      <c r="BB32">
        <v>0.94164852204900196</v>
      </c>
      <c r="BC32">
        <v>0</v>
      </c>
      <c r="BD32">
        <v>5.3483513308715598E-2</v>
      </c>
      <c r="BE32">
        <v>3.33398798872802E-4</v>
      </c>
      <c r="BF32">
        <v>1.80410803108738E-2</v>
      </c>
      <c r="BG32">
        <v>2.2682451649612802E-3</v>
      </c>
      <c r="BH32">
        <v>2.4913421685519902E-3</v>
      </c>
      <c r="BI32">
        <v>6.1332878643757201E-2</v>
      </c>
      <c r="BJ32">
        <v>9.6648817127945996E-3</v>
      </c>
      <c r="BK32">
        <v>0.90739399392303899</v>
      </c>
      <c r="BL32">
        <v>1.0929947340555E-4</v>
      </c>
      <c r="BM32" s="1">
        <v>7.0997760356552106E-5</v>
      </c>
      <c r="BN32" s="1">
        <v>3.9955832410775998E-7</v>
      </c>
      <c r="BO32" s="1">
        <v>1.11523021178736E-6</v>
      </c>
      <c r="BP32">
        <v>0</v>
      </c>
      <c r="BQ32">
        <v>0</v>
      </c>
      <c r="BR32" s="1">
        <v>6.7186971923205495E-5</v>
      </c>
      <c r="BS32" s="1">
        <v>3.9844821583041298E-5</v>
      </c>
    </row>
    <row r="33" spans="1:71" x14ac:dyDescent="0.25">
      <c r="A33">
        <v>30</v>
      </c>
      <c r="B33" s="1">
        <v>1.76903860401966E-5</v>
      </c>
      <c r="C33">
        <v>9.08373331163774E-2</v>
      </c>
      <c r="D33">
        <v>-1.9256111980366799E-4</v>
      </c>
      <c r="E33">
        <v>-1.9256111980366799E-4</v>
      </c>
      <c r="F33">
        <v>-9.0837333116377302E-4</v>
      </c>
      <c r="G33">
        <v>-9.0837333116377302E-4</v>
      </c>
      <c r="H33" t="s">
        <v>74</v>
      </c>
      <c r="I33">
        <v>0</v>
      </c>
      <c r="J33" t="s">
        <v>75</v>
      </c>
      <c r="K33">
        <v>3.14159265358979</v>
      </c>
      <c r="L33">
        <v>0.94327052282892798</v>
      </c>
      <c r="M33">
        <v>0</v>
      </c>
      <c r="N33">
        <v>5.53841917363826E-2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0.95092476161487705</v>
      </c>
      <c r="V33" t="s">
        <v>78</v>
      </c>
      <c r="W33">
        <v>3042064.1030575498</v>
      </c>
      <c r="X33" t="s">
        <v>76</v>
      </c>
      <c r="Y33">
        <v>-1.5707963267949001</v>
      </c>
      <c r="Z33">
        <v>0.93995350670073896</v>
      </c>
      <c r="AA33">
        <v>0</v>
      </c>
      <c r="AB33">
        <v>5.3374854503220499E-2</v>
      </c>
      <c r="AC33">
        <v>3.4482811440865701E-4</v>
      </c>
      <c r="AD33">
        <v>1.7819300741602598E-2</v>
      </c>
      <c r="AE33">
        <v>2.3497228661097601E-3</v>
      </c>
      <c r="AF33">
        <v>2.6799309309883598E-3</v>
      </c>
      <c r="AG33">
        <v>6.2924859869173205E-2</v>
      </c>
      <c r="AH33">
        <v>1.0600791256893401E-2</v>
      </c>
      <c r="AI33">
        <v>0.90417273874637405</v>
      </c>
      <c r="AJ33" t="s">
        <v>74</v>
      </c>
      <c r="AK33">
        <v>0</v>
      </c>
      <c r="AL33" t="s">
        <v>77</v>
      </c>
      <c r="AM33">
        <v>0</v>
      </c>
      <c r="AN33">
        <v>0.94327052282892898</v>
      </c>
      <c r="AO33">
        <v>0</v>
      </c>
      <c r="AP33">
        <v>5.53841917363826E-2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0.95092476161487705</v>
      </c>
      <c r="AX33" t="s">
        <v>78</v>
      </c>
      <c r="AY33">
        <v>3042064.1030575498</v>
      </c>
      <c r="AZ33" t="s">
        <v>76</v>
      </c>
      <c r="BA33">
        <v>-1.5707963267949001</v>
      </c>
      <c r="BB33">
        <v>0.93995350670073996</v>
      </c>
      <c r="BC33">
        <v>0</v>
      </c>
      <c r="BD33">
        <v>5.3374854503220499E-2</v>
      </c>
      <c r="BE33">
        <v>3.4482811440865701E-4</v>
      </c>
      <c r="BF33">
        <v>1.7819300741602699E-2</v>
      </c>
      <c r="BG33">
        <v>2.3497228661097502E-3</v>
      </c>
      <c r="BH33">
        <v>2.67993093098831E-3</v>
      </c>
      <c r="BI33">
        <v>6.2924859869172803E-2</v>
      </c>
      <c r="BJ33">
        <v>1.0600791256893199E-2</v>
      </c>
      <c r="BK33">
        <v>0.90417273874637505</v>
      </c>
      <c r="BL33">
        <v>1.0910387435401201E-4</v>
      </c>
      <c r="BM33" s="1">
        <v>7.3525651126066298E-5</v>
      </c>
      <c r="BN33" s="1">
        <v>3.9884271576821398E-7</v>
      </c>
      <c r="BO33" s="1">
        <v>1.1549382271402799E-6</v>
      </c>
      <c r="BP33">
        <v>0</v>
      </c>
      <c r="BQ33">
        <v>0</v>
      </c>
      <c r="BR33" s="1">
        <v>6.7069867379502903E-5</v>
      </c>
      <c r="BS33" s="1">
        <v>4.1264611702633103E-5</v>
      </c>
    </row>
    <row r="34" spans="1:71" x14ac:dyDescent="0.25">
      <c r="A34">
        <v>31</v>
      </c>
      <c r="B34" s="1">
        <v>1.7260446673421199E-5</v>
      </c>
      <c r="C34">
        <v>9.0854593563050798E-2</v>
      </c>
      <c r="D34">
        <v>-1.9266419175887001E-4</v>
      </c>
      <c r="E34">
        <v>-1.9266419175887001E-4</v>
      </c>
      <c r="F34">
        <v>-9.0854593563050804E-4</v>
      </c>
      <c r="G34">
        <v>-9.0854593563050804E-4</v>
      </c>
      <c r="H34" t="s">
        <v>74</v>
      </c>
      <c r="I34">
        <v>0</v>
      </c>
      <c r="J34" t="s">
        <v>75</v>
      </c>
      <c r="K34">
        <v>3.14159265358979</v>
      </c>
      <c r="L34">
        <v>0.94159559586522901</v>
      </c>
      <c r="M34">
        <v>0</v>
      </c>
      <c r="N34">
        <v>5.5285848287862899E-2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0.94922890941177596</v>
      </c>
      <c r="V34" t="s">
        <v>78</v>
      </c>
      <c r="W34">
        <v>3043175.92923625</v>
      </c>
      <c r="X34" t="s">
        <v>76</v>
      </c>
      <c r="Y34">
        <v>-1.5707963267949001</v>
      </c>
      <c r="Z34">
        <v>0.93825960289912502</v>
      </c>
      <c r="AA34">
        <v>0</v>
      </c>
      <c r="AB34">
        <v>5.3266610675806098E-2</v>
      </c>
      <c r="AC34">
        <v>3.5627507349424398E-4</v>
      </c>
      <c r="AD34">
        <v>1.75898049681305E-2</v>
      </c>
      <c r="AE34">
        <v>2.4306399252228801E-3</v>
      </c>
      <c r="AF34">
        <v>2.8755195013439598E-3</v>
      </c>
      <c r="AG34">
        <v>6.4457240065452601E-2</v>
      </c>
      <c r="AH34">
        <v>1.1595630779435999E-2</v>
      </c>
      <c r="AI34">
        <v>0.90095862232062796</v>
      </c>
      <c r="AJ34" t="s">
        <v>74</v>
      </c>
      <c r="AK34">
        <v>0</v>
      </c>
      <c r="AL34" t="s">
        <v>77</v>
      </c>
      <c r="AM34">
        <v>0</v>
      </c>
      <c r="AN34">
        <v>0.94159559586522901</v>
      </c>
      <c r="AO34">
        <v>0</v>
      </c>
      <c r="AP34">
        <v>5.5285848287862899E-2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0.94922890941177696</v>
      </c>
      <c r="AX34" t="s">
        <v>78</v>
      </c>
      <c r="AY34">
        <v>3043175.92923625</v>
      </c>
      <c r="AZ34" t="s">
        <v>76</v>
      </c>
      <c r="BA34">
        <v>-1.5707963267949001</v>
      </c>
      <c r="BB34">
        <v>0.93825960289912602</v>
      </c>
      <c r="BC34">
        <v>0</v>
      </c>
      <c r="BD34">
        <v>5.3266610675806098E-2</v>
      </c>
      <c r="BE34">
        <v>3.5627507349424501E-4</v>
      </c>
      <c r="BF34">
        <v>1.75898049681305E-2</v>
      </c>
      <c r="BG34">
        <v>2.4306399252228702E-3</v>
      </c>
      <c r="BH34">
        <v>2.8755195013439199E-3</v>
      </c>
      <c r="BI34">
        <v>6.4457240065452198E-2</v>
      </c>
      <c r="BJ34">
        <v>1.15956307794359E-2</v>
      </c>
      <c r="BK34">
        <v>0.90095862232062796</v>
      </c>
      <c r="BL34">
        <v>1.08908734037163E-4</v>
      </c>
      <c r="BM34" s="1">
        <v>7.6052870844888398E-5</v>
      </c>
      <c r="BN34" s="1">
        <v>3.98130776235893E-7</v>
      </c>
      <c r="BO34" s="1">
        <v>1.19463570165357E-6</v>
      </c>
      <c r="BP34">
        <v>0</v>
      </c>
      <c r="BQ34">
        <v>0</v>
      </c>
      <c r="BR34" s="1">
        <v>6.6952938955181095E-5</v>
      </c>
      <c r="BS34" s="1">
        <v>4.2684073475970703E-5</v>
      </c>
    </row>
    <row r="35" spans="1:71" x14ac:dyDescent="0.25">
      <c r="A35">
        <v>32</v>
      </c>
      <c r="B35" s="1">
        <v>1.6865900735853998E-5</v>
      </c>
      <c r="C35">
        <v>9.0871459463786594E-2</v>
      </c>
      <c r="D35">
        <v>-1.9276489896361701E-4</v>
      </c>
      <c r="E35">
        <v>-1.9276489896361701E-4</v>
      </c>
      <c r="F35">
        <v>-9.0871459463786599E-4</v>
      </c>
      <c r="G35">
        <v>-9.0871459463786599E-4</v>
      </c>
      <c r="H35" t="s">
        <v>74</v>
      </c>
      <c r="I35">
        <v>0</v>
      </c>
      <c r="J35" t="s">
        <v>75</v>
      </c>
      <c r="K35">
        <v>3.14159265358979</v>
      </c>
      <c r="L35">
        <v>0.93992112957473795</v>
      </c>
      <c r="M35">
        <v>0</v>
      </c>
      <c r="N35">
        <v>5.5187531887801497E-2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0.94753379314400998</v>
      </c>
      <c r="V35" t="s">
        <v>78</v>
      </c>
      <c r="W35">
        <v>3044262.2471042098</v>
      </c>
      <c r="X35" t="s">
        <v>76</v>
      </c>
      <c r="Y35">
        <v>-1.5707963267949001</v>
      </c>
      <c r="Z35">
        <v>0.93656677514648801</v>
      </c>
      <c r="AA35">
        <v>0</v>
      </c>
      <c r="AB35">
        <v>5.3158752584005299E-2</v>
      </c>
      <c r="AC35">
        <v>3.6773393110025497E-4</v>
      </c>
      <c r="AD35">
        <v>1.7352708204275698E-2</v>
      </c>
      <c r="AE35">
        <v>2.51096426916579E-3</v>
      </c>
      <c r="AF35">
        <v>3.07812415583998E-3</v>
      </c>
      <c r="AG35">
        <v>6.5927900580818294E-2</v>
      </c>
      <c r="AH35">
        <v>1.2651494894423699E-2</v>
      </c>
      <c r="AI35">
        <v>0.89775164749618097</v>
      </c>
      <c r="AJ35" t="s">
        <v>74</v>
      </c>
      <c r="AK35">
        <v>0</v>
      </c>
      <c r="AL35" t="s">
        <v>77</v>
      </c>
      <c r="AM35">
        <v>0</v>
      </c>
      <c r="AN35">
        <v>0.93992112957473894</v>
      </c>
      <c r="AO35">
        <v>0</v>
      </c>
      <c r="AP35">
        <v>5.5187531887801497E-2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0.94753379314400998</v>
      </c>
      <c r="AX35" t="s">
        <v>78</v>
      </c>
      <c r="AY35">
        <v>3044262.2471042098</v>
      </c>
      <c r="AZ35" t="s">
        <v>76</v>
      </c>
      <c r="BA35">
        <v>-1.5707963267949001</v>
      </c>
      <c r="BB35">
        <v>0.93656677514648801</v>
      </c>
      <c r="BC35">
        <v>0</v>
      </c>
      <c r="BD35">
        <v>5.3158752584005299E-2</v>
      </c>
      <c r="BE35">
        <v>3.6773393110025698E-4</v>
      </c>
      <c r="BF35">
        <v>1.7352708204275799E-2</v>
      </c>
      <c r="BG35">
        <v>2.51096426916578E-3</v>
      </c>
      <c r="BH35">
        <v>3.0781241558399401E-3</v>
      </c>
      <c r="BI35">
        <v>6.5927900580818002E-2</v>
      </c>
      <c r="BJ35">
        <v>1.26514948944236E-2</v>
      </c>
      <c r="BK35">
        <v>0.89775164749618197</v>
      </c>
      <c r="BL35">
        <v>1.08714018402907E-4</v>
      </c>
      <c r="BM35" s="1">
        <v>7.8579395475241796E-5</v>
      </c>
      <c r="BN35" s="1">
        <v>3.97422213478821E-7</v>
      </c>
      <c r="BO35" s="1">
        <v>1.2343222577427301E-6</v>
      </c>
      <c r="BP35">
        <v>0</v>
      </c>
      <c r="BQ35">
        <v>0</v>
      </c>
      <c r="BR35" s="1">
        <v>6.6836174076917996E-5</v>
      </c>
      <c r="BS35" s="1">
        <v>4.4103192975311303E-5</v>
      </c>
    </row>
    <row r="36" spans="1:71" x14ac:dyDescent="0.25">
      <c r="A36">
        <v>33</v>
      </c>
      <c r="B36" s="1">
        <v>1.6503825850851498E-5</v>
      </c>
      <c r="C36">
        <v>9.0887963289637497E-2</v>
      </c>
      <c r="D36">
        <v>-1.92863435889389E-4</v>
      </c>
      <c r="E36">
        <v>-1.92863435889389E-4</v>
      </c>
      <c r="F36">
        <v>-9.0887963289637498E-4</v>
      </c>
      <c r="G36">
        <v>-9.0887963289637498E-4</v>
      </c>
      <c r="H36" t="s">
        <v>74</v>
      </c>
      <c r="I36">
        <v>0</v>
      </c>
      <c r="J36" t="s">
        <v>75</v>
      </c>
      <c r="K36">
        <v>3.14159265358979</v>
      </c>
      <c r="L36">
        <v>0.93824714100942597</v>
      </c>
      <c r="M36">
        <v>0</v>
      </c>
      <c r="N36">
        <v>5.5089243537405699E-2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0.94583940232808905</v>
      </c>
      <c r="V36" t="s">
        <v>78</v>
      </c>
      <c r="W36">
        <v>3045325.1544045</v>
      </c>
      <c r="X36" t="s">
        <v>76</v>
      </c>
      <c r="Y36">
        <v>-1.5707963267949001</v>
      </c>
      <c r="Z36">
        <v>0.93487499326489298</v>
      </c>
      <c r="AA36">
        <v>0</v>
      </c>
      <c r="AB36">
        <v>5.30512536136757E-2</v>
      </c>
      <c r="AC36">
        <v>3.7913620512884102E-4</v>
      </c>
      <c r="AD36">
        <v>1.71081175412338E-2</v>
      </c>
      <c r="AE36">
        <v>2.59066397860089E-3</v>
      </c>
      <c r="AF36">
        <v>3.2877607944243798E-3</v>
      </c>
      <c r="AG36">
        <v>6.7334670658580398E-2</v>
      </c>
      <c r="AH36">
        <v>1.3770528629620801E-2</v>
      </c>
      <c r="AI36">
        <v>0.89455182320179105</v>
      </c>
      <c r="AJ36" t="s">
        <v>74</v>
      </c>
      <c r="AK36">
        <v>0</v>
      </c>
      <c r="AL36" t="s">
        <v>77</v>
      </c>
      <c r="AM36">
        <v>0</v>
      </c>
      <c r="AN36">
        <v>0.93824714100942597</v>
      </c>
      <c r="AO36">
        <v>0</v>
      </c>
      <c r="AP36">
        <v>5.5089243537405699E-2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0.94583940232809005</v>
      </c>
      <c r="AX36" t="s">
        <v>78</v>
      </c>
      <c r="AY36">
        <v>3045325.1544045</v>
      </c>
      <c r="AZ36" t="s">
        <v>76</v>
      </c>
      <c r="BA36">
        <v>-1.5707963267949001</v>
      </c>
      <c r="BB36">
        <v>0.93487499326489298</v>
      </c>
      <c r="BC36">
        <v>0</v>
      </c>
      <c r="BD36">
        <v>5.30512536136757E-2</v>
      </c>
      <c r="BE36">
        <v>3.79136205128842E-4</v>
      </c>
      <c r="BF36">
        <v>1.71081175412338E-2</v>
      </c>
      <c r="BG36">
        <v>2.59066397860089E-3</v>
      </c>
      <c r="BH36">
        <v>3.2877607944243399E-3</v>
      </c>
      <c r="BI36">
        <v>6.7334670658580106E-2</v>
      </c>
      <c r="BJ36">
        <v>1.3770528629620599E-2</v>
      </c>
      <c r="BK36">
        <v>0.89455182320179205</v>
      </c>
      <c r="BL36">
        <v>1.0851963335621E-4</v>
      </c>
      <c r="BM36" s="1">
        <v>8.1105199288201003E-5</v>
      </c>
      <c r="BN36" s="1">
        <v>3.96716333376345E-7</v>
      </c>
      <c r="BO36" s="1">
        <v>1.2739974912587401E-6</v>
      </c>
      <c r="BP36">
        <v>0</v>
      </c>
      <c r="BQ36">
        <v>0</v>
      </c>
      <c r="BR36" s="1">
        <v>6.6719525936599999E-5</v>
      </c>
      <c r="BS36" s="1">
        <v>4.5521955426421999E-5</v>
      </c>
    </row>
    <row r="37" spans="1:71" x14ac:dyDescent="0.25">
      <c r="A37">
        <v>34</v>
      </c>
      <c r="B37" s="1">
        <v>1.6171690939930001E-5</v>
      </c>
      <c r="C37">
        <v>9.0904134980577395E-2</v>
      </c>
      <c r="D37">
        <v>-1.9295998181935599E-4</v>
      </c>
      <c r="E37">
        <v>-1.9295998181935599E-4</v>
      </c>
      <c r="F37">
        <v>-9.0904134980577395E-4</v>
      </c>
      <c r="G37">
        <v>-9.0904134980577395E-4</v>
      </c>
      <c r="H37" t="s">
        <v>74</v>
      </c>
      <c r="I37">
        <v>0</v>
      </c>
      <c r="J37" t="s">
        <v>75</v>
      </c>
      <c r="K37">
        <v>3.14159265358979</v>
      </c>
      <c r="L37">
        <v>0.93657364843774804</v>
      </c>
      <c r="M37">
        <v>0</v>
      </c>
      <c r="N37">
        <v>5.4990984309309397E-2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0.94414573124723</v>
      </c>
      <c r="V37" t="s">
        <v>78</v>
      </c>
      <c r="W37">
        <v>3046366.5850455901</v>
      </c>
      <c r="X37" t="s">
        <v>76</v>
      </c>
      <c r="Y37">
        <v>-1.5707963267949001</v>
      </c>
      <c r="Z37">
        <v>0.93318423193584599</v>
      </c>
      <c r="AA37">
        <v>0</v>
      </c>
      <c r="AB37">
        <v>5.2944089445879403E-2</v>
      </c>
      <c r="AC37">
        <v>3.9047768729319401E-4</v>
      </c>
      <c r="AD37">
        <v>1.6856133106655902E-2</v>
      </c>
      <c r="AE37">
        <v>2.6697072591277001E-3</v>
      </c>
      <c r="AF37">
        <v>3.5044449016845302E-3</v>
      </c>
      <c r="AG37">
        <v>6.8675324027757501E-2</v>
      </c>
      <c r="AH37">
        <v>1.49549306915792E-2</v>
      </c>
      <c r="AI37">
        <v>0.89135916393474401</v>
      </c>
      <c r="AJ37" t="s">
        <v>74</v>
      </c>
      <c r="AK37">
        <v>0</v>
      </c>
      <c r="AL37" t="s">
        <v>77</v>
      </c>
      <c r="AM37">
        <v>0</v>
      </c>
      <c r="AN37">
        <v>0.93657364843774904</v>
      </c>
      <c r="AO37">
        <v>0</v>
      </c>
      <c r="AP37">
        <v>5.4990984309309397E-2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0.94414573124723</v>
      </c>
      <c r="AX37" t="s">
        <v>78</v>
      </c>
      <c r="AY37">
        <v>3046366.5850455901</v>
      </c>
      <c r="AZ37" t="s">
        <v>76</v>
      </c>
      <c r="BA37">
        <v>-1.5707963267949001</v>
      </c>
      <c r="BB37">
        <v>0.93318423193584599</v>
      </c>
      <c r="BC37">
        <v>0</v>
      </c>
      <c r="BD37">
        <v>5.2944089445879403E-2</v>
      </c>
      <c r="BE37">
        <v>3.9047768729319498E-4</v>
      </c>
      <c r="BF37">
        <v>1.6856133106655999E-2</v>
      </c>
      <c r="BG37">
        <v>2.6697072591276901E-3</v>
      </c>
      <c r="BH37">
        <v>3.5044449016844999E-3</v>
      </c>
      <c r="BI37">
        <v>6.8675324027757195E-2</v>
      </c>
      <c r="BJ37">
        <v>1.49549306915791E-2</v>
      </c>
      <c r="BK37">
        <v>0.89135916393474501</v>
      </c>
      <c r="BL37">
        <v>1.08325551442482E-4</v>
      </c>
      <c r="BM37" s="1">
        <v>8.3630254719336495E-5</v>
      </c>
      <c r="BN37" s="1">
        <v>3.9601289765207999E-7</v>
      </c>
      <c r="BO37" s="1">
        <v>1.31366096922055E-6</v>
      </c>
      <c r="BP37">
        <v>0</v>
      </c>
      <c r="BQ37">
        <v>0</v>
      </c>
      <c r="BR37" s="1">
        <v>6.6602984664094602E-5</v>
      </c>
      <c r="BS37" s="1">
        <v>4.6940345123756499E-5</v>
      </c>
    </row>
    <row r="38" spans="1:71" x14ac:dyDescent="0.25">
      <c r="A38">
        <v>35</v>
      </c>
      <c r="B38" s="1">
        <v>1.5867301986981498E-5</v>
      </c>
      <c r="C38">
        <v>9.0920002282564402E-2</v>
      </c>
      <c r="D38">
        <v>-1.9305470287005701E-4</v>
      </c>
      <c r="E38">
        <v>-1.9305470287005701E-4</v>
      </c>
      <c r="F38">
        <v>-9.0920002282564403E-4</v>
      </c>
      <c r="G38">
        <v>-9.0920002282564403E-4</v>
      </c>
      <c r="H38" t="s">
        <v>74</v>
      </c>
      <c r="I38">
        <v>0</v>
      </c>
      <c r="J38" t="s">
        <v>75</v>
      </c>
      <c r="K38">
        <v>3.14159265358979</v>
      </c>
      <c r="L38">
        <v>0.93490067145127198</v>
      </c>
      <c r="M38">
        <v>0</v>
      </c>
      <c r="N38">
        <v>5.4892755353832597E-2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0.94245277851392795</v>
      </c>
      <c r="V38" t="s">
        <v>78</v>
      </c>
      <c r="W38">
        <v>3047388.33090882</v>
      </c>
      <c r="X38" t="s">
        <v>76</v>
      </c>
      <c r="Y38">
        <v>-1.5707963267949001</v>
      </c>
      <c r="Z38">
        <v>0.93149447032747101</v>
      </c>
      <c r="AA38">
        <v>0</v>
      </c>
      <c r="AB38">
        <v>5.2837237772009701E-2</v>
      </c>
      <c r="AC38">
        <v>4.0187564521162002E-4</v>
      </c>
      <c r="AD38">
        <v>1.6596849071455502E-2</v>
      </c>
      <c r="AE38">
        <v>2.7480624162752399E-3</v>
      </c>
      <c r="AF38">
        <v>3.7281915035514502E-3</v>
      </c>
      <c r="AG38">
        <v>6.9947575239728305E-2</v>
      </c>
      <c r="AH38">
        <v>1.6206956968114101E-2</v>
      </c>
      <c r="AI38">
        <v>0.88817368939552799</v>
      </c>
      <c r="AJ38" t="s">
        <v>74</v>
      </c>
      <c r="AK38">
        <v>0</v>
      </c>
      <c r="AL38" t="s">
        <v>77</v>
      </c>
      <c r="AM38">
        <v>0</v>
      </c>
      <c r="AN38">
        <v>0.93490067145127198</v>
      </c>
      <c r="AO38">
        <v>0</v>
      </c>
      <c r="AP38">
        <v>5.4892755353832597E-2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0.94245277851392895</v>
      </c>
      <c r="AX38" t="s">
        <v>78</v>
      </c>
      <c r="AY38">
        <v>3047388.33090882</v>
      </c>
      <c r="AZ38" t="s">
        <v>76</v>
      </c>
      <c r="BA38">
        <v>-1.5707963267949001</v>
      </c>
      <c r="BB38">
        <v>0.93149447032747201</v>
      </c>
      <c r="BC38">
        <v>0</v>
      </c>
      <c r="BD38">
        <v>5.2837237772009701E-2</v>
      </c>
      <c r="BE38">
        <v>4.0187564521162197E-4</v>
      </c>
      <c r="BF38">
        <v>1.6596849071455502E-2</v>
      </c>
      <c r="BG38">
        <v>2.7480624162752299E-3</v>
      </c>
      <c r="BH38">
        <v>3.7281915035514198E-3</v>
      </c>
      <c r="BI38">
        <v>6.9947575239727999E-2</v>
      </c>
      <c r="BJ38">
        <v>1.6206956968114E-2</v>
      </c>
      <c r="BK38">
        <v>0.88817368939552899</v>
      </c>
      <c r="BL38">
        <v>1.08131868771054E-4</v>
      </c>
      <c r="BM38" s="1">
        <v>8.6154532207842198E-5</v>
      </c>
      <c r="BN38" s="1">
        <v>3.9531250904890499E-7</v>
      </c>
      <c r="BO38" s="1">
        <v>1.35331222728811E-6</v>
      </c>
      <c r="BP38">
        <v>0</v>
      </c>
      <c r="BQ38">
        <v>0</v>
      </c>
      <c r="BR38" s="1">
        <v>6.6486609344614398E-5</v>
      </c>
      <c r="BS38" s="1">
        <v>4.83583453374363E-5</v>
      </c>
    </row>
    <row r="39" spans="1:71" x14ac:dyDescent="0.25">
      <c r="A39">
        <v>36</v>
      </c>
      <c r="B39" s="1">
        <v>1.5588757644104098E-5</v>
      </c>
      <c r="C39">
        <v>9.0935591040208499E-2</v>
      </c>
      <c r="D39">
        <v>-1.9314775374647001E-4</v>
      </c>
      <c r="E39">
        <v>-1.9314775374647001E-4</v>
      </c>
      <c r="F39">
        <v>-9.0935591040208503E-4</v>
      </c>
      <c r="G39">
        <v>-9.0935591040208503E-4</v>
      </c>
      <c r="H39" t="s">
        <v>74</v>
      </c>
      <c r="I39">
        <v>0</v>
      </c>
      <c r="J39" t="s">
        <v>75</v>
      </c>
      <c r="K39">
        <v>3.14159265358979</v>
      </c>
      <c r="L39">
        <v>0.933228231083716</v>
      </c>
      <c r="M39">
        <v>0</v>
      </c>
      <c r="N39">
        <v>5.47945579059715E-2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0.94076054674411502</v>
      </c>
      <c r="V39" t="s">
        <v>78</v>
      </c>
      <c r="W39">
        <v>3048392.0607802798</v>
      </c>
      <c r="X39" t="s">
        <v>76</v>
      </c>
      <c r="Y39">
        <v>-1.5707963267949001</v>
      </c>
      <c r="Z39">
        <v>0.92980569179680495</v>
      </c>
      <c r="AA39">
        <v>0</v>
      </c>
      <c r="AB39">
        <v>5.27306780486669E-2</v>
      </c>
      <c r="AC39">
        <v>4.1320236313899499E-4</v>
      </c>
      <c r="AD39">
        <v>1.63303545327825E-2</v>
      </c>
      <c r="AE39">
        <v>2.82569783381925E-3</v>
      </c>
      <c r="AF39">
        <v>3.95901511922357E-3</v>
      </c>
      <c r="AG39">
        <v>7.1149075724231806E-2</v>
      </c>
      <c r="AH39">
        <v>1.7528924292682001E-2</v>
      </c>
      <c r="AI39">
        <v>0.88499542424274802</v>
      </c>
      <c r="AJ39" t="s">
        <v>74</v>
      </c>
      <c r="AK39">
        <v>0</v>
      </c>
      <c r="AL39" t="s">
        <v>77</v>
      </c>
      <c r="AM39">
        <v>0</v>
      </c>
      <c r="AN39">
        <v>0.933228231083716</v>
      </c>
      <c r="AO39">
        <v>0</v>
      </c>
      <c r="AP39">
        <v>5.47945579059715E-2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0.94076054674411502</v>
      </c>
      <c r="AX39" t="s">
        <v>78</v>
      </c>
      <c r="AY39">
        <v>3048392.0607802798</v>
      </c>
      <c r="AZ39" t="s">
        <v>76</v>
      </c>
      <c r="BA39">
        <v>-1.5707963267949001</v>
      </c>
      <c r="BB39">
        <v>0.92980569179680495</v>
      </c>
      <c r="BC39">
        <v>0</v>
      </c>
      <c r="BD39">
        <v>5.2730678048666997E-2</v>
      </c>
      <c r="BE39">
        <v>4.1320236313899602E-4</v>
      </c>
      <c r="BF39">
        <v>1.63303545327825E-2</v>
      </c>
      <c r="BG39">
        <v>2.8256978338192401E-3</v>
      </c>
      <c r="BH39">
        <v>3.9590151192235301E-3</v>
      </c>
      <c r="BI39">
        <v>7.1149075724231403E-2</v>
      </c>
      <c r="BJ39">
        <v>1.75289242926818E-2</v>
      </c>
      <c r="BK39">
        <v>0.88499542424274802</v>
      </c>
      <c r="BL39">
        <v>1.0793843831777699E-4</v>
      </c>
      <c r="BM39" s="1">
        <v>8.8678000016913493E-5</v>
      </c>
      <c r="BN39" s="1">
        <v>3.94614125432457E-7</v>
      </c>
      <c r="BO39" s="1">
        <v>1.3929507669408501E-6</v>
      </c>
      <c r="BP39">
        <v>0</v>
      </c>
      <c r="BQ39">
        <v>0</v>
      </c>
      <c r="BR39" s="1">
        <v>6.6370322249236101E-5</v>
      </c>
      <c r="BS39" s="1">
        <v>4.9775938210704802E-5</v>
      </c>
    </row>
    <row r="40" spans="1:71" x14ac:dyDescent="0.25">
      <c r="A40">
        <v>37</v>
      </c>
      <c r="B40" s="1">
        <v>1.5334412828167199E-5</v>
      </c>
      <c r="C40">
        <v>9.0950925453036693E-2</v>
      </c>
      <c r="D40">
        <v>-1.9323927927846201E-4</v>
      </c>
      <c r="E40">
        <v>-1.9323927927846201E-4</v>
      </c>
      <c r="F40">
        <v>-9.0950925453036702E-4</v>
      </c>
      <c r="G40">
        <v>-9.0950925453036702E-4</v>
      </c>
      <c r="H40" t="s">
        <v>74</v>
      </c>
      <c r="I40">
        <v>0</v>
      </c>
      <c r="J40" t="s">
        <v>75</v>
      </c>
      <c r="K40">
        <v>3.14159265358979</v>
      </c>
      <c r="L40">
        <v>0.93155634994417802</v>
      </c>
      <c r="M40">
        <v>0</v>
      </c>
      <c r="N40">
        <v>5.4696393293220798E-2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0.93906904232424704</v>
      </c>
      <c r="V40" t="s">
        <v>78</v>
      </c>
      <c r="W40">
        <v>3049379.33692428</v>
      </c>
      <c r="X40" t="s">
        <v>76</v>
      </c>
      <c r="Y40">
        <v>-1.5707963267949001</v>
      </c>
      <c r="Z40">
        <v>0.92811788365769698</v>
      </c>
      <c r="AA40">
        <v>0</v>
      </c>
      <c r="AB40">
        <v>5.2624391285426203E-2</v>
      </c>
      <c r="AC40">
        <v>4.2457109548074202E-4</v>
      </c>
      <c r="AD40">
        <v>1.60567342964308E-2</v>
      </c>
      <c r="AE40">
        <v>2.90258195499026E-3</v>
      </c>
      <c r="AF40">
        <v>4.1969297076422402E-3</v>
      </c>
      <c r="AG40">
        <v>7.2277409534909701E-2</v>
      </c>
      <c r="AH40">
        <v>1.89232144978209E-2</v>
      </c>
      <c r="AI40">
        <v>0.88182439795091105</v>
      </c>
      <c r="AJ40" t="s">
        <v>74</v>
      </c>
      <c r="AK40">
        <v>0</v>
      </c>
      <c r="AL40" t="s">
        <v>77</v>
      </c>
      <c r="AM40">
        <v>0</v>
      </c>
      <c r="AN40">
        <v>0.93155634994417802</v>
      </c>
      <c r="AO40">
        <v>0</v>
      </c>
      <c r="AP40">
        <v>5.4696393293220798E-2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0.93906904232424804</v>
      </c>
      <c r="AX40" t="s">
        <v>78</v>
      </c>
      <c r="AY40">
        <v>3049379.33692428</v>
      </c>
      <c r="AZ40" t="s">
        <v>76</v>
      </c>
      <c r="BA40">
        <v>-1.5707963267949001</v>
      </c>
      <c r="BB40">
        <v>0.92811788365769698</v>
      </c>
      <c r="BC40">
        <v>0</v>
      </c>
      <c r="BD40">
        <v>5.2624391285426203E-2</v>
      </c>
      <c r="BE40">
        <v>4.2457109548074202E-4</v>
      </c>
      <c r="BF40">
        <v>1.60567342964308E-2</v>
      </c>
      <c r="BG40">
        <v>2.90258195499026E-3</v>
      </c>
      <c r="BH40">
        <v>4.1969297076422099E-3</v>
      </c>
      <c r="BI40">
        <v>7.2277409534909298E-2</v>
      </c>
      <c r="BJ40">
        <v>1.8923214497820699E-2</v>
      </c>
      <c r="BK40">
        <v>0.88182439795091105</v>
      </c>
      <c r="BL40">
        <v>1.07745355674128E-4</v>
      </c>
      <c r="BM40" s="1">
        <v>9.1200624032730296E-5</v>
      </c>
      <c r="BN40" s="1">
        <v>3.9391835153254499E-7</v>
      </c>
      <c r="BO40" s="1">
        <v>1.4325760523201501E-6</v>
      </c>
      <c r="BP40">
        <v>0</v>
      </c>
      <c r="BQ40">
        <v>0</v>
      </c>
      <c r="BR40" s="1">
        <v>6.6254181528464697E-5</v>
      </c>
      <c r="BS40" s="1">
        <v>5.1193104646318598E-5</v>
      </c>
    </row>
    <row r="41" spans="1:71" x14ac:dyDescent="0.25">
      <c r="A41">
        <v>38</v>
      </c>
      <c r="B41" s="1">
        <v>1.51028488744216E-5</v>
      </c>
      <c r="C41">
        <v>9.0966028301911098E-2</v>
      </c>
      <c r="D41">
        <v>-1.93329415777968E-4</v>
      </c>
      <c r="E41">
        <v>-1.93329415777968E-4</v>
      </c>
      <c r="F41">
        <v>-9.0966028301911104E-4</v>
      </c>
      <c r="G41">
        <v>-9.0966028301911104E-4</v>
      </c>
      <c r="H41" t="s">
        <v>74</v>
      </c>
      <c r="I41">
        <v>0</v>
      </c>
      <c r="J41" t="s">
        <v>75</v>
      </c>
      <c r="K41">
        <v>3.14159265358979</v>
      </c>
      <c r="L41">
        <v>0.92988505236653296</v>
      </c>
      <c r="M41">
        <v>0</v>
      </c>
      <c r="N41">
        <v>5.45982629443457E-2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0.93737279163273501</v>
      </c>
      <c r="V41" t="s">
        <v>78</v>
      </c>
      <c r="W41">
        <v>3050351.6297231298</v>
      </c>
      <c r="X41" t="s">
        <v>76</v>
      </c>
      <c r="Y41">
        <v>-1.5707963267949001</v>
      </c>
      <c r="Z41">
        <v>0.92643103700708396</v>
      </c>
      <c r="AA41">
        <v>0</v>
      </c>
      <c r="AB41">
        <v>5.2518359859919497E-2</v>
      </c>
      <c r="AC41">
        <v>4.3585775749810699E-4</v>
      </c>
      <c r="AD41">
        <v>1.5776069577939301E-2</v>
      </c>
      <c r="AE41">
        <v>2.9786832662188102E-3</v>
      </c>
      <c r="AF41">
        <v>4.4419486077483701E-3</v>
      </c>
      <c r="AG41">
        <v>7.3330088751075898E-2</v>
      </c>
      <c r="AH41">
        <v>2.0392278787959E-2</v>
      </c>
      <c r="AI41">
        <v>0.87865516113383701</v>
      </c>
      <c r="AJ41" t="s">
        <v>74</v>
      </c>
      <c r="AK41">
        <v>0</v>
      </c>
      <c r="AL41" t="s">
        <v>77</v>
      </c>
      <c r="AM41">
        <v>0</v>
      </c>
      <c r="AN41">
        <v>0.92988505236653296</v>
      </c>
      <c r="AO41">
        <v>0</v>
      </c>
      <c r="AP41">
        <v>5.45982629443457E-2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0.93737279163273501</v>
      </c>
      <c r="AX41" t="s">
        <v>78</v>
      </c>
      <c r="AY41">
        <v>3050351.6297231298</v>
      </c>
      <c r="AZ41" t="s">
        <v>76</v>
      </c>
      <c r="BA41">
        <v>-1.5707963267949001</v>
      </c>
      <c r="BB41">
        <v>0.92643103700708496</v>
      </c>
      <c r="BC41">
        <v>0</v>
      </c>
      <c r="BD41">
        <v>5.2518359859919497E-2</v>
      </c>
      <c r="BE41">
        <v>4.35857757498109E-4</v>
      </c>
      <c r="BF41">
        <v>1.5776069577939301E-2</v>
      </c>
      <c r="BG41">
        <v>2.9786832662187998E-3</v>
      </c>
      <c r="BH41">
        <v>4.4419486077483398E-3</v>
      </c>
      <c r="BI41">
        <v>7.3330088751075495E-2</v>
      </c>
      <c r="BJ41">
        <v>2.0392278787958799E-2</v>
      </c>
      <c r="BK41">
        <v>0.87865516113383801</v>
      </c>
      <c r="BL41">
        <v>1.0755248056176299E-4</v>
      </c>
      <c r="BM41" s="1">
        <v>9.3722367539034602E-5</v>
      </c>
      <c r="BN41" s="1">
        <v>3.9322419551835102E-7</v>
      </c>
      <c r="BO41" s="1">
        <v>1.47218750668837E-6</v>
      </c>
      <c r="BP41">
        <v>0</v>
      </c>
      <c r="BQ41">
        <v>0</v>
      </c>
      <c r="BR41" s="1">
        <v>6.6138112678182698E-5</v>
      </c>
      <c r="BS41" s="1">
        <v>5.2609824180154602E-5</v>
      </c>
    </row>
    <row r="42" spans="1:71" x14ac:dyDescent="0.25">
      <c r="A42">
        <v>39</v>
      </c>
      <c r="B42" s="1">
        <v>1.4892849133414199E-5</v>
      </c>
      <c r="C42">
        <v>9.0980921151044503E-2</v>
      </c>
      <c r="D42">
        <v>-1.9341829224956599E-4</v>
      </c>
      <c r="E42">
        <v>-1.9341829224956599E-4</v>
      </c>
      <c r="F42">
        <v>-9.0980921151044504E-4</v>
      </c>
      <c r="G42">
        <v>-9.0980921151044504E-4</v>
      </c>
      <c r="H42" t="s">
        <v>74</v>
      </c>
      <c r="I42">
        <v>0</v>
      </c>
      <c r="J42" t="s">
        <v>75</v>
      </c>
      <c r="K42">
        <v>3.14159265358979</v>
      </c>
      <c r="L42">
        <v>0.92821436469797003</v>
      </c>
      <c r="M42">
        <v>0</v>
      </c>
      <c r="N42">
        <v>5.4500168406322998E-2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0.93567182272375105</v>
      </c>
      <c r="V42" t="s">
        <v>78</v>
      </c>
      <c r="W42">
        <v>3051310.3307354399</v>
      </c>
      <c r="X42" t="s">
        <v>76</v>
      </c>
      <c r="Y42">
        <v>-1.5707963267949001</v>
      </c>
      <c r="Z42">
        <v>0.92474514672445596</v>
      </c>
      <c r="AA42">
        <v>0</v>
      </c>
      <c r="AB42">
        <v>5.2412567362468701E-2</v>
      </c>
      <c r="AC42">
        <v>4.4717152869439702E-4</v>
      </c>
      <c r="AD42">
        <v>1.54884363835934E-2</v>
      </c>
      <c r="AE42">
        <v>3.0539707319932699E-3</v>
      </c>
      <c r="AF42">
        <v>4.6940860268643502E-3</v>
      </c>
      <c r="AG42">
        <v>7.4304538839049694E-2</v>
      </c>
      <c r="AH42">
        <v>2.1938651942724902E-2</v>
      </c>
      <c r="AI42">
        <v>0.87548776876326395</v>
      </c>
      <c r="AJ42" t="s">
        <v>74</v>
      </c>
      <c r="AK42">
        <v>0</v>
      </c>
      <c r="AL42" t="s">
        <v>77</v>
      </c>
      <c r="AM42">
        <v>0</v>
      </c>
      <c r="AN42">
        <v>0.92821436469797003</v>
      </c>
      <c r="AO42">
        <v>0</v>
      </c>
      <c r="AP42">
        <v>5.4500168406322998E-2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0.93567182272375105</v>
      </c>
      <c r="AX42" t="s">
        <v>78</v>
      </c>
      <c r="AY42">
        <v>3051310.3307354399</v>
      </c>
      <c r="AZ42" t="s">
        <v>76</v>
      </c>
      <c r="BA42">
        <v>-1.5707963267949001</v>
      </c>
      <c r="BB42">
        <v>0.92474514672445596</v>
      </c>
      <c r="BC42">
        <v>0</v>
      </c>
      <c r="BD42">
        <v>5.2412567362468798E-2</v>
      </c>
      <c r="BE42">
        <v>4.471715286944E-4</v>
      </c>
      <c r="BF42">
        <v>1.54884363835934E-2</v>
      </c>
      <c r="BG42">
        <v>3.0539707319932599E-3</v>
      </c>
      <c r="BH42">
        <v>4.6940860268643398E-3</v>
      </c>
      <c r="BI42">
        <v>7.4304538839049403E-2</v>
      </c>
      <c r="BJ42">
        <v>2.1938651942724801E-2</v>
      </c>
      <c r="BK42">
        <v>0.87548776876326495</v>
      </c>
      <c r="BL42">
        <v>1.07359907297486E-4</v>
      </c>
      <c r="BM42" s="1">
        <v>9.6243190781774405E-5</v>
      </c>
      <c r="BN42" s="1">
        <v>3.9253225756797801E-7</v>
      </c>
      <c r="BO42" s="1">
        <v>1.51178450559032E-6</v>
      </c>
      <c r="BP42">
        <v>0</v>
      </c>
      <c r="BQ42">
        <v>0</v>
      </c>
      <c r="BR42" s="1">
        <v>6.6022172657786003E-5</v>
      </c>
      <c r="BS42" s="1">
        <v>5.4026074737882598E-5</v>
      </c>
    </row>
    <row r="43" spans="1:71" x14ac:dyDescent="0.25">
      <c r="A43">
        <v>40</v>
      </c>
      <c r="B43" s="1">
        <v>1.4703381253248799E-5</v>
      </c>
      <c r="C43">
        <v>9.0995624532297703E-2</v>
      </c>
      <c r="D43">
        <v>-1.9350603149448199E-4</v>
      </c>
      <c r="E43">
        <v>-1.9350603149448199E-4</v>
      </c>
      <c r="F43">
        <v>-9.0995624532297695E-4</v>
      </c>
      <c r="G43">
        <v>-9.0995624532297695E-4</v>
      </c>
      <c r="H43" t="s">
        <v>74</v>
      </c>
      <c r="I43">
        <v>0</v>
      </c>
      <c r="J43" t="s">
        <v>75</v>
      </c>
      <c r="K43">
        <v>3.14159265358979</v>
      </c>
      <c r="L43">
        <v>0.92654431538244997</v>
      </c>
      <c r="M43">
        <v>0</v>
      </c>
      <c r="N43">
        <v>5.4402111349241902E-2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0.93396628825413797</v>
      </c>
      <c r="V43" t="s">
        <v>78</v>
      </c>
      <c r="W43">
        <v>3052256.7646049201</v>
      </c>
      <c r="X43" t="s">
        <v>76</v>
      </c>
      <c r="Y43">
        <v>-1.5707963267949001</v>
      </c>
      <c r="Z43">
        <v>0.92306021129208904</v>
      </c>
      <c r="AA43">
        <v>0</v>
      </c>
      <c r="AB43">
        <v>5.2306998445270203E-2</v>
      </c>
      <c r="AC43">
        <v>4.5850376622086797E-4</v>
      </c>
      <c r="AD43">
        <v>1.5193908250150301E-2</v>
      </c>
      <c r="AE43">
        <v>3.12841331252355E-3</v>
      </c>
      <c r="AF43">
        <v>4.9533555466919404E-3</v>
      </c>
      <c r="AG43">
        <v>7.5198101391425604E-2</v>
      </c>
      <c r="AH43">
        <v>2.3564949451748501E-2</v>
      </c>
      <c r="AI43">
        <v>0.87232240192673804</v>
      </c>
      <c r="AJ43" t="s">
        <v>74</v>
      </c>
      <c r="AK43">
        <v>0</v>
      </c>
      <c r="AL43" t="s">
        <v>77</v>
      </c>
      <c r="AM43">
        <v>0</v>
      </c>
      <c r="AN43">
        <v>0.92654431538244997</v>
      </c>
      <c r="AO43">
        <v>0</v>
      </c>
      <c r="AP43">
        <v>5.4402111349241902E-2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0.93396628825413797</v>
      </c>
      <c r="AX43" t="s">
        <v>78</v>
      </c>
      <c r="AY43">
        <v>3052256.7646049201</v>
      </c>
      <c r="AZ43" t="s">
        <v>76</v>
      </c>
      <c r="BA43">
        <v>-1.5707963267949001</v>
      </c>
      <c r="BB43">
        <v>0.92306021129208904</v>
      </c>
      <c r="BC43">
        <v>0</v>
      </c>
      <c r="BD43">
        <v>5.23069984452703E-2</v>
      </c>
      <c r="BE43">
        <v>4.58503766220869E-4</v>
      </c>
      <c r="BF43">
        <v>1.5193908250150301E-2</v>
      </c>
      <c r="BG43">
        <v>3.12841331252355E-3</v>
      </c>
      <c r="BH43">
        <v>4.95335554669193E-3</v>
      </c>
      <c r="BI43">
        <v>7.5198101391425298E-2</v>
      </c>
      <c r="BJ43">
        <v>2.3564949451748401E-2</v>
      </c>
      <c r="BK43">
        <v>0.87232240192673804</v>
      </c>
      <c r="BL43">
        <v>1.0716761356073299E-4</v>
      </c>
      <c r="BM43" s="1">
        <v>9.8763050843173899E-5</v>
      </c>
      <c r="BN43" s="1">
        <v>3.9184234866130799E-7</v>
      </c>
      <c r="BO43" s="1">
        <v>1.5513663748751501E-6</v>
      </c>
      <c r="BP43">
        <v>0</v>
      </c>
      <c r="BQ43">
        <v>0</v>
      </c>
      <c r="BR43" s="1">
        <v>6.5906352769828894E-5</v>
      </c>
      <c r="BS43" s="1">
        <v>5.5441832566422698E-5</v>
      </c>
    </row>
    <row r="44" spans="1:71" x14ac:dyDescent="0.25">
      <c r="A44">
        <v>41</v>
      </c>
      <c r="B44" s="1">
        <v>1.4533579259638501E-5</v>
      </c>
      <c r="C44">
        <v>9.1010158111557396E-2</v>
      </c>
      <c r="D44">
        <v>-1.9359275110693099E-4</v>
      </c>
      <c r="E44">
        <v>-1.9359275110693099E-4</v>
      </c>
      <c r="F44">
        <v>-9.1010158111557403E-4</v>
      </c>
      <c r="G44">
        <v>-9.1010158111557403E-4</v>
      </c>
      <c r="H44" t="s">
        <v>74</v>
      </c>
      <c r="I44">
        <v>0</v>
      </c>
      <c r="J44" t="s">
        <v>75</v>
      </c>
      <c r="K44">
        <v>3.14159265358979</v>
      </c>
      <c r="L44">
        <v>0.92487493517379704</v>
      </c>
      <c r="M44">
        <v>0</v>
      </c>
      <c r="N44">
        <v>5.4304093578815202E-2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0.93225633419874399</v>
      </c>
      <c r="V44" t="s">
        <v>78</v>
      </c>
      <c r="W44">
        <v>3053192.1998078101</v>
      </c>
      <c r="X44" t="s">
        <v>76</v>
      </c>
      <c r="Y44">
        <v>-1.5707963267949001</v>
      </c>
      <c r="Z44">
        <v>0.92137623276992797</v>
      </c>
      <c r="AA44">
        <v>0</v>
      </c>
      <c r="AB44">
        <v>5.2201638694865701E-2</v>
      </c>
      <c r="AC44">
        <v>4.6979097291417E-4</v>
      </c>
      <c r="AD44">
        <v>1.4892556841332699E-2</v>
      </c>
      <c r="AE44">
        <v>3.2019799420809499E-3</v>
      </c>
      <c r="AF44">
        <v>5.2197700030586196E-3</v>
      </c>
      <c r="AG44">
        <v>7.6008028377690495E-2</v>
      </c>
      <c r="AH44">
        <v>2.5273872942521002E-2</v>
      </c>
      <c r="AI44">
        <v>0.86915923665862105</v>
      </c>
      <c r="AJ44" t="s">
        <v>74</v>
      </c>
      <c r="AK44">
        <v>0</v>
      </c>
      <c r="AL44" t="s">
        <v>77</v>
      </c>
      <c r="AM44">
        <v>0</v>
      </c>
      <c r="AN44">
        <v>0.92487493517379704</v>
      </c>
      <c r="AO44">
        <v>0</v>
      </c>
      <c r="AP44">
        <v>5.4304093578815202E-2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0.93225633419874498</v>
      </c>
      <c r="AX44" t="s">
        <v>78</v>
      </c>
      <c r="AY44">
        <v>3053192.1998078101</v>
      </c>
      <c r="AZ44" t="s">
        <v>76</v>
      </c>
      <c r="BA44">
        <v>-1.5707963267949001</v>
      </c>
      <c r="BB44">
        <v>0.92137623276992897</v>
      </c>
      <c r="BC44">
        <v>0</v>
      </c>
      <c r="BD44">
        <v>5.2201638694865701E-2</v>
      </c>
      <c r="BE44">
        <v>4.6979097291417098E-4</v>
      </c>
      <c r="BF44">
        <v>1.4892556841332699E-2</v>
      </c>
      <c r="BG44">
        <v>3.2019799420809499E-3</v>
      </c>
      <c r="BH44">
        <v>5.2197700030586101E-3</v>
      </c>
      <c r="BI44">
        <v>7.6008028377690107E-2</v>
      </c>
      <c r="BJ44">
        <v>2.5273872942520901E-2</v>
      </c>
      <c r="BK44">
        <v>0.86915923665862205</v>
      </c>
      <c r="BL44">
        <v>1.06975523246595E-4</v>
      </c>
      <c r="BM44">
        <v>1.0128190132021101E-4</v>
      </c>
      <c r="BN44" s="1">
        <v>3.9115391618301001E-7</v>
      </c>
      <c r="BO44" s="1">
        <v>1.59093238564591E-6</v>
      </c>
      <c r="BP44">
        <v>0</v>
      </c>
      <c r="BQ44">
        <v>0</v>
      </c>
      <c r="BR44" s="1">
        <v>6.5790613967569499E-5</v>
      </c>
      <c r="BS44" s="1">
        <v>5.6857072056427402E-5</v>
      </c>
    </row>
    <row r="45" spans="1:71" x14ac:dyDescent="0.25">
      <c r="A45">
        <v>42</v>
      </c>
      <c r="B45" s="1">
        <v>1.4382731051741701E-5</v>
      </c>
      <c r="C45">
        <v>9.1024540842609095E-2</v>
      </c>
      <c r="D45">
        <v>-1.9367856439520399E-4</v>
      </c>
      <c r="E45">
        <v>-1.9367856439520399E-4</v>
      </c>
      <c r="F45">
        <v>-9.1024540842609097E-4</v>
      </c>
      <c r="G45">
        <v>-9.1024540842609097E-4</v>
      </c>
      <c r="H45" t="s">
        <v>74</v>
      </c>
      <c r="I45">
        <v>0</v>
      </c>
      <c r="J45" t="s">
        <v>75</v>
      </c>
      <c r="K45">
        <v>3.14159265358979</v>
      </c>
      <c r="L45">
        <v>0.92320625738028395</v>
      </c>
      <c r="M45">
        <v>0</v>
      </c>
      <c r="N45">
        <v>5.4206117050740299E-2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0.93054210102492996</v>
      </c>
      <c r="V45" t="s">
        <v>78</v>
      </c>
      <c r="W45">
        <v>3054117.85858856</v>
      </c>
      <c r="X45" t="s">
        <v>76</v>
      </c>
      <c r="Y45">
        <v>-1.5707963267949001</v>
      </c>
      <c r="Z45">
        <v>0.91969321681961702</v>
      </c>
      <c r="AA45">
        <v>0</v>
      </c>
      <c r="AB45">
        <v>5.2096474517905403E-2</v>
      </c>
      <c r="AC45">
        <v>4.81079929311756E-4</v>
      </c>
      <c r="AD45">
        <v>1.4584452463615699E-2</v>
      </c>
      <c r="AE45">
        <v>3.2746395200843898E-3</v>
      </c>
      <c r="AF45">
        <v>5.4933413900528603E-3</v>
      </c>
      <c r="AG45">
        <v>7.6731475653663297E-2</v>
      </c>
      <c r="AH45">
        <v>2.70682163019152E-2</v>
      </c>
      <c r="AI45">
        <v>0.86599844528285097</v>
      </c>
      <c r="AJ45" t="s">
        <v>74</v>
      </c>
      <c r="AK45">
        <v>0</v>
      </c>
      <c r="AL45" t="s">
        <v>77</v>
      </c>
      <c r="AM45">
        <v>0</v>
      </c>
      <c r="AN45">
        <v>0.92320625738028395</v>
      </c>
      <c r="AO45">
        <v>0</v>
      </c>
      <c r="AP45">
        <v>5.4206117050740299E-2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0.93054210102492996</v>
      </c>
      <c r="AX45" t="s">
        <v>78</v>
      </c>
      <c r="AY45">
        <v>3054117.85858856</v>
      </c>
      <c r="AZ45" t="s">
        <v>76</v>
      </c>
      <c r="BA45">
        <v>-1.5707963267949001</v>
      </c>
      <c r="BB45">
        <v>0.91969321681961702</v>
      </c>
      <c r="BC45">
        <v>0</v>
      </c>
      <c r="BD45">
        <v>5.2096474517905403E-2</v>
      </c>
      <c r="BE45">
        <v>4.8107992931175801E-4</v>
      </c>
      <c r="BF45">
        <v>1.4584452463615699E-2</v>
      </c>
      <c r="BG45">
        <v>3.2746395200843898E-3</v>
      </c>
      <c r="BH45">
        <v>5.4933413900528499E-3</v>
      </c>
      <c r="BI45">
        <v>7.6731475653662895E-2</v>
      </c>
      <c r="BJ45">
        <v>2.70682163019151E-2</v>
      </c>
      <c r="BK45">
        <v>0.86599844528285197</v>
      </c>
      <c r="BL45">
        <v>1.0678367149795699E-4</v>
      </c>
      <c r="BM45">
        <v>1.03799691955578E-4</v>
      </c>
      <c r="BN45" s="1">
        <v>3.9046716226794702E-7</v>
      </c>
      <c r="BO45" s="1">
        <v>1.63048174846264E-6</v>
      </c>
      <c r="BP45">
        <v>0</v>
      </c>
      <c r="BQ45">
        <v>0</v>
      </c>
      <c r="BR45" s="1">
        <v>6.5674979527197697E-5</v>
      </c>
      <c r="BS45" s="1">
        <v>5.82717655391034E-5</v>
      </c>
    </row>
    <row r="46" spans="1:71" x14ac:dyDescent="0.25">
      <c r="A46">
        <v>43</v>
      </c>
      <c r="B46" s="1">
        <v>1.4250268981492499E-5</v>
      </c>
      <c r="C46">
        <v>9.1038791111590606E-2</v>
      </c>
      <c r="D46">
        <v>-1.9376358124598001E-4</v>
      </c>
      <c r="E46">
        <v>-1.9376358124598001E-4</v>
      </c>
      <c r="F46">
        <v>-9.1038791111590605E-4</v>
      </c>
      <c r="G46">
        <v>-9.1038791111590605E-4</v>
      </c>
      <c r="H46" t="s">
        <v>74</v>
      </c>
      <c r="I46">
        <v>0</v>
      </c>
      <c r="J46" t="s">
        <v>75</v>
      </c>
      <c r="K46">
        <v>3.14159265358979</v>
      </c>
      <c r="L46">
        <v>0.92153831814267295</v>
      </c>
      <c r="M46">
        <v>0</v>
      </c>
      <c r="N46">
        <v>5.41081838870245E-2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0.92882372479667796</v>
      </c>
      <c r="V46" t="s">
        <v>78</v>
      </c>
      <c r="W46">
        <v>3055034.9262830401</v>
      </c>
      <c r="X46" t="s">
        <v>76</v>
      </c>
      <c r="Y46">
        <v>-1.5707963267949001</v>
      </c>
      <c r="Z46">
        <v>0.918011172775276</v>
      </c>
      <c r="AA46">
        <v>0</v>
      </c>
      <c r="AB46">
        <v>5.1991493037730603E-2</v>
      </c>
      <c r="AC46">
        <v>4.92413917960409E-4</v>
      </c>
      <c r="AD46">
        <v>1.4269664564194399E-2</v>
      </c>
      <c r="AE46">
        <v>3.3463609035975701E-3</v>
      </c>
      <c r="AF46">
        <v>5.7740807513646302E-3</v>
      </c>
      <c r="AG46">
        <v>7.7365495878696594E-2</v>
      </c>
      <c r="AH46">
        <v>2.8950872339455501E-2</v>
      </c>
      <c r="AI46">
        <v>0.86284019770875897</v>
      </c>
      <c r="AJ46" t="s">
        <v>74</v>
      </c>
      <c r="AK46">
        <v>0</v>
      </c>
      <c r="AL46" t="s">
        <v>77</v>
      </c>
      <c r="AM46">
        <v>0</v>
      </c>
      <c r="AN46">
        <v>0.92153831814267395</v>
      </c>
      <c r="AO46">
        <v>0</v>
      </c>
      <c r="AP46">
        <v>5.41081838870245E-2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0.92882372479667796</v>
      </c>
      <c r="AX46" t="s">
        <v>78</v>
      </c>
      <c r="AY46">
        <v>3055034.9262830401</v>
      </c>
      <c r="AZ46" t="s">
        <v>76</v>
      </c>
      <c r="BA46">
        <v>-1.5707963267949001</v>
      </c>
      <c r="BB46">
        <v>0.918011172775276</v>
      </c>
      <c r="BC46">
        <v>0</v>
      </c>
      <c r="BD46">
        <v>5.1991493037730603E-2</v>
      </c>
      <c r="BE46">
        <v>4.9241391796040997E-4</v>
      </c>
      <c r="BF46">
        <v>1.4269664564194399E-2</v>
      </c>
      <c r="BG46">
        <v>3.3463609035975701E-3</v>
      </c>
      <c r="BH46">
        <v>5.7740807513646302E-3</v>
      </c>
      <c r="BI46">
        <v>7.7365495878696205E-2</v>
      </c>
      <c r="BJ46">
        <v>2.8950872339455501E-2</v>
      </c>
      <c r="BK46">
        <v>0.86284019770875997</v>
      </c>
      <c r="BL46">
        <v>1.06592090842715E-4</v>
      </c>
      <c r="BM46">
        <v>1.06316368218152E-4</v>
      </c>
      <c r="BN46" s="1">
        <v>3.8978227167357401E-7</v>
      </c>
      <c r="BO46" s="1">
        <v>1.6700136067524701E-6</v>
      </c>
      <c r="BP46">
        <v>0</v>
      </c>
      <c r="BQ46">
        <v>0</v>
      </c>
      <c r="BR46" s="1">
        <v>6.5559471159241098E-5</v>
      </c>
      <c r="BS46" s="1">
        <v>5.9685883055789897E-5</v>
      </c>
    </row>
    <row r="47" spans="1:71" x14ac:dyDescent="0.25">
      <c r="A47">
        <v>44</v>
      </c>
      <c r="B47" s="1">
        <v>1.41357632046507E-5</v>
      </c>
      <c r="C47">
        <v>9.1052926874795298E-2</v>
      </c>
      <c r="D47">
        <v>-1.9384790894844101E-4</v>
      </c>
      <c r="E47">
        <v>-1.9384790894844101E-4</v>
      </c>
      <c r="F47">
        <v>-9.1052926874795302E-4</v>
      </c>
      <c r="G47">
        <v>-9.1052926874795302E-4</v>
      </c>
      <c r="H47" t="s">
        <v>74</v>
      </c>
      <c r="I47">
        <v>0</v>
      </c>
      <c r="J47" t="s">
        <v>75</v>
      </c>
      <c r="K47">
        <v>3.14159265358979</v>
      </c>
      <c r="L47">
        <v>0.919871156751354</v>
      </c>
      <c r="M47">
        <v>0</v>
      </c>
      <c r="N47">
        <v>5.4010296394605702E-2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0.92710133822950802</v>
      </c>
      <c r="V47" t="s">
        <v>78</v>
      </c>
      <c r="W47">
        <v>3055944.5602082098</v>
      </c>
      <c r="X47" t="s">
        <v>76</v>
      </c>
      <c r="Y47">
        <v>-1.5707963267949001</v>
      </c>
      <c r="Z47">
        <v>0.91633011376270301</v>
      </c>
      <c r="AA47">
        <v>0</v>
      </c>
      <c r="AB47">
        <v>5.1886681999791399E-2</v>
      </c>
      <c r="AC47">
        <v>5.0367885802063005E-4</v>
      </c>
      <c r="AD47">
        <v>1.3948262220558E-2</v>
      </c>
      <c r="AE47">
        <v>3.4171129011423599E-3</v>
      </c>
      <c r="AF47">
        <v>6.0619980566916096E-3</v>
      </c>
      <c r="AG47">
        <v>7.7907030770997004E-2</v>
      </c>
      <c r="AH47">
        <v>3.0924840053485499E-2</v>
      </c>
      <c r="AI47">
        <v>0.859684662705131</v>
      </c>
      <c r="AJ47" t="s">
        <v>74</v>
      </c>
      <c r="AK47">
        <v>0</v>
      </c>
      <c r="AL47" t="s">
        <v>77</v>
      </c>
      <c r="AM47">
        <v>0</v>
      </c>
      <c r="AN47">
        <v>0.919871156751355</v>
      </c>
      <c r="AO47">
        <v>0</v>
      </c>
      <c r="AP47">
        <v>5.4010296394605702E-2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0.92710133822950802</v>
      </c>
      <c r="AX47" t="s">
        <v>78</v>
      </c>
      <c r="AY47">
        <v>3055944.5602082098</v>
      </c>
      <c r="AZ47" t="s">
        <v>76</v>
      </c>
      <c r="BA47">
        <v>-1.5707963267949001</v>
      </c>
      <c r="BB47">
        <v>0.91633011376270301</v>
      </c>
      <c r="BC47">
        <v>0</v>
      </c>
      <c r="BD47">
        <v>5.1886681999791399E-2</v>
      </c>
      <c r="BE47">
        <v>5.0367885802063102E-4</v>
      </c>
      <c r="BF47">
        <v>1.39482622205579E-2</v>
      </c>
      <c r="BG47">
        <v>3.4171129011423499E-3</v>
      </c>
      <c r="BH47">
        <v>6.06199805669162E-3</v>
      </c>
      <c r="BI47">
        <v>7.7907030770996699E-2</v>
      </c>
      <c r="BJ47">
        <v>3.0924840053485399E-2</v>
      </c>
      <c r="BK47">
        <v>0.859684662705132</v>
      </c>
      <c r="BL47">
        <v>1.06400657252418E-4</v>
      </c>
      <c r="BM47">
        <v>1.08831870824482E-4</v>
      </c>
      <c r="BN47" s="1">
        <v>3.8909836815420703E-7</v>
      </c>
      <c r="BO47" s="1">
        <v>1.7095270292931399E-6</v>
      </c>
      <c r="BP47">
        <v>0</v>
      </c>
      <c r="BQ47">
        <v>0</v>
      </c>
      <c r="BR47" s="1">
        <v>6.5444022609910301E-5</v>
      </c>
      <c r="BS47" s="1">
        <v>6.1099392095633094E-5</v>
      </c>
    </row>
    <row r="48" spans="1:71" x14ac:dyDescent="0.25">
      <c r="A48">
        <v>45</v>
      </c>
      <c r="B48" s="1">
        <v>1.4038917642501901E-5</v>
      </c>
      <c r="C48">
        <v>9.1066965792437796E-2</v>
      </c>
      <c r="D48">
        <v>-1.9393165299382399E-4</v>
      </c>
      <c r="E48">
        <v>-1.9393165299382399E-4</v>
      </c>
      <c r="F48">
        <v>-9.1066965792437797E-4</v>
      </c>
      <c r="G48">
        <v>-9.1066965792437797E-4</v>
      </c>
      <c r="H48" t="s">
        <v>74</v>
      </c>
      <c r="I48">
        <v>0</v>
      </c>
      <c r="J48" t="s">
        <v>75</v>
      </c>
      <c r="K48">
        <v>3.14159265358979</v>
      </c>
      <c r="L48">
        <v>0.91820481600927495</v>
      </c>
      <c r="M48">
        <v>0</v>
      </c>
      <c r="N48">
        <v>5.39124570866618E-2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0.92537507171621303</v>
      </c>
      <c r="V48" t="s">
        <v>78</v>
      </c>
      <c r="W48">
        <v>3056847.8982867799</v>
      </c>
      <c r="X48" t="s">
        <v>76</v>
      </c>
      <c r="Y48">
        <v>-1.5707963267949001</v>
      </c>
      <c r="Z48">
        <v>0.91465005686998302</v>
      </c>
      <c r="AA48">
        <v>0</v>
      </c>
      <c r="AB48">
        <v>5.1782029684146899E-2</v>
      </c>
      <c r="AC48">
        <v>5.1496782955349303E-4</v>
      </c>
      <c r="AD48">
        <v>1.3620314630940499E-2</v>
      </c>
      <c r="AE48">
        <v>3.4868642677565701E-3</v>
      </c>
      <c r="AF48">
        <v>6.3571020606550998E-3</v>
      </c>
      <c r="AG48">
        <v>7.8352902621986797E-2</v>
      </c>
      <c r="AH48">
        <v>3.2993232569197901E-2</v>
      </c>
      <c r="AI48">
        <v>0.85653200917723804</v>
      </c>
      <c r="AJ48" t="s">
        <v>74</v>
      </c>
      <c r="AK48">
        <v>0</v>
      </c>
      <c r="AL48" t="s">
        <v>77</v>
      </c>
      <c r="AM48">
        <v>0</v>
      </c>
      <c r="AN48">
        <v>0.91820481600927595</v>
      </c>
      <c r="AO48">
        <v>0</v>
      </c>
      <c r="AP48">
        <v>5.39124570866618E-2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0.92537507171621303</v>
      </c>
      <c r="AX48" t="s">
        <v>78</v>
      </c>
      <c r="AY48">
        <v>3056847.8982867799</v>
      </c>
      <c r="AZ48" t="s">
        <v>76</v>
      </c>
      <c r="BA48">
        <v>-1.5707963267949001</v>
      </c>
      <c r="BB48">
        <v>0.91465005686998302</v>
      </c>
      <c r="BC48">
        <v>0</v>
      </c>
      <c r="BD48">
        <v>5.1782029684146899E-2</v>
      </c>
      <c r="BE48">
        <v>5.1496782955349596E-4</v>
      </c>
      <c r="BF48">
        <v>1.3620314630940499E-2</v>
      </c>
      <c r="BG48">
        <v>3.4868642677565701E-3</v>
      </c>
      <c r="BH48">
        <v>6.3571020606551102E-3</v>
      </c>
      <c r="BI48">
        <v>7.8352902621986506E-2</v>
      </c>
      <c r="BJ48">
        <v>3.2993232569197797E-2</v>
      </c>
      <c r="BK48">
        <v>0.85653200917723804</v>
      </c>
      <c r="BL48">
        <v>1.0620945460036201E-4</v>
      </c>
      <c r="BM48">
        <v>1.11346135191185E-4</v>
      </c>
      <c r="BN48" s="1">
        <v>3.8841598434479802E-7</v>
      </c>
      <c r="BO48" s="1">
        <v>1.74902100161121E-6</v>
      </c>
      <c r="BP48">
        <v>0</v>
      </c>
      <c r="BQ48">
        <v>0</v>
      </c>
      <c r="BR48" s="1">
        <v>6.5328684292069604E-5</v>
      </c>
      <c r="BS48" s="1">
        <v>6.2512257295817898E-5</v>
      </c>
    </row>
    <row r="49" spans="1:71" x14ac:dyDescent="0.25">
      <c r="A49">
        <v>46</v>
      </c>
      <c r="B49" s="1">
        <v>1.3959568486537001E-5</v>
      </c>
      <c r="C49">
        <v>9.1080925360924297E-2</v>
      </c>
      <c r="D49">
        <v>-1.9401491786558999E-4</v>
      </c>
      <c r="E49">
        <v>-1.9401491786558999E-4</v>
      </c>
      <c r="F49">
        <v>-9.1080925360924304E-4</v>
      </c>
      <c r="G49">
        <v>-9.1080925360924304E-4</v>
      </c>
      <c r="H49" t="s">
        <v>74</v>
      </c>
      <c r="I49">
        <v>0</v>
      </c>
      <c r="J49" t="s">
        <v>75</v>
      </c>
      <c r="K49">
        <v>3.14159265358979</v>
      </c>
      <c r="L49">
        <v>0.91653934264876102</v>
      </c>
      <c r="M49">
        <v>0</v>
      </c>
      <c r="N49">
        <v>5.3814668707084401E-2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0.92364505434299105</v>
      </c>
      <c r="V49" t="s">
        <v>78</v>
      </c>
      <c r="W49">
        <v>3057746.0675706798</v>
      </c>
      <c r="X49" t="s">
        <v>76</v>
      </c>
      <c r="Y49">
        <v>-1.5707963267949001</v>
      </c>
      <c r="Z49">
        <v>0.91297102337393399</v>
      </c>
      <c r="AA49">
        <v>0</v>
      </c>
      <c r="AB49">
        <v>5.1677524823455299E-2</v>
      </c>
      <c r="AC49">
        <v>5.2622005205653095E-4</v>
      </c>
      <c r="AD49">
        <v>1.3285891615097601E-2</v>
      </c>
      <c r="AE49">
        <v>3.5555837012422502E-3</v>
      </c>
      <c r="AF49">
        <v>6.6594001411478696E-3</v>
      </c>
      <c r="AG49">
        <v>7.8699804979716598E-2</v>
      </c>
      <c r="AH49">
        <v>3.5159285826301699E-2</v>
      </c>
      <c r="AI49">
        <v>0.85338240747212002</v>
      </c>
      <c r="AJ49" t="s">
        <v>74</v>
      </c>
      <c r="AK49">
        <v>0</v>
      </c>
      <c r="AL49" t="s">
        <v>77</v>
      </c>
      <c r="AM49">
        <v>0</v>
      </c>
      <c r="AN49">
        <v>0.91653934264876102</v>
      </c>
      <c r="AO49">
        <v>0</v>
      </c>
      <c r="AP49">
        <v>5.3814668707084401E-2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0.92364505434299105</v>
      </c>
      <c r="AX49" t="s">
        <v>78</v>
      </c>
      <c r="AY49">
        <v>3057746.0675706798</v>
      </c>
      <c r="AZ49" t="s">
        <v>76</v>
      </c>
      <c r="BA49">
        <v>-1.5707963267949001</v>
      </c>
      <c r="BB49">
        <v>0.91297102337393499</v>
      </c>
      <c r="BC49">
        <v>0</v>
      </c>
      <c r="BD49">
        <v>5.1677524823455299E-2</v>
      </c>
      <c r="BE49">
        <v>5.2622005205653203E-4</v>
      </c>
      <c r="BF49">
        <v>1.32858916150975E-2</v>
      </c>
      <c r="BG49">
        <v>3.5555837012422502E-3</v>
      </c>
      <c r="BH49">
        <v>6.6594001411478801E-3</v>
      </c>
      <c r="BI49">
        <v>7.8699804979716306E-2</v>
      </c>
      <c r="BJ49">
        <v>3.5159285826301699E-2</v>
      </c>
      <c r="BK49">
        <v>0.85338240747212102</v>
      </c>
      <c r="BL49">
        <v>1.06018413582596E-4</v>
      </c>
      <c r="BM49">
        <v>1.13859090806018E-4</v>
      </c>
      <c r="BN49" s="1">
        <v>3.8773461419521002E-7</v>
      </c>
      <c r="BO49" s="1">
        <v>1.788494416103E-6</v>
      </c>
      <c r="BP49">
        <v>0</v>
      </c>
      <c r="BQ49">
        <v>0</v>
      </c>
      <c r="BR49" s="1">
        <v>6.5213420600534694E-5</v>
      </c>
      <c r="BS49" s="1">
        <v>6.3924440097676299E-5</v>
      </c>
    </row>
    <row r="50" spans="1:71" x14ac:dyDescent="0.25">
      <c r="A50">
        <v>47</v>
      </c>
      <c r="B50" s="1">
        <v>1.3897685270359599E-5</v>
      </c>
      <c r="C50">
        <v>9.1094823046194706E-2</v>
      </c>
      <c r="D50">
        <v>-1.94097807835555E-4</v>
      </c>
      <c r="E50">
        <v>-1.94097807835555E-4</v>
      </c>
      <c r="F50">
        <v>-9.1094823046194702E-4</v>
      </c>
      <c r="G50">
        <v>-9.1094823046194702E-4</v>
      </c>
      <c r="H50" t="s">
        <v>74</v>
      </c>
      <c r="I50">
        <v>0</v>
      </c>
      <c r="J50" t="s">
        <v>75</v>
      </c>
      <c r="K50">
        <v>3.14159265358979</v>
      </c>
      <c r="L50">
        <v>0.91487478781204401</v>
      </c>
      <c r="M50">
        <v>0</v>
      </c>
      <c r="N50">
        <v>5.3716934258693103E-2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0.92191141491586104</v>
      </c>
      <c r="V50" t="s">
        <v>78</v>
      </c>
      <c r="W50">
        <v>3058640.1928288802</v>
      </c>
      <c r="X50" t="s">
        <v>76</v>
      </c>
      <c r="Y50">
        <v>-1.5707963267949001</v>
      </c>
      <c r="Z50">
        <v>0.91129303902854497</v>
      </c>
      <c r="AA50">
        <v>0</v>
      </c>
      <c r="AB50">
        <v>5.1573156524979402E-2</v>
      </c>
      <c r="AC50">
        <v>5.3752115638089598E-4</v>
      </c>
      <c r="AD50">
        <v>1.2945064135388699E-2</v>
      </c>
      <c r="AE50">
        <v>3.62323983956547E-3</v>
      </c>
      <c r="AF50">
        <v>6.9688981133866597E-3</v>
      </c>
      <c r="AG50">
        <v>7.8944292398799298E-2</v>
      </c>
      <c r="AH50">
        <v>3.7426368104037003E-2</v>
      </c>
      <c r="AI50">
        <v>0.85023603073894705</v>
      </c>
      <c r="AJ50" t="s">
        <v>74</v>
      </c>
      <c r="AK50">
        <v>0</v>
      </c>
      <c r="AL50" t="s">
        <v>77</v>
      </c>
      <c r="AM50">
        <v>0</v>
      </c>
      <c r="AN50">
        <v>0.91487478781204501</v>
      </c>
      <c r="AO50">
        <v>0</v>
      </c>
      <c r="AP50">
        <v>5.37169342586932E-2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0.92191141491586204</v>
      </c>
      <c r="AX50" t="s">
        <v>78</v>
      </c>
      <c r="AY50">
        <v>3058640.1928288802</v>
      </c>
      <c r="AZ50" t="s">
        <v>76</v>
      </c>
      <c r="BA50">
        <v>-1.5707963267949001</v>
      </c>
      <c r="BB50">
        <v>0.91129303902854597</v>
      </c>
      <c r="BC50">
        <v>0</v>
      </c>
      <c r="BD50">
        <v>5.1573156524979402E-2</v>
      </c>
      <c r="BE50">
        <v>5.3752115638089999E-4</v>
      </c>
      <c r="BF50">
        <v>1.2945064135388901E-2</v>
      </c>
      <c r="BG50">
        <v>3.6232398395654301E-3</v>
      </c>
      <c r="BH50">
        <v>6.9688981133865296E-3</v>
      </c>
      <c r="BI50">
        <v>7.8944292398798799E-2</v>
      </c>
      <c r="BJ50">
        <v>3.7426368104035899E-2</v>
      </c>
      <c r="BK50">
        <v>0.85023603073894904</v>
      </c>
      <c r="BL50">
        <v>1.0582761194005299E-4</v>
      </c>
      <c r="BM50">
        <v>1.16370660502836E-4</v>
      </c>
      <c r="BN50" s="1">
        <v>3.8705474741286602E-7</v>
      </c>
      <c r="BO50" s="1">
        <v>1.8279460606455E-6</v>
      </c>
      <c r="BP50">
        <v>0</v>
      </c>
      <c r="BQ50">
        <v>0</v>
      </c>
      <c r="BR50" s="1">
        <v>6.5098278487107106E-5</v>
      </c>
      <c r="BS50" s="1">
        <v>6.5335898350571094E-5</v>
      </c>
    </row>
    <row r="51" spans="1:71" x14ac:dyDescent="0.25">
      <c r="A51">
        <v>48</v>
      </c>
      <c r="B51" s="1">
        <v>1.38533746296449E-5</v>
      </c>
      <c r="C51">
        <v>9.1108676420824306E-2</v>
      </c>
      <c r="D51">
        <v>-1.94180427782019E-4</v>
      </c>
      <c r="E51">
        <v>-1.94180427782019E-4</v>
      </c>
      <c r="F51">
        <v>-9.1108676420824299E-4</v>
      </c>
      <c r="G51">
        <v>-9.1108676420824299E-4</v>
      </c>
      <c r="H51" t="s">
        <v>74</v>
      </c>
      <c r="I51">
        <v>0</v>
      </c>
      <c r="J51" t="s">
        <v>75</v>
      </c>
      <c r="K51">
        <v>3.14159265358979</v>
      </c>
      <c r="L51">
        <v>0.91321120760743102</v>
      </c>
      <c r="M51">
        <v>0</v>
      </c>
      <c r="N51">
        <v>5.3619257035890801E-2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0.92017428301818804</v>
      </c>
      <c r="V51" t="s">
        <v>78</v>
      </c>
      <c r="W51">
        <v>3059531.4053723998</v>
      </c>
      <c r="X51" t="s">
        <v>76</v>
      </c>
      <c r="Y51">
        <v>-1.5707963267949001</v>
      </c>
      <c r="Z51">
        <v>0.90961613442342704</v>
      </c>
      <c r="AA51">
        <v>0</v>
      </c>
      <c r="AB51">
        <v>5.1468914195186698E-2</v>
      </c>
      <c r="AC51">
        <v>5.4881002433320304E-4</v>
      </c>
      <c r="AD51">
        <v>1.2597904849051199E-2</v>
      </c>
      <c r="AE51">
        <v>3.68980125938428E-3</v>
      </c>
      <c r="AF51">
        <v>7.2856000151418797E-3</v>
      </c>
      <c r="AG51">
        <v>7.9082769139915604E-2</v>
      </c>
      <c r="AH51">
        <v>3.9797990482498997E-2</v>
      </c>
      <c r="AI51">
        <v>0.84709305637369603</v>
      </c>
      <c r="AJ51" t="s">
        <v>74</v>
      </c>
      <c r="AK51">
        <v>0</v>
      </c>
      <c r="AL51" t="s">
        <v>77</v>
      </c>
      <c r="AM51">
        <v>0</v>
      </c>
      <c r="AN51">
        <v>0.91321120760743202</v>
      </c>
      <c r="AO51">
        <v>0</v>
      </c>
      <c r="AP51">
        <v>5.3619257035890898E-2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0.92017428301818904</v>
      </c>
      <c r="AX51" t="s">
        <v>78</v>
      </c>
      <c r="AY51">
        <v>3059531.4053723998</v>
      </c>
      <c r="AZ51" t="s">
        <v>76</v>
      </c>
      <c r="BA51">
        <v>-1.5707963267949001</v>
      </c>
      <c r="BB51">
        <v>0.90961613442342804</v>
      </c>
      <c r="BC51">
        <v>0</v>
      </c>
      <c r="BD51">
        <v>5.1468914195186802E-2</v>
      </c>
      <c r="BE51">
        <v>5.48810024333209E-4</v>
      </c>
      <c r="BF51">
        <v>1.25979048490514E-2</v>
      </c>
      <c r="BG51">
        <v>3.6898012593842401E-3</v>
      </c>
      <c r="BH51">
        <v>7.28560001514176E-3</v>
      </c>
      <c r="BI51">
        <v>7.9082769139915202E-2</v>
      </c>
      <c r="BJ51">
        <v>3.9797990482497901E-2</v>
      </c>
      <c r="BK51">
        <v>0.84709305637369803</v>
      </c>
      <c r="BL51">
        <v>1.0563698125541099E-4</v>
      </c>
      <c r="BM51">
        <v>1.18880759622414E-4</v>
      </c>
      <c r="BN51" s="1">
        <v>3.8637588193998998E-7</v>
      </c>
      <c r="BO51" s="1">
        <v>1.8673746054147499E-6</v>
      </c>
      <c r="BP51">
        <v>0</v>
      </c>
      <c r="BQ51">
        <v>0</v>
      </c>
      <c r="BR51" s="1">
        <v>6.4983222874293305E-5</v>
      </c>
      <c r="BS51" s="1">
        <v>6.6746585853733596E-5</v>
      </c>
    </row>
    <row r="52" spans="1:71" x14ac:dyDescent="0.25">
      <c r="A52">
        <v>49</v>
      </c>
      <c r="B52" s="1">
        <v>1.3826886977435501E-5</v>
      </c>
      <c r="C52">
        <v>9.1122503307801694E-2</v>
      </c>
      <c r="D52">
        <v>-1.9426288404726199E-4</v>
      </c>
      <c r="E52">
        <v>-1.9426288404726199E-4</v>
      </c>
      <c r="F52">
        <v>-9.1122503307801699E-4</v>
      </c>
      <c r="G52">
        <v>-9.1122503307801699E-4</v>
      </c>
      <c r="H52" t="s">
        <v>74</v>
      </c>
      <c r="I52">
        <v>0</v>
      </c>
      <c r="J52" t="s">
        <v>75</v>
      </c>
      <c r="K52">
        <v>3.14159265358979</v>
      </c>
      <c r="L52">
        <v>0.91154866375575205</v>
      </c>
      <c r="M52">
        <v>0</v>
      </c>
      <c r="N52">
        <v>5.3521640662620398E-2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0.91843379012206305</v>
      </c>
      <c r="V52" t="s">
        <v>78</v>
      </c>
      <c r="W52">
        <v>3060420.85230406</v>
      </c>
      <c r="X52" t="s">
        <v>76</v>
      </c>
      <c r="Y52">
        <v>-1.5707963267949001</v>
      </c>
      <c r="Z52">
        <v>0.90794034542273305</v>
      </c>
      <c r="AA52">
        <v>0</v>
      </c>
      <c r="AB52">
        <v>5.1364787465538103E-2</v>
      </c>
      <c r="AC52">
        <v>5.6002912750013705E-4</v>
      </c>
      <c r="AD52">
        <v>1.22444887039161E-2</v>
      </c>
      <c r="AE52">
        <v>3.75523647569097E-3</v>
      </c>
      <c r="AF52">
        <v>7.6095078575950303E-3</v>
      </c>
      <c r="AG52">
        <v>7.9111476685378199E-2</v>
      </c>
      <c r="AH52">
        <v>4.22778183516722E-2</v>
      </c>
      <c r="AI52">
        <v>0.843953667581268</v>
      </c>
      <c r="AJ52" t="s">
        <v>74</v>
      </c>
      <c r="AK52">
        <v>0</v>
      </c>
      <c r="AL52" t="s">
        <v>77</v>
      </c>
      <c r="AM52">
        <v>0</v>
      </c>
      <c r="AN52">
        <v>0.91154866375575305</v>
      </c>
      <c r="AO52">
        <v>0</v>
      </c>
      <c r="AP52">
        <v>5.3521640662620398E-2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0.91843379012206405</v>
      </c>
      <c r="AX52" t="s">
        <v>78</v>
      </c>
      <c r="AY52">
        <v>3060420.8523040498</v>
      </c>
      <c r="AZ52" t="s">
        <v>76</v>
      </c>
      <c r="BA52">
        <v>-1.5707963267949001</v>
      </c>
      <c r="BB52">
        <v>0.90794034542273405</v>
      </c>
      <c r="BC52">
        <v>0</v>
      </c>
      <c r="BD52">
        <v>5.1364787465538103E-2</v>
      </c>
      <c r="BE52">
        <v>5.6002912750014204E-4</v>
      </c>
      <c r="BF52">
        <v>1.2244488703916199E-2</v>
      </c>
      <c r="BG52">
        <v>3.7552364756909301E-3</v>
      </c>
      <c r="BH52">
        <v>7.6095078575949002E-3</v>
      </c>
      <c r="BI52">
        <v>7.9111476685377699E-2</v>
      </c>
      <c r="BJ52">
        <v>4.2277818351671E-2</v>
      </c>
      <c r="BK52">
        <v>0.84395366758127</v>
      </c>
      <c r="BL52">
        <v>1.05446457255659E-4</v>
      </c>
      <c r="BM52">
        <v>1.2138929503704999E-4</v>
      </c>
      <c r="BN52" s="1">
        <v>3.8569754223542301E-7</v>
      </c>
      <c r="BO52" s="1">
        <v>1.9067785875641901E-6</v>
      </c>
      <c r="BP52">
        <v>0</v>
      </c>
      <c r="BQ52">
        <v>0</v>
      </c>
      <c r="BR52" s="1">
        <v>6.4868221064870595E-5</v>
      </c>
      <c r="BS52" s="1">
        <v>6.8156451823976104E-5</v>
      </c>
    </row>
    <row r="53" spans="1:71" x14ac:dyDescent="0.25">
      <c r="A53">
        <v>50</v>
      </c>
      <c r="B53" s="1">
        <v>1.3818626446370899E-5</v>
      </c>
      <c r="C53">
        <v>9.1136321934248102E-2</v>
      </c>
      <c r="D53">
        <v>-1.94345285353891E-4</v>
      </c>
      <c r="E53">
        <v>-1.94345285353891E-4</v>
      </c>
      <c r="F53">
        <v>-9.1136321934248102E-4</v>
      </c>
      <c r="G53">
        <v>-9.1136321934248102E-4</v>
      </c>
      <c r="H53" t="s">
        <v>74</v>
      </c>
      <c r="I53">
        <v>0</v>
      </c>
      <c r="J53" t="s">
        <v>75</v>
      </c>
      <c r="K53">
        <v>3.14159265358979</v>
      </c>
      <c r="L53">
        <v>0.90988722434508595</v>
      </c>
      <c r="M53">
        <v>0</v>
      </c>
      <c r="N53">
        <v>5.3424089136677698E-2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0.91669007077901199</v>
      </c>
      <c r="V53" t="s">
        <v>78</v>
      </c>
      <c r="W53">
        <v>3061309.7064030101</v>
      </c>
      <c r="X53" t="s">
        <v>76</v>
      </c>
      <c r="Y53">
        <v>-1.5707963267949001</v>
      </c>
      <c r="Z53">
        <v>0.90626571369778097</v>
      </c>
      <c r="AA53">
        <v>0</v>
      </c>
      <c r="AB53">
        <v>5.1260766118007103E-2</v>
      </c>
      <c r="AC53">
        <v>5.7130002347875904E-4</v>
      </c>
      <c r="AD53">
        <v>1.18848935916949E-2</v>
      </c>
      <c r="AE53">
        <v>3.81951394256675E-3</v>
      </c>
      <c r="AF53">
        <v>7.9406213350055304E-3</v>
      </c>
      <c r="AG53">
        <v>7.9026479918310105E-2</v>
      </c>
      <c r="AH53">
        <v>4.4869684093484997E-2</v>
      </c>
      <c r="AI53">
        <v>0.84081805509322505</v>
      </c>
      <c r="AJ53" t="s">
        <v>74</v>
      </c>
      <c r="AK53">
        <v>0</v>
      </c>
      <c r="AL53" t="s">
        <v>77</v>
      </c>
      <c r="AM53">
        <v>0</v>
      </c>
      <c r="AN53">
        <v>0.90988722434508795</v>
      </c>
      <c r="AO53">
        <v>0</v>
      </c>
      <c r="AP53">
        <v>5.3424089136677802E-2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0.91669007077901299</v>
      </c>
      <c r="AX53" t="s">
        <v>78</v>
      </c>
      <c r="AY53">
        <v>3061309.7064030101</v>
      </c>
      <c r="AZ53" t="s">
        <v>76</v>
      </c>
      <c r="BA53">
        <v>-1.5707963267949001</v>
      </c>
      <c r="BB53">
        <v>0.90626571369778197</v>
      </c>
      <c r="BC53">
        <v>0</v>
      </c>
      <c r="BD53">
        <v>5.1260766118007103E-2</v>
      </c>
      <c r="BE53">
        <v>5.7130002347876403E-4</v>
      </c>
      <c r="BF53">
        <v>1.18848935916951E-2</v>
      </c>
      <c r="BG53">
        <v>3.8195139425667201E-3</v>
      </c>
      <c r="BH53">
        <v>7.9406213350054107E-3</v>
      </c>
      <c r="BI53">
        <v>7.9026479918309606E-2</v>
      </c>
      <c r="BJ53">
        <v>4.4869684093483901E-2</v>
      </c>
      <c r="BK53">
        <v>0.84081805509322705</v>
      </c>
      <c r="BL53">
        <v>1.0525615527816399E-4</v>
      </c>
      <c r="BM53">
        <v>1.2389616401179399E-4</v>
      </c>
      <c r="BN53" s="1">
        <v>3.8502046817442801E-7</v>
      </c>
      <c r="BO53" s="1">
        <v>1.9461563933370499E-6</v>
      </c>
      <c r="BP53">
        <v>0</v>
      </c>
      <c r="BQ53">
        <v>0</v>
      </c>
      <c r="BR53" s="1">
        <v>6.4753341293022199E-5</v>
      </c>
      <c r="BS53" s="1">
        <v>6.9565440274477604E-5</v>
      </c>
    </row>
    <row r="54" spans="1:71" x14ac:dyDescent="0.25">
      <c r="A54">
        <v>51</v>
      </c>
      <c r="B54" s="1">
        <v>1.3829164599496401E-5</v>
      </c>
      <c r="C54">
        <v>9.1150151098847595E-2</v>
      </c>
      <c r="D54">
        <v>-1.94427743802459E-4</v>
      </c>
      <c r="E54">
        <v>-1.94427743802459E-4</v>
      </c>
      <c r="F54">
        <v>-9.1150151098847603E-4</v>
      </c>
      <c r="G54">
        <v>-9.1150151098847603E-4</v>
      </c>
      <c r="H54" t="s">
        <v>74</v>
      </c>
      <c r="I54">
        <v>0</v>
      </c>
      <c r="J54" t="s">
        <v>75</v>
      </c>
      <c r="K54">
        <v>3.14159265358979</v>
      </c>
      <c r="L54">
        <v>0.90822696471609998</v>
      </c>
      <c r="M54">
        <v>0</v>
      </c>
      <c r="N54">
        <v>5.3326606881695097E-2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0.91494326391951697</v>
      </c>
      <c r="V54" t="s">
        <v>78</v>
      </c>
      <c r="W54">
        <v>3062199.1768859602</v>
      </c>
      <c r="X54" t="s">
        <v>76</v>
      </c>
      <c r="Y54">
        <v>-1.5707963267949001</v>
      </c>
      <c r="Z54">
        <v>0.90459228737024799</v>
      </c>
      <c r="AA54">
        <v>0</v>
      </c>
      <c r="AB54">
        <v>5.1156840008774497E-2</v>
      </c>
      <c r="AC54">
        <v>5.8260485145823803E-4</v>
      </c>
      <c r="AD54">
        <v>1.1519201075531201E-2</v>
      </c>
      <c r="AE54">
        <v>3.8826020550519801E-3</v>
      </c>
      <c r="AF54">
        <v>8.2789374847294095E-3</v>
      </c>
      <c r="AG54">
        <v>7.8823651791441907E-2</v>
      </c>
      <c r="AH54">
        <v>4.7577601077165098E-2</v>
      </c>
      <c r="AI54">
        <v>0.837686419086483</v>
      </c>
      <c r="AJ54" t="s">
        <v>74</v>
      </c>
      <c r="AK54">
        <v>0</v>
      </c>
      <c r="AL54" t="s">
        <v>77</v>
      </c>
      <c r="AM54">
        <v>0</v>
      </c>
      <c r="AN54">
        <v>0.90822696471610098</v>
      </c>
      <c r="AO54">
        <v>0</v>
      </c>
      <c r="AP54">
        <v>5.3326606881695202E-2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0.91494326391951797</v>
      </c>
      <c r="AX54" t="s">
        <v>78</v>
      </c>
      <c r="AY54">
        <v>3062199.1768859602</v>
      </c>
      <c r="AZ54" t="s">
        <v>76</v>
      </c>
      <c r="BA54">
        <v>-1.5707963267949001</v>
      </c>
      <c r="BB54">
        <v>0.90459228737024899</v>
      </c>
      <c r="BC54">
        <v>0</v>
      </c>
      <c r="BD54">
        <v>5.1156840008774601E-2</v>
      </c>
      <c r="BE54">
        <v>5.8260485145824497E-4</v>
      </c>
      <c r="BF54">
        <v>1.15192010755313E-2</v>
      </c>
      <c r="BG54">
        <v>3.8826020550519502E-3</v>
      </c>
      <c r="BH54">
        <v>8.2789374847292898E-3</v>
      </c>
      <c r="BI54">
        <v>7.8823651791441393E-2</v>
      </c>
      <c r="BJ54">
        <v>4.7577601077163897E-2</v>
      </c>
      <c r="BK54">
        <v>0.837686419086485</v>
      </c>
      <c r="BL54">
        <v>1.05066051741928E-4</v>
      </c>
      <c r="BM54">
        <v>1.2640125286860599E-4</v>
      </c>
      <c r="BN54" s="1">
        <v>3.8434445566575802E-7</v>
      </c>
      <c r="BO54" s="1">
        <v>1.9855062370827898E-6</v>
      </c>
      <c r="BP54">
        <v>0</v>
      </c>
      <c r="BQ54">
        <v>0</v>
      </c>
      <c r="BR54" s="1">
        <v>6.4638573915768899E-5</v>
      </c>
      <c r="BS54" s="1">
        <v>7.0973489286235402E-5</v>
      </c>
    </row>
    <row r="55" spans="1:71" x14ac:dyDescent="0.25">
      <c r="A55">
        <v>52</v>
      </c>
      <c r="B55" s="1">
        <v>1.3859258600126001E-5</v>
      </c>
      <c r="C55">
        <v>9.11640103574477E-2</v>
      </c>
      <c r="D55">
        <v>-1.9451037597691199E-4</v>
      </c>
      <c r="E55">
        <v>-1.9451037597691199E-4</v>
      </c>
      <c r="F55">
        <v>-9.1164010357447703E-4</v>
      </c>
      <c r="G55">
        <v>-9.1164010357447703E-4</v>
      </c>
      <c r="H55" t="s">
        <v>74</v>
      </c>
      <c r="I55">
        <v>0</v>
      </c>
      <c r="J55" t="s">
        <v>75</v>
      </c>
      <c r="K55">
        <v>3.14159265358979</v>
      </c>
      <c r="L55">
        <v>0.906567968505822</v>
      </c>
      <c r="M55">
        <v>0</v>
      </c>
      <c r="N55">
        <v>5.3229198808426401E-2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0.91319351429622897</v>
      </c>
      <c r="V55" t="s">
        <v>78</v>
      </c>
      <c r="W55">
        <v>3063090.52133149</v>
      </c>
      <c r="X55" t="s">
        <v>76</v>
      </c>
      <c r="Y55">
        <v>-1.5707963267949001</v>
      </c>
      <c r="Z55">
        <v>0.902920121787265</v>
      </c>
      <c r="AA55">
        <v>0</v>
      </c>
      <c r="AB55">
        <v>5.1052998988359098E-2</v>
      </c>
      <c r="AC55">
        <v>5.9384320595889104E-4</v>
      </c>
      <c r="AD55">
        <v>1.1147497211894701E-2</v>
      </c>
      <c r="AE55">
        <v>3.9444691521404503E-3</v>
      </c>
      <c r="AF55">
        <v>8.6244502870543496E-3</v>
      </c>
      <c r="AG55">
        <v>7.8498656287206703E-2</v>
      </c>
      <c r="AH55">
        <v>5.0405779124241601E-2</v>
      </c>
      <c r="AI55">
        <v>0.83455897135753698</v>
      </c>
      <c r="AJ55" t="s">
        <v>74</v>
      </c>
      <c r="AK55">
        <v>0</v>
      </c>
      <c r="AL55" t="s">
        <v>77</v>
      </c>
      <c r="AM55">
        <v>0</v>
      </c>
      <c r="AN55">
        <v>0.906567968505823</v>
      </c>
      <c r="AO55">
        <v>0</v>
      </c>
      <c r="AP55">
        <v>5.3229198808426401E-2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0.91319351429622997</v>
      </c>
      <c r="AX55" t="s">
        <v>78</v>
      </c>
      <c r="AY55">
        <v>3063090.52133149</v>
      </c>
      <c r="AZ55" t="s">
        <v>76</v>
      </c>
      <c r="BA55">
        <v>-1.5707963267949001</v>
      </c>
      <c r="BB55">
        <v>0.90292012178726599</v>
      </c>
      <c r="BC55">
        <v>0</v>
      </c>
      <c r="BD55">
        <v>5.1052998988359202E-2</v>
      </c>
      <c r="BE55">
        <v>5.9384320595889798E-4</v>
      </c>
      <c r="BF55">
        <v>1.11474972118948E-2</v>
      </c>
      <c r="BG55">
        <v>3.94446915214042E-3</v>
      </c>
      <c r="BH55">
        <v>8.6244502870542403E-3</v>
      </c>
      <c r="BI55">
        <v>7.8498656287206398E-2</v>
      </c>
      <c r="BJ55">
        <v>5.04057791242404E-2</v>
      </c>
      <c r="BK55">
        <v>0.83455897135753898</v>
      </c>
      <c r="BL55">
        <v>1.04876041002744E-4</v>
      </c>
      <c r="BM55">
        <v>1.28904435411448E-4</v>
      </c>
      <c r="BN55" s="1">
        <v>3.8366874148428101E-7</v>
      </c>
      <c r="BO55" s="1">
        <v>2.02482613651872E-6</v>
      </c>
      <c r="BP55">
        <v>0</v>
      </c>
      <c r="BQ55">
        <v>0</v>
      </c>
      <c r="BR55" s="1">
        <v>6.4523863365691702E-5</v>
      </c>
      <c r="BS55" s="1">
        <v>7.2380530149285496E-5</v>
      </c>
    </row>
    <row r="56" spans="1:71" x14ac:dyDescent="0.25">
      <c r="A56">
        <v>53</v>
      </c>
      <c r="B56" s="1">
        <v>1.39098747735119E-5</v>
      </c>
      <c r="C56">
        <v>9.1177920232221196E-2</v>
      </c>
      <c r="D56">
        <v>-1.94593304189935E-4</v>
      </c>
      <c r="E56">
        <v>-1.94593304189935E-4</v>
      </c>
      <c r="F56">
        <v>-9.1177920232221295E-4</v>
      </c>
      <c r="G56">
        <v>-9.1177920232221295E-4</v>
      </c>
      <c r="H56" t="s">
        <v>74</v>
      </c>
      <c r="I56">
        <v>0</v>
      </c>
      <c r="J56" t="s">
        <v>75</v>
      </c>
      <c r="K56">
        <v>3.14159265358979</v>
      </c>
      <c r="L56">
        <v>0.90491032888482303</v>
      </c>
      <c r="M56">
        <v>0</v>
      </c>
      <c r="N56">
        <v>5.3131870387387703E-2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0.91144097411304703</v>
      </c>
      <c r="V56" t="s">
        <v>78</v>
      </c>
      <c r="W56">
        <v>3063985.0591134699</v>
      </c>
      <c r="X56" t="s">
        <v>76</v>
      </c>
      <c r="Y56">
        <v>-1.5707963267949001</v>
      </c>
      <c r="Z56">
        <v>0.90124928045550601</v>
      </c>
      <c r="AA56">
        <v>0</v>
      </c>
      <c r="AB56">
        <v>5.0949232816185699E-2</v>
      </c>
      <c r="AC56">
        <v>6.0512173660394095E-4</v>
      </c>
      <c r="AD56">
        <v>1.0769873491397601E-2</v>
      </c>
      <c r="AE56">
        <v>4.0050835209043999E-3</v>
      </c>
      <c r="AF56">
        <v>8.97715019161161E-3</v>
      </c>
      <c r="AG56">
        <v>7.8046929443712901E-2</v>
      </c>
      <c r="AH56">
        <v>5.3358641615844499E-2</v>
      </c>
      <c r="AI56">
        <v>0.83143593781923497</v>
      </c>
      <c r="AJ56" t="s">
        <v>74</v>
      </c>
      <c r="AK56">
        <v>0</v>
      </c>
      <c r="AL56" t="s">
        <v>77</v>
      </c>
      <c r="AM56">
        <v>0</v>
      </c>
      <c r="AN56">
        <v>0.90491032888482403</v>
      </c>
      <c r="AO56">
        <v>0</v>
      </c>
      <c r="AP56">
        <v>5.31318703873878E-2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0.91144097411304803</v>
      </c>
      <c r="AX56" t="s">
        <v>78</v>
      </c>
      <c r="AY56">
        <v>3063985.0591134699</v>
      </c>
      <c r="AZ56" t="s">
        <v>76</v>
      </c>
      <c r="BA56">
        <v>-1.5707963267949001</v>
      </c>
      <c r="BB56">
        <v>0.90124928045550701</v>
      </c>
      <c r="BC56">
        <v>0</v>
      </c>
      <c r="BD56">
        <v>5.0949232816185797E-2</v>
      </c>
      <c r="BE56">
        <v>6.0512173660394605E-4</v>
      </c>
      <c r="BF56">
        <v>1.07698734913977E-2</v>
      </c>
      <c r="BG56">
        <v>4.0050835209043704E-3</v>
      </c>
      <c r="BH56">
        <v>8.9771501916115094E-3</v>
      </c>
      <c r="BI56">
        <v>7.8046929443712498E-2</v>
      </c>
      <c r="BJ56">
        <v>5.3358641615843402E-2</v>
      </c>
      <c r="BK56">
        <v>0.83143593781923697</v>
      </c>
      <c r="BL56">
        <v>1.0468622494017701E-4</v>
      </c>
      <c r="BM56">
        <v>1.31405571059557E-4</v>
      </c>
      <c r="BN56" s="1">
        <v>3.82993965433505E-7</v>
      </c>
      <c r="BO56" s="1">
        <v>2.0641138834073698E-6</v>
      </c>
      <c r="BP56">
        <v>0</v>
      </c>
      <c r="BQ56">
        <v>0</v>
      </c>
      <c r="BR56" s="1">
        <v>6.4409270795350796E-5</v>
      </c>
      <c r="BS56" s="1">
        <v>7.3786486344896404E-5</v>
      </c>
    </row>
    <row r="57" spans="1:71" x14ac:dyDescent="0.25">
      <c r="A57">
        <v>54</v>
      </c>
      <c r="B57" s="1">
        <v>1.3982218812203001E-5</v>
      </c>
      <c r="C57">
        <v>9.1191902451033396E-2</v>
      </c>
      <c r="D57">
        <v>-1.9467665790771799E-4</v>
      </c>
      <c r="E57">
        <v>-1.9467665790771799E-4</v>
      </c>
      <c r="F57">
        <v>-9.1191902451033503E-4</v>
      </c>
      <c r="G57">
        <v>-9.1191902451033503E-4</v>
      </c>
      <c r="H57" t="s">
        <v>74</v>
      </c>
      <c r="I57">
        <v>0</v>
      </c>
      <c r="J57" t="s">
        <v>75</v>
      </c>
      <c r="K57">
        <v>3.14159265358979</v>
      </c>
      <c r="L57">
        <v>0.90325415003202703</v>
      </c>
      <c r="M57">
        <v>0</v>
      </c>
      <c r="N57">
        <v>5.30346277354517E-2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0.90968580489198203</v>
      </c>
      <c r="V57" t="s">
        <v>78</v>
      </c>
      <c r="W57">
        <v>3064884.1867698799</v>
      </c>
      <c r="X57" t="s">
        <v>76</v>
      </c>
      <c r="Y57">
        <v>-1.5707963267949001</v>
      </c>
      <c r="Z57">
        <v>0.89957983616879</v>
      </c>
      <c r="AA57">
        <v>0</v>
      </c>
      <c r="AB57">
        <v>5.08455310672139E-2</v>
      </c>
      <c r="AC57">
        <v>6.1638094351590205E-4</v>
      </c>
      <c r="AD57">
        <v>1.03864279290369E-2</v>
      </c>
      <c r="AE57">
        <v>4.0644134017503303E-3</v>
      </c>
      <c r="AF57">
        <v>9.3370235536199206E-3</v>
      </c>
      <c r="AG57">
        <v>7.7463658191548601E-2</v>
      </c>
      <c r="AH57">
        <v>5.6440844430635198E-2</v>
      </c>
      <c r="AI57">
        <v>0.82831756140338897</v>
      </c>
      <c r="AJ57" t="s">
        <v>74</v>
      </c>
      <c r="AK57">
        <v>0</v>
      </c>
      <c r="AL57" t="s">
        <v>77</v>
      </c>
      <c r="AM57">
        <v>0</v>
      </c>
      <c r="AN57">
        <v>0.90325415003202802</v>
      </c>
      <c r="AO57">
        <v>0</v>
      </c>
      <c r="AP57">
        <v>5.30346277354517E-2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0.90968580489198303</v>
      </c>
      <c r="AX57" t="s">
        <v>78</v>
      </c>
      <c r="AY57">
        <v>3064884.1867698799</v>
      </c>
      <c r="AZ57" t="s">
        <v>76</v>
      </c>
      <c r="BA57">
        <v>-1.5707963267949001</v>
      </c>
      <c r="BB57">
        <v>0.899579836168791</v>
      </c>
      <c r="BC57">
        <v>0</v>
      </c>
      <c r="BD57">
        <v>5.0845531067213998E-2</v>
      </c>
      <c r="BE57">
        <v>6.1638094351590704E-4</v>
      </c>
      <c r="BF57">
        <v>1.0386427929037E-2</v>
      </c>
      <c r="BG57">
        <v>4.0644134017502999E-3</v>
      </c>
      <c r="BH57">
        <v>9.3370235536198304E-3</v>
      </c>
      <c r="BI57">
        <v>7.7463658191548199E-2</v>
      </c>
      <c r="BJ57">
        <v>5.6440844430634102E-2</v>
      </c>
      <c r="BK57">
        <v>0.82831756140339097</v>
      </c>
      <c r="BL57">
        <v>1.04496539746182E-4</v>
      </c>
      <c r="BM57">
        <v>1.3390450262218301E-4</v>
      </c>
      <c r="BN57" s="1">
        <v>3.82319640110714E-7</v>
      </c>
      <c r="BO57" s="1">
        <v>2.1033670086022301E-6</v>
      </c>
      <c r="BP57">
        <v>0</v>
      </c>
      <c r="BQ57">
        <v>0</v>
      </c>
      <c r="BR57" s="1">
        <v>6.4294764567847894E-5</v>
      </c>
      <c r="BS57" s="1">
        <v>7.5191272332345198E-5</v>
      </c>
    </row>
    <row r="58" spans="1:71" x14ac:dyDescent="0.25">
      <c r="A58">
        <v>55</v>
      </c>
      <c r="B58" s="1">
        <v>1.4077774303615301E-5</v>
      </c>
      <c r="C58">
        <v>9.1205980225337102E-2</v>
      </c>
      <c r="D58">
        <v>-1.9476057540364399E-4</v>
      </c>
      <c r="E58">
        <v>-1.9476057540364399E-4</v>
      </c>
      <c r="F58">
        <v>-9.1205980225337105E-4</v>
      </c>
      <c r="G58">
        <v>-9.1205980225337105E-4</v>
      </c>
      <c r="H58" t="s">
        <v>74</v>
      </c>
      <c r="I58">
        <v>0</v>
      </c>
      <c r="J58" t="s">
        <v>75</v>
      </c>
      <c r="K58">
        <v>3.14159265358979</v>
      </c>
      <c r="L58">
        <v>0.90159954890351701</v>
      </c>
      <c r="M58">
        <v>0</v>
      </c>
      <c r="N58">
        <v>5.2937477719702503E-2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0.907928179642712</v>
      </c>
      <c r="V58" t="s">
        <v>78</v>
      </c>
      <c r="W58">
        <v>3065789.3958409401</v>
      </c>
      <c r="X58" t="s">
        <v>76</v>
      </c>
      <c r="Y58">
        <v>-1.5707963267949001</v>
      </c>
      <c r="Z58">
        <v>0.89791187237339298</v>
      </c>
      <c r="AA58">
        <v>0</v>
      </c>
      <c r="AB58">
        <v>5.0741883027723297E-2</v>
      </c>
      <c r="AC58">
        <v>6.2767647232781995E-4</v>
      </c>
      <c r="AD58">
        <v>9.9972663422338206E-3</v>
      </c>
      <c r="AE58">
        <v>4.1224269947885001E-3</v>
      </c>
      <c r="AF58">
        <v>9.7040519585981193E-3</v>
      </c>
      <c r="AG58">
        <v>7.6743756715036998E-2</v>
      </c>
      <c r="AH58">
        <v>5.9657296914671101E-2</v>
      </c>
      <c r="AI58">
        <v>0.82520410547421597</v>
      </c>
      <c r="AJ58" t="s">
        <v>74</v>
      </c>
      <c r="AK58">
        <v>0</v>
      </c>
      <c r="AL58" t="s">
        <v>77</v>
      </c>
      <c r="AM58">
        <v>0</v>
      </c>
      <c r="AN58">
        <v>0.90159954890351801</v>
      </c>
      <c r="AO58">
        <v>0</v>
      </c>
      <c r="AP58">
        <v>5.2937477719702503E-2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0.907928179642713</v>
      </c>
      <c r="AX58" t="s">
        <v>78</v>
      </c>
      <c r="AY58">
        <v>3065789.3958409401</v>
      </c>
      <c r="AZ58" t="s">
        <v>76</v>
      </c>
      <c r="BA58">
        <v>-1.5707963267949001</v>
      </c>
      <c r="BB58">
        <v>0.89791187237339398</v>
      </c>
      <c r="BC58">
        <v>0</v>
      </c>
      <c r="BD58">
        <v>5.0741883027723401E-2</v>
      </c>
      <c r="BE58">
        <v>6.2767647232782504E-4</v>
      </c>
      <c r="BF58">
        <v>9.9972663422339108E-3</v>
      </c>
      <c r="BG58">
        <v>4.1224269947884697E-3</v>
      </c>
      <c r="BH58">
        <v>9.7040519585980395E-3</v>
      </c>
      <c r="BI58">
        <v>7.6743756715036596E-2</v>
      </c>
      <c r="BJ58">
        <v>5.9657296914669998E-2</v>
      </c>
      <c r="BK58">
        <v>0.82520410547421796</v>
      </c>
      <c r="BL58">
        <v>1.04307037219754E-4</v>
      </c>
      <c r="BM58">
        <v>1.3640105362970701E-4</v>
      </c>
      <c r="BN58" s="1">
        <v>3.8164605664089501E-7</v>
      </c>
      <c r="BO58" s="1">
        <v>2.1425827401249798E-6</v>
      </c>
      <c r="BP58">
        <v>0</v>
      </c>
      <c r="BQ58">
        <v>0</v>
      </c>
      <c r="BR58" s="1">
        <v>6.4180378260569702E-5</v>
      </c>
      <c r="BS58" s="1">
        <v>7.6594792093860302E-5</v>
      </c>
    </row>
    <row r="59" spans="1:71" x14ac:dyDescent="0.25">
      <c r="A59">
        <v>56</v>
      </c>
      <c r="B59" s="1">
        <v>1.41983518385588E-5</v>
      </c>
      <c r="C59">
        <v>9.1220178577175598E-2</v>
      </c>
      <c r="D59">
        <v>-1.94845205703805E-4</v>
      </c>
      <c r="E59">
        <v>-1.94845205703805E-4</v>
      </c>
      <c r="F59">
        <v>-9.12201785771756E-4</v>
      </c>
      <c r="G59">
        <v>-9.12201785771756E-4</v>
      </c>
      <c r="H59" t="s">
        <v>74</v>
      </c>
      <c r="I59">
        <v>0</v>
      </c>
      <c r="J59" t="s">
        <v>75</v>
      </c>
      <c r="K59">
        <v>3.14159265358979</v>
      </c>
      <c r="L59">
        <v>0.89994665736784996</v>
      </c>
      <c r="M59">
        <v>0</v>
      </c>
      <c r="N59">
        <v>5.28404280828111E-2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0.906168285417148</v>
      </c>
      <c r="V59" t="s">
        <v>78</v>
      </c>
      <c r="W59">
        <v>3066702.2938552001</v>
      </c>
      <c r="X59" t="s">
        <v>76</v>
      </c>
      <c r="Y59">
        <v>-1.5707963267949001</v>
      </c>
      <c r="Z59">
        <v>0.89624548482806499</v>
      </c>
      <c r="AA59">
        <v>0</v>
      </c>
      <c r="AB59">
        <v>5.0638277576627103E-2</v>
      </c>
      <c r="AC59">
        <v>6.3898419850709997E-4</v>
      </c>
      <c r="AD59">
        <v>9.6025038655228098E-3</v>
      </c>
      <c r="AE59">
        <v>4.1790924672672402E-3</v>
      </c>
      <c r="AF59">
        <v>1.0078211408063399E-2</v>
      </c>
      <c r="AG59">
        <v>7.5881840020184596E-2</v>
      </c>
      <c r="AH59">
        <v>6.3013185091590498E-2</v>
      </c>
      <c r="AI59">
        <v>0.82209585788647599</v>
      </c>
      <c r="AJ59" t="s">
        <v>74</v>
      </c>
      <c r="AK59">
        <v>0</v>
      </c>
      <c r="AL59" t="s">
        <v>77</v>
      </c>
      <c r="AM59">
        <v>0</v>
      </c>
      <c r="AN59">
        <v>0.89994665736785096</v>
      </c>
      <c r="AO59">
        <v>0</v>
      </c>
      <c r="AP59">
        <v>5.2840428082811197E-2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0.906168285417149</v>
      </c>
      <c r="AX59" t="s">
        <v>78</v>
      </c>
      <c r="AY59">
        <v>3066702.2938552001</v>
      </c>
      <c r="AZ59" t="s">
        <v>76</v>
      </c>
      <c r="BA59">
        <v>-1.5707963267949001</v>
      </c>
      <c r="BB59">
        <v>0.89624548482806499</v>
      </c>
      <c r="BC59">
        <v>0</v>
      </c>
      <c r="BD59">
        <v>5.0638277576627103E-2</v>
      </c>
      <c r="BE59">
        <v>6.3898419850710604E-4</v>
      </c>
      <c r="BF59">
        <v>9.6025038655228896E-3</v>
      </c>
      <c r="BG59">
        <v>4.1790924672672099E-3</v>
      </c>
      <c r="BH59">
        <v>1.0078211408063399E-2</v>
      </c>
      <c r="BI59">
        <v>7.5881840020184194E-2</v>
      </c>
      <c r="BJ59">
        <v>6.3013185091589499E-2</v>
      </c>
      <c r="BK59">
        <v>0.82209585788647799</v>
      </c>
      <c r="BL59">
        <v>1.04117689857945E-4</v>
      </c>
      <c r="BM59">
        <v>1.3889502511177401E-4</v>
      </c>
      <c r="BN59" s="1">
        <v>3.8097296264866699E-7</v>
      </c>
      <c r="BO59" s="1">
        <v>2.1817579525566001E-6</v>
      </c>
      <c r="BP59">
        <v>0</v>
      </c>
      <c r="BQ59">
        <v>0</v>
      </c>
      <c r="BR59" s="1">
        <v>6.4066101285351504E-5</v>
      </c>
      <c r="BS59" s="1">
        <v>7.7996937378071204E-5</v>
      </c>
    </row>
    <row r="60" spans="1:71" x14ac:dyDescent="0.25">
      <c r="A60">
        <v>57</v>
      </c>
      <c r="B60" s="1">
        <v>1.4346151760325201E-5</v>
      </c>
      <c r="C60">
        <v>9.1234524728935895E-2</v>
      </c>
      <c r="D60">
        <v>-1.9493071090546401E-4</v>
      </c>
      <c r="E60">
        <v>-1.9493071090546401E-4</v>
      </c>
      <c r="F60">
        <v>-9.1234524728935995E-4</v>
      </c>
      <c r="G60">
        <v>-9.1234524728935995E-4</v>
      </c>
      <c r="H60" t="s">
        <v>74</v>
      </c>
      <c r="I60">
        <v>0</v>
      </c>
      <c r="J60" t="s">
        <v>75</v>
      </c>
      <c r="K60">
        <v>3.14159265358979</v>
      </c>
      <c r="L60">
        <v>0.898295624801839</v>
      </c>
      <c r="M60">
        <v>0</v>
      </c>
      <c r="N60">
        <v>5.2743487595447301E-2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0.90440632635474005</v>
      </c>
      <c r="V60" t="s">
        <v>78</v>
      </c>
      <c r="W60">
        <v>3067624.6293385299</v>
      </c>
      <c r="X60" t="s">
        <v>76</v>
      </c>
      <c r="Y60">
        <v>-1.5707963267949001</v>
      </c>
      <c r="Z60">
        <v>0.89458078363271898</v>
      </c>
      <c r="AA60">
        <v>0</v>
      </c>
      <c r="AB60">
        <v>5.0534703047677203E-2</v>
      </c>
      <c r="AC60">
        <v>6.5027993267367096E-4</v>
      </c>
      <c r="AD60">
        <v>9.2022667648045398E-3</v>
      </c>
      <c r="AE60">
        <v>4.2343779619716101E-3</v>
      </c>
      <c r="AF60">
        <v>1.04594713305383E-2</v>
      </c>
      <c r="AG60">
        <v>7.4872194363410097E-2</v>
      </c>
      <c r="AH60">
        <v>6.6513997317219395E-2</v>
      </c>
      <c r="AI60">
        <v>0.81899313586091704</v>
      </c>
      <c r="AJ60" t="s">
        <v>74</v>
      </c>
      <c r="AK60">
        <v>0</v>
      </c>
      <c r="AL60" t="s">
        <v>77</v>
      </c>
      <c r="AM60">
        <v>0</v>
      </c>
      <c r="AN60">
        <v>0.89829562480184</v>
      </c>
      <c r="AO60">
        <v>0</v>
      </c>
      <c r="AP60">
        <v>5.2743487595447398E-2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0.90440632635474005</v>
      </c>
      <c r="AX60" t="s">
        <v>78</v>
      </c>
      <c r="AY60">
        <v>3067624.6293385299</v>
      </c>
      <c r="AZ60" t="s">
        <v>76</v>
      </c>
      <c r="BA60">
        <v>-1.5707963267949001</v>
      </c>
      <c r="BB60">
        <v>0.89458078363271898</v>
      </c>
      <c r="BC60">
        <v>0</v>
      </c>
      <c r="BD60">
        <v>5.0534703047677203E-2</v>
      </c>
      <c r="BE60">
        <v>6.5027993267367703E-4</v>
      </c>
      <c r="BF60">
        <v>9.2022667648046091E-3</v>
      </c>
      <c r="BG60">
        <v>4.2343779619715798E-3</v>
      </c>
      <c r="BH60">
        <v>1.0459471330538201E-2</v>
      </c>
      <c r="BI60">
        <v>7.4872194363409694E-2</v>
      </c>
      <c r="BJ60">
        <v>6.6513997317218299E-2</v>
      </c>
      <c r="BK60">
        <v>0.81899313586091904</v>
      </c>
      <c r="BL60">
        <v>1.03928470575798E-4</v>
      </c>
      <c r="BM60">
        <v>1.4138619168062899E-4</v>
      </c>
      <c r="BN60" s="1">
        <v>3.8030010143288099E-7</v>
      </c>
      <c r="BO60" s="1">
        <v>2.2208891055145098E-6</v>
      </c>
      <c r="BP60">
        <v>0</v>
      </c>
      <c r="BQ60">
        <v>0</v>
      </c>
      <c r="BR60" s="1">
        <v>6.3951923729268001E-5</v>
      </c>
      <c r="BS60" s="1">
        <v>7.9397585564612694E-5</v>
      </c>
    </row>
    <row r="61" spans="1:71" x14ac:dyDescent="0.25">
      <c r="A61">
        <v>58</v>
      </c>
      <c r="B61" s="1">
        <v>1.45238447343184E-5</v>
      </c>
      <c r="C61">
        <v>9.1249048573670305E-2</v>
      </c>
      <c r="D61">
        <v>-1.95017268974398E-4</v>
      </c>
      <c r="E61">
        <v>-1.95017268974398E-4</v>
      </c>
      <c r="F61">
        <v>-9.1249048573670299E-4</v>
      </c>
      <c r="G61">
        <v>-9.1249048573670299E-4</v>
      </c>
      <c r="H61" t="s">
        <v>74</v>
      </c>
      <c r="I61">
        <v>0</v>
      </c>
      <c r="J61" t="s">
        <v>75</v>
      </c>
      <c r="K61">
        <v>3.14159265358979</v>
      </c>
      <c r="L61">
        <v>0.89664662126988204</v>
      </c>
      <c r="M61">
        <v>0</v>
      </c>
      <c r="N61">
        <v>5.2646666242953499E-2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0.90264252735602302</v>
      </c>
      <c r="V61" t="s">
        <v>78</v>
      </c>
      <c r="W61">
        <v>3068558.32198876</v>
      </c>
      <c r="X61" t="s">
        <v>76</v>
      </c>
      <c r="Y61">
        <v>-1.5707963267949001</v>
      </c>
      <c r="Z61">
        <v>0.89291789572271096</v>
      </c>
      <c r="AA61">
        <v>0</v>
      </c>
      <c r="AB61">
        <v>5.0431147066528299E-2</v>
      </c>
      <c r="AC61">
        <v>6.6160487965707601E-4</v>
      </c>
      <c r="AD61">
        <v>8.7966946331402493E-3</v>
      </c>
      <c r="AE61">
        <v>4.2882516063991799E-3</v>
      </c>
      <c r="AF61">
        <v>1.08477933710874E-2</v>
      </c>
      <c r="AG61">
        <v>7.37087441761584E-2</v>
      </c>
      <c r="AH61">
        <v>7.01655525578182E-2</v>
      </c>
      <c r="AI61">
        <v>0.81589629190219204</v>
      </c>
      <c r="AJ61" t="s">
        <v>74</v>
      </c>
      <c r="AK61">
        <v>0</v>
      </c>
      <c r="AL61" t="s">
        <v>77</v>
      </c>
      <c r="AM61">
        <v>0</v>
      </c>
      <c r="AN61">
        <v>0.89664662126988304</v>
      </c>
      <c r="AO61">
        <v>0</v>
      </c>
      <c r="AP61">
        <v>5.2646666242953499E-2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0.90264252735602402</v>
      </c>
      <c r="AX61" t="s">
        <v>78</v>
      </c>
      <c r="AY61">
        <v>3068558.32198876</v>
      </c>
      <c r="AZ61" t="s">
        <v>76</v>
      </c>
      <c r="BA61">
        <v>-1.5707963267949001</v>
      </c>
      <c r="BB61">
        <v>0.89291789572271196</v>
      </c>
      <c r="BC61">
        <v>0</v>
      </c>
      <c r="BD61">
        <v>5.0431147066528403E-2</v>
      </c>
      <c r="BE61">
        <v>6.6160487965708197E-4</v>
      </c>
      <c r="BF61">
        <v>8.79669463314031E-3</v>
      </c>
      <c r="BG61">
        <v>4.2882516063991504E-3</v>
      </c>
      <c r="BH61">
        <v>1.0847793371087299E-2</v>
      </c>
      <c r="BI61">
        <v>7.3708744176157803E-2</v>
      </c>
      <c r="BJ61">
        <v>7.0165552557817298E-2</v>
      </c>
      <c r="BK61">
        <v>0.81589629190219404</v>
      </c>
      <c r="BL61">
        <v>1.03739418189139E-4</v>
      </c>
      <c r="BM61">
        <v>1.4387429673397601E-4</v>
      </c>
      <c r="BN61" s="1">
        <v>3.7962765435431E-7</v>
      </c>
      <c r="BO61" s="1">
        <v>2.2599721682992798E-6</v>
      </c>
      <c r="BP61">
        <v>0</v>
      </c>
      <c r="BQ61">
        <v>0</v>
      </c>
      <c r="BR61" s="1">
        <v>6.3837873222110904E-5</v>
      </c>
      <c r="BS61" s="1">
        <v>8.0796597048614206E-5</v>
      </c>
    </row>
    <row r="62" spans="1:71" x14ac:dyDescent="0.25">
      <c r="A62">
        <v>59</v>
      </c>
      <c r="B62" s="1">
        <v>1.4734675909339699E-5</v>
      </c>
      <c r="C62">
        <v>9.1263783249579594E-2</v>
      </c>
      <c r="D62">
        <v>-1.9510507716138099E-4</v>
      </c>
      <c r="E62">
        <v>-1.9510507716138099E-4</v>
      </c>
      <c r="F62">
        <v>-9.1263783249579604E-4</v>
      </c>
      <c r="G62">
        <v>-9.1263783249579604E-4</v>
      </c>
      <c r="H62" t="s">
        <v>74</v>
      </c>
      <c r="I62">
        <v>0</v>
      </c>
      <c r="J62" t="s">
        <v>75</v>
      </c>
      <c r="K62">
        <v>3.14159265358979</v>
      </c>
      <c r="L62">
        <v>0.89499984144959699</v>
      </c>
      <c r="M62">
        <v>0</v>
      </c>
      <c r="N62">
        <v>5.25499754558389E-2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0.900877138565507</v>
      </c>
      <c r="V62" t="s">
        <v>78</v>
      </c>
      <c r="W62">
        <v>3069505.4995289599</v>
      </c>
      <c r="X62" t="s">
        <v>76</v>
      </c>
      <c r="Y62">
        <v>-1.5707963267949001</v>
      </c>
      <c r="Z62">
        <v>0.89125696795678899</v>
      </c>
      <c r="AA62">
        <v>0</v>
      </c>
      <c r="AB62">
        <v>5.0327596354669699E-2</v>
      </c>
      <c r="AC62">
        <v>6.72960262312767E-4</v>
      </c>
      <c r="AD62">
        <v>8.3859430761559096E-3</v>
      </c>
      <c r="AE62">
        <v>4.3406815223895698E-3</v>
      </c>
      <c r="AF62">
        <v>1.1243129897399401E-2</v>
      </c>
      <c r="AG62">
        <v>7.2385015121264898E-2</v>
      </c>
      <c r="AH62">
        <v>7.3974031410511898E-2</v>
      </c>
      <c r="AI62">
        <v>0.81280572105632498</v>
      </c>
      <c r="AJ62" t="s">
        <v>74</v>
      </c>
      <c r="AK62">
        <v>0</v>
      </c>
      <c r="AL62" t="s">
        <v>77</v>
      </c>
      <c r="AM62">
        <v>0</v>
      </c>
      <c r="AN62">
        <v>0.89499984144959799</v>
      </c>
      <c r="AO62">
        <v>0</v>
      </c>
      <c r="AP62">
        <v>5.2549975455838997E-2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0.900877138565508</v>
      </c>
      <c r="AX62" t="s">
        <v>78</v>
      </c>
      <c r="AY62">
        <v>3069505.4995289599</v>
      </c>
      <c r="AZ62" t="s">
        <v>76</v>
      </c>
      <c r="BA62">
        <v>-1.5707963267949001</v>
      </c>
      <c r="BB62">
        <v>0.89125696795678999</v>
      </c>
      <c r="BC62">
        <v>0</v>
      </c>
      <c r="BD62">
        <v>5.0327596354669803E-2</v>
      </c>
      <c r="BE62">
        <v>6.7296026231277296E-4</v>
      </c>
      <c r="BF62">
        <v>8.3859430761559703E-3</v>
      </c>
      <c r="BG62">
        <v>4.3406815223895404E-3</v>
      </c>
      <c r="BH62">
        <v>1.1243129897399401E-2</v>
      </c>
      <c r="BI62">
        <v>7.2385015121264398E-2</v>
      </c>
      <c r="BJ62">
        <v>7.3974031410510802E-2</v>
      </c>
      <c r="BK62">
        <v>0.81280572105632698</v>
      </c>
      <c r="BL62">
        <v>1.0355053207282101E-4</v>
      </c>
      <c r="BM62">
        <v>1.46359046531776E-4</v>
      </c>
      <c r="BN62" s="1">
        <v>3.7895552513388199E-7</v>
      </c>
      <c r="BO62" s="1">
        <v>2.2990025268531701E-6</v>
      </c>
      <c r="BP62">
        <v>0</v>
      </c>
      <c r="BQ62">
        <v>0</v>
      </c>
      <c r="BR62" s="1">
        <v>6.3723955896288596E-5</v>
      </c>
      <c r="BS62" s="1">
        <v>8.2193812011135703E-5</v>
      </c>
    </row>
    <row r="63" spans="1:71" x14ac:dyDescent="0.25">
      <c r="A63">
        <v>60</v>
      </c>
      <c r="B63" s="1">
        <v>1.4982600736266901E-5</v>
      </c>
      <c r="C63">
        <v>9.1278765850315899E-2</v>
      </c>
      <c r="D63">
        <v>-1.9519435622599799E-4</v>
      </c>
      <c r="E63">
        <v>-1.9519435622599799E-4</v>
      </c>
      <c r="F63">
        <v>-9.1278765850315898E-4</v>
      </c>
      <c r="G63">
        <v>-9.1278765850315898E-4</v>
      </c>
      <c r="H63" t="s">
        <v>74</v>
      </c>
      <c r="I63">
        <v>0</v>
      </c>
      <c r="J63" t="s">
        <v>75</v>
      </c>
      <c r="K63">
        <v>3.14159265358979</v>
      </c>
      <c r="L63">
        <v>0.89335550952128995</v>
      </c>
      <c r="M63">
        <v>0</v>
      </c>
      <c r="N63">
        <v>5.2453428396865301E-2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0.89911044090515102</v>
      </c>
      <c r="V63" t="s">
        <v>78</v>
      </c>
      <c r="W63">
        <v>3070468.54326919</v>
      </c>
      <c r="X63" t="s">
        <v>76</v>
      </c>
      <c r="Y63">
        <v>-1.5707963267949001</v>
      </c>
      <c r="Z63">
        <v>0.88959817096969895</v>
      </c>
      <c r="AA63">
        <v>0</v>
      </c>
      <c r="AB63">
        <v>5.0224036489449599E-2</v>
      </c>
      <c r="AC63">
        <v>6.8434292867578905E-4</v>
      </c>
      <c r="AD63">
        <v>7.9701870312238396E-3</v>
      </c>
      <c r="AE63">
        <v>4.3916358356723799E-3</v>
      </c>
      <c r="AF63">
        <v>1.1645422139363801E-2</v>
      </c>
      <c r="AG63">
        <v>7.08940929558496E-2</v>
      </c>
      <c r="AH63">
        <v>7.7946009862898902E-2</v>
      </c>
      <c r="AI63">
        <v>0.80972186990414996</v>
      </c>
      <c r="AJ63" t="s">
        <v>74</v>
      </c>
      <c r="AK63">
        <v>0</v>
      </c>
      <c r="AL63" t="s">
        <v>77</v>
      </c>
      <c r="AM63">
        <v>0</v>
      </c>
      <c r="AN63">
        <v>0.89335550952129095</v>
      </c>
      <c r="AO63">
        <v>0</v>
      </c>
      <c r="AP63">
        <v>5.2453428396865398E-2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0.89911044090515202</v>
      </c>
      <c r="AX63" t="s">
        <v>78</v>
      </c>
      <c r="AY63">
        <v>3070468.54326919</v>
      </c>
      <c r="AZ63" t="s">
        <v>76</v>
      </c>
      <c r="BA63">
        <v>-1.5707963267949001</v>
      </c>
      <c r="BB63">
        <v>0.88959817096969995</v>
      </c>
      <c r="BC63">
        <v>0</v>
      </c>
      <c r="BD63">
        <v>5.0224036489449703E-2</v>
      </c>
      <c r="BE63">
        <v>6.8434292867579599E-4</v>
      </c>
      <c r="BF63">
        <v>7.9701870312239003E-3</v>
      </c>
      <c r="BG63">
        <v>4.3916358356723504E-3</v>
      </c>
      <c r="BH63">
        <v>1.1645422139363801E-2</v>
      </c>
      <c r="BI63">
        <v>7.08940929558491E-2</v>
      </c>
      <c r="BJ63">
        <v>7.7946009862897805E-2</v>
      </c>
      <c r="BK63">
        <v>0.80972186990415196</v>
      </c>
      <c r="BL63">
        <v>1.0336180781499099E-4</v>
      </c>
      <c r="BM63">
        <v>1.48840102818748E-4</v>
      </c>
      <c r="BN63" s="1">
        <v>3.7828357933161698E-7</v>
      </c>
      <c r="BO63" s="1">
        <v>2.3379748678746402E-6</v>
      </c>
      <c r="BP63">
        <v>0</v>
      </c>
      <c r="BQ63">
        <v>0</v>
      </c>
      <c r="BR63" s="1">
        <v>6.3610176549884896E-5</v>
      </c>
      <c r="BS63" s="1">
        <v>8.3589046396579099E-5</v>
      </c>
    </row>
    <row r="64" spans="1:71" x14ac:dyDescent="0.25">
      <c r="A64">
        <v>61</v>
      </c>
      <c r="B64" s="1">
        <v>1.52724638695433E-5</v>
      </c>
      <c r="C64">
        <v>9.1294038314185394E-2</v>
      </c>
      <c r="D64">
        <v>-1.9528535572387799E-4</v>
      </c>
      <c r="E64">
        <v>-1.9528535572387799E-4</v>
      </c>
      <c r="F64">
        <v>-9.1294038314185396E-4</v>
      </c>
      <c r="G64">
        <v>-9.1294038314185396E-4</v>
      </c>
      <c r="H64" t="s">
        <v>74</v>
      </c>
      <c r="I64">
        <v>0</v>
      </c>
      <c r="J64" t="s">
        <v>75</v>
      </c>
      <c r="K64">
        <v>3.14159265358979</v>
      </c>
      <c r="L64">
        <v>0.89171388531556695</v>
      </c>
      <c r="M64">
        <v>0</v>
      </c>
      <c r="N64">
        <v>5.2357040322004E-2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0.89734275298420896</v>
      </c>
      <c r="V64" t="s">
        <v>78</v>
      </c>
      <c r="W64">
        <v>3071450.1451393799</v>
      </c>
      <c r="X64" t="s">
        <v>76</v>
      </c>
      <c r="Y64">
        <v>-1.5707963267949001</v>
      </c>
      <c r="Z64">
        <v>0.88794170402030803</v>
      </c>
      <c r="AA64">
        <v>0</v>
      </c>
      <c r="AB64">
        <v>5.0120451605421397E-2</v>
      </c>
      <c r="AC64">
        <v>6.9571722513190096E-4</v>
      </c>
      <c r="AD64">
        <v>7.5496249152382502E-3</v>
      </c>
      <c r="AE64">
        <v>4.4410826844620502E-3</v>
      </c>
      <c r="AF64">
        <v>1.2054597849464201E-2</v>
      </c>
      <c r="AG64">
        <v>6.9228577984937797E-2</v>
      </c>
      <c r="AH64">
        <v>8.2088495563588798E-2</v>
      </c>
      <c r="AI64">
        <v>0.80664524782650704</v>
      </c>
      <c r="AJ64" t="s">
        <v>74</v>
      </c>
      <c r="AK64">
        <v>0</v>
      </c>
      <c r="AL64" t="s">
        <v>77</v>
      </c>
      <c r="AM64">
        <v>0</v>
      </c>
      <c r="AN64">
        <v>0.89171388531556794</v>
      </c>
      <c r="AO64">
        <v>0</v>
      </c>
      <c r="AP64">
        <v>5.2357040322004098E-2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0.89734275298420996</v>
      </c>
      <c r="AX64" t="s">
        <v>78</v>
      </c>
      <c r="AY64">
        <v>3071450.1451393799</v>
      </c>
      <c r="AZ64" t="s">
        <v>76</v>
      </c>
      <c r="BA64">
        <v>-1.5707963267949001</v>
      </c>
      <c r="BB64">
        <v>0.88794170402030903</v>
      </c>
      <c r="BC64">
        <v>0</v>
      </c>
      <c r="BD64">
        <v>5.0120451605421501E-2</v>
      </c>
      <c r="BE64">
        <v>6.9571722513190801E-4</v>
      </c>
      <c r="BF64">
        <v>7.5496249152382996E-3</v>
      </c>
      <c r="BG64">
        <v>4.4410826844620199E-3</v>
      </c>
      <c r="BH64">
        <v>1.20545978494641E-2</v>
      </c>
      <c r="BI64">
        <v>6.9228577984937395E-2</v>
      </c>
      <c r="BJ64">
        <v>8.2088495563587799E-2</v>
      </c>
      <c r="BK64">
        <v>0.80664524782650804</v>
      </c>
      <c r="BL64">
        <v>1.03173209152557E-4</v>
      </c>
      <c r="BM64">
        <v>1.5131707354852601E-4</v>
      </c>
      <c r="BN64" s="1">
        <v>3.77611451438548E-7</v>
      </c>
      <c r="BO64" s="1">
        <v>2.3768830331137801E-6</v>
      </c>
      <c r="BP64">
        <v>0</v>
      </c>
      <c r="BQ64">
        <v>0</v>
      </c>
      <c r="BR64" s="1">
        <v>6.3496523062725894E-5</v>
      </c>
      <c r="BS64" s="1">
        <v>8.4982086854980897E-5</v>
      </c>
    </row>
    <row r="65" spans="1:71" x14ac:dyDescent="0.25">
      <c r="A65">
        <v>62</v>
      </c>
      <c r="B65" s="1">
        <v>1.5610237584580002E-5</v>
      </c>
      <c r="C65">
        <v>9.1309648551769998E-2</v>
      </c>
      <c r="D65">
        <v>-1.9537836071113101E-4</v>
      </c>
      <c r="E65">
        <v>-1.9537836071113101E-4</v>
      </c>
      <c r="F65">
        <v>-9.1309648551770001E-4</v>
      </c>
      <c r="G65">
        <v>-9.1309648551770001E-4</v>
      </c>
      <c r="H65" t="s">
        <v>74</v>
      </c>
      <c r="I65">
        <v>0</v>
      </c>
      <c r="J65" t="s">
        <v>75</v>
      </c>
      <c r="K65">
        <v>3.14159265358979</v>
      </c>
      <c r="L65">
        <v>0.89007527212204596</v>
      </c>
      <c r="M65">
        <v>0</v>
      </c>
      <c r="N65">
        <v>5.2260829038925302E-2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0.89557443983089502</v>
      </c>
      <c r="V65" t="s">
        <v>78</v>
      </c>
      <c r="W65">
        <v>3072453.3800093699</v>
      </c>
      <c r="X65" t="s">
        <v>76</v>
      </c>
      <c r="Y65">
        <v>-1.5707963267949001</v>
      </c>
      <c r="Z65">
        <v>0.88628780115053796</v>
      </c>
      <c r="AA65">
        <v>0</v>
      </c>
      <c r="AB65">
        <v>5.0016824016384701E-2</v>
      </c>
      <c r="AC65">
        <v>7.0712788396045095E-4</v>
      </c>
      <c r="AD65">
        <v>7.1244838677585803E-3</v>
      </c>
      <c r="AE65">
        <v>4.4889902257060502E-3</v>
      </c>
      <c r="AF65">
        <v>1.24705683291195E-2</v>
      </c>
      <c r="AG65">
        <v>6.7380535126051494E-2</v>
      </c>
      <c r="AH65">
        <v>8.6408965975400001E-2</v>
      </c>
      <c r="AI65">
        <v>0.80357644127443895</v>
      </c>
      <c r="AJ65" t="s">
        <v>74</v>
      </c>
      <c r="AK65">
        <v>0</v>
      </c>
      <c r="AL65" t="s">
        <v>77</v>
      </c>
      <c r="AM65">
        <v>0</v>
      </c>
      <c r="AN65">
        <v>0.89007527212204696</v>
      </c>
      <c r="AO65">
        <v>0</v>
      </c>
      <c r="AP65">
        <v>5.2260829038925399E-2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0.89557443983089602</v>
      </c>
      <c r="AX65" t="s">
        <v>78</v>
      </c>
      <c r="AY65">
        <v>3072453.3800093699</v>
      </c>
      <c r="AZ65" t="s">
        <v>76</v>
      </c>
      <c r="BA65">
        <v>-1.5707963267949001</v>
      </c>
      <c r="BB65">
        <v>0.88628780115053796</v>
      </c>
      <c r="BC65">
        <v>0</v>
      </c>
      <c r="BD65">
        <v>5.0016824016384701E-2</v>
      </c>
      <c r="BE65">
        <v>7.0712788396045799E-4</v>
      </c>
      <c r="BF65">
        <v>7.1244838677586202E-3</v>
      </c>
      <c r="BG65">
        <v>4.4889902257060198E-3</v>
      </c>
      <c r="BH65">
        <v>1.24705683291195E-2</v>
      </c>
      <c r="BI65">
        <v>6.7380535126051105E-2</v>
      </c>
      <c r="BJ65">
        <v>8.6408965975398905E-2</v>
      </c>
      <c r="BK65">
        <v>0.80357644127444094</v>
      </c>
      <c r="BL65">
        <v>1.02984780939271E-4</v>
      </c>
      <c r="BM65">
        <v>1.5378950110145101E-4</v>
      </c>
      <c r="BN65" s="1">
        <v>3.7693930714757999E-7</v>
      </c>
      <c r="BO65" s="1">
        <v>2.4157198342977899E-6</v>
      </c>
      <c r="BP65">
        <v>0</v>
      </c>
      <c r="BQ65">
        <v>0</v>
      </c>
      <c r="BR65" s="1">
        <v>6.3383030065926893E-5</v>
      </c>
      <c r="BS65" s="1">
        <v>8.6372684317777797E-5</v>
      </c>
    </row>
    <row r="66" spans="1:71" x14ac:dyDescent="0.25">
      <c r="A66">
        <v>63</v>
      </c>
      <c r="B66" s="1">
        <v>1.6003343743529001E-5</v>
      </c>
      <c r="C66">
        <v>9.1325651895513504E-2</v>
      </c>
      <c r="D66">
        <v>-1.9547370036257001E-4</v>
      </c>
      <c r="E66">
        <v>-1.9547370036257001E-4</v>
      </c>
      <c r="F66">
        <v>-9.1325651895513504E-4</v>
      </c>
      <c r="G66">
        <v>-9.1325651895513504E-4</v>
      </c>
      <c r="H66" t="s">
        <v>74</v>
      </c>
      <c r="I66">
        <v>0</v>
      </c>
      <c r="J66" t="s">
        <v>75</v>
      </c>
      <c r="K66">
        <v>3.14159265358979</v>
      </c>
      <c r="L66">
        <v>0.88844002671860201</v>
      </c>
      <c r="M66">
        <v>0</v>
      </c>
      <c r="N66">
        <v>5.2164815495865803E-2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0.89380592406382597</v>
      </c>
      <c r="V66" t="s">
        <v>78</v>
      </c>
      <c r="W66">
        <v>3073481.79865273</v>
      </c>
      <c r="X66" t="s">
        <v>76</v>
      </c>
      <c r="Y66">
        <v>-1.5707963267949001</v>
      </c>
      <c r="Z66">
        <v>0.88463673909129303</v>
      </c>
      <c r="AA66">
        <v>0</v>
      </c>
      <c r="AB66">
        <v>4.99131337287766E-2</v>
      </c>
      <c r="AC66">
        <v>7.1858122359845305E-4</v>
      </c>
      <c r="AD66">
        <v>6.6950264601607998E-3</v>
      </c>
      <c r="AE66">
        <v>4.5353266367651399E-3</v>
      </c>
      <c r="AF66">
        <v>1.28932246050088E-2</v>
      </c>
      <c r="AG66">
        <v>6.5341440066733703E-2</v>
      </c>
      <c r="AH66">
        <v>9.09154070851797E-2</v>
      </c>
      <c r="AI66">
        <v>0.80051613206205097</v>
      </c>
      <c r="AJ66" t="s">
        <v>74</v>
      </c>
      <c r="AK66">
        <v>0</v>
      </c>
      <c r="AL66" t="s">
        <v>77</v>
      </c>
      <c r="AM66">
        <v>0</v>
      </c>
      <c r="AN66">
        <v>0.888440026718603</v>
      </c>
      <c r="AO66">
        <v>0</v>
      </c>
      <c r="AP66">
        <v>5.21648154958659E-2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0.89380592406382697</v>
      </c>
      <c r="AX66" t="s">
        <v>78</v>
      </c>
      <c r="AY66">
        <v>3073481.79865273</v>
      </c>
      <c r="AZ66" t="s">
        <v>76</v>
      </c>
      <c r="BA66">
        <v>-1.5707963267949001</v>
      </c>
      <c r="BB66">
        <v>0.88463673909129403</v>
      </c>
      <c r="BC66">
        <v>0</v>
      </c>
      <c r="BD66">
        <v>4.9913133728776697E-2</v>
      </c>
      <c r="BE66">
        <v>7.1858122359845999E-4</v>
      </c>
      <c r="BF66">
        <v>6.6950264601608397E-3</v>
      </c>
      <c r="BG66">
        <v>4.5353266367651104E-3</v>
      </c>
      <c r="BH66">
        <v>1.2893224605008699E-2</v>
      </c>
      <c r="BI66">
        <v>6.53414400667333E-2</v>
      </c>
      <c r="BJ66">
        <v>9.0915407085178604E-2</v>
      </c>
      <c r="BK66">
        <v>0.80051613206205297</v>
      </c>
      <c r="BL66">
        <v>1.0279653044824101E-4</v>
      </c>
      <c r="BM66">
        <v>1.5625684715191301E-4</v>
      </c>
      <c r="BN66" s="1">
        <v>3.76267034409113E-7</v>
      </c>
      <c r="BO66" s="1">
        <v>2.4544768154277599E-6</v>
      </c>
      <c r="BP66">
        <v>0</v>
      </c>
      <c r="BQ66">
        <v>0</v>
      </c>
      <c r="BR66" s="1">
        <v>6.3269712571508696E-5</v>
      </c>
      <c r="BS66" s="1">
        <v>8.7760545747108705E-5</v>
      </c>
    </row>
    <row r="67" spans="1:71" x14ac:dyDescent="0.25">
      <c r="A67">
        <v>64</v>
      </c>
      <c r="B67" s="1">
        <v>1.6461095113015598E-5</v>
      </c>
      <c r="C67">
        <v>9.1342112990626501E-2</v>
      </c>
      <c r="D67">
        <v>-1.95571759213125E-4</v>
      </c>
      <c r="E67">
        <v>-1.95571759213125E-4</v>
      </c>
      <c r="F67">
        <v>-9.1342112990626498E-4</v>
      </c>
      <c r="G67">
        <v>-9.1342112990626498E-4</v>
      </c>
      <c r="H67" t="s">
        <v>74</v>
      </c>
      <c r="I67">
        <v>0</v>
      </c>
      <c r="J67" t="s">
        <v>75</v>
      </c>
      <c r="K67">
        <v>3.14159265358979</v>
      </c>
      <c r="L67">
        <v>0.88680857240892697</v>
      </c>
      <c r="M67">
        <v>0</v>
      </c>
      <c r="N67">
        <v>5.2069024547130097E-2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0.89203770037305496</v>
      </c>
      <c r="V67" t="s">
        <v>78</v>
      </c>
      <c r="W67">
        <v>3074539.5490067001</v>
      </c>
      <c r="X67" t="s">
        <v>76</v>
      </c>
      <c r="Y67">
        <v>-1.5707963267949001</v>
      </c>
      <c r="Z67">
        <v>0.882988847527023</v>
      </c>
      <c r="AA67">
        <v>0</v>
      </c>
      <c r="AB67">
        <v>4.9809357803799803E-2</v>
      </c>
      <c r="AC67">
        <v>7.3009859308302495E-4</v>
      </c>
      <c r="AD67">
        <v>6.26155939376316E-3</v>
      </c>
      <c r="AE67">
        <v>4.5800601089920302E-3</v>
      </c>
      <c r="AF67">
        <v>1.3322432449523299E-2</v>
      </c>
      <c r="AG67">
        <v>6.3102122859986301E-2</v>
      </c>
      <c r="AH67">
        <v>9.5616350136591699E-2</v>
      </c>
      <c r="AI67">
        <v>0.79746512111509904</v>
      </c>
      <c r="AJ67" t="s">
        <v>74</v>
      </c>
      <c r="AK67">
        <v>0</v>
      </c>
      <c r="AL67" t="s">
        <v>77</v>
      </c>
      <c r="AM67">
        <v>0</v>
      </c>
      <c r="AN67">
        <v>0.88680857240892796</v>
      </c>
      <c r="AO67">
        <v>0</v>
      </c>
      <c r="AP67">
        <v>5.2069024547130201E-2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0.89203770037305596</v>
      </c>
      <c r="AX67" t="s">
        <v>78</v>
      </c>
      <c r="AY67">
        <v>3074539.5490067001</v>
      </c>
      <c r="AZ67" t="s">
        <v>76</v>
      </c>
      <c r="BA67">
        <v>-1.5707963267949001</v>
      </c>
      <c r="BB67">
        <v>0.882988847527024</v>
      </c>
      <c r="BC67">
        <v>0</v>
      </c>
      <c r="BD67">
        <v>4.9809357803799803E-2</v>
      </c>
      <c r="BE67">
        <v>7.30098593083032E-4</v>
      </c>
      <c r="BF67">
        <v>6.2615593937631903E-3</v>
      </c>
      <c r="BG67">
        <v>4.5800601089919998E-3</v>
      </c>
      <c r="BH67">
        <v>1.3322432449523299E-2</v>
      </c>
      <c r="BI67">
        <v>6.3102122859985899E-2</v>
      </c>
      <c r="BJ67">
        <v>9.56163501365907E-2</v>
      </c>
      <c r="BK67">
        <v>0.79746512111510104</v>
      </c>
      <c r="BL67">
        <v>1.02608480944013E-4</v>
      </c>
      <c r="BM67">
        <v>1.5871847299657701E-4</v>
      </c>
      <c r="BN67" s="1">
        <v>3.75594600869072E-7</v>
      </c>
      <c r="BO67" s="1">
        <v>2.4931439437751899E-6</v>
      </c>
      <c r="BP67">
        <v>0</v>
      </c>
      <c r="BQ67">
        <v>0</v>
      </c>
      <c r="BR67" s="1">
        <v>6.3156596436830497E-5</v>
      </c>
      <c r="BS67" s="1">
        <v>8.9145323411196005E-5</v>
      </c>
    </row>
    <row r="68" spans="1:71" x14ac:dyDescent="0.25">
      <c r="A68">
        <v>65</v>
      </c>
      <c r="B68" s="1">
        <v>1.69953104738446E-5</v>
      </c>
      <c r="C68">
        <v>9.1359108301100403E-2</v>
      </c>
      <c r="D68">
        <v>-1.95672992055354E-4</v>
      </c>
      <c r="E68">
        <v>-1.95672992055354E-4</v>
      </c>
      <c r="F68">
        <v>-9.1359108301100405E-4</v>
      </c>
      <c r="G68">
        <v>-9.1359108301100405E-4</v>
      </c>
      <c r="H68" t="s">
        <v>74</v>
      </c>
      <c r="I68">
        <v>0</v>
      </c>
      <c r="J68" t="s">
        <v>75</v>
      </c>
      <c r="K68">
        <v>3.14159265358979</v>
      </c>
      <c r="L68">
        <v>0.88518141619535495</v>
      </c>
      <c r="M68">
        <v>0</v>
      </c>
      <c r="N68">
        <v>5.1973485961394103E-2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0.89027035455484005</v>
      </c>
      <c r="V68" t="s">
        <v>78</v>
      </c>
      <c r="W68">
        <v>3075631.53687006</v>
      </c>
      <c r="X68" t="s">
        <v>76</v>
      </c>
      <c r="Y68">
        <v>-1.5707963267949001</v>
      </c>
      <c r="Z68">
        <v>0.88134452258909601</v>
      </c>
      <c r="AA68">
        <v>0</v>
      </c>
      <c r="AB68">
        <v>4.9705469505005602E-2</v>
      </c>
      <c r="AC68">
        <v>7.4162253030808601E-4</v>
      </c>
      <c r="AD68">
        <v>5.8244449373415497E-3</v>
      </c>
      <c r="AE68">
        <v>4.6231588275621001E-3</v>
      </c>
      <c r="AF68">
        <v>1.37580258047696E-2</v>
      </c>
      <c r="AG68">
        <v>6.06527118837107E-2</v>
      </c>
      <c r="AH68">
        <v>0.100520901759394</v>
      </c>
      <c r="AI68">
        <v>0.79442435972554803</v>
      </c>
      <c r="AJ68" t="s">
        <v>74</v>
      </c>
      <c r="AK68">
        <v>0</v>
      </c>
      <c r="AL68" t="s">
        <v>77</v>
      </c>
      <c r="AM68">
        <v>0</v>
      </c>
      <c r="AN68">
        <v>0.88518141619535495</v>
      </c>
      <c r="AO68">
        <v>0</v>
      </c>
      <c r="AP68">
        <v>5.19734859613942E-2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0.89027035455484105</v>
      </c>
      <c r="AX68" t="s">
        <v>78</v>
      </c>
      <c r="AY68">
        <v>3075631.53687006</v>
      </c>
      <c r="AZ68" t="s">
        <v>76</v>
      </c>
      <c r="BA68">
        <v>-1.5707963267949001</v>
      </c>
      <c r="BB68">
        <v>0.88134452258909701</v>
      </c>
      <c r="BC68">
        <v>0</v>
      </c>
      <c r="BD68">
        <v>4.9705469505005699E-2</v>
      </c>
      <c r="BE68">
        <v>7.4162253030809295E-4</v>
      </c>
      <c r="BF68">
        <v>5.8244449373415904E-3</v>
      </c>
      <c r="BG68">
        <v>4.6231588275620697E-3</v>
      </c>
      <c r="BH68">
        <v>1.3758025804769499E-2</v>
      </c>
      <c r="BI68">
        <v>6.0652711883710297E-2</v>
      </c>
      <c r="BJ68">
        <v>0.100520901759393</v>
      </c>
      <c r="BK68">
        <v>0.79442435972555003</v>
      </c>
      <c r="BL68">
        <v>1.02420577996708E-4</v>
      </c>
      <c r="BM68">
        <v>1.6117361364310399E-4</v>
      </c>
      <c r="BN68" s="1">
        <v>3.74921411375186E-7</v>
      </c>
      <c r="BO68" s="1">
        <v>2.5317092028684798E-6</v>
      </c>
      <c r="BP68">
        <v>0</v>
      </c>
      <c r="BQ68">
        <v>0</v>
      </c>
      <c r="BR68" s="1">
        <v>6.3043666245231496E-5</v>
      </c>
      <c r="BS68" s="1">
        <v>9.05266007600741E-5</v>
      </c>
    </row>
    <row r="69" spans="1:71" x14ac:dyDescent="0.25">
      <c r="A69">
        <v>66</v>
      </c>
      <c r="B69" s="1">
        <v>1.76211881989466E-5</v>
      </c>
      <c r="C69">
        <v>9.1376729489299299E-2</v>
      </c>
      <c r="D69">
        <v>-1.95777944029178E-4</v>
      </c>
      <c r="E69">
        <v>-1.95777944029178E-4</v>
      </c>
      <c r="F69">
        <v>-9.1376729489299295E-4</v>
      </c>
      <c r="G69">
        <v>-9.1376729489299295E-4</v>
      </c>
      <c r="H69" t="s">
        <v>74</v>
      </c>
      <c r="I69">
        <v>0</v>
      </c>
      <c r="J69" t="s">
        <v>75</v>
      </c>
      <c r="K69">
        <v>3.14159265358979</v>
      </c>
      <c r="L69">
        <v>0.88355917172626697</v>
      </c>
      <c r="M69">
        <v>0</v>
      </c>
      <c r="N69">
        <v>5.1878235769063502E-2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0.88850458891002004</v>
      </c>
      <c r="V69" t="s">
        <v>78</v>
      </c>
      <c r="W69">
        <v>3076763.6426089602</v>
      </c>
      <c r="X69" t="s">
        <v>76</v>
      </c>
      <c r="Y69">
        <v>-1.5707963267949001</v>
      </c>
      <c r="Z69">
        <v>0.87970424483510701</v>
      </c>
      <c r="AA69">
        <v>0</v>
      </c>
      <c r="AB69">
        <v>4.9601437135012201E-2</v>
      </c>
      <c r="AC69">
        <v>7.5323989438352596E-4</v>
      </c>
      <c r="AD69">
        <v>5.3841162006808699E-3</v>
      </c>
      <c r="AE69">
        <v>4.6645909284672802E-3</v>
      </c>
      <c r="AF69">
        <v>1.41997979636503E-2</v>
      </c>
      <c r="AG69">
        <v>5.7982583970530001E-2</v>
      </c>
      <c r="AH69">
        <v>0.105638759215345</v>
      </c>
      <c r="AI69">
        <v>0.79139499129513402</v>
      </c>
      <c r="AJ69" t="s">
        <v>74</v>
      </c>
      <c r="AK69">
        <v>0</v>
      </c>
      <c r="AL69" t="s">
        <v>77</v>
      </c>
      <c r="AM69">
        <v>0</v>
      </c>
      <c r="AN69">
        <v>0.88355917172626797</v>
      </c>
      <c r="AO69">
        <v>0</v>
      </c>
      <c r="AP69">
        <v>5.1878235769063599E-2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0.88850458891002104</v>
      </c>
      <c r="AX69" t="s">
        <v>78</v>
      </c>
      <c r="AY69">
        <v>3076763.6426089602</v>
      </c>
      <c r="AZ69" t="s">
        <v>76</v>
      </c>
      <c r="BA69">
        <v>-1.5707963267949001</v>
      </c>
      <c r="BB69">
        <v>0.87970424483510801</v>
      </c>
      <c r="BC69">
        <v>0</v>
      </c>
      <c r="BD69">
        <v>4.9601437135012201E-2</v>
      </c>
      <c r="BE69">
        <v>7.53239894383533E-4</v>
      </c>
      <c r="BF69">
        <v>5.3841162006808803E-3</v>
      </c>
      <c r="BG69">
        <v>4.6645909284672498E-3</v>
      </c>
      <c r="BH69">
        <v>1.41997979636503E-2</v>
      </c>
      <c r="BI69">
        <v>5.7982583970529501E-2</v>
      </c>
      <c r="BJ69">
        <v>0.10563875921534401</v>
      </c>
      <c r="BK69">
        <v>0.79139499129513602</v>
      </c>
      <c r="BL69">
        <v>1.02232912798459E-4</v>
      </c>
      <c r="BM69">
        <v>1.63621343185874E-4</v>
      </c>
      <c r="BN69" s="1">
        <v>3.74247811504477E-7</v>
      </c>
      <c r="BO69" s="1">
        <v>2.5701580486161799E-6</v>
      </c>
      <c r="BP69">
        <v>0</v>
      </c>
      <c r="BQ69">
        <v>0</v>
      </c>
      <c r="BR69" s="1">
        <v>6.2930991407429996E-5</v>
      </c>
      <c r="BS69" s="1">
        <v>9.1903873555906801E-5</v>
      </c>
    </row>
    <row r="70" spans="1:71" x14ac:dyDescent="0.25">
      <c r="A70">
        <v>67</v>
      </c>
      <c r="B70" s="1">
        <v>1.8358573376749999E-5</v>
      </c>
      <c r="C70">
        <v>9.13950880626761E-2</v>
      </c>
      <c r="D70">
        <v>-1.9588727824268299E-4</v>
      </c>
      <c r="E70">
        <v>-1.9588727824268299E-4</v>
      </c>
      <c r="F70">
        <v>-9.1395088062676104E-4</v>
      </c>
      <c r="G70">
        <v>-9.1395088062676104E-4</v>
      </c>
      <c r="H70" t="s">
        <v>74</v>
      </c>
      <c r="I70">
        <v>0</v>
      </c>
      <c r="J70" t="s">
        <v>75</v>
      </c>
      <c r="K70">
        <v>3.14159265358979</v>
      </c>
      <c r="L70">
        <v>0.88194259044578904</v>
      </c>
      <c r="M70">
        <v>0</v>
      </c>
      <c r="N70">
        <v>5.17833180912304E-2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0.88674125668705694</v>
      </c>
      <c r="V70" t="s">
        <v>78</v>
      </c>
      <c r="W70">
        <v>3077943.0190995098</v>
      </c>
      <c r="X70" t="s">
        <v>76</v>
      </c>
      <c r="Y70">
        <v>-1.5707963267949001</v>
      </c>
      <c r="Z70">
        <v>0.87806860355944005</v>
      </c>
      <c r="AA70">
        <v>0</v>
      </c>
      <c r="AB70">
        <v>4.9497222410614702E-2</v>
      </c>
      <c r="AC70">
        <v>7.6491276095670203E-4</v>
      </c>
      <c r="AD70">
        <v>4.9410978790272904E-3</v>
      </c>
      <c r="AE70">
        <v>4.7043244178861798E-3</v>
      </c>
      <c r="AF70">
        <v>1.4647489540136499E-2</v>
      </c>
      <c r="AG70">
        <v>5.5080331782787303E-2</v>
      </c>
      <c r="AH70">
        <v>0.11098019602286099</v>
      </c>
      <c r="AI70">
        <v>0.78837840798699599</v>
      </c>
      <c r="AJ70" t="s">
        <v>74</v>
      </c>
      <c r="AK70">
        <v>0</v>
      </c>
      <c r="AL70" t="s">
        <v>77</v>
      </c>
      <c r="AM70">
        <v>0</v>
      </c>
      <c r="AN70">
        <v>0.88194259044579004</v>
      </c>
      <c r="AO70">
        <v>0</v>
      </c>
      <c r="AP70">
        <v>5.17833180912304E-2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0.88674125668705805</v>
      </c>
      <c r="AX70" t="s">
        <v>78</v>
      </c>
      <c r="AY70">
        <v>3077943.0190995098</v>
      </c>
      <c r="AZ70" t="s">
        <v>76</v>
      </c>
      <c r="BA70">
        <v>-1.5707963267949001</v>
      </c>
      <c r="BB70">
        <v>0.87806860355944105</v>
      </c>
      <c r="BC70">
        <v>0</v>
      </c>
      <c r="BD70">
        <v>4.9497222410614702E-2</v>
      </c>
      <c r="BE70">
        <v>7.6491276095670897E-4</v>
      </c>
      <c r="BF70">
        <v>4.9410978790272999E-3</v>
      </c>
      <c r="BG70">
        <v>4.7043244178861503E-3</v>
      </c>
      <c r="BH70">
        <v>1.4647489540136499E-2</v>
      </c>
      <c r="BI70">
        <v>5.5080331782786901E-2</v>
      </c>
      <c r="BJ70">
        <v>0.11098019602285999</v>
      </c>
      <c r="BK70">
        <v>0.78837840798699799</v>
      </c>
      <c r="BL70">
        <v>1.02045453262802E-4</v>
      </c>
      <c r="BM70">
        <v>1.66060527805648E-4</v>
      </c>
      <c r="BN70" s="1">
        <v>3.7357325140020101E-7</v>
      </c>
      <c r="BO70" s="1">
        <v>2.6084726710273301E-6</v>
      </c>
      <c r="BP70">
        <v>0</v>
      </c>
      <c r="BQ70">
        <v>0</v>
      </c>
      <c r="BR70" s="1">
        <v>6.2818576054119804E-5</v>
      </c>
      <c r="BS70" s="1">
        <v>9.3276524266566906E-5</v>
      </c>
    </row>
    <row r="71" spans="1:71" x14ac:dyDescent="0.25">
      <c r="A71">
        <v>68</v>
      </c>
      <c r="B71" s="1">
        <v>1.92338401371308E-5</v>
      </c>
      <c r="C71">
        <v>9.1414321902813206E-2</v>
      </c>
      <c r="D71">
        <v>-1.9600181457991099E-4</v>
      </c>
      <c r="E71">
        <v>-1.9600181457991099E-4</v>
      </c>
      <c r="F71">
        <v>-9.1414321902813197E-4</v>
      </c>
      <c r="G71">
        <v>-9.1414321902813197E-4</v>
      </c>
      <c r="H71" t="s">
        <v>74</v>
      </c>
      <c r="I71">
        <v>0</v>
      </c>
      <c r="J71" t="s">
        <v>75</v>
      </c>
      <c r="K71">
        <v>3.14159265358979</v>
      </c>
      <c r="L71">
        <v>0.88033260461020602</v>
      </c>
      <c r="M71">
        <v>0</v>
      </c>
      <c r="N71">
        <v>5.1688787665384602E-2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0.88498140961835303</v>
      </c>
      <c r="V71" t="s">
        <v>78</v>
      </c>
      <c r="W71">
        <v>3079178.5103433901</v>
      </c>
      <c r="X71" t="s">
        <v>76</v>
      </c>
      <c r="Y71">
        <v>-1.5707963267949001</v>
      </c>
      <c r="Z71">
        <v>0.876438330188262</v>
      </c>
      <c r="AA71">
        <v>0</v>
      </c>
      <c r="AB71">
        <v>4.9392778132908099E-2</v>
      </c>
      <c r="AC71">
        <v>7.7668298644374602E-4</v>
      </c>
      <c r="AD71">
        <v>4.4960349593252697E-3</v>
      </c>
      <c r="AE71">
        <v>4.74232702953675E-3</v>
      </c>
      <c r="AF71">
        <v>1.5100771747325501E-2</v>
      </c>
      <c r="AG71">
        <v>5.1933769256526E-2</v>
      </c>
      <c r="AH71">
        <v>0.116555991607574</v>
      </c>
      <c r="AI71">
        <v>0.78537632895810305</v>
      </c>
      <c r="AJ71" t="s">
        <v>74</v>
      </c>
      <c r="AK71">
        <v>0</v>
      </c>
      <c r="AL71" t="s">
        <v>77</v>
      </c>
      <c r="AM71">
        <v>0</v>
      </c>
      <c r="AN71">
        <v>0.88033260461020701</v>
      </c>
      <c r="AO71">
        <v>0</v>
      </c>
      <c r="AP71">
        <v>5.1688787665384602E-2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0.88498140961835403</v>
      </c>
      <c r="AX71" t="s">
        <v>78</v>
      </c>
      <c r="AY71">
        <v>3079178.5103433901</v>
      </c>
      <c r="AZ71" t="s">
        <v>76</v>
      </c>
      <c r="BA71">
        <v>-1.5707963267949001</v>
      </c>
      <c r="BB71">
        <v>0.876438330188262</v>
      </c>
      <c r="BC71">
        <v>0</v>
      </c>
      <c r="BD71">
        <v>4.9392778132908197E-2</v>
      </c>
      <c r="BE71">
        <v>7.7668298644375296E-4</v>
      </c>
      <c r="BF71">
        <v>4.4960349593252801E-3</v>
      </c>
      <c r="BG71">
        <v>4.7423270295367196E-3</v>
      </c>
      <c r="BH71">
        <v>1.5100771747325501E-2</v>
      </c>
      <c r="BI71">
        <v>5.1933769256525597E-2</v>
      </c>
      <c r="BJ71">
        <v>0.116555991607573</v>
      </c>
      <c r="BK71">
        <v>0.78537632895810505</v>
      </c>
      <c r="BL71">
        <v>1.01858248784736E-4</v>
      </c>
      <c r="BM71">
        <v>1.6848976086409901E-4</v>
      </c>
      <c r="BN71" s="1">
        <v>3.7289765473107803E-7</v>
      </c>
      <c r="BO71" s="1">
        <v>2.6466309746787801E-6</v>
      </c>
      <c r="BP71">
        <v>0</v>
      </c>
      <c r="BQ71">
        <v>0</v>
      </c>
      <c r="BR71" s="1">
        <v>6.27064753374469E-5</v>
      </c>
      <c r="BS71" s="1">
        <v>9.4643786720089893E-5</v>
      </c>
    </row>
    <row r="72" spans="1:71" x14ac:dyDescent="0.25">
      <c r="A72">
        <v>69</v>
      </c>
      <c r="B72" s="1">
        <v>2.0282764696802001E-5</v>
      </c>
      <c r="C72">
        <v>9.1434604667509994E-2</v>
      </c>
      <c r="D72">
        <v>-1.9612258558292901E-4</v>
      </c>
      <c r="E72">
        <v>-1.9612258558292901E-4</v>
      </c>
      <c r="F72">
        <v>-9.143460466751E-4</v>
      </c>
      <c r="G72">
        <v>-9.143460466751E-4</v>
      </c>
      <c r="H72" t="s">
        <v>74</v>
      </c>
      <c r="I72">
        <v>0</v>
      </c>
      <c r="J72" t="s">
        <v>75</v>
      </c>
      <c r="K72">
        <v>3.14159265358979</v>
      </c>
      <c r="L72">
        <v>0.878730387812792</v>
      </c>
      <c r="M72">
        <v>0</v>
      </c>
      <c r="N72">
        <v>5.1594713399133699E-2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0.88322636478725602</v>
      </c>
      <c r="V72" t="s">
        <v>78</v>
      </c>
      <c r="W72">
        <v>3080481.2542616501</v>
      </c>
      <c r="X72" t="s">
        <v>76</v>
      </c>
      <c r="Y72">
        <v>-1.5707963267949001</v>
      </c>
      <c r="Z72">
        <v>0.87481434493209898</v>
      </c>
      <c r="AA72">
        <v>0</v>
      </c>
      <c r="AB72">
        <v>4.9288044745227598E-2</v>
      </c>
      <c r="AC72">
        <v>7.8853286613220295E-4</v>
      </c>
      <c r="AD72">
        <v>4.0497332745238696E-3</v>
      </c>
      <c r="AE72">
        <v>4.7785659791044401E-3</v>
      </c>
      <c r="AF72">
        <v>1.55592226609007E-2</v>
      </c>
      <c r="AG72">
        <v>4.85300143040273E-2</v>
      </c>
      <c r="AH72">
        <v>0.122377257276664</v>
      </c>
      <c r="AI72">
        <v>0.78239091045048603</v>
      </c>
      <c r="AJ72" t="s">
        <v>74</v>
      </c>
      <c r="AK72">
        <v>0</v>
      </c>
      <c r="AL72" t="s">
        <v>77</v>
      </c>
      <c r="AM72">
        <v>0</v>
      </c>
      <c r="AN72">
        <v>0.878730387812793</v>
      </c>
      <c r="AO72">
        <v>0</v>
      </c>
      <c r="AP72">
        <v>5.1594713399133699E-2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0.88322636478725702</v>
      </c>
      <c r="AX72" t="s">
        <v>78</v>
      </c>
      <c r="AY72">
        <v>3080481.2542616501</v>
      </c>
      <c r="AZ72" t="s">
        <v>76</v>
      </c>
      <c r="BA72">
        <v>-1.5707963267949001</v>
      </c>
      <c r="BB72">
        <v>0.87481434493209997</v>
      </c>
      <c r="BC72">
        <v>0</v>
      </c>
      <c r="BD72">
        <v>4.9288044745227702E-2</v>
      </c>
      <c r="BE72">
        <v>7.8853286613221E-4</v>
      </c>
      <c r="BF72">
        <v>4.04973327452388E-3</v>
      </c>
      <c r="BG72">
        <v>4.7785659791044098E-3</v>
      </c>
      <c r="BH72">
        <v>1.55592226609007E-2</v>
      </c>
      <c r="BI72">
        <v>4.8530014304026897E-2</v>
      </c>
      <c r="BJ72">
        <v>0.122377257276663</v>
      </c>
      <c r="BK72">
        <v>0.78239091045048803</v>
      </c>
      <c r="BL72">
        <v>1.0167129101049401E-4</v>
      </c>
      <c r="BM72">
        <v>1.70907271580691E-4</v>
      </c>
      <c r="BN72" s="1">
        <v>3.7222044837904599E-7</v>
      </c>
      <c r="BO72" s="1">
        <v>2.6846051442148699E-6</v>
      </c>
      <c r="BP72">
        <v>0</v>
      </c>
      <c r="BQ72">
        <v>0</v>
      </c>
      <c r="BR72" s="1">
        <v>6.2594719081734997E-5</v>
      </c>
      <c r="BS72" s="1">
        <v>9.6004696404483096E-5</v>
      </c>
    </row>
    <row r="73" spans="1:71" x14ac:dyDescent="0.25">
      <c r="A73">
        <v>70</v>
      </c>
      <c r="B73" s="1">
        <v>2.1555048725125401E-5</v>
      </c>
      <c r="C73">
        <v>9.1456159716235205E-2</v>
      </c>
      <c r="D73">
        <v>-1.9625091921449001E-4</v>
      </c>
      <c r="E73">
        <v>-1.9625091921449001E-4</v>
      </c>
      <c r="F73">
        <v>-9.1456159716235097E-4</v>
      </c>
      <c r="G73">
        <v>-9.1456159716235097E-4</v>
      </c>
      <c r="H73" t="s">
        <v>74</v>
      </c>
      <c r="I73">
        <v>0</v>
      </c>
      <c r="J73" t="s">
        <v>75</v>
      </c>
      <c r="K73">
        <v>3.14159265358979</v>
      </c>
      <c r="L73">
        <v>0.877137441877897</v>
      </c>
      <c r="M73">
        <v>0</v>
      </c>
      <c r="N73">
        <v>5.1501183472194602E-2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0.88147780063135395</v>
      </c>
      <c r="V73" t="s">
        <v>78</v>
      </c>
      <c r="W73">
        <v>3081865.5754467598</v>
      </c>
      <c r="X73" t="s">
        <v>76</v>
      </c>
      <c r="Y73">
        <v>-1.5707963267949001</v>
      </c>
      <c r="Z73">
        <v>0.873197823108672</v>
      </c>
      <c r="AA73">
        <v>0</v>
      </c>
      <c r="AB73">
        <v>4.9182945069248397E-2</v>
      </c>
      <c r="AC73">
        <v>8.0051190116031299E-4</v>
      </c>
      <c r="AD73">
        <v>3.6032181278598998E-3</v>
      </c>
      <c r="AE73">
        <v>4.8130075458409898E-3</v>
      </c>
      <c r="AF73">
        <v>1.6022292731361101E-2</v>
      </c>
      <c r="AG73">
        <v>4.48557233948556E-2</v>
      </c>
      <c r="AH73">
        <v>0.12845507052736699</v>
      </c>
      <c r="AI73">
        <v>0.77942490389262598</v>
      </c>
      <c r="AJ73" t="s">
        <v>74</v>
      </c>
      <c r="AK73">
        <v>0</v>
      </c>
      <c r="AL73" t="s">
        <v>77</v>
      </c>
      <c r="AM73">
        <v>0</v>
      </c>
      <c r="AN73">
        <v>0.87713744187789799</v>
      </c>
      <c r="AO73">
        <v>0</v>
      </c>
      <c r="AP73">
        <v>5.1501183472194699E-2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0.88147780063135595</v>
      </c>
      <c r="AX73" t="s">
        <v>78</v>
      </c>
      <c r="AY73">
        <v>3081865.5754467598</v>
      </c>
      <c r="AZ73" t="s">
        <v>76</v>
      </c>
      <c r="BA73">
        <v>-1.5707963267949001</v>
      </c>
      <c r="BB73">
        <v>0.873197823108673</v>
      </c>
      <c r="BC73">
        <v>0</v>
      </c>
      <c r="BD73">
        <v>4.9182945069248502E-2</v>
      </c>
      <c r="BE73">
        <v>8.0051190116032101E-4</v>
      </c>
      <c r="BF73">
        <v>3.6032181278598898E-3</v>
      </c>
      <c r="BG73">
        <v>4.8130075458409603E-3</v>
      </c>
      <c r="BH73">
        <v>1.6022292731361101E-2</v>
      </c>
      <c r="BI73">
        <v>4.48557233948551E-2</v>
      </c>
      <c r="BJ73">
        <v>0.12845507052736599</v>
      </c>
      <c r="BK73">
        <v>0.77942490389262797</v>
      </c>
      <c r="BL73">
        <v>1.01484640442603E-4</v>
      </c>
      <c r="BM73">
        <v>1.73310793922222E-4</v>
      </c>
      <c r="BN73" s="1">
        <v>3.7154138222153902E-7</v>
      </c>
      <c r="BO73" s="1">
        <v>2.7223595848693399E-6</v>
      </c>
      <c r="BP73">
        <v>0</v>
      </c>
      <c r="BQ73">
        <v>0</v>
      </c>
      <c r="BR73" s="1">
        <v>6.2483385630337495E-5</v>
      </c>
      <c r="BS73" s="1">
        <v>9.7358019179023995E-5</v>
      </c>
    </row>
    <row r="74" spans="1:71" x14ac:dyDescent="0.25">
      <c r="A74">
        <v>71</v>
      </c>
      <c r="B74" s="1">
        <v>2.31217005662524E-5</v>
      </c>
      <c r="C74">
        <v>9.1479281416801395E-2</v>
      </c>
      <c r="D74">
        <v>-1.9638856548190501E-4</v>
      </c>
      <c r="E74">
        <v>-1.9638856548190501E-4</v>
      </c>
      <c r="F74">
        <v>-9.1479281416801403E-4</v>
      </c>
      <c r="G74">
        <v>-9.1479281416801403E-4</v>
      </c>
      <c r="H74" t="s">
        <v>74</v>
      </c>
      <c r="I74">
        <v>0</v>
      </c>
      <c r="J74" t="s">
        <v>75</v>
      </c>
      <c r="K74">
        <v>3.14159265358979</v>
      </c>
      <c r="L74">
        <v>0.87555572430051898</v>
      </c>
      <c r="M74">
        <v>0</v>
      </c>
      <c r="N74">
        <v>5.1408312819016998E-2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0.87973789779060396</v>
      </c>
      <c r="V74" t="s">
        <v>78</v>
      </c>
      <c r="W74">
        <v>3083350.3510407601</v>
      </c>
      <c r="X74" t="s">
        <v>76</v>
      </c>
      <c r="Y74">
        <v>-1.5707963267949001</v>
      </c>
      <c r="Z74">
        <v>0.87159029107003005</v>
      </c>
      <c r="AA74">
        <v>0</v>
      </c>
      <c r="AB74">
        <v>4.9077375922525597E-2</v>
      </c>
      <c r="AC74">
        <v>8.1265292652929304E-4</v>
      </c>
      <c r="AD74">
        <v>3.1578212287335398E-3</v>
      </c>
      <c r="AE74">
        <v>4.84561635939599E-3</v>
      </c>
      <c r="AF74">
        <v>1.6489253363759102E-2</v>
      </c>
      <c r="AG74">
        <v>4.0897623030027197E-2</v>
      </c>
      <c r="AH74">
        <v>0.134799751285127</v>
      </c>
      <c r="AI74">
        <v>0.77648188786812999</v>
      </c>
      <c r="AJ74" t="s">
        <v>74</v>
      </c>
      <c r="AK74">
        <v>0</v>
      </c>
      <c r="AL74" t="s">
        <v>77</v>
      </c>
      <c r="AM74">
        <v>0</v>
      </c>
      <c r="AN74">
        <v>0.87555572430051998</v>
      </c>
      <c r="AO74">
        <v>0</v>
      </c>
      <c r="AP74">
        <v>5.1408312819017102E-2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0.87973789779060496</v>
      </c>
      <c r="AX74" t="s">
        <v>78</v>
      </c>
      <c r="AY74">
        <v>3083350.3510407601</v>
      </c>
      <c r="AZ74" t="s">
        <v>76</v>
      </c>
      <c r="BA74">
        <v>-1.5707963267949001</v>
      </c>
      <c r="BB74">
        <v>0.87159029107003105</v>
      </c>
      <c r="BC74">
        <v>0</v>
      </c>
      <c r="BD74">
        <v>4.9077375922525701E-2</v>
      </c>
      <c r="BE74">
        <v>8.1265292652930095E-4</v>
      </c>
      <c r="BF74">
        <v>3.1578212287335398E-3</v>
      </c>
      <c r="BG74">
        <v>4.8456163593959597E-3</v>
      </c>
      <c r="BH74">
        <v>1.6489253363759102E-2</v>
      </c>
      <c r="BI74">
        <v>4.0897623030026801E-2</v>
      </c>
      <c r="BJ74">
        <v>0.134799751285126</v>
      </c>
      <c r="BK74">
        <v>0.77648188786813199</v>
      </c>
      <c r="BL74">
        <v>1.01298341668072E-4</v>
      </c>
      <c r="BM74">
        <v>1.7569737431515301E-4</v>
      </c>
      <c r="BN74" s="1">
        <v>3.7085989799946301E-7</v>
      </c>
      <c r="BO74" s="1">
        <v>2.75984790201751E-6</v>
      </c>
      <c r="BP74">
        <v>0</v>
      </c>
      <c r="BQ74">
        <v>0</v>
      </c>
      <c r="BR74" s="1">
        <v>6.2372558375399701E-5</v>
      </c>
      <c r="BS74" s="1">
        <v>9.87021468591969E-5</v>
      </c>
    </row>
    <row r="75" spans="1:71" x14ac:dyDescent="0.25">
      <c r="A75">
        <v>72</v>
      </c>
      <c r="B75" s="1">
        <v>2.50875931008514E-5</v>
      </c>
      <c r="C75">
        <v>9.1504369009902303E-2</v>
      </c>
      <c r="D75">
        <v>-1.96537897678211E-4</v>
      </c>
      <c r="E75">
        <v>-1.96537897678211E-4</v>
      </c>
      <c r="F75">
        <v>-9.1504369009902202E-4</v>
      </c>
      <c r="G75">
        <v>-9.1504369009902202E-4</v>
      </c>
      <c r="H75" t="s">
        <v>74</v>
      </c>
      <c r="I75">
        <v>0</v>
      </c>
      <c r="J75" t="s">
        <v>75</v>
      </c>
      <c r="K75">
        <v>3.14159265358979</v>
      </c>
      <c r="L75">
        <v>0.873987839217791</v>
      </c>
      <c r="M75">
        <v>0</v>
      </c>
      <c r="N75">
        <v>5.1316254341686497E-2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0.87800955032019401</v>
      </c>
      <c r="V75" t="s">
        <v>78</v>
      </c>
      <c r="W75">
        <v>3084961.1815023501</v>
      </c>
      <c r="X75" t="s">
        <v>76</v>
      </c>
      <c r="Y75">
        <v>-1.5707963267949001</v>
      </c>
      <c r="Z75">
        <v>0.869993767032195</v>
      </c>
      <c r="AA75">
        <v>0</v>
      </c>
      <c r="AB75">
        <v>4.8971194113182903E-2</v>
      </c>
      <c r="AC75">
        <v>8.2499820495409695E-4</v>
      </c>
      <c r="AD75">
        <v>2.7153132977134598E-3</v>
      </c>
      <c r="AE75">
        <v>4.8763541747229699E-3</v>
      </c>
      <c r="AF75">
        <v>1.6959118041756701E-2</v>
      </c>
      <c r="AG75">
        <v>3.6643628001403798E-2</v>
      </c>
      <c r="AH75">
        <v>0.14141945549617499</v>
      </c>
      <c r="AI75">
        <v>0.77356661591217102</v>
      </c>
      <c r="AJ75" t="s">
        <v>74</v>
      </c>
      <c r="AK75">
        <v>0</v>
      </c>
      <c r="AL75" t="s">
        <v>77</v>
      </c>
      <c r="AM75">
        <v>0</v>
      </c>
      <c r="AN75">
        <v>0.873987839217792</v>
      </c>
      <c r="AO75">
        <v>0</v>
      </c>
      <c r="AP75">
        <v>5.1316254341686497E-2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0.87800955032019501</v>
      </c>
      <c r="AX75" t="s">
        <v>78</v>
      </c>
      <c r="AY75">
        <v>3084961.1815023501</v>
      </c>
      <c r="AZ75" t="s">
        <v>76</v>
      </c>
      <c r="BA75">
        <v>-1.5707963267949001</v>
      </c>
      <c r="BB75">
        <v>0.869993767032196</v>
      </c>
      <c r="BC75">
        <v>0</v>
      </c>
      <c r="BD75">
        <v>4.8971194113183E-2</v>
      </c>
      <c r="BE75">
        <v>8.2499820495410498E-4</v>
      </c>
      <c r="BF75">
        <v>2.7153132977134598E-3</v>
      </c>
      <c r="BG75">
        <v>4.8763541747229404E-3</v>
      </c>
      <c r="BH75">
        <v>1.6959118041756701E-2</v>
      </c>
      <c r="BI75">
        <v>3.6643628001403299E-2</v>
      </c>
      <c r="BJ75">
        <v>0.14141945549617399</v>
      </c>
      <c r="BK75">
        <v>0.77356661591217302</v>
      </c>
      <c r="BL75">
        <v>1.01112446659824E-4</v>
      </c>
      <c r="BM75">
        <v>1.78063083497578E-4</v>
      </c>
      <c r="BN75" s="1">
        <v>3.7017520179895298E-7</v>
      </c>
      <c r="BO75" s="1">
        <v>2.7970083749576899E-6</v>
      </c>
      <c r="BP75">
        <v>0</v>
      </c>
      <c r="BQ75">
        <v>0</v>
      </c>
      <c r="BR75" s="1">
        <v>6.2262345367520194E-5</v>
      </c>
      <c r="BS75">
        <v>1.00034941056176E-4</v>
      </c>
    </row>
    <row r="76" spans="1:71" x14ac:dyDescent="0.25">
      <c r="A76">
        <v>73</v>
      </c>
      <c r="B76" s="1">
        <v>2.7613906130245E-5</v>
      </c>
      <c r="C76">
        <v>9.1531982916032498E-2</v>
      </c>
      <c r="D76">
        <v>-1.9670224696324501E-4</v>
      </c>
      <c r="E76">
        <v>-1.9670224696324501E-4</v>
      </c>
      <c r="F76">
        <v>-9.1531982916032498E-4</v>
      </c>
      <c r="G76">
        <v>-9.1531982916032498E-4</v>
      </c>
      <c r="H76" t="s">
        <v>74</v>
      </c>
      <c r="I76">
        <v>0</v>
      </c>
      <c r="J76" t="s">
        <v>75</v>
      </c>
      <c r="K76">
        <v>3.14159265358979</v>
      </c>
      <c r="L76">
        <v>0.87243732915946504</v>
      </c>
      <c r="M76">
        <v>0</v>
      </c>
      <c r="N76">
        <v>5.12252160400739E-2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0.87629668874501498</v>
      </c>
      <c r="V76" t="s">
        <v>78</v>
      </c>
      <c r="W76">
        <v>3086733.9996970999</v>
      </c>
      <c r="X76" t="s">
        <v>76</v>
      </c>
      <c r="Y76">
        <v>-1.5707963267949001</v>
      </c>
      <c r="Z76">
        <v>0.86841096936945394</v>
      </c>
      <c r="AA76">
        <v>0</v>
      </c>
      <c r="AB76">
        <v>4.8864191648093101E-2</v>
      </c>
      <c r="AC76">
        <v>8.3760678209454903E-4</v>
      </c>
      <c r="AD76">
        <v>2.2781126267355598E-3</v>
      </c>
      <c r="AE76">
        <v>4.9051777415113802E-3</v>
      </c>
      <c r="AF76">
        <v>1.74305175808055E-2</v>
      </c>
      <c r="AG76">
        <v>3.2085146961883498E-2</v>
      </c>
      <c r="AH76">
        <v>0.14831742934855099</v>
      </c>
      <c r="AI76">
        <v>0.77068554820046398</v>
      </c>
      <c r="AJ76" t="s">
        <v>74</v>
      </c>
      <c r="AK76">
        <v>0</v>
      </c>
      <c r="AL76" t="s">
        <v>77</v>
      </c>
      <c r="AM76">
        <v>0</v>
      </c>
      <c r="AN76">
        <v>0.87243732915946604</v>
      </c>
      <c r="AO76">
        <v>0</v>
      </c>
      <c r="AP76">
        <v>5.1225216040073997E-2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0.87629668874501698</v>
      </c>
      <c r="AX76" t="s">
        <v>78</v>
      </c>
      <c r="AY76">
        <v>3086733.9996970999</v>
      </c>
      <c r="AZ76" t="s">
        <v>76</v>
      </c>
      <c r="BA76">
        <v>-1.5707963267949001</v>
      </c>
      <c r="BB76">
        <v>0.86841096936945505</v>
      </c>
      <c r="BC76">
        <v>0</v>
      </c>
      <c r="BD76">
        <v>4.8864191648093198E-2</v>
      </c>
      <c r="BE76">
        <v>8.3760678209455596E-4</v>
      </c>
      <c r="BF76">
        <v>2.2781126267355399E-3</v>
      </c>
      <c r="BG76">
        <v>4.9051777415113499E-3</v>
      </c>
      <c r="BH76">
        <v>1.7430517580805601E-2</v>
      </c>
      <c r="BI76">
        <v>3.2085146961883103E-2</v>
      </c>
      <c r="BJ76">
        <v>0.14831742934855</v>
      </c>
      <c r="BK76">
        <v>0.77068554820046598</v>
      </c>
      <c r="BL76">
        <v>1.00927014470262E-4</v>
      </c>
      <c r="BM76">
        <v>1.80402576310434E-4</v>
      </c>
      <c r="BN76" s="1">
        <v>3.6948612975560601E-7</v>
      </c>
      <c r="BO76" s="1">
        <v>2.8337570421276598E-6</v>
      </c>
      <c r="BP76">
        <v>0</v>
      </c>
      <c r="BQ76">
        <v>0</v>
      </c>
      <c r="BR76" s="1">
        <v>6.2152889830107503E-5</v>
      </c>
      <c r="BS76">
        <v>1.0135349534812699E-4</v>
      </c>
    </row>
    <row r="77" spans="1:71" x14ac:dyDescent="0.25">
      <c r="A77">
        <v>74</v>
      </c>
      <c r="B77" s="1">
        <v>3.0960662666487E-5</v>
      </c>
      <c r="C77">
        <v>9.1562943578698999E-2</v>
      </c>
      <c r="D77">
        <v>-1.96886489648853E-4</v>
      </c>
      <c r="E77">
        <v>-1.96886489648853E-4</v>
      </c>
      <c r="F77">
        <v>-9.1562943578698999E-4</v>
      </c>
      <c r="G77">
        <v>-9.1562943578698999E-4</v>
      </c>
      <c r="H77" t="s">
        <v>74</v>
      </c>
      <c r="I77">
        <v>0</v>
      </c>
      <c r="J77" t="s">
        <v>75</v>
      </c>
      <c r="K77">
        <v>3.14159265358979</v>
      </c>
      <c r="L77">
        <v>0.870909125505828</v>
      </c>
      <c r="M77">
        <v>0</v>
      </c>
      <c r="N77">
        <v>5.1135487460502199E-2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0.87460477981717299</v>
      </c>
      <c r="V77" t="s">
        <v>78</v>
      </c>
      <c r="W77">
        <v>3088721.4058803902</v>
      </c>
      <c r="X77" t="s">
        <v>76</v>
      </c>
      <c r="Y77">
        <v>-1.5707963267949001</v>
      </c>
      <c r="Z77">
        <v>0.86684562044889402</v>
      </c>
      <c r="AA77">
        <v>0</v>
      </c>
      <c r="AB77">
        <v>4.8756048639459801E-2</v>
      </c>
      <c r="AC77">
        <v>8.5057124692296498E-4</v>
      </c>
      <c r="AD77">
        <v>1.84962378009972E-3</v>
      </c>
      <c r="AE77">
        <v>4.9320350511792002E-3</v>
      </c>
      <c r="AF77">
        <v>1.79014966124737E-2</v>
      </c>
      <c r="AG77">
        <v>2.7221873291625901E-2</v>
      </c>
      <c r="AH77">
        <v>0.155486538730784</v>
      </c>
      <c r="AI77">
        <v>0.76784767315538305</v>
      </c>
      <c r="AJ77" t="s">
        <v>74</v>
      </c>
      <c r="AK77">
        <v>0</v>
      </c>
      <c r="AL77" t="s">
        <v>77</v>
      </c>
      <c r="AM77">
        <v>0</v>
      </c>
      <c r="AN77">
        <v>0.870909125505829</v>
      </c>
      <c r="AO77">
        <v>0</v>
      </c>
      <c r="AP77">
        <v>5.1135487460502303E-2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0.87460477981717499</v>
      </c>
      <c r="AX77" t="s">
        <v>78</v>
      </c>
      <c r="AY77">
        <v>3088721.4058803902</v>
      </c>
      <c r="AZ77" t="s">
        <v>76</v>
      </c>
      <c r="BA77">
        <v>-1.5707963267949001</v>
      </c>
      <c r="BB77">
        <v>0.86684562044889502</v>
      </c>
      <c r="BC77">
        <v>0</v>
      </c>
      <c r="BD77">
        <v>4.8756048639459898E-2</v>
      </c>
      <c r="BE77">
        <v>8.5057124692297203E-4</v>
      </c>
      <c r="BF77">
        <v>1.84962378009971E-3</v>
      </c>
      <c r="BG77">
        <v>4.9320350511791698E-3</v>
      </c>
      <c r="BH77">
        <v>1.79014966124737E-2</v>
      </c>
      <c r="BI77">
        <v>2.7221873291625499E-2</v>
      </c>
      <c r="BJ77">
        <v>0.155486538730783</v>
      </c>
      <c r="BK77">
        <v>0.76784767315538505</v>
      </c>
      <c r="BL77">
        <v>1.0074210734688499E-4</v>
      </c>
      <c r="BM77">
        <v>1.8270841202240899E-4</v>
      </c>
      <c r="BN77" s="1">
        <v>3.6879091313998197E-7</v>
      </c>
      <c r="BO77" s="1">
        <v>2.86997702479328E-6</v>
      </c>
      <c r="BP77">
        <v>0</v>
      </c>
      <c r="BQ77">
        <v>0</v>
      </c>
      <c r="BR77" s="1">
        <v>6.2044386359444794E-5</v>
      </c>
      <c r="BS77">
        <v>1.0265377003097799E-4</v>
      </c>
    </row>
    <row r="78" spans="1:71" x14ac:dyDescent="0.25">
      <c r="A78">
        <v>75</v>
      </c>
      <c r="B78" s="1">
        <v>3.5573320593227597E-5</v>
      </c>
      <c r="C78">
        <v>9.1598516899292201E-2</v>
      </c>
      <c r="D78">
        <v>-1.9709814886275799E-4</v>
      </c>
      <c r="E78">
        <v>-1.9709814886275799E-4</v>
      </c>
      <c r="F78">
        <v>-9.15985168992922E-4</v>
      </c>
      <c r="G78">
        <v>-9.15985168992922E-4</v>
      </c>
      <c r="H78" t="s">
        <v>74</v>
      </c>
      <c r="I78">
        <v>0</v>
      </c>
      <c r="J78" t="s">
        <v>75</v>
      </c>
      <c r="K78">
        <v>3.14159265358979</v>
      </c>
      <c r="L78">
        <v>0.869410232126408</v>
      </c>
      <c r="M78">
        <v>0</v>
      </c>
      <c r="N78">
        <v>5.1047479835638503E-2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0.87294158758549001</v>
      </c>
      <c r="V78" t="s">
        <v>78</v>
      </c>
      <c r="W78">
        <v>3091004.5512279202</v>
      </c>
      <c r="X78" t="s">
        <v>76</v>
      </c>
      <c r="Y78">
        <v>-1.5707963267949001</v>
      </c>
      <c r="Z78">
        <v>0.86530285505769899</v>
      </c>
      <c r="AA78">
        <v>0</v>
      </c>
      <c r="AB78">
        <v>4.86462356683212E-2</v>
      </c>
      <c r="AC78">
        <v>8.6404649573073602E-4</v>
      </c>
      <c r="AD78">
        <v>1.4348044081539701E-3</v>
      </c>
      <c r="AE78">
        <v>4.9568586985763302E-3</v>
      </c>
      <c r="AF78">
        <v>1.8369172683655399E-2</v>
      </c>
      <c r="AG78">
        <v>2.2072003631684298E-2</v>
      </c>
      <c r="AH78">
        <v>0.16289801918748201</v>
      </c>
      <c r="AI78">
        <v>0.76506575572558899</v>
      </c>
      <c r="AJ78" t="s">
        <v>74</v>
      </c>
      <c r="AK78">
        <v>0</v>
      </c>
      <c r="AL78" t="s">
        <v>77</v>
      </c>
      <c r="AM78">
        <v>0</v>
      </c>
      <c r="AN78">
        <v>0.869410232126409</v>
      </c>
      <c r="AO78">
        <v>0</v>
      </c>
      <c r="AP78">
        <v>5.10474798356386E-2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0.87294158758549101</v>
      </c>
      <c r="AX78" t="s">
        <v>78</v>
      </c>
      <c r="AY78">
        <v>3091004.5512279202</v>
      </c>
      <c r="AZ78" t="s">
        <v>76</v>
      </c>
      <c r="BA78">
        <v>-1.5707963267949001</v>
      </c>
      <c r="BB78">
        <v>0.86530285505769999</v>
      </c>
      <c r="BC78">
        <v>0</v>
      </c>
      <c r="BD78">
        <v>4.8646235668321297E-2</v>
      </c>
      <c r="BE78">
        <v>8.6404649573074198E-4</v>
      </c>
      <c r="BF78">
        <v>1.4348044081539499E-3</v>
      </c>
      <c r="BG78">
        <v>4.9568586985762999E-3</v>
      </c>
      <c r="BH78">
        <v>1.83691726836555E-2</v>
      </c>
      <c r="BI78">
        <v>2.2072003631683799E-2</v>
      </c>
      <c r="BJ78">
        <v>0.16289801918748001</v>
      </c>
      <c r="BK78">
        <v>0.76506575572559199</v>
      </c>
      <c r="BL78">
        <v>1.0055776199969E-4</v>
      </c>
      <c r="BM78">
        <v>1.84970022819165E-4</v>
      </c>
      <c r="BN78" s="1">
        <v>3.6808665375490402E-7</v>
      </c>
      <c r="BO78" s="1">
        <v>2.9055023241151299E-6</v>
      </c>
      <c r="BP78">
        <v>0</v>
      </c>
      <c r="BQ78">
        <v>0</v>
      </c>
      <c r="BR78" s="1">
        <v>6.1937098273595303E-5</v>
      </c>
      <c r="BS78">
        <v>1.03930043668632E-4</v>
      </c>
    </row>
    <row r="79" spans="1:71" x14ac:dyDescent="0.25">
      <c r="A79">
        <v>76</v>
      </c>
      <c r="B79" s="1">
        <v>4.2275375489222598E-5</v>
      </c>
      <c r="C79">
        <v>9.1640792274781405E-2</v>
      </c>
      <c r="D79">
        <v>-1.9734964017840899E-4</v>
      </c>
      <c r="E79">
        <v>-1.9734964017840899E-4</v>
      </c>
      <c r="F79">
        <v>-9.1640792274781397E-4</v>
      </c>
      <c r="G79">
        <v>-9.1640792274781397E-4</v>
      </c>
      <c r="H79" t="s">
        <v>74</v>
      </c>
      <c r="I79">
        <v>0</v>
      </c>
      <c r="J79" t="s">
        <v>75</v>
      </c>
      <c r="K79">
        <v>3.14159265358979</v>
      </c>
      <c r="L79">
        <v>0.86795064662214205</v>
      </c>
      <c r="M79">
        <v>0</v>
      </c>
      <c r="N79">
        <v>5.0961780175289198E-2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0.87131820711405095</v>
      </c>
      <c r="V79" t="s">
        <v>78</v>
      </c>
      <c r="W79">
        <v>3093717.36120525</v>
      </c>
      <c r="X79" t="s">
        <v>76</v>
      </c>
      <c r="Y79">
        <v>-1.5707963267949001</v>
      </c>
      <c r="Z79">
        <v>0.86378958061809397</v>
      </c>
      <c r="AA79">
        <v>0</v>
      </c>
      <c r="AB79">
        <v>4.85337877168679E-2</v>
      </c>
      <c r="AC79">
        <v>8.7829106221991001E-4</v>
      </c>
      <c r="AD79">
        <v>1.0411310639564799E-3</v>
      </c>
      <c r="AE79">
        <v>4.9795545106601797E-3</v>
      </c>
      <c r="AF79">
        <v>1.8829162016072001E-2</v>
      </c>
      <c r="AG79">
        <v>1.6694875550220201E-2</v>
      </c>
      <c r="AH79">
        <v>0.17047744823348401</v>
      </c>
      <c r="AI79">
        <v>0.76235802228525096</v>
      </c>
      <c r="AJ79" t="s">
        <v>74</v>
      </c>
      <c r="AK79">
        <v>0</v>
      </c>
      <c r="AL79" t="s">
        <v>77</v>
      </c>
      <c r="AM79">
        <v>0</v>
      </c>
      <c r="AN79">
        <v>0.86795064662214305</v>
      </c>
      <c r="AO79">
        <v>0</v>
      </c>
      <c r="AP79">
        <v>5.0961780175289302E-2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0.87131820711405294</v>
      </c>
      <c r="AX79" t="s">
        <v>78</v>
      </c>
      <c r="AY79">
        <v>3093717.36120525</v>
      </c>
      <c r="AZ79" t="s">
        <v>76</v>
      </c>
      <c r="BA79">
        <v>-1.5707963267949001</v>
      </c>
      <c r="BB79">
        <v>0.86378958061809497</v>
      </c>
      <c r="BC79">
        <v>0</v>
      </c>
      <c r="BD79">
        <v>4.85337877168679E-2</v>
      </c>
      <c r="BE79">
        <v>8.78291062219915E-4</v>
      </c>
      <c r="BF79">
        <v>1.0411310639564699E-3</v>
      </c>
      <c r="BG79">
        <v>4.9795545106601502E-3</v>
      </c>
      <c r="BH79">
        <v>1.8829162016072001E-2</v>
      </c>
      <c r="BI79">
        <v>1.6694875550219802E-2</v>
      </c>
      <c r="BJ79">
        <v>0.17047744823348299</v>
      </c>
      <c r="BK79">
        <v>0.76235802228525296</v>
      </c>
      <c r="BL79">
        <v>1.00373858954377E-4</v>
      </c>
      <c r="BM79">
        <v>1.8717232378370299E-4</v>
      </c>
      <c r="BN79" s="1">
        <v>3.6736794554288898E-7</v>
      </c>
      <c r="BO79" s="1">
        <v>2.9400959867710601E-6</v>
      </c>
      <c r="BP79">
        <v>0</v>
      </c>
      <c r="BQ79">
        <v>0</v>
      </c>
      <c r="BR79" s="1">
        <v>6.1831349555375705E-5</v>
      </c>
      <c r="BS79">
        <v>1.05174195408763E-4</v>
      </c>
    </row>
    <row r="80" spans="1:71" x14ac:dyDescent="0.25">
      <c r="A80">
        <v>77</v>
      </c>
      <c r="B80" s="1">
        <v>5.2747977320582598E-5</v>
      </c>
      <c r="C80">
        <v>9.1693540252101996E-2</v>
      </c>
      <c r="D80">
        <v>-1.9766336546192E-4</v>
      </c>
      <c r="E80">
        <v>-1.9766336546192E-4</v>
      </c>
      <c r="F80">
        <v>-9.1693540252102E-4</v>
      </c>
      <c r="G80">
        <v>-9.1693540252102E-4</v>
      </c>
      <c r="H80" t="s">
        <v>74</v>
      </c>
      <c r="I80">
        <v>0</v>
      </c>
      <c r="J80" t="s">
        <v>75</v>
      </c>
      <c r="K80">
        <v>3.14159265358979</v>
      </c>
      <c r="L80">
        <v>0.86654385657370803</v>
      </c>
      <c r="M80">
        <v>0</v>
      </c>
      <c r="N80">
        <v>5.0879180403654599E-2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0.869749656561147</v>
      </c>
      <c r="V80" t="s">
        <v>78</v>
      </c>
      <c r="W80">
        <v>3097101.4823509101</v>
      </c>
      <c r="X80" t="s">
        <v>76</v>
      </c>
      <c r="Y80">
        <v>-1.5707963267949001</v>
      </c>
      <c r="Z80">
        <v>0.86231370198537205</v>
      </c>
      <c r="AA80">
        <v>0</v>
      </c>
      <c r="AB80">
        <v>4.8416700595371003E-2</v>
      </c>
      <c r="AC80">
        <v>1.05505529162167E-3</v>
      </c>
      <c r="AD80">
        <v>6.8020378187738499E-4</v>
      </c>
      <c r="AE80">
        <v>4.9999854186273604E-3</v>
      </c>
      <c r="AF80">
        <v>1.9274683722984801E-2</v>
      </c>
      <c r="AG80">
        <v>1.1243082153027301E-2</v>
      </c>
      <c r="AH80">
        <v>0.178051881977211</v>
      </c>
      <c r="AI80">
        <v>0.75974907422179605</v>
      </c>
      <c r="AJ80" t="s">
        <v>74</v>
      </c>
      <c r="AK80">
        <v>0</v>
      </c>
      <c r="AL80" t="s">
        <v>77</v>
      </c>
      <c r="AM80">
        <v>0</v>
      </c>
      <c r="AN80">
        <v>0.86654385657370903</v>
      </c>
      <c r="AO80">
        <v>0</v>
      </c>
      <c r="AP80">
        <v>5.0879180403654703E-2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0.869749656561149</v>
      </c>
      <c r="AX80" t="s">
        <v>78</v>
      </c>
      <c r="AY80">
        <v>3097101.4823509101</v>
      </c>
      <c r="AZ80" t="s">
        <v>76</v>
      </c>
      <c r="BA80">
        <v>-1.5707963267949001</v>
      </c>
      <c r="BB80">
        <v>0.86231370198537305</v>
      </c>
      <c r="BC80">
        <v>0</v>
      </c>
      <c r="BD80">
        <v>4.84167005953711E-2</v>
      </c>
      <c r="BE80">
        <v>1.05505529162168E-3</v>
      </c>
      <c r="BF80">
        <v>6.8020378187737198E-4</v>
      </c>
      <c r="BG80">
        <v>4.99998541862733E-3</v>
      </c>
      <c r="BH80">
        <v>1.9274683722984801E-2</v>
      </c>
      <c r="BI80">
        <v>1.1243082153027001E-2</v>
      </c>
      <c r="BJ80">
        <v>0.178051881977209</v>
      </c>
      <c r="BK80">
        <v>0.75974907422179905</v>
      </c>
      <c r="BL80">
        <v>1.00350936290647E-4</v>
      </c>
      <c r="BM80">
        <v>1.89294964130237E-4</v>
      </c>
      <c r="BN80" s="1">
        <v>3.6747572120683501E-7</v>
      </c>
      <c r="BO80" s="1">
        <v>2.9734383433654799E-6</v>
      </c>
      <c r="BP80">
        <v>0</v>
      </c>
      <c r="BQ80">
        <v>0</v>
      </c>
      <c r="BR80" s="1">
        <v>6.1818033434188601E-5</v>
      </c>
      <c r="BS80">
        <v>1.06375427936813E-4</v>
      </c>
    </row>
    <row r="81" spans="1:71" x14ac:dyDescent="0.25">
      <c r="A81">
        <v>78</v>
      </c>
      <c r="B81" s="1">
        <v>7.0918567474476604E-5</v>
      </c>
      <c r="C81">
        <v>9.1764458819576497E-2</v>
      </c>
      <c r="D81">
        <v>-1.9808505138964701E-4</v>
      </c>
      <c r="E81">
        <v>-1.9808505138964701E-4</v>
      </c>
      <c r="F81">
        <v>-9.17644588195765E-4</v>
      </c>
      <c r="G81">
        <v>-9.17644588195765E-4</v>
      </c>
      <c r="H81" t="s">
        <v>74</v>
      </c>
      <c r="I81">
        <v>0</v>
      </c>
      <c r="J81" t="s">
        <v>75</v>
      </c>
      <c r="K81">
        <v>3.14159265358979</v>
      </c>
      <c r="L81">
        <v>0.86520164202699901</v>
      </c>
      <c r="M81">
        <v>0</v>
      </c>
      <c r="N81">
        <v>5.0800372186916E-2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0.86824924981207596</v>
      </c>
      <c r="V81" t="s">
        <v>78</v>
      </c>
      <c r="W81">
        <v>3101650.1634418499</v>
      </c>
      <c r="X81" t="s">
        <v>76</v>
      </c>
      <c r="Y81">
        <v>-1.5707963267949001</v>
      </c>
      <c r="Z81">
        <v>0.860875603715761</v>
      </c>
      <c r="AA81">
        <v>0</v>
      </c>
      <c r="AB81">
        <v>4.8289982099234602E-2</v>
      </c>
      <c r="AC81">
        <v>1.0729547975225301E-3</v>
      </c>
      <c r="AD81">
        <v>3.6994703727261699E-4</v>
      </c>
      <c r="AE81">
        <v>5.0179734198449602E-3</v>
      </c>
      <c r="AF81">
        <v>1.9695809106679198E-2</v>
      </c>
      <c r="AG81">
        <v>6.0825587819656303E-3</v>
      </c>
      <c r="AH81">
        <v>0.18523761071116099</v>
      </c>
      <c r="AI81">
        <v>0.75726038641335702</v>
      </c>
      <c r="AJ81" t="s">
        <v>74</v>
      </c>
      <c r="AK81">
        <v>0</v>
      </c>
      <c r="AL81" t="s">
        <v>77</v>
      </c>
      <c r="AM81">
        <v>0</v>
      </c>
      <c r="AN81">
        <v>0.86520164202700101</v>
      </c>
      <c r="AO81">
        <v>0</v>
      </c>
      <c r="AP81">
        <v>5.0800372186916097E-2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0.86824924981207796</v>
      </c>
      <c r="AX81" t="s">
        <v>78</v>
      </c>
      <c r="AY81">
        <v>3101650.1634418499</v>
      </c>
      <c r="AZ81" t="s">
        <v>76</v>
      </c>
      <c r="BA81">
        <v>-1.5707963267949001</v>
      </c>
      <c r="BB81">
        <v>0.86087560371576199</v>
      </c>
      <c r="BC81">
        <v>0</v>
      </c>
      <c r="BD81">
        <v>4.8289982099234699E-2</v>
      </c>
      <c r="BE81">
        <v>1.07295479752255E-3</v>
      </c>
      <c r="BF81">
        <v>3.6994703727260799E-4</v>
      </c>
      <c r="BG81">
        <v>5.0179734198449299E-3</v>
      </c>
      <c r="BH81">
        <v>1.9695809106679198E-2</v>
      </c>
      <c r="BI81">
        <v>6.08255878196541E-3</v>
      </c>
      <c r="BJ81">
        <v>0.18523761071115899</v>
      </c>
      <c r="BK81">
        <v>0.75726038641336002</v>
      </c>
      <c r="BL81">
        <v>1.00163309083673E-4</v>
      </c>
      <c r="BM81">
        <v>1.91320169493126E-4</v>
      </c>
      <c r="BN81" s="1">
        <v>3.6667635973771702E-7</v>
      </c>
      <c r="BO81" s="1">
        <v>3.0052501948157899E-6</v>
      </c>
      <c r="BP81">
        <v>0</v>
      </c>
      <c r="BQ81">
        <v>0</v>
      </c>
      <c r="BR81" s="1">
        <v>6.1715425378972594E-5</v>
      </c>
      <c r="BS81">
        <v>1.07525051771109E-4</v>
      </c>
    </row>
    <row r="82" spans="1:71" x14ac:dyDescent="0.25">
      <c r="A82">
        <v>79</v>
      </c>
      <c r="B82">
        <v>1.0798432302145599E-4</v>
      </c>
      <c r="C82">
        <v>9.1872443142597904E-2</v>
      </c>
      <c r="D82">
        <v>-1.9872690477872401E-4</v>
      </c>
      <c r="E82">
        <v>-1.9872690477872401E-4</v>
      </c>
      <c r="F82">
        <v>-9.1872443142597903E-4</v>
      </c>
      <c r="G82">
        <v>-9.1872443142597903E-4</v>
      </c>
      <c r="H82" t="s">
        <v>74</v>
      </c>
      <c r="I82">
        <v>0</v>
      </c>
      <c r="J82" t="s">
        <v>75</v>
      </c>
      <c r="K82">
        <v>3.14159265358979</v>
      </c>
      <c r="L82">
        <v>0.86388120960425596</v>
      </c>
      <c r="M82">
        <v>0</v>
      </c>
      <c r="N82">
        <v>5.07228429090405E-2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0.86677047736538404</v>
      </c>
      <c r="V82" t="s">
        <v>78</v>
      </c>
      <c r="W82">
        <v>3108573.7674373202</v>
      </c>
      <c r="X82" t="s">
        <v>76</v>
      </c>
      <c r="Y82">
        <v>-1.5707963267949001</v>
      </c>
      <c r="Z82">
        <v>0.85940462073900104</v>
      </c>
      <c r="AA82" s="1">
        <v>3.36296446777504E-6</v>
      </c>
      <c r="AB82">
        <v>4.8137314387222498E-2</v>
      </c>
      <c r="AC82">
        <v>1.09642555659805E-3</v>
      </c>
      <c r="AD82">
        <v>1.35270734066889E-4</v>
      </c>
      <c r="AE82">
        <v>5.0335182893241799E-3</v>
      </c>
      <c r="AF82">
        <v>2.0084142979879201E-2</v>
      </c>
      <c r="AG82">
        <v>2.0140994005343198E-3</v>
      </c>
      <c r="AH82">
        <v>0.19129840941750201</v>
      </c>
      <c r="AI82">
        <v>0.75481346956710205</v>
      </c>
      <c r="AJ82" t="s">
        <v>74</v>
      </c>
      <c r="AK82">
        <v>0</v>
      </c>
      <c r="AL82" t="s">
        <v>77</v>
      </c>
      <c r="AM82">
        <v>0</v>
      </c>
      <c r="AN82">
        <v>0.86388120960425696</v>
      </c>
      <c r="AO82">
        <v>0</v>
      </c>
      <c r="AP82">
        <v>5.0722842909040597E-2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0.86677047736538504</v>
      </c>
      <c r="AX82" t="s">
        <v>78</v>
      </c>
      <c r="AY82">
        <v>3108573.7674373202</v>
      </c>
      <c r="AZ82" t="s">
        <v>76</v>
      </c>
      <c r="BA82">
        <v>-1.5707963267949001</v>
      </c>
      <c r="BB82">
        <v>0.85940462073900203</v>
      </c>
      <c r="BC82" s="1">
        <v>3.36296446777496E-6</v>
      </c>
      <c r="BD82">
        <v>4.8137314387222602E-2</v>
      </c>
      <c r="BE82">
        <v>1.09642555659807E-3</v>
      </c>
      <c r="BF82">
        <v>1.35270734066886E-4</v>
      </c>
      <c r="BG82">
        <v>5.0335182893241504E-3</v>
      </c>
      <c r="BH82">
        <v>2.0084142979879201E-2</v>
      </c>
      <c r="BI82">
        <v>2.01409940053423E-3</v>
      </c>
      <c r="BJ82">
        <v>0.19129840941750001</v>
      </c>
      <c r="BK82">
        <v>0.75481346956710504</v>
      </c>
      <c r="BL82" s="1">
        <v>9.9956582852861098E-5</v>
      </c>
      <c r="BM82">
        <v>1.93312508818035E-4</v>
      </c>
      <c r="BN82" s="1">
        <v>3.6572518684660301E-7</v>
      </c>
      <c r="BO82" s="1">
        <v>3.03654578774876E-6</v>
      </c>
      <c r="BP82">
        <v>0</v>
      </c>
      <c r="BQ82">
        <v>0</v>
      </c>
      <c r="BR82" s="1">
        <v>6.1608052816511104E-5</v>
      </c>
      <c r="BS82">
        <v>1.08662547266345E-4</v>
      </c>
    </row>
    <row r="83" spans="1:71" x14ac:dyDescent="0.25">
      <c r="A83">
        <v>80</v>
      </c>
      <c r="B83">
        <v>2.1007920097040699E-4</v>
      </c>
      <c r="C83">
        <v>9.2082522343568396E-2</v>
      </c>
      <c r="D83">
        <v>-1.9997493079111701E-4</v>
      </c>
      <c r="E83">
        <v>-1.9997493079111701E-4</v>
      </c>
      <c r="F83">
        <v>-9.2082522343568305E-4</v>
      </c>
      <c r="G83">
        <v>-9.2082522343568305E-4</v>
      </c>
      <c r="H83" t="s">
        <v>74</v>
      </c>
      <c r="I83">
        <v>0</v>
      </c>
      <c r="J83" t="s">
        <v>75</v>
      </c>
      <c r="K83">
        <v>3.14159265358979</v>
      </c>
      <c r="L83">
        <v>0.86331104980929796</v>
      </c>
      <c r="M83">
        <v>0</v>
      </c>
      <c r="N83">
        <v>5.06893659386062E-2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0.87027298969575795</v>
      </c>
      <c r="V83" t="s">
        <v>79</v>
      </c>
      <c r="W83">
        <v>3122036.0908166301</v>
      </c>
      <c r="X83" t="s">
        <v>76</v>
      </c>
      <c r="Y83">
        <v>-1.5707963267949001</v>
      </c>
      <c r="Z83">
        <v>0.85852691064797304</v>
      </c>
      <c r="AA83" s="1">
        <v>3.7100795115949102E-5</v>
      </c>
      <c r="AB83">
        <v>4.7950861163675203E-2</v>
      </c>
      <c r="AC83">
        <v>1.1319627509402601E-3</v>
      </c>
      <c r="AD83">
        <v>1.1746080670667601E-4</v>
      </c>
      <c r="AE83">
        <v>5.0560184038920897E-3</v>
      </c>
      <c r="AF83">
        <v>2.0600262743516399E-2</v>
      </c>
      <c r="AG83">
        <v>5.1461327269966604E-4</v>
      </c>
      <c r="AH83">
        <v>0.19365818325216</v>
      </c>
      <c r="AI83">
        <v>0.75375059765444496</v>
      </c>
      <c r="AJ83" t="s">
        <v>74</v>
      </c>
      <c r="AK83">
        <v>0</v>
      </c>
      <c r="AL83" t="s">
        <v>77</v>
      </c>
      <c r="AM83">
        <v>0</v>
      </c>
      <c r="AN83">
        <v>0.86331104980929896</v>
      </c>
      <c r="AO83">
        <v>0</v>
      </c>
      <c r="AP83">
        <v>5.06893659386062E-2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0.87027298969575895</v>
      </c>
      <c r="AX83" t="s">
        <v>79</v>
      </c>
      <c r="AY83">
        <v>3122036.0908166301</v>
      </c>
      <c r="AZ83" t="s">
        <v>76</v>
      </c>
      <c r="BA83">
        <v>-1.5707963267949001</v>
      </c>
      <c r="BB83">
        <v>0.85852691064797404</v>
      </c>
      <c r="BC83" s="1">
        <v>3.7100795115947503E-5</v>
      </c>
      <c r="BD83">
        <v>4.7950861163675203E-2</v>
      </c>
      <c r="BE83">
        <v>1.13196275094028E-3</v>
      </c>
      <c r="BF83">
        <v>1.1746080670667601E-4</v>
      </c>
      <c r="BG83">
        <v>5.0560184038920602E-3</v>
      </c>
      <c r="BH83">
        <v>2.0600262743516399E-2</v>
      </c>
      <c r="BI83">
        <v>5.1461327269965997E-4</v>
      </c>
      <c r="BJ83">
        <v>0.193658183252158</v>
      </c>
      <c r="BK83">
        <v>0.75375059765444796</v>
      </c>
      <c r="BL83" s="1">
        <v>9.9772189853221597E-5</v>
      </c>
      <c r="BM83">
        <v>1.94172796524858E-4</v>
      </c>
      <c r="BN83" s="1">
        <v>3.6460725371918902E-7</v>
      </c>
      <c r="BO83" s="1">
        <v>3.0500591554473998E-6</v>
      </c>
      <c r="BP83">
        <v>0</v>
      </c>
      <c r="BQ83">
        <v>0</v>
      </c>
      <c r="BR83" s="1">
        <v>6.1534067581865706E-5</v>
      </c>
      <c r="BS83">
        <v>1.09180854107631E-4</v>
      </c>
    </row>
    <row r="84" spans="1:71" x14ac:dyDescent="0.25">
      <c r="A84">
        <v>81</v>
      </c>
      <c r="B84">
        <v>1.65578495168688E-4</v>
      </c>
      <c r="C84">
        <v>9.2248100838737093E-2</v>
      </c>
      <c r="D84">
        <v>-2.0095755642799299E-4</v>
      </c>
      <c r="E84">
        <v>-2.0095755642799299E-4</v>
      </c>
      <c r="F84">
        <v>-9.2248100838736996E-4</v>
      </c>
      <c r="G84">
        <v>-9.2248100838736996E-4</v>
      </c>
      <c r="H84" t="s">
        <v>74</v>
      </c>
      <c r="I84">
        <v>0</v>
      </c>
      <c r="J84" t="s">
        <v>75</v>
      </c>
      <c r="K84">
        <v>3.14159265358979</v>
      </c>
      <c r="L84">
        <v>0.86215875250497997</v>
      </c>
      <c r="M84">
        <v>0</v>
      </c>
      <c r="N84">
        <v>5.0621708725436601E-2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0.864827506899428</v>
      </c>
      <c r="V84" t="s">
        <v>79</v>
      </c>
      <c r="W84">
        <v>3132635.5686745099</v>
      </c>
      <c r="X84" t="s">
        <v>76</v>
      </c>
      <c r="Y84">
        <v>-1.5707963267949001</v>
      </c>
      <c r="Z84">
        <v>0.85713189447661797</v>
      </c>
      <c r="AA84" s="1">
        <v>5.4644770928693802E-5</v>
      </c>
      <c r="AB84">
        <v>4.77641114783042E-2</v>
      </c>
      <c r="AC84">
        <v>1.17913386208146E-3</v>
      </c>
      <c r="AD84" s="1">
        <v>8.47334790110101E-5</v>
      </c>
      <c r="AE84">
        <v>5.0739997150392397E-3</v>
      </c>
      <c r="AF84">
        <v>2.1014360865492E-2</v>
      </c>
      <c r="AG84">
        <v>3.6943091977284802E-4</v>
      </c>
      <c r="AH84">
        <v>0.19554201363722801</v>
      </c>
      <c r="AI84">
        <v>0.75161438109744805</v>
      </c>
      <c r="AJ84" t="s">
        <v>74</v>
      </c>
      <c r="AK84">
        <v>0</v>
      </c>
      <c r="AL84" t="s">
        <v>77</v>
      </c>
      <c r="AM84">
        <v>0</v>
      </c>
      <c r="AN84">
        <v>0.86215875250498097</v>
      </c>
      <c r="AO84">
        <v>0</v>
      </c>
      <c r="AP84">
        <v>5.0621708725436601E-2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0.864827506899429</v>
      </c>
      <c r="AX84" t="s">
        <v>79</v>
      </c>
      <c r="AY84">
        <v>3132635.5686745099</v>
      </c>
      <c r="AZ84" t="s">
        <v>76</v>
      </c>
      <c r="BA84">
        <v>-1.5707963267949001</v>
      </c>
      <c r="BB84">
        <v>0.85713189447661897</v>
      </c>
      <c r="BC84" s="1">
        <v>5.4644770928693198E-5</v>
      </c>
      <c r="BD84">
        <v>4.7764111478304297E-2</v>
      </c>
      <c r="BE84">
        <v>1.17913386208147E-3</v>
      </c>
      <c r="BF84" s="1">
        <v>8.4733479011009897E-5</v>
      </c>
      <c r="BG84">
        <v>5.0739997150392102E-3</v>
      </c>
      <c r="BH84">
        <v>2.1014360865492E-2</v>
      </c>
      <c r="BI84">
        <v>3.6943091977284401E-4</v>
      </c>
      <c r="BJ84">
        <v>0.19554201363722601</v>
      </c>
      <c r="BK84">
        <v>0.75161438109745105</v>
      </c>
      <c r="BL84" s="1">
        <v>9.9564954065822301E-5</v>
      </c>
      <c r="BM84">
        <v>1.9591144455699999E-4</v>
      </c>
      <c r="BN84" s="1">
        <v>3.6355392531583698E-7</v>
      </c>
      <c r="BO84" s="1">
        <v>3.0773697748721701E-6</v>
      </c>
      <c r="BP84">
        <v>0</v>
      </c>
      <c r="BQ84">
        <v>0</v>
      </c>
      <c r="BR84" s="1">
        <v>6.1436475596752599E-5</v>
      </c>
      <c r="BS84">
        <v>1.10186091956129E-4</v>
      </c>
    </row>
    <row r="85" spans="1:71" x14ac:dyDescent="0.25">
      <c r="A85">
        <v>82</v>
      </c>
      <c r="B85">
        <v>1.6397986228787901E-4</v>
      </c>
      <c r="C85">
        <v>9.2412080701024898E-2</v>
      </c>
      <c r="D85">
        <v>-2.01929889323402E-4</v>
      </c>
      <c r="E85">
        <v>-2.01929889323402E-4</v>
      </c>
      <c r="F85">
        <v>-9.2412080701024905E-4</v>
      </c>
      <c r="G85">
        <v>-9.2412080701024905E-4</v>
      </c>
      <c r="H85" t="s">
        <v>74</v>
      </c>
      <c r="I85">
        <v>0</v>
      </c>
      <c r="J85" t="s">
        <v>75</v>
      </c>
      <c r="K85">
        <v>3.14159265358979</v>
      </c>
      <c r="L85">
        <v>0.86099361042278499</v>
      </c>
      <c r="M85">
        <v>0</v>
      </c>
      <c r="N85">
        <v>5.0553297330276102E-2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0.867872286860223</v>
      </c>
      <c r="V85" t="s">
        <v>79</v>
      </c>
      <c r="W85">
        <v>3143124.0198288499</v>
      </c>
      <c r="X85" t="s">
        <v>76</v>
      </c>
      <c r="Y85">
        <v>-1.5707963267949001</v>
      </c>
      <c r="Z85">
        <v>0.85572305009470495</v>
      </c>
      <c r="AA85" s="1">
        <v>7.2187534448278905E-5</v>
      </c>
      <c r="AB85">
        <v>4.7577472994957501E-2</v>
      </c>
      <c r="AC85">
        <v>1.21159273718397E-3</v>
      </c>
      <c r="AD85" s="1">
        <v>6.0977638610064998E-5</v>
      </c>
      <c r="AE85">
        <v>5.0918601988938703E-3</v>
      </c>
      <c r="AF85">
        <v>2.1430347906822699E-2</v>
      </c>
      <c r="AG85">
        <v>2.6216831098060099E-4</v>
      </c>
      <c r="AH85">
        <v>0.19740730516857599</v>
      </c>
      <c r="AI85">
        <v>0.74945605465735299</v>
      </c>
      <c r="AJ85" t="s">
        <v>74</v>
      </c>
      <c r="AK85">
        <v>0</v>
      </c>
      <c r="AL85" t="s">
        <v>77</v>
      </c>
      <c r="AM85">
        <v>0</v>
      </c>
      <c r="AN85">
        <v>0.86098748094194599</v>
      </c>
      <c r="AO85">
        <v>0</v>
      </c>
      <c r="AP85">
        <v>5.0552937437399303E-2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0.86786365241782204</v>
      </c>
      <c r="AX85" t="s">
        <v>79</v>
      </c>
      <c r="AY85">
        <v>3143124.0198288499</v>
      </c>
      <c r="AZ85" t="s">
        <v>76</v>
      </c>
      <c r="BA85">
        <v>-1.5707963267949001</v>
      </c>
      <c r="BB85">
        <v>0.85571695813539705</v>
      </c>
      <c r="BC85" s="1">
        <v>7.2101426141145096E-5</v>
      </c>
      <c r="BD85">
        <v>4.7577134287206897E-2</v>
      </c>
      <c r="BE85">
        <v>1.2116233823587801E-3</v>
      </c>
      <c r="BF85" s="1">
        <v>6.0977638610064802E-5</v>
      </c>
      <c r="BG85">
        <v>5.0918601988938304E-3</v>
      </c>
      <c r="BH85">
        <v>2.1430347906822699E-2</v>
      </c>
      <c r="BI85">
        <v>2.6330800860835803E-4</v>
      </c>
      <c r="BJ85">
        <v>0.19741541396069101</v>
      </c>
      <c r="BK85">
        <v>0.74944481751027003</v>
      </c>
      <c r="BL85" s="1">
        <v>9.9342029084691305E-5</v>
      </c>
      <c r="BM85">
        <v>1.97674097724428E-4</v>
      </c>
      <c r="BN85" s="1">
        <v>3.6242953939683199E-7</v>
      </c>
      <c r="BO85" s="1">
        <v>3.10505746608026E-6</v>
      </c>
      <c r="BP85">
        <v>0</v>
      </c>
      <c r="BQ85">
        <v>0</v>
      </c>
      <c r="BR85" s="1">
        <v>6.1329643300256606E-5</v>
      </c>
      <c r="BS85">
        <v>1.1120505685099301E-4</v>
      </c>
    </row>
    <row r="86" spans="1:71" x14ac:dyDescent="0.25">
      <c r="A86">
        <v>83</v>
      </c>
      <c r="B86">
        <v>1.6336348706297399E-4</v>
      </c>
      <c r="C86">
        <v>9.2575444188087899E-2</v>
      </c>
      <c r="D86">
        <v>-2.0289777314969401E-4</v>
      </c>
      <c r="E86">
        <v>-2.0289777314969401E-4</v>
      </c>
      <c r="F86">
        <v>-9.2575444188087899E-4</v>
      </c>
      <c r="G86">
        <v>-9.2575444188087899E-4</v>
      </c>
      <c r="H86" t="s">
        <v>74</v>
      </c>
      <c r="I86">
        <v>0</v>
      </c>
      <c r="J86" t="s">
        <v>75</v>
      </c>
      <c r="K86">
        <v>3.14159265358979</v>
      </c>
      <c r="L86">
        <v>0.859801077505154</v>
      </c>
      <c r="M86">
        <v>0</v>
      </c>
      <c r="N86">
        <v>5.0483277680384103E-2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0.86592456846063703</v>
      </c>
      <c r="V86" t="s">
        <v>79</v>
      </c>
      <c r="W86">
        <v>3153564.4793495201</v>
      </c>
      <c r="X86" t="s">
        <v>76</v>
      </c>
      <c r="Y86">
        <v>-1.5707963267949001</v>
      </c>
      <c r="Z86">
        <v>0.85428447385305895</v>
      </c>
      <c r="AA86" s="1">
        <v>8.97169250721839E-5</v>
      </c>
      <c r="AB86">
        <v>4.7389657332345403E-2</v>
      </c>
      <c r="AC86">
        <v>1.2607163684930001E-3</v>
      </c>
      <c r="AD86" s="1">
        <v>4.3983440932987099E-5</v>
      </c>
      <c r="AE86">
        <v>5.1097320053896996E-3</v>
      </c>
      <c r="AF86">
        <v>2.1850602523280999E-2</v>
      </c>
      <c r="AG86">
        <v>1.8807540291099399E-4</v>
      </c>
      <c r="AH86">
        <v>0.19928075576214299</v>
      </c>
      <c r="AI86">
        <v>0.74724903158336098</v>
      </c>
      <c r="AJ86" t="s">
        <v>74</v>
      </c>
      <c r="AK86">
        <v>0</v>
      </c>
      <c r="AL86" t="s">
        <v>77</v>
      </c>
      <c r="AM86">
        <v>0</v>
      </c>
      <c r="AN86">
        <v>0.85979564927165097</v>
      </c>
      <c r="AO86">
        <v>0</v>
      </c>
      <c r="AP86">
        <v>5.0482958961291402E-2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0.86593809598093097</v>
      </c>
      <c r="AX86" t="s">
        <v>79</v>
      </c>
      <c r="AY86">
        <v>3153564.4793495201</v>
      </c>
      <c r="AZ86" t="s">
        <v>76</v>
      </c>
      <c r="BA86">
        <v>-1.5707963267949001</v>
      </c>
      <c r="BB86">
        <v>0.85427908044786005</v>
      </c>
      <c r="BC86" s="1">
        <v>8.9642351894485102E-5</v>
      </c>
      <c r="BD86">
        <v>4.7389358144390901E-2</v>
      </c>
      <c r="BE86">
        <v>1.26073528283613E-3</v>
      </c>
      <c r="BF86" s="1">
        <v>4.3984721951942501E-5</v>
      </c>
      <c r="BG86">
        <v>5.1097327886839797E-3</v>
      </c>
      <c r="BH86">
        <v>2.1850595170834299E-2</v>
      </c>
      <c r="BI86">
        <v>1.8809039004687601E-4</v>
      </c>
      <c r="BJ86">
        <v>0.199288931185123</v>
      </c>
      <c r="BK86">
        <v>0.747239086647699</v>
      </c>
      <c r="BL86" s="1">
        <v>9.91333518848705E-5</v>
      </c>
      <c r="BM86">
        <v>1.9947292637011201E-4</v>
      </c>
      <c r="BN86" s="1">
        <v>3.6139418339733698E-7</v>
      </c>
      <c r="BO86" s="1">
        <v>3.1333134003720101E-6</v>
      </c>
      <c r="BP86">
        <v>0</v>
      </c>
      <c r="BQ86">
        <v>0</v>
      </c>
      <c r="BR86" s="1">
        <v>6.12305138674061E-5</v>
      </c>
      <c r="BS86">
        <v>1.12244766878594E-4</v>
      </c>
    </row>
    <row r="87" spans="1:71" x14ac:dyDescent="0.25">
      <c r="A87">
        <v>84</v>
      </c>
      <c r="B87">
        <v>1.6278772068517499E-4</v>
      </c>
      <c r="C87">
        <v>9.2738231908773103E-2</v>
      </c>
      <c r="D87">
        <v>-2.0386145792020401E-4</v>
      </c>
      <c r="E87">
        <v>-2.0386145792020401E-4</v>
      </c>
      <c r="F87">
        <v>-9.2738231908773099E-4</v>
      </c>
      <c r="G87">
        <v>-9.2738231908773099E-4</v>
      </c>
      <c r="H87" t="s">
        <v>74</v>
      </c>
      <c r="I87">
        <v>0</v>
      </c>
      <c r="J87" t="s">
        <v>75</v>
      </c>
      <c r="K87">
        <v>3.14159265358979</v>
      </c>
      <c r="L87">
        <v>0.85859496658315704</v>
      </c>
      <c r="M87">
        <v>0</v>
      </c>
      <c r="N87">
        <v>5.0412460797058897E-2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0.86543996349435004</v>
      </c>
      <c r="V87" t="s">
        <v>79</v>
      </c>
      <c r="W87">
        <v>3163959.6441036998</v>
      </c>
      <c r="X87" t="s">
        <v>76</v>
      </c>
      <c r="Y87">
        <v>-1.5707963267949001</v>
      </c>
      <c r="Z87">
        <v>0.85282985281068002</v>
      </c>
      <c r="AA87">
        <v>1.07437731335992E-4</v>
      </c>
      <c r="AB87">
        <v>4.7201683786976402E-2</v>
      </c>
      <c r="AC87">
        <v>1.3059555609359801E-3</v>
      </c>
      <c r="AD87" s="1">
        <v>3.1795416550397199E-5</v>
      </c>
      <c r="AE87">
        <v>5.1276386449616799E-3</v>
      </c>
      <c r="AF87">
        <v>2.2275162343053101E-2</v>
      </c>
      <c r="AG87">
        <v>1.3461478965807501E-4</v>
      </c>
      <c r="AH87">
        <v>0.201154061282797</v>
      </c>
      <c r="AI87">
        <v>0.74501871181642698</v>
      </c>
      <c r="AJ87" t="s">
        <v>74</v>
      </c>
      <c r="AK87">
        <v>0</v>
      </c>
      <c r="AL87" t="s">
        <v>77</v>
      </c>
      <c r="AM87">
        <v>0</v>
      </c>
      <c r="AN87">
        <v>0.85858950341846996</v>
      </c>
      <c r="AO87">
        <v>0</v>
      </c>
      <c r="AP87">
        <v>5.0412140026979503E-2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0.86543205300278603</v>
      </c>
      <c r="AX87" t="s">
        <v>79</v>
      </c>
      <c r="AY87">
        <v>3163959.6441036998</v>
      </c>
      <c r="AZ87" t="s">
        <v>76</v>
      </c>
      <c r="BA87">
        <v>-1.5707963267949001</v>
      </c>
      <c r="BB87">
        <v>0.85282442632890798</v>
      </c>
      <c r="BC87">
        <v>1.07363971118507E-4</v>
      </c>
      <c r="BD87">
        <v>4.7201383446790299E-2</v>
      </c>
      <c r="BE87">
        <v>1.30597602089896E-3</v>
      </c>
      <c r="BF87" s="1">
        <v>3.1796224469641298E-5</v>
      </c>
      <c r="BG87">
        <v>5.1276401220584503E-3</v>
      </c>
      <c r="BH87">
        <v>2.2275148408137199E-2</v>
      </c>
      <c r="BI87">
        <v>1.3462419082819099E-4</v>
      </c>
      <c r="BJ87">
        <v>0.20116229499778901</v>
      </c>
      <c r="BK87">
        <v>0.74500871009917202</v>
      </c>
      <c r="BL87" s="1">
        <v>9.891979981982E-5</v>
      </c>
      <c r="BM87">
        <v>2.01292797630536E-4</v>
      </c>
      <c r="BN87" s="1">
        <v>3.6034625218940798E-7</v>
      </c>
      <c r="BO87" s="1">
        <v>3.1618998712831498E-6</v>
      </c>
      <c r="BP87">
        <v>0</v>
      </c>
      <c r="BQ87">
        <v>0</v>
      </c>
      <c r="BR87" s="1">
        <v>6.1128399417375803E-5</v>
      </c>
      <c r="BS87">
        <v>1.1329672382800699E-4</v>
      </c>
    </row>
    <row r="88" spans="1:71" x14ac:dyDescent="0.25">
      <c r="A88">
        <v>85</v>
      </c>
      <c r="B88">
        <v>1.6226071777967099E-4</v>
      </c>
      <c r="C88">
        <v>9.29004926265527E-2</v>
      </c>
      <c r="D88">
        <v>-2.0482124105260899E-4</v>
      </c>
      <c r="E88">
        <v>-2.0482124105260899E-4</v>
      </c>
      <c r="F88">
        <v>-9.2900492626552705E-4</v>
      </c>
      <c r="G88">
        <v>-9.2900492626552705E-4</v>
      </c>
      <c r="H88" t="s">
        <v>74</v>
      </c>
      <c r="I88">
        <v>0</v>
      </c>
      <c r="J88" t="s">
        <v>75</v>
      </c>
      <c r="K88">
        <v>3.14159265358979</v>
      </c>
      <c r="L88">
        <v>0.85737878704652604</v>
      </c>
      <c r="M88">
        <v>0</v>
      </c>
      <c r="N88">
        <v>5.03410527343532E-2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0.86399936382959297</v>
      </c>
      <c r="V88" t="s">
        <v>79</v>
      </c>
      <c r="W88">
        <v>3174312.7223041002</v>
      </c>
      <c r="X88" t="s">
        <v>76</v>
      </c>
      <c r="Y88">
        <v>-1.5707963267949001</v>
      </c>
      <c r="Z88">
        <v>0.85136261126522506</v>
      </c>
      <c r="AA88">
        <v>1.2541211781078401E-4</v>
      </c>
      <c r="AB88">
        <v>4.7014005241209203E-2</v>
      </c>
      <c r="AC88">
        <v>1.3484818360784601E-3</v>
      </c>
      <c r="AD88" s="1">
        <v>2.30349542556129E-5</v>
      </c>
      <c r="AE88">
        <v>5.1455992825433002E-3</v>
      </c>
      <c r="AF88">
        <v>2.2704109866926701E-2</v>
      </c>
      <c r="AG88" s="1">
        <v>9.6545383369095805E-5</v>
      </c>
      <c r="AH88">
        <v>0.20302716766276599</v>
      </c>
      <c r="AI88">
        <v>0.74277157343267097</v>
      </c>
      <c r="AJ88" t="s">
        <v>74</v>
      </c>
      <c r="AK88">
        <v>0</v>
      </c>
      <c r="AL88" t="s">
        <v>77</v>
      </c>
      <c r="AM88">
        <v>0</v>
      </c>
      <c r="AN88">
        <v>0.85737317964464699</v>
      </c>
      <c r="AO88">
        <v>0</v>
      </c>
      <c r="AP88">
        <v>5.0340723495377403E-2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0.86399613478858195</v>
      </c>
      <c r="AX88" t="s">
        <v>79</v>
      </c>
      <c r="AY88">
        <v>3174312.7223041002</v>
      </c>
      <c r="AZ88" t="s">
        <v>76</v>
      </c>
      <c r="BA88">
        <v>-1.5707963267949001</v>
      </c>
      <c r="BB88">
        <v>0.85135704321015104</v>
      </c>
      <c r="BC88">
        <v>1.25337551002528E-4</v>
      </c>
      <c r="BD88">
        <v>4.7013697761685201E-2</v>
      </c>
      <c r="BE88">
        <v>1.34850503184088E-3</v>
      </c>
      <c r="BF88" s="1">
        <v>2.3035534787287098E-5</v>
      </c>
      <c r="BG88">
        <v>5.1456014527532E-3</v>
      </c>
      <c r="BH88">
        <v>2.2704089239251001E-2</v>
      </c>
      <c r="BI88" s="1">
        <v>9.65600586870132E-5</v>
      </c>
      <c r="BJ88">
        <v>0.20303561373642801</v>
      </c>
      <c r="BK88">
        <v>0.74276131526762001</v>
      </c>
      <c r="BL88" s="1">
        <v>9.8703233050272094E-5</v>
      </c>
      <c r="BM88">
        <v>2.0312794342062501E-4</v>
      </c>
      <c r="BN88" s="1">
        <v>3.5929645180250298E-7</v>
      </c>
      <c r="BO88" s="1">
        <v>3.1907262739451898E-6</v>
      </c>
      <c r="BP88">
        <v>0</v>
      </c>
      <c r="BQ88">
        <v>0</v>
      </c>
      <c r="BR88" s="1">
        <v>6.1024376772739097E-5</v>
      </c>
      <c r="BS88">
        <v>1.14357694899606E-4</v>
      </c>
    </row>
    <row r="89" spans="1:71" x14ac:dyDescent="0.25">
      <c r="A89">
        <v>86</v>
      </c>
      <c r="B89">
        <v>1.61763433048324E-4</v>
      </c>
      <c r="C89">
        <v>9.3062256059601098E-2</v>
      </c>
      <c r="D89">
        <v>-2.0577730642308399E-4</v>
      </c>
      <c r="E89">
        <v>-2.0577730642308399E-4</v>
      </c>
      <c r="F89">
        <v>-9.30622560596011E-4</v>
      </c>
      <c r="G89">
        <v>-9.30622560596011E-4</v>
      </c>
      <c r="H89" t="s">
        <v>74</v>
      </c>
      <c r="I89">
        <v>0</v>
      </c>
      <c r="J89" t="s">
        <v>75</v>
      </c>
      <c r="K89">
        <v>3.14159265358979</v>
      </c>
      <c r="L89">
        <v>0.85615530050427402</v>
      </c>
      <c r="M89">
        <v>0</v>
      </c>
      <c r="N89">
        <v>5.0269215640324397E-2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0.86294554616709795</v>
      </c>
      <c r="V89" t="s">
        <v>79</v>
      </c>
      <c r="W89">
        <v>3184625.6974034002</v>
      </c>
      <c r="X89" t="s">
        <v>76</v>
      </c>
      <c r="Y89">
        <v>-1.5707963267949001</v>
      </c>
      <c r="Z89">
        <v>0.84988545487242595</v>
      </c>
      <c r="AA89">
        <v>1.4368949445369E-4</v>
      </c>
      <c r="AB89">
        <v>4.6827018042380299E-2</v>
      </c>
      <c r="AC89">
        <v>1.38915974005387E-3</v>
      </c>
      <c r="AD89" s="1">
        <v>1.6724195073647598E-5</v>
      </c>
      <c r="AE89">
        <v>5.16362718670347E-3</v>
      </c>
      <c r="AF89">
        <v>2.3137488808188899E-2</v>
      </c>
      <c r="AG89" s="1">
        <v>6.94005416527305E-5</v>
      </c>
      <c r="AH89">
        <v>0.20490037468050901</v>
      </c>
      <c r="AI89">
        <v>0.74051270878668596</v>
      </c>
      <c r="AJ89" t="s">
        <v>74</v>
      </c>
      <c r="AK89">
        <v>0</v>
      </c>
      <c r="AL89" t="s">
        <v>77</v>
      </c>
      <c r="AM89">
        <v>0</v>
      </c>
      <c r="AN89">
        <v>0.85614966061348097</v>
      </c>
      <c r="AO89">
        <v>0</v>
      </c>
      <c r="AP89">
        <v>5.0268884493759901E-2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0.86293925828695806</v>
      </c>
      <c r="AX89" t="s">
        <v>79</v>
      </c>
      <c r="AY89">
        <v>3184625.6974034002</v>
      </c>
      <c r="AZ89" t="s">
        <v>76</v>
      </c>
      <c r="BA89">
        <v>-1.5707963267949001</v>
      </c>
      <c r="BB89">
        <v>0.84987985628400498</v>
      </c>
      <c r="BC89">
        <v>1.43615831904236E-4</v>
      </c>
      <c r="BD89">
        <v>4.6826709571162702E-2</v>
      </c>
      <c r="BE89">
        <v>1.3891843450071399E-3</v>
      </c>
      <c r="BF89" s="1">
        <v>1.6724621310317601E-5</v>
      </c>
      <c r="BG89">
        <v>5.1636300643223103E-3</v>
      </c>
      <c r="BH89">
        <v>2.31374612388782E-2</v>
      </c>
      <c r="BI89" s="1">
        <v>6.94054471462424E-5</v>
      </c>
      <c r="BJ89">
        <v>0.20490887954501399</v>
      </c>
      <c r="BK89">
        <v>0.74050239879696</v>
      </c>
      <c r="BL89" s="1">
        <v>9.8485085916344206E-5</v>
      </c>
      <c r="BM89">
        <v>2.0497403010716101E-4</v>
      </c>
      <c r="BN89" s="1">
        <v>3.5825331136069698E-7</v>
      </c>
      <c r="BO89" s="1">
        <v>3.2197245358067502E-6</v>
      </c>
      <c r="BP89">
        <v>0</v>
      </c>
      <c r="BQ89">
        <v>0</v>
      </c>
      <c r="BR89" s="1">
        <v>6.09192751309853E-5</v>
      </c>
      <c r="BS89">
        <v>1.15425248809023E-4</v>
      </c>
    </row>
    <row r="90" spans="1:71" x14ac:dyDescent="0.25">
      <c r="A90">
        <v>87</v>
      </c>
      <c r="B90">
        <v>1.6128885293409799E-4</v>
      </c>
      <c r="C90">
        <v>9.3223544912535206E-2</v>
      </c>
      <c r="D90">
        <v>-2.0672979588408499E-4</v>
      </c>
      <c r="E90">
        <v>-2.0672979588408499E-4</v>
      </c>
      <c r="F90">
        <v>-9.3223544912535204E-4</v>
      </c>
      <c r="G90">
        <v>-9.3223544912535204E-4</v>
      </c>
      <c r="H90" t="s">
        <v>74</v>
      </c>
      <c r="I90">
        <v>0</v>
      </c>
      <c r="J90" t="s">
        <v>75</v>
      </c>
      <c r="K90">
        <v>3.14159265358979</v>
      </c>
      <c r="L90">
        <v>0.85492673123674701</v>
      </c>
      <c r="M90">
        <v>0</v>
      </c>
      <c r="N90">
        <v>5.0197080113741799E-2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0.86168518343348399</v>
      </c>
      <c r="V90" t="s">
        <v>79</v>
      </c>
      <c r="W90">
        <v>3194900.0995489</v>
      </c>
      <c r="X90" t="s">
        <v>76</v>
      </c>
      <c r="Y90">
        <v>-1.5707963267949001</v>
      </c>
      <c r="Z90">
        <v>0.84840056260469299</v>
      </c>
      <c r="AA90">
        <v>1.6231151535672699E-4</v>
      </c>
      <c r="AB90">
        <v>4.66410222534814E-2</v>
      </c>
      <c r="AC90">
        <v>1.4331804351580401E-3</v>
      </c>
      <c r="AD90" s="1">
        <v>1.21681850940655E-5</v>
      </c>
      <c r="AE90">
        <v>5.18173214532292E-3</v>
      </c>
      <c r="AF90">
        <v>2.3575332030880001E-2</v>
      </c>
      <c r="AG90" s="1">
        <v>4.9989757804634201E-5</v>
      </c>
      <c r="AH90">
        <v>0.20677351672913699</v>
      </c>
      <c r="AI90">
        <v>0.73824621435148197</v>
      </c>
      <c r="AJ90" t="s">
        <v>74</v>
      </c>
      <c r="AK90">
        <v>0</v>
      </c>
      <c r="AL90" t="s">
        <v>77</v>
      </c>
      <c r="AM90">
        <v>0</v>
      </c>
      <c r="AN90">
        <v>0.85492105354909098</v>
      </c>
      <c r="AO90">
        <v>0</v>
      </c>
      <c r="AP90">
        <v>5.0196746747932001E-2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0.86167982224392103</v>
      </c>
      <c r="AX90" t="s">
        <v>79</v>
      </c>
      <c r="AY90">
        <v>3194900.0995489</v>
      </c>
      <c r="AZ90" t="s">
        <v>76</v>
      </c>
      <c r="BA90">
        <v>-1.5707963267949001</v>
      </c>
      <c r="BB90">
        <v>0.84839492825823304</v>
      </c>
      <c r="BC90">
        <v>1.6223868876728901E-4</v>
      </c>
      <c r="BD90">
        <v>4.6640712503947801E-2</v>
      </c>
      <c r="BE90">
        <v>1.4332066010080799E-3</v>
      </c>
      <c r="BF90" s="1">
        <v>1.2168492366953199E-5</v>
      </c>
      <c r="BG90">
        <v>5.1817357310974298E-3</v>
      </c>
      <c r="BH90">
        <v>2.3575297405351001E-2</v>
      </c>
      <c r="BI90" s="1">
        <v>4.99932752760276E-5</v>
      </c>
      <c r="BJ90">
        <v>0.20678208001159901</v>
      </c>
      <c r="BK90">
        <v>0.73823584299514</v>
      </c>
      <c r="BL90" s="1">
        <v>9.8270974327634597E-5</v>
      </c>
      <c r="BM90">
        <v>2.06827789886908E-4</v>
      </c>
      <c r="BN90" s="1">
        <v>3.5724720812403901E-7</v>
      </c>
      <c r="BO90" s="1">
        <v>3.2488433263346199E-6</v>
      </c>
      <c r="BP90">
        <v>0</v>
      </c>
      <c r="BQ90">
        <v>0</v>
      </c>
      <c r="BR90" s="1">
        <v>6.0816274317787298E-5</v>
      </c>
      <c r="BS90">
        <v>1.16497551141774E-4</v>
      </c>
    </row>
    <row r="91" spans="1:71" x14ac:dyDescent="0.25">
      <c r="A91">
        <v>88</v>
      </c>
      <c r="B91">
        <v>1.60831774268354E-4</v>
      </c>
      <c r="C91">
        <v>9.3384376686803494E-2</v>
      </c>
      <c r="D91">
        <v>-2.07678820119446E-4</v>
      </c>
      <c r="E91">
        <v>-2.07678820119446E-4</v>
      </c>
      <c r="F91">
        <v>-9.3384376686803496E-4</v>
      </c>
      <c r="G91">
        <v>-9.3384376686803496E-4</v>
      </c>
      <c r="H91" t="s">
        <v>74</v>
      </c>
      <c r="I91">
        <v>0</v>
      </c>
      <c r="J91" t="s">
        <v>75</v>
      </c>
      <c r="K91">
        <v>3.14159265358979</v>
      </c>
      <c r="L91">
        <v>0.85369456601640703</v>
      </c>
      <c r="M91">
        <v>0</v>
      </c>
      <c r="N91">
        <v>5.0124733450549602E-2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0.86048470304596403</v>
      </c>
      <c r="V91" t="s">
        <v>79</v>
      </c>
      <c r="W91">
        <v>3205137.1226753201</v>
      </c>
      <c r="X91" t="s">
        <v>76</v>
      </c>
      <c r="Y91">
        <v>-1.5707963267949001</v>
      </c>
      <c r="Z91">
        <v>0.84690938653532499</v>
      </c>
      <c r="AA91">
        <v>1.81308700183314E-4</v>
      </c>
      <c r="AB91">
        <v>4.64561759133253E-2</v>
      </c>
      <c r="AC91">
        <v>1.4768858038195301E-3</v>
      </c>
      <c r="AD91" s="1">
        <v>8.8719083970941608E-6</v>
      </c>
      <c r="AE91">
        <v>5.1999214424463102E-3</v>
      </c>
      <c r="AF91">
        <v>2.4017664244597E-2</v>
      </c>
      <c r="AG91" s="1">
        <v>3.6084390484633501E-5</v>
      </c>
      <c r="AH91">
        <v>0.20864657912788501</v>
      </c>
      <c r="AI91">
        <v>0.73597482940588799</v>
      </c>
      <c r="AJ91" t="s">
        <v>74</v>
      </c>
      <c r="AK91">
        <v>0</v>
      </c>
      <c r="AL91" t="s">
        <v>77</v>
      </c>
      <c r="AM91">
        <v>0</v>
      </c>
      <c r="AN91">
        <v>0.85368885047912102</v>
      </c>
      <c r="AO91">
        <v>0</v>
      </c>
      <c r="AP91">
        <v>5.0124397862396197E-2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0.860478920911251</v>
      </c>
      <c r="AX91" t="s">
        <v>79</v>
      </c>
      <c r="AY91">
        <v>3205137.1226753201</v>
      </c>
      <c r="AZ91" t="s">
        <v>76</v>
      </c>
      <c r="BA91">
        <v>-1.5707963267949001</v>
      </c>
      <c r="BB91">
        <v>0.84690371642522999</v>
      </c>
      <c r="BC91">
        <v>1.812367228598E-4</v>
      </c>
      <c r="BD91">
        <v>4.6455864886388802E-2</v>
      </c>
      <c r="BE91">
        <v>1.4769135208990501E-3</v>
      </c>
      <c r="BF91" s="1">
        <v>8.8721305539428403E-6</v>
      </c>
      <c r="BG91">
        <v>5.1999257381524699E-3</v>
      </c>
      <c r="BH91">
        <v>2.4017622439434699E-2</v>
      </c>
      <c r="BI91" s="1">
        <v>3.6086920293344602E-5</v>
      </c>
      <c r="BJ91">
        <v>0.208655200507564</v>
      </c>
      <c r="BK91">
        <v>0.73596439674047598</v>
      </c>
      <c r="BL91" s="1">
        <v>9.80574857186892E-5</v>
      </c>
      <c r="BM91">
        <v>2.0868697547311301E-4</v>
      </c>
      <c r="BN91" s="1">
        <v>3.5626032913608899E-7</v>
      </c>
      <c r="BO91" s="1">
        <v>3.2780473452310298E-6</v>
      </c>
      <c r="BP91">
        <v>0</v>
      </c>
      <c r="BQ91">
        <v>0</v>
      </c>
      <c r="BR91" s="1">
        <v>6.0713465594831298E-5</v>
      </c>
      <c r="BS91">
        <v>1.1757333983976999E-4</v>
      </c>
    </row>
    <row r="92" spans="1:71" x14ac:dyDescent="0.25">
      <c r="A92">
        <v>89</v>
      </c>
      <c r="B92">
        <v>1.60388281129914E-4</v>
      </c>
      <c r="C92">
        <v>9.3544764967933403E-2</v>
      </c>
      <c r="D92">
        <v>-2.0862446636147599E-4</v>
      </c>
      <c r="E92">
        <v>-2.0862446636147599E-4</v>
      </c>
      <c r="F92">
        <v>-9.3544764967933404E-4</v>
      </c>
      <c r="G92">
        <v>-9.3544764967933404E-4</v>
      </c>
      <c r="H92" t="s">
        <v>74</v>
      </c>
      <c r="I92">
        <v>0</v>
      </c>
      <c r="J92" t="s">
        <v>75</v>
      </c>
      <c r="K92">
        <v>3.14159265358979</v>
      </c>
      <c r="L92">
        <v>0.85245986722207301</v>
      </c>
      <c r="M92">
        <v>0</v>
      </c>
      <c r="N92">
        <v>5.0052238028391198E-2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0.85925416668088195</v>
      </c>
      <c r="V92" t="s">
        <v>79</v>
      </c>
      <c r="W92">
        <v>3215337.7077482301</v>
      </c>
      <c r="X92" t="s">
        <v>76</v>
      </c>
      <c r="Y92">
        <v>-1.5707963267949001</v>
      </c>
      <c r="Z92">
        <v>0.845412961765866</v>
      </c>
      <c r="AA92">
        <v>2.0070499670634201E-4</v>
      </c>
      <c r="AB92">
        <v>4.62724975067344E-2</v>
      </c>
      <c r="AC92">
        <v>1.5212735977712601E-3</v>
      </c>
      <c r="AD92" s="1">
        <v>6.4819691721794197E-6</v>
      </c>
      <c r="AE92">
        <v>5.2182005473414396E-3</v>
      </c>
      <c r="AF92">
        <v>2.44645035328367E-2</v>
      </c>
      <c r="AG92" s="1">
        <v>2.6101921621280201E-5</v>
      </c>
      <c r="AH92">
        <v>0.21051954142062901</v>
      </c>
      <c r="AI92">
        <v>0.73370051180717799</v>
      </c>
      <c r="AJ92" t="s">
        <v>74</v>
      </c>
      <c r="AK92">
        <v>0</v>
      </c>
      <c r="AL92" t="s">
        <v>77</v>
      </c>
      <c r="AM92">
        <v>0</v>
      </c>
      <c r="AN92">
        <v>0.85245411386269598</v>
      </c>
      <c r="AO92">
        <v>0</v>
      </c>
      <c r="AP92">
        <v>5.0051900219511197E-2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0.85924843669654405</v>
      </c>
      <c r="AX92" t="s">
        <v>79</v>
      </c>
      <c r="AY92">
        <v>3215337.7077482301</v>
      </c>
      <c r="AZ92" t="s">
        <v>76</v>
      </c>
      <c r="BA92">
        <v>-1.5707963267949001</v>
      </c>
      <c r="BB92">
        <v>0.84540725596694499</v>
      </c>
      <c r="BC92">
        <v>2.0063388341967999E-4</v>
      </c>
      <c r="BD92">
        <v>4.6272185207800902E-2</v>
      </c>
      <c r="BE92">
        <v>1.5213028865272201E-3</v>
      </c>
      <c r="BF92" s="1">
        <v>6.4821301062862496E-6</v>
      </c>
      <c r="BG92">
        <v>5.2182055550649403E-3</v>
      </c>
      <c r="BH92">
        <v>2.4464454422463498E-2</v>
      </c>
      <c r="BI92" s="1">
        <v>2.6103744883287701E-5</v>
      </c>
      <c r="BJ92">
        <v>0.21052822057485601</v>
      </c>
      <c r="BK92">
        <v>0.73369001803072897</v>
      </c>
      <c r="BL92" s="1">
        <v>9.7845698723368101E-5</v>
      </c>
      <c r="BM92">
        <v>2.10549983830995E-4</v>
      </c>
      <c r="BN92" s="1">
        <v>3.55297988679163E-7</v>
      </c>
      <c r="BO92" s="1">
        <v>3.3073114120845101E-6</v>
      </c>
      <c r="BP92">
        <v>0</v>
      </c>
      <c r="BQ92">
        <v>0</v>
      </c>
      <c r="BR92" s="1">
        <v>6.06114660039199E-5</v>
      </c>
      <c r="BS92">
        <v>1.1865171406453299E-4</v>
      </c>
    </row>
    <row r="93" spans="1:71" x14ac:dyDescent="0.25">
      <c r="A93">
        <v>90</v>
      </c>
      <c r="B93">
        <v>1.5995570689027801E-4</v>
      </c>
      <c r="C93">
        <v>9.3704720674823702E-2</v>
      </c>
      <c r="D93">
        <v>-2.0956680584648601E-4</v>
      </c>
      <c r="E93">
        <v>-2.0956680584648601E-4</v>
      </c>
      <c r="F93">
        <v>-9.3704720674823701E-4</v>
      </c>
      <c r="G93">
        <v>-9.3704720674823701E-4</v>
      </c>
      <c r="H93" t="s">
        <v>74</v>
      </c>
      <c r="I93">
        <v>0</v>
      </c>
      <c r="J93" t="s">
        <v>75</v>
      </c>
      <c r="K93">
        <v>3.14159265358979</v>
      </c>
      <c r="L93">
        <v>0.85122339378503697</v>
      </c>
      <c r="M93">
        <v>0</v>
      </c>
      <c r="N93">
        <v>4.9979638407968E-2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0.85802423788263804</v>
      </c>
      <c r="V93" t="s">
        <v>79</v>
      </c>
      <c r="W93">
        <v>3225502.6231861501</v>
      </c>
      <c r="X93" t="s">
        <v>76</v>
      </c>
      <c r="Y93">
        <v>-1.5707963267949001</v>
      </c>
      <c r="Z93">
        <v>0.84391202518725905</v>
      </c>
      <c r="AA93">
        <v>2.2051959553164401E-4</v>
      </c>
      <c r="AB93">
        <v>4.6089882016879198E-2</v>
      </c>
      <c r="AC93">
        <v>1.5665466555723801E-3</v>
      </c>
      <c r="AD93" s="1">
        <v>4.7455187055879697E-6</v>
      </c>
      <c r="AE93">
        <v>5.2365736449071802E-3</v>
      </c>
      <c r="AF93">
        <v>2.4915863485389201E-2</v>
      </c>
      <c r="AG93" s="1">
        <v>1.8920516777627999E-5</v>
      </c>
      <c r="AH93">
        <v>0.21239238032553201</v>
      </c>
      <c r="AI93">
        <v>0.73142466110784099</v>
      </c>
      <c r="AJ93" t="s">
        <v>74</v>
      </c>
      <c r="AK93">
        <v>0</v>
      </c>
      <c r="AL93" t="s">
        <v>77</v>
      </c>
      <c r="AM93">
        <v>0</v>
      </c>
      <c r="AN93">
        <v>0.85121760268606705</v>
      </c>
      <c r="AO93">
        <v>0</v>
      </c>
      <c r="AP93">
        <v>4.9979298383205299E-2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0.85801843507189801</v>
      </c>
      <c r="AX93" t="s">
        <v>79</v>
      </c>
      <c r="AY93">
        <v>3225502.6231861501</v>
      </c>
      <c r="AZ93" t="s">
        <v>76</v>
      </c>
      <c r="BA93">
        <v>-1.5707963267949001</v>
      </c>
      <c r="BB93">
        <v>0.84390628382947397</v>
      </c>
      <c r="BC93">
        <v>2.2044936213693299E-4</v>
      </c>
      <c r="BD93">
        <v>4.6089568455163002E-2</v>
      </c>
      <c r="BE93">
        <v>1.56657754222291E-3</v>
      </c>
      <c r="BF93" s="1">
        <v>4.7456355155046496E-6</v>
      </c>
      <c r="BG93">
        <v>5.2365793669617803E-3</v>
      </c>
      <c r="BH93">
        <v>2.4915806942312001E-2</v>
      </c>
      <c r="BI93" s="1">
        <v>1.89218335403219E-5</v>
      </c>
      <c r="BJ93">
        <v>0.212401116929781</v>
      </c>
      <c r="BK93">
        <v>0.731414106514091</v>
      </c>
      <c r="BL93" s="1">
        <v>9.7635755730505406E-5</v>
      </c>
      <c r="BM93">
        <v>2.12415669802815E-4</v>
      </c>
      <c r="BN93" s="1">
        <v>3.5435997068279803E-7</v>
      </c>
      <c r="BO93" s="1">
        <v>3.3366175387993999E-6</v>
      </c>
      <c r="BP93">
        <v>0</v>
      </c>
      <c r="BQ93">
        <v>0</v>
      </c>
      <c r="BR93" s="1">
        <v>6.0510363123211799E-5</v>
      </c>
      <c r="BS93">
        <v>1.1973202978637399E-4</v>
      </c>
    </row>
    <row r="94" spans="1:71" x14ac:dyDescent="0.25">
      <c r="A94">
        <v>91</v>
      </c>
      <c r="B94">
        <v>1.5953216466612201E-4</v>
      </c>
      <c r="C94">
        <v>9.3864252839489806E-2</v>
      </c>
      <c r="D94">
        <v>-2.1050589846994801E-4</v>
      </c>
      <c r="E94">
        <v>-2.1050589846994801E-4</v>
      </c>
      <c r="F94">
        <v>-9.3864252839489799E-4</v>
      </c>
      <c r="G94">
        <v>-9.3864252839489799E-4</v>
      </c>
      <c r="H94" t="s">
        <v>74</v>
      </c>
      <c r="I94">
        <v>0</v>
      </c>
      <c r="J94" t="s">
        <v>75</v>
      </c>
      <c r="K94">
        <v>3.14159265358979</v>
      </c>
      <c r="L94">
        <v>0.84998577112929996</v>
      </c>
      <c r="M94">
        <v>0</v>
      </c>
      <c r="N94">
        <v>4.9906971311092098E-2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0.85678873821783996</v>
      </c>
      <c r="V94" t="s">
        <v>79</v>
      </c>
      <c r="W94">
        <v>3235632.5150751299</v>
      </c>
      <c r="X94" t="s">
        <v>76</v>
      </c>
      <c r="Y94">
        <v>-1.5707963267949001</v>
      </c>
      <c r="Z94">
        <v>0.84240718325305697</v>
      </c>
      <c r="AA94">
        <v>2.40769634618705E-4</v>
      </c>
      <c r="AB94">
        <v>4.5908139408786103E-2</v>
      </c>
      <c r="AC94">
        <v>1.6119079109041801E-3</v>
      </c>
      <c r="AD94" s="1">
        <v>3.4812525169334E-6</v>
      </c>
      <c r="AE94">
        <v>5.2550440025732701E-3</v>
      </c>
      <c r="AF94">
        <v>2.5371754450725099E-2</v>
      </c>
      <c r="AG94" s="1">
        <v>1.3742451599653801E-5</v>
      </c>
      <c r="AH94">
        <v>0.21426494989363801</v>
      </c>
      <c r="AI94">
        <v>0.72914842987944795</v>
      </c>
      <c r="AJ94" t="s">
        <v>74</v>
      </c>
      <c r="AK94">
        <v>0</v>
      </c>
      <c r="AL94" t="s">
        <v>77</v>
      </c>
      <c r="AM94">
        <v>0</v>
      </c>
      <c r="AN94">
        <v>0.84997986175953799</v>
      </c>
      <c r="AO94">
        <v>0</v>
      </c>
      <c r="AP94">
        <v>4.9906624342051897E-2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0.85678279966902005</v>
      </c>
      <c r="AX94" t="s">
        <v>79</v>
      </c>
      <c r="AY94">
        <v>3235632.5150751299</v>
      </c>
      <c r="AZ94" t="s">
        <v>76</v>
      </c>
      <c r="BA94">
        <v>-1.5707963267949001</v>
      </c>
      <c r="BB94">
        <v>0.84240132657203304</v>
      </c>
      <c r="BC94">
        <v>2.4069894080537701E-4</v>
      </c>
      <c r="BD94">
        <v>4.5907820240889297E-2</v>
      </c>
      <c r="BE94">
        <v>1.61194125093029E-3</v>
      </c>
      <c r="BF94" s="1">
        <v>3.48133746321802E-6</v>
      </c>
      <c r="BG94">
        <v>5.2550504414438899E-3</v>
      </c>
      <c r="BH94">
        <v>2.5371690345709901E-2</v>
      </c>
      <c r="BI94" s="1">
        <v>1.3744291095327301E-5</v>
      </c>
      <c r="BJ94">
        <v>0.21427386442847601</v>
      </c>
      <c r="BK94">
        <v>0.72913766800721203</v>
      </c>
      <c r="BL94" s="1">
        <v>9.7426702232327001E-5</v>
      </c>
      <c r="BM94">
        <v>2.1428315053240399E-4</v>
      </c>
      <c r="BN94" s="1">
        <v>3.5343982552970399E-7</v>
      </c>
      <c r="BO94" s="1">
        <v>3.3659518575033902E-6</v>
      </c>
      <c r="BP94">
        <v>0</v>
      </c>
      <c r="BQ94">
        <v>0</v>
      </c>
      <c r="BR94" s="1">
        <v>6.0409624789750498E-5</v>
      </c>
      <c r="BS94">
        <v>1.2081378995647299E-4</v>
      </c>
    </row>
    <row r="95" spans="1:71" x14ac:dyDescent="0.25">
      <c r="A95">
        <v>92</v>
      </c>
      <c r="B95">
        <v>1.59116316986141E-4</v>
      </c>
      <c r="C95">
        <v>9.4023369156475994E-2</v>
      </c>
      <c r="D95">
        <v>-2.11441796064207E-4</v>
      </c>
      <c r="E95">
        <v>-2.11441796064207E-4</v>
      </c>
      <c r="F95">
        <v>-9.4023369156475995E-4</v>
      </c>
      <c r="G95">
        <v>-9.4023369156475995E-4</v>
      </c>
      <c r="H95" t="s">
        <v>74</v>
      </c>
      <c r="I95">
        <v>0</v>
      </c>
      <c r="J95" t="s">
        <v>75</v>
      </c>
      <c r="K95">
        <v>3.14159265358979</v>
      </c>
      <c r="L95">
        <v>0.84874723040032796</v>
      </c>
      <c r="M95">
        <v>0</v>
      </c>
      <c r="N95">
        <v>4.98342503094849E-2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0.85555013571361904</v>
      </c>
      <c r="V95" t="s">
        <v>79</v>
      </c>
      <c r="W95">
        <v>3245727.9425251302</v>
      </c>
      <c r="X95" t="s">
        <v>76</v>
      </c>
      <c r="Y95">
        <v>-1.5707963267949001</v>
      </c>
      <c r="Z95">
        <v>0.84089865301768896</v>
      </c>
      <c r="AA95">
        <v>2.6146570128987503E-4</v>
      </c>
      <c r="AB95">
        <v>4.57270187019998E-2</v>
      </c>
      <c r="AC95">
        <v>1.6579272369707601E-3</v>
      </c>
      <c r="AD95" s="1">
        <v>2.5588864328273099E-6</v>
      </c>
      <c r="AE95">
        <v>5.2736142336006799E-3</v>
      </c>
      <c r="AF95">
        <v>2.58321845287738E-2</v>
      </c>
      <c r="AG95" s="1">
        <v>1.00032412768556E-5</v>
      </c>
      <c r="AH95">
        <v>0.21613746584507201</v>
      </c>
      <c r="AI95">
        <v>0.72687225017464796</v>
      </c>
      <c r="AJ95" t="s">
        <v>74</v>
      </c>
      <c r="AK95">
        <v>0</v>
      </c>
      <c r="AL95" t="s">
        <v>77</v>
      </c>
      <c r="AM95">
        <v>0</v>
      </c>
      <c r="AN95">
        <v>0.84874128362272905</v>
      </c>
      <c r="AO95">
        <v>0</v>
      </c>
      <c r="AP95">
        <v>4.9833901144041001E-2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0.85554416883672502</v>
      </c>
      <c r="AX95" t="s">
        <v>79</v>
      </c>
      <c r="AY95">
        <v>3245727.9425251302</v>
      </c>
      <c r="AZ95" t="s">
        <v>76</v>
      </c>
      <c r="BA95">
        <v>-1.5707963267949001</v>
      </c>
      <c r="BB95">
        <v>0.84089276123142598</v>
      </c>
      <c r="BC95">
        <v>2.61395943995405E-4</v>
      </c>
      <c r="BD95">
        <v>4.5726698314020001E-2</v>
      </c>
      <c r="BE95">
        <v>1.6579622115240899E-3</v>
      </c>
      <c r="BF95" s="1">
        <v>2.55894918115116E-6</v>
      </c>
      <c r="BG95">
        <v>5.2736214018439401E-3</v>
      </c>
      <c r="BH95">
        <v>2.5832112624576901E-2</v>
      </c>
      <c r="BI95" s="1">
        <v>1.00039418448823E-5</v>
      </c>
      <c r="BJ95">
        <v>0.21614643796179001</v>
      </c>
      <c r="BK95">
        <v>0.72686142847908497</v>
      </c>
      <c r="BL95" s="1">
        <v>9.7218878959020303E-5</v>
      </c>
      <c r="BM95">
        <v>2.16151955494992E-4</v>
      </c>
      <c r="BN95" s="1">
        <v>3.5253776190363998E-7</v>
      </c>
      <c r="BO95" s="1">
        <v>3.3953069772106699E-6</v>
      </c>
      <c r="BP95">
        <v>0</v>
      </c>
      <c r="BQ95">
        <v>0</v>
      </c>
      <c r="BR95" s="1">
        <v>6.0309446808746097E-5</v>
      </c>
      <c r="BS95">
        <v>1.21896729382879E-4</v>
      </c>
    </row>
    <row r="96" spans="1:71" x14ac:dyDescent="0.25">
      <c r="A96">
        <v>93</v>
      </c>
      <c r="B96">
        <v>1.5870713793238999E-4</v>
      </c>
      <c r="C96">
        <v>9.4182076294408307E-2</v>
      </c>
      <c r="D96">
        <v>-2.12374544262344E-4</v>
      </c>
      <c r="E96">
        <v>-2.12374544262344E-4</v>
      </c>
      <c r="F96">
        <v>-9.4182076294408302E-4</v>
      </c>
      <c r="G96">
        <v>-9.4182076294408302E-4</v>
      </c>
      <c r="H96" t="s">
        <v>74</v>
      </c>
      <c r="I96">
        <v>0</v>
      </c>
      <c r="J96" t="s">
        <v>75</v>
      </c>
      <c r="K96">
        <v>3.14159265358979</v>
      </c>
      <c r="L96">
        <v>0.84750814019389298</v>
      </c>
      <c r="M96">
        <v>0</v>
      </c>
      <c r="N96">
        <v>4.9761497045271698E-2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0.85430901022766903</v>
      </c>
      <c r="V96" t="s">
        <v>79</v>
      </c>
      <c r="W96">
        <v>3255789.3977753301</v>
      </c>
      <c r="X96" t="s">
        <v>76</v>
      </c>
      <c r="Y96">
        <v>-1.5707963267949001</v>
      </c>
      <c r="Z96">
        <v>0.83938678897374097</v>
      </c>
      <c r="AA96">
        <v>2.82620776023934E-4</v>
      </c>
      <c r="AB96">
        <v>4.5546272863863299E-2</v>
      </c>
      <c r="AC96">
        <v>1.7046572423778199E-3</v>
      </c>
      <c r="AD96" s="1">
        <v>1.8845976147464901E-6</v>
      </c>
      <c r="AE96">
        <v>5.2922864724146302E-3</v>
      </c>
      <c r="AF96">
        <v>2.6297159704770999E-2</v>
      </c>
      <c r="AG96" s="1">
        <v>7.29572235617824E-6</v>
      </c>
      <c r="AH96">
        <v>0.21800977918619899</v>
      </c>
      <c r="AI96">
        <v>0.72459680268535898</v>
      </c>
      <c r="AJ96" t="s">
        <v>74</v>
      </c>
      <c r="AK96">
        <v>0</v>
      </c>
      <c r="AL96" t="s">
        <v>77</v>
      </c>
      <c r="AM96">
        <v>0</v>
      </c>
      <c r="AN96">
        <v>0.84750215560581499</v>
      </c>
      <c r="AO96">
        <v>0</v>
      </c>
      <c r="AP96">
        <v>4.9761145659783103E-2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0.85430299794655795</v>
      </c>
      <c r="AX96" t="s">
        <v>79</v>
      </c>
      <c r="AY96">
        <v>3255789.3977753301</v>
      </c>
      <c r="AZ96" t="s">
        <v>76</v>
      </c>
      <c r="BA96">
        <v>-1.5707963267949001</v>
      </c>
      <c r="BB96">
        <v>0.83938086173371595</v>
      </c>
      <c r="BC96">
        <v>2.8255196339780898E-4</v>
      </c>
      <c r="BD96">
        <v>4.5545951243729399E-2</v>
      </c>
      <c r="BE96">
        <v>1.7046938778178E-3</v>
      </c>
      <c r="BF96" s="1">
        <v>1.88464341400632E-6</v>
      </c>
      <c r="BG96">
        <v>5.2922943727174302E-3</v>
      </c>
      <c r="BH96">
        <v>2.6297079867957499E-2</v>
      </c>
      <c r="BI96" s="1">
        <v>7.2962313393079896E-6</v>
      </c>
      <c r="BJ96">
        <v>0.21801880854498101</v>
      </c>
      <c r="BK96">
        <v>0.72458592057080595</v>
      </c>
      <c r="BL96" s="1">
        <v>9.7012108966421497E-5</v>
      </c>
      <c r="BM96">
        <v>2.1802158984243801E-4</v>
      </c>
      <c r="BN96" s="1">
        <v>3.5165121687396602E-7</v>
      </c>
      <c r="BO96" s="1">
        <v>3.4246751248648401E-6</v>
      </c>
      <c r="BP96">
        <v>0</v>
      </c>
      <c r="BQ96">
        <v>0</v>
      </c>
      <c r="BR96" s="1">
        <v>6.02097331181491E-5</v>
      </c>
      <c r="BS96">
        <v>1.2298056875353E-4</v>
      </c>
    </row>
    <row r="97" spans="1:71" x14ac:dyDescent="0.25">
      <c r="A97">
        <v>94</v>
      </c>
      <c r="B97">
        <v>1.5830409384559599E-4</v>
      </c>
      <c r="C97">
        <v>9.4340380388253903E-2</v>
      </c>
      <c r="D97">
        <v>-2.1330418541417801E-4</v>
      </c>
      <c r="E97">
        <v>-2.1330418541417801E-4</v>
      </c>
      <c r="F97">
        <v>-9.4340380388253898E-4</v>
      </c>
      <c r="G97">
        <v>-9.4340380388253898E-4</v>
      </c>
      <c r="H97" t="s">
        <v>74</v>
      </c>
      <c r="I97">
        <v>0</v>
      </c>
      <c r="J97" t="s">
        <v>75</v>
      </c>
      <c r="K97">
        <v>3.14159265358979</v>
      </c>
      <c r="L97">
        <v>0.84626870895388995</v>
      </c>
      <c r="M97">
        <v>0</v>
      </c>
      <c r="N97">
        <v>4.9688723757249802E-2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0.85306598668965705</v>
      </c>
      <c r="V97" t="s">
        <v>79</v>
      </c>
      <c r="W97">
        <v>3265817.33764872</v>
      </c>
      <c r="X97" t="s">
        <v>76</v>
      </c>
      <c r="Y97">
        <v>-1.5707963267949001</v>
      </c>
      <c r="Z97">
        <v>0.83787178736030399</v>
      </c>
      <c r="AA97">
        <v>3.0424519298466701E-4</v>
      </c>
      <c r="AB97">
        <v>4.5365669869522098E-2</v>
      </c>
      <c r="AC97">
        <v>1.75168081954485E-3</v>
      </c>
      <c r="AD97" s="1">
        <v>1.3906800339329E-6</v>
      </c>
      <c r="AE97">
        <v>5.31106253867382E-3</v>
      </c>
      <c r="AF97">
        <v>2.6766685237887101E-2</v>
      </c>
      <c r="AG97" s="1">
        <v>5.3316852548984599E-6</v>
      </c>
      <c r="AH97">
        <v>0.21988186361525999</v>
      </c>
      <c r="AI97">
        <v>0.72232247521034298</v>
      </c>
      <c r="AJ97" t="s">
        <v>74</v>
      </c>
      <c r="AK97">
        <v>0</v>
      </c>
      <c r="AL97" t="s">
        <v>77</v>
      </c>
      <c r="AM97">
        <v>0</v>
      </c>
      <c r="AN97">
        <v>0.84626268674263405</v>
      </c>
      <c r="AO97">
        <v>0</v>
      </c>
      <c r="AP97">
        <v>4.9688370162713699E-2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0.85305993276009695</v>
      </c>
      <c r="AX97" t="s">
        <v>79</v>
      </c>
      <c r="AY97">
        <v>3265817.33764872</v>
      </c>
      <c r="AZ97" t="s">
        <v>76</v>
      </c>
      <c r="BA97">
        <v>-1.5707963267949001</v>
      </c>
      <c r="BB97">
        <v>0.83786582490315997</v>
      </c>
      <c r="BC97">
        <v>3.0417734366201002E-4</v>
      </c>
      <c r="BD97">
        <v>4.5365347038670699E-2</v>
      </c>
      <c r="BE97">
        <v>1.75171912342564E-3</v>
      </c>
      <c r="BF97" s="1">
        <v>1.39071352721874E-6</v>
      </c>
      <c r="BG97">
        <v>5.3110711738721204E-3</v>
      </c>
      <c r="BH97">
        <v>2.6766597332784001E-2</v>
      </c>
      <c r="BI97" s="1">
        <v>5.3320558141633598E-6</v>
      </c>
      <c r="BJ97">
        <v>0.219890949880339</v>
      </c>
      <c r="BK97">
        <v>0.72231153315343299</v>
      </c>
      <c r="BL97" s="1">
        <v>9.6805755385563405E-5</v>
      </c>
      <c r="BM97">
        <v>2.19891738618334E-4</v>
      </c>
      <c r="BN97" s="1">
        <v>3.50775351028155E-7</v>
      </c>
      <c r="BO97" s="1">
        <v>3.4540513531422301E-6</v>
      </c>
      <c r="BP97">
        <v>0</v>
      </c>
      <c r="BQ97">
        <v>0</v>
      </c>
      <c r="BR97" s="1">
        <v>6.0110127221977499E-5</v>
      </c>
      <c r="BS97">
        <v>1.2406512992579601E-4</v>
      </c>
    </row>
    <row r="98" spans="1:71" x14ac:dyDescent="0.25">
      <c r="A98">
        <v>95</v>
      </c>
      <c r="B98">
        <v>1.5790661538536401E-4</v>
      </c>
      <c r="C98">
        <v>9.4498287003639297E-2</v>
      </c>
      <c r="D98">
        <v>-2.14230758390409E-4</v>
      </c>
      <c r="E98">
        <v>-2.14230758390409E-4</v>
      </c>
      <c r="F98">
        <v>-9.44982870036393E-4</v>
      </c>
      <c r="G98">
        <v>-9.44982870036393E-4</v>
      </c>
      <c r="H98" t="s">
        <v>74</v>
      </c>
      <c r="I98">
        <v>0</v>
      </c>
      <c r="J98" t="s">
        <v>75</v>
      </c>
      <c r="K98">
        <v>3.14159265358979</v>
      </c>
      <c r="L98">
        <v>0.84502909196676002</v>
      </c>
      <c r="M98">
        <v>0</v>
      </c>
      <c r="N98">
        <v>4.9615939563073003E-2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0.85182152733463301</v>
      </c>
      <c r="V98" t="s">
        <v>79</v>
      </c>
      <c r="W98">
        <v>3275812.1814393802</v>
      </c>
      <c r="X98" t="s">
        <v>76</v>
      </c>
      <c r="Y98">
        <v>-1.5707963267949001</v>
      </c>
      <c r="Z98">
        <v>0.83635379243111097</v>
      </c>
      <c r="AA98">
        <v>3.2634839360909498E-4</v>
      </c>
      <c r="AB98">
        <v>4.5185015596675301E-2</v>
      </c>
      <c r="AC98">
        <v>1.7991123689369E-3</v>
      </c>
      <c r="AD98" s="1">
        <v>1.0281718586397599E-6</v>
      </c>
      <c r="AE98">
        <v>5.3299440060514298E-3</v>
      </c>
      <c r="AF98">
        <v>2.7240765231005101E-2</v>
      </c>
      <c r="AG98" s="1">
        <v>3.9040803339517501E-6</v>
      </c>
      <c r="AH98">
        <v>0.22175369187737901</v>
      </c>
      <c r="AI98">
        <v>0.72004955791399505</v>
      </c>
      <c r="AJ98" t="s">
        <v>74</v>
      </c>
      <c r="AK98">
        <v>0</v>
      </c>
      <c r="AL98" t="s">
        <v>77</v>
      </c>
      <c r="AM98">
        <v>0</v>
      </c>
      <c r="AN98">
        <v>0.84502303233058096</v>
      </c>
      <c r="AO98">
        <v>0</v>
      </c>
      <c r="AP98">
        <v>4.9615583771130102E-2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0.85181543244220603</v>
      </c>
      <c r="AX98" t="s">
        <v>79</v>
      </c>
      <c r="AY98">
        <v>3275812.1814393802</v>
      </c>
      <c r="AZ98" t="s">
        <v>76</v>
      </c>
      <c r="BA98">
        <v>-1.5707963267949001</v>
      </c>
      <c r="BB98">
        <v>0.83634779500481304</v>
      </c>
      <c r="BC98">
        <v>3.26281526628201E-4</v>
      </c>
      <c r="BD98">
        <v>4.5184691578534497E-2</v>
      </c>
      <c r="BE98">
        <v>1.79915235223429E-3</v>
      </c>
      <c r="BF98" s="1">
        <v>1.02819639705331E-6</v>
      </c>
      <c r="BG98">
        <v>5.32995337904807E-3</v>
      </c>
      <c r="BH98">
        <v>2.72406691205077E-2</v>
      </c>
      <c r="BI98" s="1">
        <v>3.9043506427753296E-6</v>
      </c>
      <c r="BJ98">
        <v>0.22176283471144001</v>
      </c>
      <c r="BK98">
        <v>0.72003855640987002</v>
      </c>
      <c r="BL98" s="1">
        <v>9.6599747615291995E-5</v>
      </c>
      <c r="BM98">
        <v>2.2176216750989801E-4</v>
      </c>
      <c r="BN98" s="1">
        <v>3.49908557454956E-7</v>
      </c>
      <c r="BO98" s="1">
        <v>3.4834319814662199E-6</v>
      </c>
      <c r="BP98">
        <v>0</v>
      </c>
      <c r="BQ98">
        <v>0</v>
      </c>
      <c r="BR98" s="1">
        <v>6.0010591421944597E-5</v>
      </c>
      <c r="BS98">
        <v>1.2515028002805899E-4</v>
      </c>
    </row>
    <row r="99" spans="1:71" x14ac:dyDescent="0.25">
      <c r="A99">
        <v>96</v>
      </c>
      <c r="B99">
        <v>1.5751434468816401E-4</v>
      </c>
      <c r="C99">
        <v>9.4655801348327503E-2</v>
      </c>
      <c r="D99">
        <v>-2.1515429983675699E-4</v>
      </c>
      <c r="E99">
        <v>-2.1515429983675699E-4</v>
      </c>
      <c r="F99">
        <v>-9.4655801348327495E-4</v>
      </c>
      <c r="G99">
        <v>-9.4655801348327495E-4</v>
      </c>
      <c r="H99" t="s">
        <v>74</v>
      </c>
      <c r="I99">
        <v>0</v>
      </c>
      <c r="J99" t="s">
        <v>75</v>
      </c>
      <c r="K99">
        <v>3.14159265358979</v>
      </c>
      <c r="L99">
        <v>0.84378940568766403</v>
      </c>
      <c r="M99">
        <v>0</v>
      </c>
      <c r="N99">
        <v>4.9543151300413701E-2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0.85057599815264395</v>
      </c>
      <c r="V99" t="s">
        <v>79</v>
      </c>
      <c r="W99">
        <v>3285774.3244407801</v>
      </c>
      <c r="X99" t="s">
        <v>76</v>
      </c>
      <c r="Y99">
        <v>-1.5707963267949001</v>
      </c>
      <c r="Z99">
        <v>0.83483291036982599</v>
      </c>
      <c r="AA99">
        <v>3.4893918495280799E-4</v>
      </c>
      <c r="AB99">
        <v>4.5004162879864099E-2</v>
      </c>
      <c r="AC99">
        <v>1.84730716513403E-3</v>
      </c>
      <c r="AD99" s="1">
        <v>7.6159352795130701E-7</v>
      </c>
      <c r="AE99">
        <v>5.34893228075783E-3</v>
      </c>
      <c r="AF99">
        <v>2.7719403084902301E-2</v>
      </c>
      <c r="AG99" s="1">
        <v>2.8643121004369399E-6</v>
      </c>
      <c r="AH99">
        <v>0.22362523685424801</v>
      </c>
      <c r="AI99">
        <v>0.71777826965325597</v>
      </c>
      <c r="AJ99" t="s">
        <v>74</v>
      </c>
      <c r="AK99">
        <v>0</v>
      </c>
      <c r="AL99" t="s">
        <v>77</v>
      </c>
      <c r="AM99">
        <v>0</v>
      </c>
      <c r="AN99">
        <v>0.84378330883288399</v>
      </c>
      <c r="AO99">
        <v>0</v>
      </c>
      <c r="AP99">
        <v>4.9542793323178201E-2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0.85056986316649397</v>
      </c>
      <c r="AX99" t="s">
        <v>79</v>
      </c>
      <c r="AY99">
        <v>3285774.3244407801</v>
      </c>
      <c r="AZ99" t="s">
        <v>76</v>
      </c>
      <c r="BA99">
        <v>-1.5707963267949001</v>
      </c>
      <c r="BB99">
        <v>0.83482687823077995</v>
      </c>
      <c r="BC99">
        <v>3.4887331970763101E-4</v>
      </c>
      <c r="BD99">
        <v>4.5003837699382203E-2</v>
      </c>
      <c r="BE99">
        <v>1.84734884944184E-3</v>
      </c>
      <c r="BF99" s="1">
        <v>7.61611537943534E-7</v>
      </c>
      <c r="BG99">
        <v>5.34894239451185E-3</v>
      </c>
      <c r="BH99">
        <v>2.7719298630509901E-2</v>
      </c>
      <c r="BI99" s="1">
        <v>2.86450966104248E-6</v>
      </c>
      <c r="BJ99">
        <v>0.22363443591848001</v>
      </c>
      <c r="BK99">
        <v>0.71776720921049997</v>
      </c>
      <c r="BL99" s="1">
        <v>9.6394300608707007E-5</v>
      </c>
      <c r="BM99">
        <v>2.23632700797245E-4</v>
      </c>
      <c r="BN99" s="1">
        <v>3.4905102133526402E-7</v>
      </c>
      <c r="BO99" s="1">
        <v>3.5128142496353399E-6</v>
      </c>
      <c r="BP99">
        <v>0</v>
      </c>
      <c r="BQ99">
        <v>0</v>
      </c>
      <c r="BR99" s="1">
        <v>5.9911248867676998E-5</v>
      </c>
      <c r="BS99">
        <v>1.26235919103489E-4</v>
      </c>
    </row>
    <row r="100" spans="1:71" x14ac:dyDescent="0.25">
      <c r="A100">
        <v>97</v>
      </c>
      <c r="B100">
        <v>1.5712701735868899E-4</v>
      </c>
      <c r="C100">
        <v>9.4812928365686194E-2</v>
      </c>
      <c r="D100">
        <v>-2.1607484473072701E-4</v>
      </c>
      <c r="E100">
        <v>-2.1607484473072701E-4</v>
      </c>
      <c r="F100">
        <v>-9.4812928365686203E-4</v>
      </c>
      <c r="G100">
        <v>-9.4812928365686203E-4</v>
      </c>
      <c r="H100" t="s">
        <v>74</v>
      </c>
      <c r="I100">
        <v>0</v>
      </c>
      <c r="J100" t="s">
        <v>75</v>
      </c>
      <c r="K100">
        <v>3.14159265358979</v>
      </c>
      <c r="L100">
        <v>0.84254973875504402</v>
      </c>
      <c r="M100">
        <v>0</v>
      </c>
      <c r="N100">
        <v>4.9470364173684098E-2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0.849329687042363</v>
      </c>
      <c r="V100" t="s">
        <v>79</v>
      </c>
      <c r="W100">
        <v>3295704.1439515399</v>
      </c>
      <c r="X100" t="s">
        <v>76</v>
      </c>
      <c r="Y100">
        <v>-1.5707963267949001</v>
      </c>
      <c r="Z100">
        <v>0.83330922009922903</v>
      </c>
      <c r="AA100">
        <v>3.7202592665685602E-4</v>
      </c>
      <c r="AB100">
        <v>4.4823014846761502E-2</v>
      </c>
      <c r="AC100">
        <v>1.8960262219281699E-3</v>
      </c>
      <c r="AD100" s="1">
        <v>5.6518303056524199E-7</v>
      </c>
      <c r="AE100">
        <v>5.3680286515329001E-3</v>
      </c>
      <c r="AF100">
        <v>2.8202601659849801E-2</v>
      </c>
      <c r="AG100" s="1">
        <v>2.1055162346335101E-6</v>
      </c>
      <c r="AH100">
        <v>0.225496471667748</v>
      </c>
      <c r="AI100">
        <v>0.71550877819287095</v>
      </c>
      <c r="AJ100" t="s">
        <v>74</v>
      </c>
      <c r="AK100">
        <v>0</v>
      </c>
      <c r="AL100" t="s">
        <v>77</v>
      </c>
      <c r="AM100">
        <v>0</v>
      </c>
      <c r="AN100">
        <v>0.84254360489401403</v>
      </c>
      <c r="AO100">
        <v>0</v>
      </c>
      <c r="AP100">
        <v>4.9470004023624101E-2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0.84932351267776895</v>
      </c>
      <c r="AX100" t="s">
        <v>79</v>
      </c>
      <c r="AY100">
        <v>3295704.1439515399</v>
      </c>
      <c r="AZ100" t="s">
        <v>76</v>
      </c>
      <c r="BA100">
        <v>-1.5707963267949001</v>
      </c>
      <c r="BB100">
        <v>0.83330315351025996</v>
      </c>
      <c r="BC100">
        <v>3.7196108286334701E-4</v>
      </c>
      <c r="BD100">
        <v>4.4822688529950298E-2</v>
      </c>
      <c r="BE100">
        <v>1.89606962155148E-3</v>
      </c>
      <c r="BF100" s="1">
        <v>5.6519627238931501E-7</v>
      </c>
      <c r="BG100">
        <v>5.36803950905183E-3</v>
      </c>
      <c r="BH100">
        <v>2.8202488721691499E-2</v>
      </c>
      <c r="BI100" s="1">
        <v>2.1056609009286501E-6</v>
      </c>
      <c r="BJ100">
        <v>0.225505726621891</v>
      </c>
      <c r="BK100">
        <v>0.71549765932995202</v>
      </c>
      <c r="BL100" s="1">
        <v>9.6189083708749795E-5</v>
      </c>
      <c r="BM100">
        <v>2.2550320473338701E-4</v>
      </c>
      <c r="BN100" s="1">
        <v>3.4820033647539497E-7</v>
      </c>
      <c r="BO100" s="1">
        <v>3.5421960567568199E-6</v>
      </c>
      <c r="BP100">
        <v>0</v>
      </c>
      <c r="BQ100">
        <v>0</v>
      </c>
      <c r="BR100" s="1">
        <v>5.9811914546193699E-5</v>
      </c>
      <c r="BS100">
        <v>1.2732197078129201E-4</v>
      </c>
    </row>
    <row r="101" spans="1:71" x14ac:dyDescent="0.25">
      <c r="A101">
        <v>98</v>
      </c>
      <c r="B101">
        <v>1.5674443582873099E-4</v>
      </c>
      <c r="C101">
        <v>9.4969672801514901E-2</v>
      </c>
      <c r="D101">
        <v>-2.1699242677975601E-4</v>
      </c>
      <c r="E101">
        <v>-2.1699242677975601E-4</v>
      </c>
      <c r="F101">
        <v>-9.4969672801514902E-4</v>
      </c>
      <c r="G101">
        <v>-9.4969672801514902E-4</v>
      </c>
      <c r="H101" t="s">
        <v>74</v>
      </c>
      <c r="I101">
        <v>0</v>
      </c>
      <c r="J101" t="s">
        <v>75</v>
      </c>
      <c r="K101">
        <v>3.14159265358979</v>
      </c>
      <c r="L101">
        <v>0.84131015980994395</v>
      </c>
      <c r="M101">
        <v>0</v>
      </c>
      <c r="N101">
        <v>4.9397582213147502E-2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0.84808282196602602</v>
      </c>
      <c r="V101" t="s">
        <v>79</v>
      </c>
      <c r="W101">
        <v>3305602.0035701799</v>
      </c>
      <c r="X101" t="s">
        <v>76</v>
      </c>
      <c r="Y101">
        <v>-1.5707963267949001</v>
      </c>
      <c r="Z101">
        <v>0.83178278094977398</v>
      </c>
      <c r="AA101">
        <v>3.9561666647904101E-4</v>
      </c>
      <c r="AB101">
        <v>4.4641525265250698E-2</v>
      </c>
      <c r="AC101">
        <v>1.9453533476542499E-3</v>
      </c>
      <c r="AD101" s="1">
        <v>4.2019684702814798E-7</v>
      </c>
      <c r="AE101">
        <v>5.3872343258865403E-3</v>
      </c>
      <c r="AF101">
        <v>2.8690363393901401E-2</v>
      </c>
      <c r="AG101" s="1">
        <v>1.55068248166495E-6</v>
      </c>
      <c r="AH101">
        <v>0.227367369758843</v>
      </c>
      <c r="AI101">
        <v>0.71324121454888401</v>
      </c>
      <c r="AJ101" t="s">
        <v>74</v>
      </c>
      <c r="AK101">
        <v>0</v>
      </c>
      <c r="AL101" t="s">
        <v>77</v>
      </c>
      <c r="AM101">
        <v>0</v>
      </c>
      <c r="AN101">
        <v>0.84130398915958804</v>
      </c>
      <c r="AO101">
        <v>0</v>
      </c>
      <c r="AP101">
        <v>4.9397219902999799E-2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0.84807660884484704</v>
      </c>
      <c r="AX101" t="s">
        <v>79</v>
      </c>
      <c r="AY101">
        <v>3305602.0035701799</v>
      </c>
      <c r="AZ101" t="s">
        <v>76</v>
      </c>
      <c r="BA101">
        <v>-1.5707963267949001</v>
      </c>
      <c r="BB101">
        <v>0.83177668017866901</v>
      </c>
      <c r="BC101">
        <v>3.9555286415089198E-4</v>
      </c>
      <c r="BD101">
        <v>4.4641197838747503E-2</v>
      </c>
      <c r="BE101">
        <v>1.9453984793226999E-3</v>
      </c>
      <c r="BF101" s="1">
        <v>4.2020660003066098E-7</v>
      </c>
      <c r="BG101">
        <v>5.3872459302209998E-3</v>
      </c>
      <c r="BH101">
        <v>2.8690241830755699E-2</v>
      </c>
      <c r="BI101" s="1">
        <v>1.5507886147026799E-6</v>
      </c>
      <c r="BJ101">
        <v>0.22737668026122801</v>
      </c>
      <c r="BK101">
        <v>0.71323003779160399</v>
      </c>
      <c r="BL101" s="1">
        <v>9.5984138523561201E-5</v>
      </c>
      <c r="BM101">
        <v>2.27373575745584E-4</v>
      </c>
      <c r="BN101" s="1">
        <v>3.4735634976998699E-7</v>
      </c>
      <c r="BO101" s="1">
        <v>3.5715757759138398E-6</v>
      </c>
      <c r="BP101">
        <v>0</v>
      </c>
      <c r="BQ101">
        <v>0</v>
      </c>
      <c r="BR101" s="1">
        <v>5.9712613343353801E-5</v>
      </c>
      <c r="BS101">
        <v>1.2840837565290599E-4</v>
      </c>
    </row>
    <row r="102" spans="1:71" x14ac:dyDescent="0.25">
      <c r="A102">
        <v>99</v>
      </c>
      <c r="B102">
        <v>1.5636644988848301E-4</v>
      </c>
      <c r="C102">
        <v>9.5126039251403394E-2</v>
      </c>
      <c r="D102">
        <v>-2.1790707870356099E-4</v>
      </c>
      <c r="E102">
        <v>-2.1790707870356099E-4</v>
      </c>
      <c r="F102">
        <v>-9.5126039251403397E-4</v>
      </c>
      <c r="G102">
        <v>-9.5126039251403397E-4</v>
      </c>
      <c r="H102" t="s">
        <v>74</v>
      </c>
      <c r="I102">
        <v>0</v>
      </c>
      <c r="J102" t="s">
        <v>75</v>
      </c>
      <c r="K102">
        <v>3.14159265358979</v>
      </c>
      <c r="L102">
        <v>0.84007072306291297</v>
      </c>
      <c r="M102">
        <v>0</v>
      </c>
      <c r="N102">
        <v>4.9324808601780103E-2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0.84683558442394102</v>
      </c>
      <c r="V102" t="s">
        <v>79</v>
      </c>
      <c r="W102">
        <v>3315468.25624078</v>
      </c>
      <c r="X102" t="s">
        <v>76</v>
      </c>
      <c r="Y102">
        <v>-1.5707963267949001</v>
      </c>
      <c r="Z102">
        <v>0.83025363811641895</v>
      </c>
      <c r="AA102">
        <v>4.1971923868692801E-4</v>
      </c>
      <c r="AB102">
        <v>4.4459697867524198E-2</v>
      </c>
      <c r="AC102">
        <v>1.9951825106510001E-3</v>
      </c>
      <c r="AD102" s="1">
        <v>3.1297086408311202E-7</v>
      </c>
      <c r="AE102">
        <v>5.4065504563707099E-3</v>
      </c>
      <c r="AF102">
        <v>2.9182690388281599E-2</v>
      </c>
      <c r="AG102" s="1">
        <v>1.1442018542285E-6</v>
      </c>
      <c r="AH102">
        <v>0.22923790494072999</v>
      </c>
      <c r="AI102">
        <v>0.71097568319527604</v>
      </c>
      <c r="AJ102" t="s">
        <v>74</v>
      </c>
      <c r="AK102">
        <v>0</v>
      </c>
      <c r="AL102" t="s">
        <v>77</v>
      </c>
      <c r="AM102">
        <v>0</v>
      </c>
      <c r="AN102">
        <v>0.84006451584368202</v>
      </c>
      <c r="AO102">
        <v>0</v>
      </c>
      <c r="AP102">
        <v>4.93244441444885E-2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0.84682933309105901</v>
      </c>
      <c r="AX102" t="s">
        <v>79</v>
      </c>
      <c r="AY102">
        <v>3315468.25624078</v>
      </c>
      <c r="AZ102" t="s">
        <v>76</v>
      </c>
      <c r="BA102">
        <v>-1.5707963267949001</v>
      </c>
      <c r="BB102">
        <v>0.83024750343488896</v>
      </c>
      <c r="BC102">
        <v>4.1965649811813698E-4</v>
      </c>
      <c r="BD102">
        <v>4.4459369358169E-2</v>
      </c>
      <c r="BE102">
        <v>1.9952293878820701E-3</v>
      </c>
      <c r="BF102" s="1">
        <v>3.1297805980163901E-7</v>
      </c>
      <c r="BG102">
        <v>5.4065628106105502E-3</v>
      </c>
      <c r="BH102">
        <v>2.9182560057590901E-2</v>
      </c>
      <c r="BI102" s="1">
        <v>1.14427986228682E-6</v>
      </c>
      <c r="BJ102">
        <v>0.22924727064832201</v>
      </c>
      <c r="BK102">
        <v>0.71096444907493905</v>
      </c>
      <c r="BL102" s="1">
        <v>9.5779365935247401E-5</v>
      </c>
      <c r="BM102">
        <v>2.2924373203538401E-4</v>
      </c>
      <c r="BN102" s="1">
        <v>3.4651843682935701E-7</v>
      </c>
      <c r="BO102" s="1">
        <v>3.6009521222193499E-6</v>
      </c>
      <c r="BP102">
        <v>0</v>
      </c>
      <c r="BQ102">
        <v>0</v>
      </c>
      <c r="BR102" s="1">
        <v>5.9613290557331802E-5</v>
      </c>
      <c r="BS102">
        <v>1.2949508655525201E-4</v>
      </c>
    </row>
    <row r="103" spans="1:71" x14ac:dyDescent="0.25">
      <c r="A103">
        <v>100</v>
      </c>
      <c r="B103">
        <v>1.5599294295775499E-4</v>
      </c>
      <c r="C103">
        <v>9.5282032194361099E-2</v>
      </c>
      <c r="D103">
        <v>-2.18818832434892E-4</v>
      </c>
      <c r="E103">
        <v>-2.18818832434892E-4</v>
      </c>
      <c r="F103">
        <v>-9.5282032194361104E-4</v>
      </c>
      <c r="G103">
        <v>-9.5282032194361104E-4</v>
      </c>
      <c r="H103" t="s">
        <v>74</v>
      </c>
      <c r="I103">
        <v>0</v>
      </c>
      <c r="J103" t="s">
        <v>75</v>
      </c>
      <c r="K103">
        <v>3.14159265358979</v>
      </c>
      <c r="L103">
        <v>0.83883147226589505</v>
      </c>
      <c r="M103">
        <v>0</v>
      </c>
      <c r="N103">
        <v>4.9252045908480098E-2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0.84558811986352</v>
      </c>
      <c r="V103" t="s">
        <v>79</v>
      </c>
      <c r="W103">
        <v>3325303.2464185399</v>
      </c>
      <c r="X103" t="s">
        <v>76</v>
      </c>
      <c r="Y103">
        <v>-1.5707963267949001</v>
      </c>
      <c r="Z103">
        <v>0.82872182654988802</v>
      </c>
      <c r="AA103">
        <v>4.4434133565424703E-4</v>
      </c>
      <c r="AB103">
        <v>4.42775856246806E-2</v>
      </c>
      <c r="AC103">
        <v>2.0456526013479899E-3</v>
      </c>
      <c r="AD103" s="1">
        <v>2.3352440633479399E-7</v>
      </c>
      <c r="AE103">
        <v>5.4259781596726203E-3</v>
      </c>
      <c r="AF103">
        <v>2.96795844693339E-2</v>
      </c>
      <c r="AG103" s="1">
        <v>8.4583851161598804E-7</v>
      </c>
      <c r="AH103">
        <v>0.23110805143397001</v>
      </c>
      <c r="AI103">
        <v>0.70871226934285503</v>
      </c>
      <c r="AJ103" t="s">
        <v>74</v>
      </c>
      <c r="AK103">
        <v>0</v>
      </c>
      <c r="AL103" t="s">
        <v>77</v>
      </c>
      <c r="AM103">
        <v>0</v>
      </c>
      <c r="AN103">
        <v>0.83882522870100895</v>
      </c>
      <c r="AO103">
        <v>0</v>
      </c>
      <c r="AP103">
        <v>4.9251679317151E-2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0.84558183080257299</v>
      </c>
      <c r="AX103" t="s">
        <v>79</v>
      </c>
      <c r="AY103">
        <v>3325303.2464185399</v>
      </c>
      <c r="AZ103" t="s">
        <v>76</v>
      </c>
      <c r="BA103">
        <v>-1.5707963267949001</v>
      </c>
      <c r="BB103">
        <v>0.82871565823280902</v>
      </c>
      <c r="BC103">
        <v>4.4427967740660602E-4</v>
      </c>
      <c r="BD103">
        <v>4.42772560591028E-2</v>
      </c>
      <c r="BE103">
        <v>2.0457012416924699E-3</v>
      </c>
      <c r="BF103" s="1">
        <v>2.3352972428758699E-7</v>
      </c>
      <c r="BG103">
        <v>5.4259912669442304E-3</v>
      </c>
      <c r="BH103">
        <v>2.9679445227215599E-2</v>
      </c>
      <c r="BI103" s="1">
        <v>8.4589595281457703E-7</v>
      </c>
      <c r="BJ103">
        <v>0.23111747200240501</v>
      </c>
      <c r="BK103">
        <v>0.70870097839493895</v>
      </c>
      <c r="BL103" s="1">
        <v>9.5574960376227494E-5</v>
      </c>
      <c r="BM103">
        <v>2.3111360758542001E-4</v>
      </c>
      <c r="BN103" s="1">
        <v>3.4568778490429198E-7</v>
      </c>
      <c r="BO103" s="1">
        <v>3.6303240586749502E-6</v>
      </c>
      <c r="BP103">
        <v>0</v>
      </c>
      <c r="BQ103">
        <v>0</v>
      </c>
      <c r="BR103" s="1">
        <v>5.9514057206925598E-5</v>
      </c>
      <c r="BS103">
        <v>1.3058206520471599E-4</v>
      </c>
    </row>
    <row r="104" spans="1:71" x14ac:dyDescent="0.25">
      <c r="A104">
        <v>101</v>
      </c>
      <c r="B104">
        <v>1.5562382238348401E-4</v>
      </c>
      <c r="C104">
        <v>9.5437656016744601E-2</v>
      </c>
      <c r="D104">
        <v>-2.19727719262667E-4</v>
      </c>
      <c r="E104">
        <v>-2.19727719262667E-4</v>
      </c>
      <c r="F104">
        <v>-9.5437656016744601E-4</v>
      </c>
      <c r="G104">
        <v>-9.5437656016744601E-4</v>
      </c>
      <c r="H104" t="s">
        <v>74</v>
      </c>
      <c r="I104">
        <v>0</v>
      </c>
      <c r="J104" t="s">
        <v>75</v>
      </c>
      <c r="K104">
        <v>3.14159265358979</v>
      </c>
      <c r="L104">
        <v>0.83759244355233198</v>
      </c>
      <c r="M104">
        <v>0</v>
      </c>
      <c r="N104">
        <v>4.9179296254825103E-2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0.84434054569268502</v>
      </c>
      <c r="V104" t="s">
        <v>79</v>
      </c>
      <c r="W104">
        <v>3335107.3116136598</v>
      </c>
      <c r="X104" t="s">
        <v>76</v>
      </c>
      <c r="Y104">
        <v>-1.5707963267949001</v>
      </c>
      <c r="Z104">
        <v>0.82718737373751605</v>
      </c>
      <c r="AA104">
        <v>4.69490560085703E-4</v>
      </c>
      <c r="AB104">
        <v>4.4095290046032701E-2</v>
      </c>
      <c r="AC104">
        <v>2.0967151777237601E-3</v>
      </c>
      <c r="AD104" s="1">
        <v>1.74553218386789E-7</v>
      </c>
      <c r="AE104">
        <v>5.4455185305272999E-3</v>
      </c>
      <c r="AF104">
        <v>3.0181047233725101E-2</v>
      </c>
      <c r="AG104" s="1">
        <v>6.2642198378722105E-7</v>
      </c>
      <c r="AH104">
        <v>0.23297778388895701</v>
      </c>
      <c r="AI104">
        <v>0.70645104414188498</v>
      </c>
      <c r="AJ104" t="s">
        <v>74</v>
      </c>
      <c r="AK104">
        <v>0</v>
      </c>
      <c r="AL104" t="s">
        <v>77</v>
      </c>
      <c r="AM104">
        <v>0</v>
      </c>
      <c r="AN104">
        <v>0.83758616386723295</v>
      </c>
      <c r="AO104">
        <v>0</v>
      </c>
      <c r="AP104">
        <v>4.9178927542695101E-2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0.84433421933844799</v>
      </c>
      <c r="AX104" t="s">
        <v>79</v>
      </c>
      <c r="AY104">
        <v>3335107.3116136598</v>
      </c>
      <c r="AZ104" t="s">
        <v>76</v>
      </c>
      <c r="BA104">
        <v>-1.5707963267949001</v>
      </c>
      <c r="BB104">
        <v>0.82718117206238695</v>
      </c>
      <c r="BC104">
        <v>4.6943000497987801E-4</v>
      </c>
      <c r="BD104">
        <v>4.4094959450242298E-2</v>
      </c>
      <c r="BE104">
        <v>2.09676559723643E-3</v>
      </c>
      <c r="BF104" s="1">
        <v>1.7455715514324701E-7</v>
      </c>
      <c r="BG104">
        <v>5.4455323939917302E-3</v>
      </c>
      <c r="BH104">
        <v>3.0180898934980299E-2</v>
      </c>
      <c r="BI104" s="1">
        <v>6.2646435708867603E-7</v>
      </c>
      <c r="BJ104">
        <v>0.23298725897257699</v>
      </c>
      <c r="BK104">
        <v>0.70643969690507902</v>
      </c>
      <c r="BL104" s="1">
        <v>9.5370977034377695E-5</v>
      </c>
      <c r="BM104">
        <v>2.32983147873937E-4</v>
      </c>
      <c r="BN104" s="1">
        <v>3.4486509401524102E-7</v>
      </c>
      <c r="BO104" s="1">
        <v>3.65969072885493E-6</v>
      </c>
      <c r="BP104">
        <v>0</v>
      </c>
      <c r="BQ104">
        <v>0</v>
      </c>
      <c r="BR104" s="1">
        <v>5.9414945656426901E-5</v>
      </c>
      <c r="BS104">
        <v>1.3166927978978E-4</v>
      </c>
    </row>
    <row r="105" spans="1:71" x14ac:dyDescent="0.25">
      <c r="A105">
        <v>102</v>
      </c>
      <c r="B105">
        <v>1.5525901257074399E-4</v>
      </c>
      <c r="C105">
        <v>9.5592915029315398E-2</v>
      </c>
      <c r="D105">
        <v>-2.2063376993432699E-4</v>
      </c>
      <c r="E105">
        <v>-2.2063376993432699E-4</v>
      </c>
      <c r="F105">
        <v>-9.5592915029315401E-4</v>
      </c>
      <c r="G105">
        <v>-9.5592915029315401E-4</v>
      </c>
      <c r="H105" t="s">
        <v>74</v>
      </c>
      <c r="I105">
        <v>0</v>
      </c>
      <c r="J105" t="s">
        <v>75</v>
      </c>
      <c r="K105">
        <v>3.14159265358979</v>
      </c>
      <c r="L105">
        <v>0.83635366747256301</v>
      </c>
      <c r="M105">
        <v>0</v>
      </c>
      <c r="N105">
        <v>4.9106561434580101E-2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0.84309295746012003</v>
      </c>
      <c r="V105" t="s">
        <v>79</v>
      </c>
      <c r="W105">
        <v>3344880.78349549</v>
      </c>
      <c r="X105" t="s">
        <v>76</v>
      </c>
      <c r="Y105">
        <v>-1.5707963267949001</v>
      </c>
      <c r="Z105">
        <v>0.82565030169489095</v>
      </c>
      <c r="AA105">
        <v>4.9517446321149501E-4</v>
      </c>
      <c r="AB105">
        <v>4.3912959797222102E-2</v>
      </c>
      <c r="AC105">
        <v>2.1483673942195901E-3</v>
      </c>
      <c r="AD105" s="1">
        <v>1.3070156580416999E-7</v>
      </c>
      <c r="AE105">
        <v>5.4651726518838203E-3</v>
      </c>
      <c r="AF105">
        <v>3.0687080081659299E-2</v>
      </c>
      <c r="AG105" s="1">
        <v>4.6476249754020103E-7</v>
      </c>
      <c r="AH105">
        <v>0.234847077399472</v>
      </c>
      <c r="AI105">
        <v>0.70419206840929904</v>
      </c>
      <c r="AJ105" t="s">
        <v>74</v>
      </c>
      <c r="AK105">
        <v>0</v>
      </c>
      <c r="AL105" t="s">
        <v>77</v>
      </c>
      <c r="AM105">
        <v>0</v>
      </c>
      <c r="AN105">
        <v>0.83634735189451204</v>
      </c>
      <c r="AO105">
        <v>0</v>
      </c>
      <c r="AP105">
        <v>4.9106190614993099E-2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0.84308659420840903</v>
      </c>
      <c r="AX105" t="s">
        <v>79</v>
      </c>
      <c r="AY105">
        <v>3344880.78349549</v>
      </c>
      <c r="AZ105" t="s">
        <v>76</v>
      </c>
      <c r="BA105">
        <v>-1.5707963267949001</v>
      </c>
      <c r="BB105">
        <v>0.82564406694143</v>
      </c>
      <c r="BC105">
        <v>4.95115032320705E-4</v>
      </c>
      <c r="BD105">
        <v>4.3912628196207101E-2</v>
      </c>
      <c r="BE105">
        <v>2.1484196088104599E-3</v>
      </c>
      <c r="BF105" s="1">
        <v>1.3070448488264601E-7</v>
      </c>
      <c r="BG105">
        <v>5.4651872747355302E-3</v>
      </c>
      <c r="BH105">
        <v>3.0686922579779299E-2</v>
      </c>
      <c r="BI105" s="1">
        <v>4.6479381133188898E-7</v>
      </c>
      <c r="BJ105">
        <v>0.23485660665136299</v>
      </c>
      <c r="BK105">
        <v>0.70418066542479696</v>
      </c>
      <c r="BL105" s="1">
        <v>9.5167563523016206E-5</v>
      </c>
      <c r="BM105">
        <v>2.3485230680357199E-4</v>
      </c>
      <c r="BN105" s="1">
        <v>3.4405178868175198E-7</v>
      </c>
      <c r="BO105" s="1">
        <v>3.6890514086635901E-6</v>
      </c>
      <c r="BP105">
        <v>0</v>
      </c>
      <c r="BQ105">
        <v>0</v>
      </c>
      <c r="BR105" s="1">
        <v>5.9316040496321898E-5</v>
      </c>
      <c r="BS105">
        <v>1.327567032454E-4</v>
      </c>
    </row>
    <row r="106" spans="1:71" x14ac:dyDescent="0.25">
      <c r="A106">
        <v>103</v>
      </c>
      <c r="B106">
        <v>1.5489845011182601E-4</v>
      </c>
      <c r="C106">
        <v>9.5747813479427193E-2</v>
      </c>
      <c r="D106">
        <v>-2.2153701472929499E-4</v>
      </c>
      <c r="E106">
        <v>-2.2153701472929499E-4</v>
      </c>
      <c r="F106">
        <v>-9.5747813479427199E-4</v>
      </c>
      <c r="G106">
        <v>-9.5747813479427199E-4</v>
      </c>
      <c r="H106" t="s">
        <v>74</v>
      </c>
      <c r="I106">
        <v>0</v>
      </c>
      <c r="J106" t="s">
        <v>75</v>
      </c>
      <c r="K106">
        <v>3.14159265358979</v>
      </c>
      <c r="L106">
        <v>0.83511517045587602</v>
      </c>
      <c r="M106">
        <v>0</v>
      </c>
      <c r="N106">
        <v>4.9033842999542498E-2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0.84184543362789299</v>
      </c>
      <c r="V106" t="s">
        <v>79</v>
      </c>
      <c r="W106">
        <v>3354623.9886849602</v>
      </c>
      <c r="X106" t="s">
        <v>76</v>
      </c>
      <c r="Y106">
        <v>-1.5707963267949001</v>
      </c>
      <c r="Z106">
        <v>0.82411062839545601</v>
      </c>
      <c r="AA106">
        <v>5.2140057280112098E-4</v>
      </c>
      <c r="AB106">
        <v>4.3730787278156401E-2</v>
      </c>
      <c r="AC106">
        <v>2.2006472740884299E-3</v>
      </c>
      <c r="AD106" s="1">
        <v>9.80350454270741E-8</v>
      </c>
      <c r="AE106">
        <v>5.4849416023570801E-3</v>
      </c>
      <c r="AF106">
        <v>3.1197684241485401E-2</v>
      </c>
      <c r="AG106" s="1">
        <v>3.45437657418048E-7</v>
      </c>
      <c r="AH106">
        <v>0.236715907509982</v>
      </c>
      <c r="AI106">
        <v>0.70193539530529603</v>
      </c>
      <c r="AJ106" t="s">
        <v>74</v>
      </c>
      <c r="AK106">
        <v>0</v>
      </c>
      <c r="AL106" t="s">
        <v>77</v>
      </c>
      <c r="AM106">
        <v>0</v>
      </c>
      <c r="AN106">
        <v>0.83510881921366298</v>
      </c>
      <c r="AO106">
        <v>0</v>
      </c>
      <c r="AP106">
        <v>4.9033470085931903E-2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0.84183903384347003</v>
      </c>
      <c r="AX106" t="s">
        <v>79</v>
      </c>
      <c r="AY106">
        <v>3354623.9886849602</v>
      </c>
      <c r="AZ106" t="s">
        <v>76</v>
      </c>
      <c r="BA106">
        <v>-1.5707963267949001</v>
      </c>
      <c r="BB106">
        <v>0.82410436084530703</v>
      </c>
      <c r="BC106">
        <v>5.2134228744670505E-4</v>
      </c>
      <c r="BD106">
        <v>4.37304546954995E-2</v>
      </c>
      <c r="BE106">
        <v>2.2007013007049399E-3</v>
      </c>
      <c r="BF106" s="1">
        <v>9.8037213408973194E-8</v>
      </c>
      <c r="BG106">
        <v>5.4849569878230803E-3</v>
      </c>
      <c r="BH106">
        <v>3.11975173886575E-2</v>
      </c>
      <c r="BI106" s="1">
        <v>3.45460839020835E-7</v>
      </c>
      <c r="BJ106">
        <v>0.23672549058200801</v>
      </c>
      <c r="BK106">
        <v>0.70192393711627399</v>
      </c>
      <c r="BL106" s="1">
        <v>9.4964951816961898E-5</v>
      </c>
      <c r="BM106">
        <v>2.3672104449524301E-4</v>
      </c>
      <c r="BN106" s="1">
        <v>3.4324995468154198E-7</v>
      </c>
      <c r="BO106" s="1">
        <v>3.7184054716817898E-6</v>
      </c>
      <c r="BP106">
        <v>0</v>
      </c>
      <c r="BQ106">
        <v>0</v>
      </c>
      <c r="BR106" s="1">
        <v>5.9217474055937597E-5</v>
      </c>
      <c r="BS106">
        <v>1.3384431201323501E-4</v>
      </c>
    </row>
    <row r="107" spans="1:71" x14ac:dyDescent="0.25">
      <c r="A107">
        <v>104</v>
      </c>
      <c r="B107">
        <v>1.5454208032686999E-4</v>
      </c>
      <c r="C107">
        <v>9.5902355559754099E-2</v>
      </c>
      <c r="D107">
        <v>-2.2243748351193299E-4</v>
      </c>
      <c r="E107">
        <v>-2.2243748351193299E-4</v>
      </c>
      <c r="F107">
        <v>-9.5902355559754099E-4</v>
      </c>
      <c r="G107">
        <v>-9.5902355559754099E-4</v>
      </c>
      <c r="H107" t="s">
        <v>74</v>
      </c>
      <c r="I107">
        <v>0</v>
      </c>
      <c r="J107" t="s">
        <v>75</v>
      </c>
      <c r="K107">
        <v>3.14159265358979</v>
      </c>
      <c r="L107">
        <v>0.83387697586323495</v>
      </c>
      <c r="M107">
        <v>0</v>
      </c>
      <c r="N107">
        <v>4.8961142321353103E-2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0.840598039262338</v>
      </c>
      <c r="V107" t="s">
        <v>79</v>
      </c>
      <c r="W107">
        <v>3364337.2493257402</v>
      </c>
      <c r="X107" t="s">
        <v>76</v>
      </c>
      <c r="Y107">
        <v>-1.5707963267949001</v>
      </c>
      <c r="Z107">
        <v>0.82256836879901396</v>
      </c>
      <c r="AA107">
        <v>5.4817641377602195E-4</v>
      </c>
      <c r="AB107">
        <v>4.35490013732278E-2</v>
      </c>
      <c r="AC107">
        <v>2.2535537044358002E-3</v>
      </c>
      <c r="AD107" s="1">
        <v>7.3658012656041405E-8</v>
      </c>
      <c r="AE107">
        <v>5.5048264617089402E-3</v>
      </c>
      <c r="AF107">
        <v>3.1712860788109899E-2</v>
      </c>
      <c r="AG107" s="1">
        <v>2.5720115361348998E-7</v>
      </c>
      <c r="AH107">
        <v>0.23858425021851801</v>
      </c>
      <c r="AI107">
        <v>0.69968107226026899</v>
      </c>
      <c r="AJ107" t="s">
        <v>74</v>
      </c>
      <c r="AK107">
        <v>0</v>
      </c>
      <c r="AL107" t="s">
        <v>77</v>
      </c>
      <c r="AM107">
        <v>0</v>
      </c>
      <c r="AN107">
        <v>0.833870589186959</v>
      </c>
      <c r="AO107">
        <v>0</v>
      </c>
      <c r="AP107">
        <v>4.89607673272291E-2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0.84059160328522597</v>
      </c>
      <c r="AX107" t="s">
        <v>79</v>
      </c>
      <c r="AY107">
        <v>3364337.2493257402</v>
      </c>
      <c r="AZ107" t="s">
        <v>76</v>
      </c>
      <c r="BA107">
        <v>-1.5707963267949001</v>
      </c>
      <c r="BB107">
        <v>0.82256206873552895</v>
      </c>
      <c r="BC107">
        <v>5.4811929552441301E-4</v>
      </c>
      <c r="BD107">
        <v>4.3548667830772499E-2</v>
      </c>
      <c r="BE107">
        <v>2.2536095599259101E-3</v>
      </c>
      <c r="BF107" s="1">
        <v>7.3659625371750904E-8</v>
      </c>
      <c r="BG107">
        <v>5.5048426130482799E-3</v>
      </c>
      <c r="BH107">
        <v>3.1712684435222099E-2</v>
      </c>
      <c r="BI107" s="1">
        <v>2.5721834479601202E-7</v>
      </c>
      <c r="BJ107">
        <v>0.23859388676135099</v>
      </c>
      <c r="BK107">
        <v>0.699669559411501</v>
      </c>
      <c r="BL107" s="1">
        <v>9.4763371058472103E-5</v>
      </c>
      <c r="BM107">
        <v>2.3858932569968401E-4</v>
      </c>
      <c r="BN107" s="1">
        <v>3.42461841595044E-7</v>
      </c>
      <c r="BO107" s="1">
        <v>3.7477523642153398E-6</v>
      </c>
      <c r="BP107">
        <v>0</v>
      </c>
      <c r="BQ107">
        <v>0</v>
      </c>
      <c r="BR107" s="1">
        <v>5.9119377154827701E-5</v>
      </c>
      <c r="BS107">
        <v>1.34932085148792E-4</v>
      </c>
    </row>
    <row r="108" spans="1:71" x14ac:dyDescent="0.25">
      <c r="A108">
        <v>105</v>
      </c>
      <c r="B108">
        <v>1.5418985480412101E-4</v>
      </c>
      <c r="C108">
        <v>9.60565454145582E-2</v>
      </c>
      <c r="D108">
        <v>-2.23335205769912E-4</v>
      </c>
      <c r="E108">
        <v>-2.23335205769912E-4</v>
      </c>
      <c r="F108">
        <v>-9.6056545414558196E-4</v>
      </c>
      <c r="G108">
        <v>-9.6056545414558196E-4</v>
      </c>
      <c r="H108" t="s">
        <v>74</v>
      </c>
      <c r="I108">
        <v>0</v>
      </c>
      <c r="J108" t="s">
        <v>75</v>
      </c>
      <c r="K108">
        <v>3.14159265358979</v>
      </c>
      <c r="L108">
        <v>0.83263910474717695</v>
      </c>
      <c r="M108">
        <v>0</v>
      </c>
      <c r="N108">
        <v>4.8888460636112803E-2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0.83935082889287305</v>
      </c>
      <c r="V108" t="s">
        <v>79</v>
      </c>
      <c r="W108">
        <v>3374020.88349819</v>
      </c>
      <c r="X108" t="s">
        <v>76</v>
      </c>
      <c r="Y108">
        <v>-1.5707963267949001</v>
      </c>
      <c r="Z108">
        <v>0.821023535593428</v>
      </c>
      <c r="AA108">
        <v>5.75509523432165E-4</v>
      </c>
      <c r="AB108">
        <v>4.33678546191818E-2</v>
      </c>
      <c r="AC108">
        <v>2.3070664066300898E-3</v>
      </c>
      <c r="AD108" s="1">
        <v>5.5435416718059403E-8</v>
      </c>
      <c r="AE108">
        <v>5.52482831489609E-3</v>
      </c>
      <c r="AF108">
        <v>3.2232610656940199E-2</v>
      </c>
      <c r="AG108" s="1">
        <v>1.91836408550821E-7</v>
      </c>
      <c r="AH108">
        <v>0.24045208197646301</v>
      </c>
      <c r="AI108">
        <v>0.69742914236573395</v>
      </c>
      <c r="AJ108" t="s">
        <v>74</v>
      </c>
      <c r="AK108">
        <v>0</v>
      </c>
      <c r="AL108" t="s">
        <v>77</v>
      </c>
      <c r="AM108">
        <v>0</v>
      </c>
      <c r="AN108">
        <v>0.83263268286808301</v>
      </c>
      <c r="AO108">
        <v>0</v>
      </c>
      <c r="AP108">
        <v>4.8888083575052997E-2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0.83934435704339505</v>
      </c>
      <c r="AX108" t="s">
        <v>79</v>
      </c>
      <c r="AY108">
        <v>3374020.88349819</v>
      </c>
      <c r="AZ108" t="s">
        <v>76</v>
      </c>
      <c r="BA108">
        <v>-1.5707963267949001</v>
      </c>
      <c r="BB108">
        <v>0.82101720330150396</v>
      </c>
      <c r="BC108">
        <v>5.7545359409286699E-4</v>
      </c>
      <c r="BD108">
        <v>4.3367520136790398E-2</v>
      </c>
      <c r="BE108">
        <v>2.3071241072009701E-3</v>
      </c>
      <c r="BF108" s="1">
        <v>5.5436618268495501E-8</v>
      </c>
      <c r="BG108">
        <v>5.5248452353995701E-3</v>
      </c>
      <c r="BH108">
        <v>3.2232424653584703E-2</v>
      </c>
      <c r="BI108" s="1">
        <v>1.91849179192528E-7</v>
      </c>
      <c r="BJ108">
        <v>0.24046177163961899</v>
      </c>
      <c r="BK108">
        <v>0.69741757540329297</v>
      </c>
      <c r="BL108" s="1">
        <v>9.4563054740484493E-5</v>
      </c>
      <c r="BM108">
        <v>2.40457118650835E-4</v>
      </c>
      <c r="BN108" s="1">
        <v>3.4168984008352998E-7</v>
      </c>
      <c r="BO108" s="1">
        <v>3.77709158728416E-6</v>
      </c>
      <c r="BP108">
        <v>0</v>
      </c>
      <c r="BQ108">
        <v>0</v>
      </c>
      <c r="BR108" s="1">
        <v>5.9021883169443302E-5</v>
      </c>
      <c r="BS108">
        <v>1.36020003676824E-4</v>
      </c>
    </row>
    <row r="109" spans="1:71" x14ac:dyDescent="0.25">
      <c r="A109">
        <v>106</v>
      </c>
      <c r="B109">
        <v>1.53841729648966E-4</v>
      </c>
      <c r="C109">
        <v>9.6210387144207099E-2</v>
      </c>
      <c r="D109">
        <v>-2.2423021064221099E-4</v>
      </c>
      <c r="E109">
        <v>-2.2423021064221099E-4</v>
      </c>
      <c r="F109">
        <v>-9.6210387144207102E-4</v>
      </c>
      <c r="G109">
        <v>-9.6210387144207102E-4</v>
      </c>
      <c r="H109" t="s">
        <v>74</v>
      </c>
      <c r="I109">
        <v>0</v>
      </c>
      <c r="J109" t="s">
        <v>75</v>
      </c>
      <c r="K109">
        <v>3.14159265358979</v>
      </c>
      <c r="L109">
        <v>0.83140157640178203</v>
      </c>
      <c r="M109">
        <v>0</v>
      </c>
      <c r="N109">
        <v>4.8815799076674903E-2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0.83810384873015098</v>
      </c>
      <c r="V109" t="s">
        <v>79</v>
      </c>
      <c r="W109">
        <v>3383675.20552136</v>
      </c>
      <c r="X109" t="s">
        <v>76</v>
      </c>
      <c r="Y109">
        <v>-1.5707963267949001</v>
      </c>
      <c r="Z109">
        <v>0.81947613973081002</v>
      </c>
      <c r="AA109">
        <v>6.0340746273014601E-4</v>
      </c>
      <c r="AB109">
        <v>4.3187603852796803E-2</v>
      </c>
      <c r="AC109">
        <v>2.3612379177859202E-3</v>
      </c>
      <c r="AD109" s="1">
        <v>4.1790162649019399E-8</v>
      </c>
      <c r="AE109">
        <v>5.5449482550733696E-3</v>
      </c>
      <c r="AF109">
        <v>3.2756934654590203E-2</v>
      </c>
      <c r="AG109" s="1">
        <v>1.4332912827354901E-7</v>
      </c>
      <c r="AH109">
        <v>0.24231937968616599</v>
      </c>
      <c r="AI109">
        <v>0.69517964538121002</v>
      </c>
      <c r="AJ109" t="s">
        <v>74</v>
      </c>
      <c r="AK109">
        <v>0</v>
      </c>
      <c r="AL109" t="s">
        <v>77</v>
      </c>
      <c r="AM109">
        <v>0</v>
      </c>
      <c r="AN109">
        <v>0.83139511955213896</v>
      </c>
      <c r="AO109">
        <v>0</v>
      </c>
      <c r="AP109">
        <v>4.8815419962316899E-2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0.83809734131294999</v>
      </c>
      <c r="AX109" t="s">
        <v>79</v>
      </c>
      <c r="AY109">
        <v>3383675.20552136</v>
      </c>
      <c r="AZ109" t="s">
        <v>76</v>
      </c>
      <c r="BA109">
        <v>-1.5707963267949001</v>
      </c>
      <c r="BB109">
        <v>0.81946977549676203</v>
      </c>
      <c r="BC109">
        <v>6.0335274435444899E-4</v>
      </c>
      <c r="BD109">
        <v>4.3187268448255302E-2</v>
      </c>
      <c r="BE109">
        <v>2.3612974810755202E-3</v>
      </c>
      <c r="BF109" s="1">
        <v>4.1791059247657997E-8</v>
      </c>
      <c r="BG109">
        <v>5.5449659480633897E-3</v>
      </c>
      <c r="BH109">
        <v>3.2756738849067303E-2</v>
      </c>
      <c r="BI109" s="1">
        <v>1.4333863114166901E-7</v>
      </c>
      <c r="BJ109">
        <v>0.24232912211803001</v>
      </c>
      <c r="BK109">
        <v>0.69516802485224904</v>
      </c>
      <c r="BL109" s="1">
        <v>9.4364313369452694E-5</v>
      </c>
      <c r="BM109">
        <v>2.4232439423597799E-4</v>
      </c>
      <c r="BN109" s="1">
        <v>3.4093677672511302E-7</v>
      </c>
      <c r="BO109" s="1">
        <v>3.8064226835867201E-6</v>
      </c>
      <c r="BP109">
        <v>0</v>
      </c>
      <c r="BQ109">
        <v>0</v>
      </c>
      <c r="BR109" s="1">
        <v>5.8925169152474297E-5</v>
      </c>
      <c r="BS109">
        <v>1.3710805012471001E-4</v>
      </c>
    </row>
    <row r="110" spans="1:71" x14ac:dyDescent="0.25">
      <c r="A110">
        <v>107</v>
      </c>
      <c r="B110">
        <v>1.5349766423671099E-4</v>
      </c>
      <c r="C110">
        <v>9.6363884808443906E-2</v>
      </c>
      <c r="D110">
        <v>-2.2512252693972801E-4</v>
      </c>
      <c r="E110">
        <v>-2.2512252693972801E-4</v>
      </c>
      <c r="F110">
        <v>-9.6363884808443802E-4</v>
      </c>
      <c r="G110">
        <v>-9.6363884808443802E-4</v>
      </c>
      <c r="H110" t="s">
        <v>74</v>
      </c>
      <c r="I110">
        <v>0</v>
      </c>
      <c r="J110" t="s">
        <v>75</v>
      </c>
      <c r="K110">
        <v>3.14159265358979</v>
      </c>
      <c r="L110">
        <v>0.83016440876187303</v>
      </c>
      <c r="M110">
        <v>0</v>
      </c>
      <c r="N110">
        <v>4.8743158696083699E-2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0.83685713839039999</v>
      </c>
      <c r="V110" t="s">
        <v>79</v>
      </c>
      <c r="W110">
        <v>3393300.52617535</v>
      </c>
      <c r="X110" t="s">
        <v>76</v>
      </c>
      <c r="Y110">
        <v>-1.5707963267949001</v>
      </c>
      <c r="Z110">
        <v>0.81792619081616202</v>
      </c>
      <c r="AA110">
        <v>6.3187782471136602E-4</v>
      </c>
      <c r="AB110">
        <v>4.3008485191859E-2</v>
      </c>
      <c r="AC110">
        <v>2.4160526664667101E-3</v>
      </c>
      <c r="AD110" s="1">
        <v>3.1555213906445299E-8</v>
      </c>
      <c r="AE110">
        <v>5.5651873858347202E-3</v>
      </c>
      <c r="AF110">
        <v>3.3285833467236202E-2</v>
      </c>
      <c r="AG110" s="1">
        <v>1.07268879546754E-7</v>
      </c>
      <c r="AH110">
        <v>0.24418612069703499</v>
      </c>
      <c r="AI110">
        <v>0.692932618465399</v>
      </c>
      <c r="AJ110" t="s">
        <v>74</v>
      </c>
      <c r="AK110">
        <v>0</v>
      </c>
      <c r="AL110" t="s">
        <v>77</v>
      </c>
      <c r="AM110">
        <v>0</v>
      </c>
      <c r="AN110">
        <v>0.83015791717487897</v>
      </c>
      <c r="AO110">
        <v>0</v>
      </c>
      <c r="AP110">
        <v>4.8742777542119801E-2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0.83685059569764897</v>
      </c>
      <c r="AX110" t="s">
        <v>79</v>
      </c>
      <c r="AY110">
        <v>3393300.52617535</v>
      </c>
      <c r="AZ110" t="s">
        <v>76</v>
      </c>
      <c r="BA110">
        <v>-1.5707963267949001</v>
      </c>
      <c r="BB110">
        <v>0.81791979492762901</v>
      </c>
      <c r="BC110">
        <v>6.3182433959161699E-4</v>
      </c>
      <c r="BD110">
        <v>4.3008148880978703E-2</v>
      </c>
      <c r="BE110">
        <v>2.41611410960585E-3</v>
      </c>
      <c r="BF110" s="1">
        <v>3.1555883969997502E-8</v>
      </c>
      <c r="BG110">
        <v>5.5652058546652901E-3</v>
      </c>
      <c r="BH110">
        <v>3.32856277065572E-2</v>
      </c>
      <c r="BI110" s="1">
        <v>1.0727596262725201E-7</v>
      </c>
      <c r="BJ110">
        <v>0.2441959155449</v>
      </c>
      <c r="BK110">
        <v>0.69292094491797396</v>
      </c>
      <c r="BL110" s="1">
        <v>9.41673685435569E-5</v>
      </c>
      <c r="BM110">
        <v>2.4419112539338903E-4</v>
      </c>
      <c r="BN110" s="1">
        <v>3.40204922808402E-7</v>
      </c>
      <c r="BO110" s="1">
        <v>3.8357452280384703E-6</v>
      </c>
      <c r="BP110">
        <v>0</v>
      </c>
      <c r="BQ110">
        <v>0</v>
      </c>
      <c r="BR110" s="1">
        <v>5.8829361984785898E-5</v>
      </c>
      <c r="BS110">
        <v>1.38196208183716E-4</v>
      </c>
    </row>
    <row r="111" spans="1:71" x14ac:dyDescent="0.25">
      <c r="A111">
        <v>108</v>
      </c>
      <c r="B111">
        <v>1.53157620324247E-4</v>
      </c>
      <c r="C111">
        <v>9.6517042428768102E-2</v>
      </c>
      <c r="D111">
        <v>-2.2601218316062701E-4</v>
      </c>
      <c r="E111">
        <v>-2.2601218316062701E-4</v>
      </c>
      <c r="F111">
        <v>-9.6517042428768095E-4</v>
      </c>
      <c r="G111">
        <v>-9.6517042428768095E-4</v>
      </c>
      <c r="H111" t="s">
        <v>74</v>
      </c>
      <c r="I111">
        <v>0</v>
      </c>
      <c r="J111" t="s">
        <v>75</v>
      </c>
      <c r="K111">
        <v>3.14159265358979</v>
      </c>
      <c r="L111">
        <v>0.83016440876187303</v>
      </c>
      <c r="M111">
        <v>0</v>
      </c>
      <c r="N111">
        <v>4.8743158696083699E-2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0.83685928302608004</v>
      </c>
      <c r="V111" t="s">
        <v>80</v>
      </c>
      <c r="W111">
        <v>3402897.1528667901</v>
      </c>
      <c r="X111" t="s">
        <v>76</v>
      </c>
      <c r="Y111">
        <v>-1.5707963267949001</v>
      </c>
      <c r="Z111">
        <v>0.81759175655221294</v>
      </c>
      <c r="AA111">
        <v>6.8939527011867199E-4</v>
      </c>
      <c r="AB111">
        <v>4.2894591618000702E-2</v>
      </c>
      <c r="AC111">
        <v>2.4612267624529202E-3</v>
      </c>
      <c r="AD111">
        <v>0</v>
      </c>
      <c r="AE111">
        <v>5.5651873858347202E-3</v>
      </c>
      <c r="AF111">
        <v>3.3285833467236202E-2</v>
      </c>
      <c r="AG111">
        <v>0</v>
      </c>
      <c r="AH111">
        <v>0.24418622796591499</v>
      </c>
      <c r="AI111">
        <v>0.692932618465399</v>
      </c>
      <c r="AJ111" t="s">
        <v>74</v>
      </c>
      <c r="AK111">
        <v>0</v>
      </c>
      <c r="AL111" t="s">
        <v>77</v>
      </c>
      <c r="AM111">
        <v>0</v>
      </c>
      <c r="AN111">
        <v>0.83015791717487897</v>
      </c>
      <c r="AO111">
        <v>0</v>
      </c>
      <c r="AP111">
        <v>4.8742777542119801E-2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0.83685273908757796</v>
      </c>
      <c r="AX111" t="s">
        <v>80</v>
      </c>
      <c r="AY111">
        <v>3402897.1528667901</v>
      </c>
      <c r="AZ111" t="s">
        <v>76</v>
      </c>
      <c r="BA111">
        <v>-1.5707963267949001</v>
      </c>
      <c r="BB111">
        <v>0.81758536327883502</v>
      </c>
      <c r="BC111">
        <v>6.8934383494569302E-4</v>
      </c>
      <c r="BD111">
        <v>4.2894256197727201E-2</v>
      </c>
      <c r="BE111">
        <v>2.4612898156164899E-3</v>
      </c>
      <c r="BF111">
        <v>0</v>
      </c>
      <c r="BG111">
        <v>5.5652058546652901E-3</v>
      </c>
      <c r="BH111">
        <v>3.32856277065572E-2</v>
      </c>
      <c r="BI111">
        <v>0</v>
      </c>
      <c r="BJ111">
        <v>0.244196022820863</v>
      </c>
      <c r="BK111">
        <v>0.69292094491797396</v>
      </c>
      <c r="BL111" s="1">
        <v>9.4098650316000397E-5</v>
      </c>
      <c r="BM111">
        <v>2.4419112539338903E-4</v>
      </c>
      <c r="BN111" s="1">
        <v>3.3990029658726301E-7</v>
      </c>
      <c r="BO111" s="1">
        <v>3.8357452280384703E-6</v>
      </c>
      <c r="BP111">
        <v>0</v>
      </c>
      <c r="BQ111">
        <v>0</v>
      </c>
      <c r="BR111" s="1">
        <v>5.8814296978847699E-5</v>
      </c>
      <c r="BS111">
        <v>1.3822809353978001E-4</v>
      </c>
    </row>
    <row r="112" spans="1:71" x14ac:dyDescent="0.25">
      <c r="A112" t="s">
        <v>81</v>
      </c>
    </row>
    <row r="113" spans="1:23" x14ac:dyDescent="0.25">
      <c r="A113" t="s">
        <v>9</v>
      </c>
      <c r="B113">
        <v>0</v>
      </c>
      <c r="C113">
        <v>0.21724642805272601</v>
      </c>
      <c r="D113">
        <v>0.48168886660712001</v>
      </c>
      <c r="E113">
        <v>0.803580480363007</v>
      </c>
      <c r="F113">
        <v>1.19540189742749</v>
      </c>
      <c r="G113">
        <v>1.67234511778379</v>
      </c>
      <c r="H113">
        <v>2.25290254914646</v>
      </c>
      <c r="I113">
        <v>2.9595840087521301</v>
      </c>
      <c r="J113">
        <v>3.81978949122822</v>
      </c>
      <c r="K113">
        <v>4.8668715421636204</v>
      </c>
      <c r="L113">
        <v>6.1414284285428504</v>
      </c>
      <c r="M113">
        <v>7.6928782458379796</v>
      </c>
      <c r="N113">
        <v>9.5813749942435091</v>
      </c>
      <c r="O113">
        <v>11.880140915629401</v>
      </c>
      <c r="P113">
        <v>14.6783055223656</v>
      </c>
      <c r="Q113">
        <v>18.084361395018799</v>
      </c>
      <c r="R113">
        <v>22.230370739754001</v>
      </c>
      <c r="S113">
        <v>27.2770858053061</v>
      </c>
      <c r="T113">
        <v>33.420181692249301</v>
      </c>
      <c r="U113">
        <v>40.897843217816302</v>
      </c>
      <c r="V113">
        <v>50</v>
      </c>
    </row>
    <row r="114" spans="1:23" x14ac:dyDescent="0.25">
      <c r="A114" t="s">
        <v>6</v>
      </c>
      <c r="B114">
        <v>1.6E-2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</row>
    <row r="115" spans="1:23" x14ac:dyDescent="0.25">
      <c r="A115" t="s">
        <v>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</row>
    <row r="116" spans="1:23" x14ac:dyDescent="0.25">
      <c r="A116" t="s">
        <v>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</row>
    <row r="117" spans="1:23" x14ac:dyDescent="0.25">
      <c r="A117" t="s">
        <v>41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</row>
    <row r="118" spans="1:23" x14ac:dyDescent="0.25">
      <c r="A118" t="s">
        <v>42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</row>
    <row r="119" spans="1:23" x14ac:dyDescent="0.25">
      <c r="A119" t="s">
        <v>10</v>
      </c>
      <c r="B119">
        <v>0</v>
      </c>
      <c r="C119">
        <v>0.05</v>
      </c>
      <c r="D119">
        <v>0.1</v>
      </c>
      <c r="E119">
        <v>0.15</v>
      </c>
      <c r="F119">
        <v>0.2</v>
      </c>
      <c r="G119">
        <v>0.25</v>
      </c>
      <c r="H119">
        <v>0.3</v>
      </c>
      <c r="I119">
        <v>0.35</v>
      </c>
      <c r="J119">
        <v>0.4</v>
      </c>
      <c r="K119">
        <v>0.45</v>
      </c>
      <c r="L119">
        <v>0.5</v>
      </c>
    </row>
    <row r="120" spans="1:23" x14ac:dyDescent="0.25">
      <c r="A120" t="s">
        <v>2</v>
      </c>
      <c r="B120">
        <v>0.83016440876187303</v>
      </c>
      <c r="C120">
        <v>0.83016440876187303</v>
      </c>
      <c r="D120">
        <v>0.83016440876187303</v>
      </c>
      <c r="E120">
        <v>0.24126343181759299</v>
      </c>
      <c r="F120">
        <v>9.7912536114051499E-2</v>
      </c>
      <c r="G120">
        <v>4.6864119849460602E-2</v>
      </c>
      <c r="H120">
        <v>2.4299913996016598E-2</v>
      </c>
      <c r="I120">
        <v>1.2823709596458E-2</v>
      </c>
      <c r="J120">
        <v>6.3810520330738699E-3</v>
      </c>
      <c r="K120">
        <v>2.4887667017840101E-3</v>
      </c>
      <c r="L120">
        <v>0</v>
      </c>
    </row>
    <row r="121" spans="1:23" x14ac:dyDescent="0.25">
      <c r="A121" t="s">
        <v>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1:23" x14ac:dyDescent="0.25">
      <c r="A122" t="s">
        <v>11</v>
      </c>
      <c r="B122">
        <v>4.8743158696083699E-2</v>
      </c>
      <c r="C122">
        <v>4.8743158696083699E-2</v>
      </c>
      <c r="D122">
        <v>4.8743158696083699E-2</v>
      </c>
      <c r="E122">
        <v>3.0242288867483699E-2</v>
      </c>
      <c r="F122">
        <v>2.0109411148858999E-2</v>
      </c>
      <c r="G122">
        <v>1.36944779682897E-2</v>
      </c>
      <c r="H122">
        <v>9.2640065093354592E-3</v>
      </c>
      <c r="I122">
        <v>6.0191861603881196E-3</v>
      </c>
      <c r="J122">
        <v>3.5397609657246499E-3</v>
      </c>
      <c r="K122">
        <v>1.5832849653317699E-3</v>
      </c>
      <c r="L122">
        <v>0</v>
      </c>
    </row>
    <row r="123" spans="1:23" x14ac:dyDescent="0.25">
      <c r="A123" t="s">
        <v>12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1:23" x14ac:dyDescent="0.25">
      <c r="A124" t="s">
        <v>4</v>
      </c>
      <c r="B124">
        <v>9.0969366988789806E-3</v>
      </c>
      <c r="C124">
        <v>9.0969366988789806E-3</v>
      </c>
      <c r="D124">
        <v>9.0969366988789806E-3</v>
      </c>
      <c r="E124">
        <v>7.2468497160189799E-3</v>
      </c>
      <c r="F124">
        <v>5.7269180582252797E-3</v>
      </c>
      <c r="G124">
        <v>4.4439314221114204E-3</v>
      </c>
      <c r="H124">
        <v>3.3363135573728701E-3</v>
      </c>
      <c r="I124">
        <v>2.3628674526886598E-3</v>
      </c>
      <c r="J124">
        <v>1.4950686345564499E-3</v>
      </c>
      <c r="K124">
        <v>7.1247823439929598E-4</v>
      </c>
      <c r="L124">
        <v>0</v>
      </c>
    </row>
    <row r="125" spans="1:23" x14ac:dyDescent="0.25">
      <c r="A125" t="s">
        <v>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1:23" x14ac:dyDescent="0.25">
      <c r="A126" t="s">
        <v>82</v>
      </c>
    </row>
    <row r="127" spans="1:23" x14ac:dyDescent="0.25">
      <c r="A127" t="s">
        <v>9</v>
      </c>
      <c r="B127">
        <v>0</v>
      </c>
      <c r="C127">
        <v>0.21724642805272601</v>
      </c>
      <c r="D127">
        <v>0.48168886660712001</v>
      </c>
      <c r="E127">
        <v>0.803580480363007</v>
      </c>
      <c r="F127">
        <v>1.19540189742749</v>
      </c>
      <c r="G127">
        <v>1.67234511778379</v>
      </c>
      <c r="H127">
        <v>2.25290254914646</v>
      </c>
      <c r="I127">
        <v>2.9595840087521301</v>
      </c>
      <c r="J127">
        <v>3.81978949122822</v>
      </c>
      <c r="K127">
        <v>4.8668715421636204</v>
      </c>
      <c r="L127">
        <v>6.1414284285428504</v>
      </c>
      <c r="M127">
        <v>7.6928782458379796</v>
      </c>
      <c r="N127">
        <v>9.5813749942435091</v>
      </c>
      <c r="O127">
        <v>11.880140915629401</v>
      </c>
      <c r="P127">
        <v>14.6783055223656</v>
      </c>
      <c r="Q127">
        <v>18.084361395018799</v>
      </c>
      <c r="R127">
        <v>22.230370739754001</v>
      </c>
      <c r="S127">
        <v>27.2770858053061</v>
      </c>
      <c r="T127">
        <v>33.420181692249301</v>
      </c>
      <c r="U127">
        <v>40.897843217816302</v>
      </c>
      <c r="V127">
        <v>50</v>
      </c>
    </row>
    <row r="128" spans="1:23" x14ac:dyDescent="0.25">
      <c r="A128" t="s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 s="1"/>
    </row>
    <row r="129" spans="1:24" x14ac:dyDescent="0.25">
      <c r="A129" t="s">
        <v>7</v>
      </c>
      <c r="B129">
        <v>5.5651873858347202E-3</v>
      </c>
      <c r="C129">
        <v>5.4535345235630804E-3</v>
      </c>
      <c r="D129">
        <v>5.2199325388529796E-3</v>
      </c>
      <c r="E129">
        <v>4.9332818701223998E-3</v>
      </c>
      <c r="F129">
        <v>4.59096613963702E-3</v>
      </c>
      <c r="G129">
        <v>4.1857473950808804E-3</v>
      </c>
      <c r="H129">
        <v>3.71780615010954E-3</v>
      </c>
      <c r="I129">
        <v>3.19172496701881E-3</v>
      </c>
      <c r="J129">
        <v>2.6215015874828402E-3</v>
      </c>
      <c r="K129">
        <v>2.03373291659734E-3</v>
      </c>
      <c r="L129">
        <v>1.4678651295773799E-3</v>
      </c>
      <c r="M129">
        <v>9.70422647296272E-4</v>
      </c>
      <c r="N129">
        <v>5.7887661051208596E-4</v>
      </c>
      <c r="O129">
        <v>3.0822129454680602E-4</v>
      </c>
      <c r="P129">
        <v>1.4569735232643999E-4</v>
      </c>
      <c r="Q129" s="1">
        <v>6.0623676952504502E-5</v>
      </c>
      <c r="R129" s="1">
        <v>2.15435212281261E-5</v>
      </c>
      <c r="S129" s="1">
        <v>5.4912060711744301E-6</v>
      </c>
      <c r="T129" s="1">
        <v>3.43063540680979E-7</v>
      </c>
      <c r="U129" s="1">
        <v>1.57638593761809E-8</v>
      </c>
      <c r="V129" s="1">
        <v>1.6675948142490901E-9</v>
      </c>
      <c r="W129" s="1"/>
    </row>
    <row r="130" spans="1:24" x14ac:dyDescent="0.25">
      <c r="A130" t="s">
        <v>8</v>
      </c>
      <c r="B130">
        <v>3.3285833467236202E-2</v>
      </c>
      <c r="C130">
        <v>3.2531604720229298E-2</v>
      </c>
      <c r="D130">
        <v>3.1593240395581999E-2</v>
      </c>
      <c r="E130">
        <v>3.0448560717392301E-2</v>
      </c>
      <c r="F130">
        <v>2.9105942091376499E-2</v>
      </c>
      <c r="G130">
        <v>2.7478006108123398E-2</v>
      </c>
      <c r="H130">
        <v>2.55705976089293E-2</v>
      </c>
      <c r="I130">
        <v>2.3351663415435001E-2</v>
      </c>
      <c r="J130">
        <v>2.0789288221429801E-2</v>
      </c>
      <c r="K130">
        <v>1.78752042854445E-2</v>
      </c>
      <c r="L130">
        <v>1.46554916132835E-2</v>
      </c>
      <c r="M130">
        <v>1.12688707964022E-2</v>
      </c>
      <c r="N130">
        <v>7.9590698933357899E-3</v>
      </c>
      <c r="O130">
        <v>5.0417121445429603E-3</v>
      </c>
      <c r="P130">
        <v>2.7915175127172002E-3</v>
      </c>
      <c r="Q130">
        <v>1.31483824038787E-3</v>
      </c>
      <c r="R130">
        <v>5.0762019606481496E-4</v>
      </c>
      <c r="S130">
        <v>1.3685892518664199E-4</v>
      </c>
      <c r="T130" s="1">
        <v>8.4914214264177805E-6</v>
      </c>
      <c r="U130" s="1">
        <v>3.7973133386135701E-7</v>
      </c>
      <c r="V130" s="1">
        <v>3.9959090648158898E-8</v>
      </c>
    </row>
    <row r="131" spans="1:24" x14ac:dyDescent="0.25">
      <c r="A131" t="s">
        <v>41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 s="1"/>
      <c r="X131" s="1"/>
    </row>
    <row r="132" spans="1:24" x14ac:dyDescent="0.25">
      <c r="A132" t="s">
        <v>42</v>
      </c>
      <c r="B132">
        <v>0.24418622796591499</v>
      </c>
      <c r="C132">
        <v>0.24408884005886999</v>
      </c>
      <c r="D132">
        <v>0.243678613012764</v>
      </c>
      <c r="E132">
        <v>0.24276133411113199</v>
      </c>
      <c r="F132">
        <v>0.241092050447551</v>
      </c>
      <c r="G132">
        <v>0.23820634179142999</v>
      </c>
      <c r="H132">
        <v>0.233579100005047</v>
      </c>
      <c r="I132">
        <v>0.22646416296845501</v>
      </c>
      <c r="J132">
        <v>0.21589174865365399</v>
      </c>
      <c r="K132">
        <v>0.20074039783609801</v>
      </c>
      <c r="L132">
        <v>0.180122480523046</v>
      </c>
      <c r="M132">
        <v>0.15362039385082901</v>
      </c>
      <c r="N132">
        <v>0.122138199687198</v>
      </c>
      <c r="O132">
        <v>8.8425982044458798E-2</v>
      </c>
      <c r="P132">
        <v>5.6890469948223998E-2</v>
      </c>
      <c r="Q132">
        <v>3.1747910207549301E-2</v>
      </c>
      <c r="R132">
        <v>1.50172781164773E-2</v>
      </c>
      <c r="S132">
        <v>5.6028039517499999E-3</v>
      </c>
      <c r="T132">
        <v>1.3858699023653501E-3</v>
      </c>
      <c r="U132" s="1">
        <v>1.7763210678421698E-5</v>
      </c>
      <c r="V132" s="1">
        <v>2.2501083263645899E-6</v>
      </c>
      <c r="W132" s="1"/>
    </row>
    <row r="133" spans="1:24" x14ac:dyDescent="0.25">
      <c r="A133" t="s">
        <v>10</v>
      </c>
      <c r="B133">
        <v>0</v>
      </c>
      <c r="C133">
        <v>0.05</v>
      </c>
      <c r="D133">
        <v>0.1</v>
      </c>
      <c r="E133">
        <v>0.15</v>
      </c>
      <c r="F133">
        <v>0.2</v>
      </c>
      <c r="G133">
        <v>0.25</v>
      </c>
      <c r="H133">
        <v>0.3</v>
      </c>
      <c r="I133">
        <v>0.35</v>
      </c>
      <c r="J133">
        <v>0.4</v>
      </c>
      <c r="K133">
        <v>0.45</v>
      </c>
      <c r="L133">
        <v>0.5</v>
      </c>
    </row>
    <row r="134" spans="1:24" x14ac:dyDescent="0.25">
      <c r="A134" t="s">
        <v>2</v>
      </c>
      <c r="B134">
        <v>0.81759175655221294</v>
      </c>
      <c r="C134">
        <v>0.81759175655221294</v>
      </c>
      <c r="D134">
        <v>0.81759175655221294</v>
      </c>
      <c r="E134">
        <v>0.22869077960793299</v>
      </c>
      <c r="F134">
        <v>8.5339883904397701E-2</v>
      </c>
      <c r="G134">
        <v>3.4291467823307199E-2</v>
      </c>
      <c r="H134">
        <v>1.1728066985085E-2</v>
      </c>
      <c r="I134">
        <v>9.7272348855906396E-4</v>
      </c>
      <c r="J134" s="1">
        <v>2.0970419947924701E-6</v>
      </c>
      <c r="K134" s="1">
        <v>6.5014238028472401E-9</v>
      </c>
      <c r="L134">
        <v>0</v>
      </c>
    </row>
    <row r="135" spans="1:24" x14ac:dyDescent="0.25">
      <c r="A135" t="s">
        <v>3</v>
      </c>
      <c r="B135">
        <v>6.8939527011867199E-4</v>
      </c>
      <c r="C135">
        <v>-6.3441478637015099E-4</v>
      </c>
      <c r="D135">
        <v>-6.3441478637015099E-4</v>
      </c>
      <c r="E135">
        <v>-6.3441478637015099E-4</v>
      </c>
      <c r="F135">
        <v>6.6339508281247498E-3</v>
      </c>
      <c r="G135">
        <v>9.8071371697675495E-3</v>
      </c>
      <c r="H135">
        <v>5.4078371022771498E-3</v>
      </c>
      <c r="I135">
        <v>3.17391470336767E-3</v>
      </c>
      <c r="J135">
        <v>2.0053945459586001E-3</v>
      </c>
      <c r="K135">
        <v>1.50973718510741E-3</v>
      </c>
      <c r="L135">
        <v>1.46775881047751E-3</v>
      </c>
    </row>
    <row r="136" spans="1:24" x14ac:dyDescent="0.25">
      <c r="A136" t="s">
        <v>11</v>
      </c>
      <c r="B136">
        <v>4.2894591618000702E-2</v>
      </c>
      <c r="C136">
        <v>4.2894591618000702E-2</v>
      </c>
      <c r="D136">
        <v>4.2894591618000702E-2</v>
      </c>
      <c r="E136">
        <v>2.4393721789400701E-2</v>
      </c>
      <c r="F136">
        <v>1.4260844070776499E-2</v>
      </c>
      <c r="G136">
        <v>7.8459109132665E-3</v>
      </c>
      <c r="H136">
        <v>3.41559751868147E-3</v>
      </c>
      <c r="I136">
        <v>3.7459578828461101E-4</v>
      </c>
      <c r="J136" s="1">
        <v>1.0549563310909101E-6</v>
      </c>
      <c r="K136" s="1">
        <v>4.1360271145219896E-9</v>
      </c>
      <c r="L136">
        <v>0</v>
      </c>
    </row>
    <row r="137" spans="1:24" x14ac:dyDescent="0.25">
      <c r="A137" t="s">
        <v>12</v>
      </c>
      <c r="B137">
        <v>2.4612267624529202E-3</v>
      </c>
      <c r="C137">
        <v>2.4612267624529202E-3</v>
      </c>
      <c r="D137">
        <v>2.4612267624529202E-3</v>
      </c>
      <c r="E137">
        <v>2.4612267624529202E-3</v>
      </c>
      <c r="F137">
        <v>2.9749972528602098E-3</v>
      </c>
      <c r="G137">
        <v>3.3737516088352699E-3</v>
      </c>
      <c r="H137">
        <v>2.5099510605249699E-3</v>
      </c>
      <c r="I137">
        <v>1.87832438278563E-3</v>
      </c>
      <c r="J137">
        <v>1.4286251258798599E-3</v>
      </c>
      <c r="K137">
        <v>1.17948056211221E-3</v>
      </c>
      <c r="L137">
        <v>1.1527750740594599E-3</v>
      </c>
    </row>
    <row r="138" spans="1:24" x14ac:dyDescent="0.25">
      <c r="A138" t="s">
        <v>4</v>
      </c>
      <c r="B138">
        <v>6.8040456204384696E-3</v>
      </c>
      <c r="C138">
        <v>6.8040456204384696E-3</v>
      </c>
      <c r="D138">
        <v>6.8040456204384696E-3</v>
      </c>
      <c r="E138">
        <v>4.9539586375784697E-3</v>
      </c>
      <c r="F138">
        <v>3.4340269797848298E-3</v>
      </c>
      <c r="G138">
        <v>2.15104034828284E-3</v>
      </c>
      <c r="H138">
        <v>1.04346199963658E-3</v>
      </c>
      <c r="I138">
        <v>1.3116148051752399E-4</v>
      </c>
      <c r="J138" s="1">
        <v>4.22189333792089E-7</v>
      </c>
      <c r="K138" s="1">
        <v>1.86121220153489E-9</v>
      </c>
      <c r="L138">
        <v>0</v>
      </c>
    </row>
    <row r="139" spans="1:24" x14ac:dyDescent="0.25">
      <c r="A139" t="s">
        <v>5</v>
      </c>
      <c r="B139">
        <v>1.0940792677208201E-3</v>
      </c>
      <c r="C139">
        <v>1.0940792677208201E-3</v>
      </c>
      <c r="D139">
        <v>1.0940792677208201E-3</v>
      </c>
      <c r="E139">
        <v>1.0940792677208201E-3</v>
      </c>
      <c r="F139">
        <v>1.1711448412819101E-3</v>
      </c>
      <c r="G139">
        <v>1.25089571247693E-3</v>
      </c>
      <c r="H139">
        <v>1.0349455753993499E-3</v>
      </c>
      <c r="I139">
        <v>8.4545757207754796E-4</v>
      </c>
      <c r="J139">
        <v>6.8806283216052899E-4</v>
      </c>
      <c r="K139">
        <v>5.8840500665346897E-4</v>
      </c>
      <c r="L139">
        <v>5.7638753702972997E-4</v>
      </c>
    </row>
    <row r="140" spans="1:24" x14ac:dyDescent="0.25">
      <c r="A140" t="s">
        <v>83</v>
      </c>
    </row>
    <row r="141" spans="1:24" x14ac:dyDescent="0.25">
      <c r="A141" t="s">
        <v>9</v>
      </c>
      <c r="B141">
        <v>0</v>
      </c>
      <c r="C141">
        <v>0.21724642805272601</v>
      </c>
      <c r="D141">
        <v>0.48168886660712001</v>
      </c>
      <c r="E141">
        <v>0.803580480363007</v>
      </c>
      <c r="F141">
        <v>1.19540189742749</v>
      </c>
      <c r="G141">
        <v>1.67234511778379</v>
      </c>
      <c r="H141">
        <v>2.25290254914646</v>
      </c>
      <c r="I141">
        <v>2.9595840087521301</v>
      </c>
      <c r="J141">
        <v>3.81978949122822</v>
      </c>
      <c r="K141">
        <v>4.8668715421636204</v>
      </c>
      <c r="L141">
        <v>6.1414284285428504</v>
      </c>
      <c r="M141">
        <v>7.6928782458379796</v>
      </c>
      <c r="N141">
        <v>9.5813749942435091</v>
      </c>
      <c r="O141">
        <v>11.880140915629401</v>
      </c>
      <c r="P141">
        <v>14.6783055223656</v>
      </c>
      <c r="Q141">
        <v>18.084361395018799</v>
      </c>
      <c r="R141">
        <v>22.230370739754001</v>
      </c>
      <c r="S141">
        <v>27.2770858053061</v>
      </c>
      <c r="T141">
        <v>33.420181692249301</v>
      </c>
      <c r="U141">
        <v>40.897843217816302</v>
      </c>
      <c r="V141">
        <v>50</v>
      </c>
    </row>
    <row r="142" spans="1:24" x14ac:dyDescent="0.25">
      <c r="A142" t="s">
        <v>6</v>
      </c>
      <c r="B142">
        <v>1.6E-2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</row>
    <row r="143" spans="1:24" x14ac:dyDescent="0.25">
      <c r="A143" t="s">
        <v>7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</row>
    <row r="144" spans="1:24" x14ac:dyDescent="0.25">
      <c r="A144" t="s">
        <v>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</row>
    <row r="145" spans="1:22" x14ac:dyDescent="0.25">
      <c r="A145" t="s">
        <v>41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</row>
    <row r="146" spans="1:22" x14ac:dyDescent="0.25">
      <c r="A146" t="s">
        <v>42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</row>
    <row r="147" spans="1:22" x14ac:dyDescent="0.25">
      <c r="A147" t="s">
        <v>10</v>
      </c>
      <c r="B147">
        <v>0</v>
      </c>
      <c r="C147">
        <v>0.05</v>
      </c>
      <c r="D147">
        <v>0.1</v>
      </c>
      <c r="E147">
        <v>0.15</v>
      </c>
      <c r="F147">
        <v>0.2</v>
      </c>
      <c r="G147">
        <v>0.25</v>
      </c>
      <c r="H147">
        <v>0.3</v>
      </c>
      <c r="I147">
        <v>0.35</v>
      </c>
      <c r="J147">
        <v>0.4</v>
      </c>
      <c r="K147">
        <v>0.45</v>
      </c>
      <c r="L147">
        <v>0.5</v>
      </c>
    </row>
    <row r="148" spans="1:22" x14ac:dyDescent="0.25">
      <c r="A148" t="s">
        <v>2</v>
      </c>
      <c r="B148">
        <v>0.83015791717487897</v>
      </c>
      <c r="C148">
        <v>0.83015791717487897</v>
      </c>
      <c r="D148">
        <v>0.83015791717487897</v>
      </c>
      <c r="E148">
        <v>0.24126154522436</v>
      </c>
      <c r="F148">
        <v>9.7911770473246701E-2</v>
      </c>
      <c r="G148">
        <v>4.6863753388904403E-2</v>
      </c>
      <c r="H148">
        <v>2.4299723979431899E-2</v>
      </c>
      <c r="I148">
        <v>1.2823609319662701E-2</v>
      </c>
      <c r="J148">
        <v>6.3810021355427899E-3</v>
      </c>
      <c r="K148">
        <v>2.4887472405238299E-3</v>
      </c>
      <c r="L148">
        <v>0</v>
      </c>
    </row>
    <row r="149" spans="1:22" x14ac:dyDescent="0.25">
      <c r="A149" t="s">
        <v>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</row>
    <row r="150" spans="1:22" x14ac:dyDescent="0.25">
      <c r="A150" t="s">
        <v>11</v>
      </c>
      <c r="B150">
        <v>4.8742777542119801E-2</v>
      </c>
      <c r="C150">
        <v>4.8742777542119801E-2</v>
      </c>
      <c r="D150">
        <v>4.8742777542119801E-2</v>
      </c>
      <c r="E150">
        <v>3.0242052383665501E-2</v>
      </c>
      <c r="F150">
        <v>2.0109253900498902E-2</v>
      </c>
      <c r="G150">
        <v>1.3694370882399101E-2</v>
      </c>
      <c r="H150">
        <v>9.2639340681376307E-3</v>
      </c>
      <c r="I150">
        <v>6.01913909251798E-3</v>
      </c>
      <c r="J150">
        <v>3.5397332860674599E-3</v>
      </c>
      <c r="K150">
        <v>1.5832725846129799E-3</v>
      </c>
      <c r="L150">
        <v>0</v>
      </c>
    </row>
    <row r="151" spans="1:22" x14ac:dyDescent="0.25">
      <c r="A151" t="s">
        <v>12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1:22" x14ac:dyDescent="0.25">
      <c r="A152" t="s">
        <v>4</v>
      </c>
      <c r="B152">
        <v>9.0968655641069599E-3</v>
      </c>
      <c r="C152">
        <v>9.0968655641069599E-3</v>
      </c>
      <c r="D152">
        <v>9.0968655641069599E-3</v>
      </c>
      <c r="E152">
        <v>7.2467930482615203E-3</v>
      </c>
      <c r="F152">
        <v>5.7268732757865398E-3</v>
      </c>
      <c r="G152">
        <v>4.4438966721665699E-3</v>
      </c>
      <c r="H152">
        <v>3.3362874686012102E-3</v>
      </c>
      <c r="I152">
        <v>2.3628489759153098E-3</v>
      </c>
      <c r="J152">
        <v>1.4950569436576299E-3</v>
      </c>
      <c r="K152">
        <v>7.1247266307584295E-4</v>
      </c>
      <c r="L152">
        <v>0</v>
      </c>
    </row>
    <row r="153" spans="1:22" x14ac:dyDescent="0.25">
      <c r="A153" t="s">
        <v>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</row>
    <row r="154" spans="1:22" x14ac:dyDescent="0.25">
      <c r="A154" t="s">
        <v>84</v>
      </c>
    </row>
    <row r="155" spans="1:22" x14ac:dyDescent="0.25">
      <c r="A155" t="s">
        <v>9</v>
      </c>
      <c r="B155">
        <v>0</v>
      </c>
      <c r="C155">
        <v>0.21724642805272601</v>
      </c>
      <c r="D155">
        <v>0.48168886660712001</v>
      </c>
      <c r="E155">
        <v>0.803580480363007</v>
      </c>
      <c r="F155">
        <v>1.19540189742749</v>
      </c>
      <c r="G155">
        <v>1.67234511778379</v>
      </c>
      <c r="H155">
        <v>2.25290254914646</v>
      </c>
      <c r="I155">
        <v>2.9595840087521301</v>
      </c>
      <c r="J155">
        <v>3.81978949122822</v>
      </c>
      <c r="K155">
        <v>4.8668715421636204</v>
      </c>
      <c r="L155">
        <v>6.1414284285428504</v>
      </c>
      <c r="M155">
        <v>7.6928782458379796</v>
      </c>
      <c r="N155">
        <v>9.5813749942435091</v>
      </c>
      <c r="O155">
        <v>11.880140915629401</v>
      </c>
      <c r="P155">
        <v>14.6783055223656</v>
      </c>
      <c r="Q155">
        <v>18.084361395018799</v>
      </c>
      <c r="R155">
        <v>22.230370739754001</v>
      </c>
      <c r="S155">
        <v>27.2770858053061</v>
      </c>
      <c r="T155">
        <v>33.420181692249301</v>
      </c>
      <c r="U155">
        <v>40.897843217816302</v>
      </c>
      <c r="V155">
        <v>50</v>
      </c>
    </row>
    <row r="156" spans="1:22" x14ac:dyDescent="0.25">
      <c r="A156" t="s">
        <v>6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1:22" x14ac:dyDescent="0.25">
      <c r="A157" t="s">
        <v>7</v>
      </c>
      <c r="B157">
        <v>5.5652058546652901E-3</v>
      </c>
      <c r="C157">
        <v>5.4535529940325303E-3</v>
      </c>
      <c r="D157">
        <v>5.2199510129924799E-3</v>
      </c>
      <c r="E157">
        <v>4.9333001350191303E-3</v>
      </c>
      <c r="F157">
        <v>4.59098445256673E-3</v>
      </c>
      <c r="G157">
        <v>4.1857653446094904E-3</v>
      </c>
      <c r="H157">
        <v>3.7178234214299099E-3</v>
      </c>
      <c r="I157">
        <v>3.1917411821819402E-3</v>
      </c>
      <c r="J157">
        <v>2.6215163269681799E-3</v>
      </c>
      <c r="K157">
        <v>2.0337457675558201E-3</v>
      </c>
      <c r="L157">
        <v>1.46787575562639E-3</v>
      </c>
      <c r="M157">
        <v>9.7043086780105605E-4</v>
      </c>
      <c r="N157">
        <v>5.7888246460860101E-4</v>
      </c>
      <c r="O157">
        <v>3.0822505829830197E-4</v>
      </c>
      <c r="P157">
        <v>1.45699486886978E-4</v>
      </c>
      <c r="Q157" s="1">
        <v>6.06247156869031E-5</v>
      </c>
      <c r="R157" s="1">
        <v>2.1543940875554402E-5</v>
      </c>
      <c r="S157" s="1">
        <v>5.4913413995604201E-6</v>
      </c>
      <c r="T157" s="1">
        <v>3.43096784026775E-7</v>
      </c>
      <c r="U157" s="1">
        <v>1.5769742633680299E-8</v>
      </c>
      <c r="V157" s="1">
        <v>1.66829653318343E-9</v>
      </c>
    </row>
    <row r="158" spans="1:22" x14ac:dyDescent="0.25">
      <c r="A158" t="s">
        <v>8</v>
      </c>
      <c r="B158">
        <v>3.32856277065572E-2</v>
      </c>
      <c r="C158">
        <v>3.2531432284081903E-2</v>
      </c>
      <c r="D158">
        <v>3.1593108397144402E-2</v>
      </c>
      <c r="E158">
        <v>3.0448471833305599E-2</v>
      </c>
      <c r="F158">
        <v>2.9105906344331901E-2</v>
      </c>
      <c r="G158">
        <v>2.74780202795252E-2</v>
      </c>
      <c r="H158">
        <v>2.5570657387361501E-2</v>
      </c>
      <c r="I158">
        <v>2.3351760834287302E-2</v>
      </c>
      <c r="J158">
        <v>2.07894119184956E-2</v>
      </c>
      <c r="K158">
        <v>1.7875340335095798E-2</v>
      </c>
      <c r="L158">
        <v>1.46556252303679E-2</v>
      </c>
      <c r="M158">
        <v>1.1268988747075799E-2</v>
      </c>
      <c r="N158">
        <v>7.9591630291929501E-3</v>
      </c>
      <c r="O158">
        <v>5.0417771281127703E-3</v>
      </c>
      <c r="P158">
        <v>2.79155685025578E-3</v>
      </c>
      <c r="Q158">
        <v>1.31485840652353E-3</v>
      </c>
      <c r="R158">
        <v>5.0762868877381E-4</v>
      </c>
      <c r="S158">
        <v>1.3686175575078899E-4</v>
      </c>
      <c r="T158" s="1">
        <v>8.4921350362202404E-6</v>
      </c>
      <c r="U158" s="1">
        <v>3.7986020022020702E-7</v>
      </c>
      <c r="V158" s="1">
        <v>3.9974700719345499E-8</v>
      </c>
    </row>
    <row r="159" spans="1:22" x14ac:dyDescent="0.25">
      <c r="A159" t="s">
        <v>41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1:22" x14ac:dyDescent="0.25">
      <c r="A160" t="s">
        <v>42</v>
      </c>
      <c r="B160">
        <v>0.244196022820863</v>
      </c>
      <c r="C160">
        <v>0.244098676837913</v>
      </c>
      <c r="D160">
        <v>0.24368843847834901</v>
      </c>
      <c r="E160">
        <v>0.24277070481181801</v>
      </c>
      <c r="F160">
        <v>0.24110077791374401</v>
      </c>
      <c r="G160">
        <v>0.23821437492080599</v>
      </c>
      <c r="H160">
        <v>0.233586397972839</v>
      </c>
      <c r="I160">
        <v>0.22647069406451101</v>
      </c>
      <c r="J160">
        <v>0.21589748985066201</v>
      </c>
      <c r="K160">
        <v>0.20074533307436099</v>
      </c>
      <c r="L160">
        <v>0.18012659986138799</v>
      </c>
      <c r="M160">
        <v>0.15362369668484799</v>
      </c>
      <c r="N160">
        <v>0.12214070472272601</v>
      </c>
      <c r="O160">
        <v>8.8427742763792797E-2</v>
      </c>
      <c r="P160">
        <v>5.6891587476064799E-2</v>
      </c>
      <c r="Q160">
        <v>3.1748530937906999E-2</v>
      </c>
      <c r="R160">
        <v>1.5017568908402799E-2</v>
      </c>
      <c r="S160">
        <v>5.6029140097040497E-3</v>
      </c>
      <c r="T160">
        <v>1.3859019148665299E-3</v>
      </c>
      <c r="U160" s="1">
        <v>1.7769961379630701E-5</v>
      </c>
      <c r="V160" s="1">
        <v>2.2510719407790901E-6</v>
      </c>
    </row>
    <row r="161" spans="1:22" x14ac:dyDescent="0.25">
      <c r="A161" t="s">
        <v>10</v>
      </c>
      <c r="B161">
        <v>0</v>
      </c>
      <c r="C161">
        <v>0.05</v>
      </c>
      <c r="D161">
        <v>0.1</v>
      </c>
      <c r="E161">
        <v>0.15</v>
      </c>
      <c r="F161">
        <v>0.2</v>
      </c>
      <c r="G161">
        <v>0.25</v>
      </c>
      <c r="H161">
        <v>0.3</v>
      </c>
      <c r="I161">
        <v>0.35</v>
      </c>
      <c r="J161">
        <v>0.4</v>
      </c>
      <c r="K161">
        <v>0.45</v>
      </c>
      <c r="L161">
        <v>0.5</v>
      </c>
    </row>
    <row r="162" spans="1:22" x14ac:dyDescent="0.25">
      <c r="A162" t="s">
        <v>2</v>
      </c>
      <c r="B162">
        <v>0.81758536327883502</v>
      </c>
      <c r="C162">
        <v>0.81758536327883502</v>
      </c>
      <c r="D162">
        <v>0.81758536327883502</v>
      </c>
      <c r="E162">
        <v>0.22868899132831599</v>
      </c>
      <c r="F162">
        <v>8.5339216577209706E-2</v>
      </c>
      <c r="G162">
        <v>3.4291199676366402E-2</v>
      </c>
      <c r="H162">
        <v>1.17279752758208E-2</v>
      </c>
      <c r="I162">
        <v>9.7271588221135396E-4</v>
      </c>
      <c r="J162" s="1">
        <v>2.0970255966785599E-6</v>
      </c>
      <c r="K162" s="1">
        <v>6.5013729640522298E-9</v>
      </c>
      <c r="L162">
        <v>0</v>
      </c>
    </row>
    <row r="163" spans="1:22" x14ac:dyDescent="0.25">
      <c r="A163" t="s">
        <v>3</v>
      </c>
      <c r="B163">
        <v>6.8934383494569302E-4</v>
      </c>
      <c r="C163">
        <v>-6.3446622154311803E-4</v>
      </c>
      <c r="D163">
        <v>-6.3446622154311803E-4</v>
      </c>
      <c r="E163">
        <v>-6.3446622154311803E-4</v>
      </c>
      <c r="F163">
        <v>6.6338620747093697E-3</v>
      </c>
      <c r="G163">
        <v>9.8075045577074305E-3</v>
      </c>
      <c r="H163">
        <v>5.40802803528852E-3</v>
      </c>
      <c r="I163">
        <v>3.1740159929923599E-3</v>
      </c>
      <c r="J163">
        <v>2.0054488182051199E-3</v>
      </c>
      <c r="K163">
        <v>1.50978098060141E-3</v>
      </c>
      <c r="L163">
        <v>1.4678025074139E-3</v>
      </c>
    </row>
    <row r="164" spans="1:22" x14ac:dyDescent="0.25">
      <c r="A164" t="s">
        <v>11</v>
      </c>
      <c r="B164">
        <v>4.2894256197727201E-2</v>
      </c>
      <c r="C164">
        <v>4.2894256197727201E-2</v>
      </c>
      <c r="D164">
        <v>4.2894256197727201E-2</v>
      </c>
      <c r="E164">
        <v>2.43935310392728E-2</v>
      </c>
      <c r="F164">
        <v>1.4260732556106701E-2</v>
      </c>
      <c r="G164">
        <v>7.8458495610660203E-3</v>
      </c>
      <c r="H164">
        <v>3.4155708099377598E-3</v>
      </c>
      <c r="I164">
        <v>3.7459285908031999E-4</v>
      </c>
      <c r="J164" s="1">
        <v>1.0549480817119601E-6</v>
      </c>
      <c r="K164" s="1">
        <v>4.13599477227804E-9</v>
      </c>
      <c r="L164">
        <v>0</v>
      </c>
    </row>
    <row r="165" spans="1:22" x14ac:dyDescent="0.25">
      <c r="A165" t="s">
        <v>12</v>
      </c>
      <c r="B165">
        <v>2.4612898156164899E-3</v>
      </c>
      <c r="C165">
        <v>2.4612898156164899E-3</v>
      </c>
      <c r="D165">
        <v>2.4612898156164899E-3</v>
      </c>
      <c r="E165">
        <v>2.4612898156164899E-3</v>
      </c>
      <c r="F165">
        <v>2.97505766815267E-3</v>
      </c>
      <c r="G165">
        <v>3.3738693445409499E-3</v>
      </c>
      <c r="H165">
        <v>2.5100341493864498E-3</v>
      </c>
      <c r="I165">
        <v>1.87838212557667E-3</v>
      </c>
      <c r="J165">
        <v>1.42866477426329E-3</v>
      </c>
      <c r="K165">
        <v>1.17951494430544E-3</v>
      </c>
      <c r="L165">
        <v>1.1528093935530401E-3</v>
      </c>
    </row>
    <row r="166" spans="1:22" x14ac:dyDescent="0.25">
      <c r="A166" t="s">
        <v>4</v>
      </c>
      <c r="B166">
        <v>6.8039924152497201E-3</v>
      </c>
      <c r="C166">
        <v>6.8039924152497201E-3</v>
      </c>
      <c r="D166">
        <v>6.8039924152497201E-3</v>
      </c>
      <c r="E166">
        <v>4.95391989940429E-3</v>
      </c>
      <c r="F166">
        <v>3.4340001269293702E-3</v>
      </c>
      <c r="G166">
        <v>2.1510235279212299E-3</v>
      </c>
      <c r="H166">
        <v>1.04345384013917E-3</v>
      </c>
      <c r="I166">
        <v>1.31160454881936E-4</v>
      </c>
      <c r="J166" s="1">
        <v>4.2218603242339699E-7</v>
      </c>
      <c r="K166" s="1">
        <v>1.8611976475251201E-9</v>
      </c>
      <c r="L166">
        <v>0</v>
      </c>
    </row>
    <row r="167" spans="1:22" x14ac:dyDescent="0.25">
      <c r="A167" t="s">
        <v>5</v>
      </c>
      <c r="B167">
        <v>1.0941100923314E-3</v>
      </c>
      <c r="C167">
        <v>1.0941100923314E-3</v>
      </c>
      <c r="D167">
        <v>1.0941100923314E-3</v>
      </c>
      <c r="E167">
        <v>1.0941100923314E-3</v>
      </c>
      <c r="F167">
        <v>1.1711752702118299E-3</v>
      </c>
      <c r="G167">
        <v>1.2509376054894801E-3</v>
      </c>
      <c r="H167">
        <v>1.03497880670086E-3</v>
      </c>
      <c r="I167">
        <v>8.4548319955792201E-4</v>
      </c>
      <c r="J167">
        <v>6.8808212659824102E-4</v>
      </c>
      <c r="K167">
        <v>5.8842219461509998E-4</v>
      </c>
      <c r="L167">
        <v>5.7640469677652198E-4</v>
      </c>
    </row>
    <row r="169" spans="1:22" x14ac:dyDescent="0.25">
      <c r="A169" t="s">
        <v>28</v>
      </c>
    </row>
    <row r="170" spans="1:22" x14ac:dyDescent="0.25">
      <c r="A170" t="str">
        <f>A113</f>
        <v>Half-length</v>
      </c>
      <c r="B170">
        <f>MAX(B113,B127)</f>
        <v>0</v>
      </c>
      <c r="C170">
        <f t="shared" ref="C170:V170" si="0">MAX(C113,C127)</f>
        <v>0.21724642805272601</v>
      </c>
      <c r="D170">
        <f t="shared" si="0"/>
        <v>0.48168886660712001</v>
      </c>
      <c r="E170">
        <f t="shared" si="0"/>
        <v>0.803580480363007</v>
      </c>
      <c r="F170">
        <f t="shared" si="0"/>
        <v>1.19540189742749</v>
      </c>
      <c r="G170">
        <f t="shared" si="0"/>
        <v>1.67234511778379</v>
      </c>
      <c r="H170">
        <f t="shared" si="0"/>
        <v>2.25290254914646</v>
      </c>
      <c r="I170">
        <f t="shared" si="0"/>
        <v>2.9595840087521301</v>
      </c>
      <c r="J170">
        <f t="shared" si="0"/>
        <v>3.81978949122822</v>
      </c>
      <c r="K170">
        <f t="shared" si="0"/>
        <v>4.8668715421636204</v>
      </c>
      <c r="L170">
        <f t="shared" si="0"/>
        <v>6.1414284285428504</v>
      </c>
      <c r="M170">
        <f t="shared" si="0"/>
        <v>7.6928782458379796</v>
      </c>
      <c r="N170">
        <f t="shared" si="0"/>
        <v>9.5813749942435091</v>
      </c>
      <c r="O170">
        <f t="shared" si="0"/>
        <v>11.880140915629401</v>
      </c>
      <c r="P170">
        <f t="shared" si="0"/>
        <v>14.6783055223656</v>
      </c>
      <c r="Q170">
        <f t="shared" si="0"/>
        <v>18.084361395018799</v>
      </c>
      <c r="R170">
        <f t="shared" si="0"/>
        <v>22.230370739754001</v>
      </c>
      <c r="S170">
        <f t="shared" si="0"/>
        <v>27.2770858053061</v>
      </c>
      <c r="T170">
        <f t="shared" si="0"/>
        <v>33.420181692249301</v>
      </c>
      <c r="U170">
        <f t="shared" si="0"/>
        <v>40.897843217816302</v>
      </c>
      <c r="V170">
        <f t="shared" si="0"/>
        <v>50</v>
      </c>
    </row>
    <row r="171" spans="1:22" x14ac:dyDescent="0.25">
      <c r="A171" t="s">
        <v>57</v>
      </c>
      <c r="B171">
        <f>SUM(B114,B128)</f>
        <v>1.6E-2</v>
      </c>
      <c r="C171">
        <f t="shared" ref="C171:V171" si="1">SUM(C114,C128)</f>
        <v>0</v>
      </c>
      <c r="D171">
        <f t="shared" si="1"/>
        <v>0</v>
      </c>
      <c r="E171">
        <f t="shared" si="1"/>
        <v>0</v>
      </c>
      <c r="F171">
        <f t="shared" si="1"/>
        <v>0</v>
      </c>
      <c r="G171">
        <f t="shared" si="1"/>
        <v>0</v>
      </c>
      <c r="H171">
        <f t="shared" si="1"/>
        <v>0</v>
      </c>
      <c r="I171">
        <f t="shared" si="1"/>
        <v>0</v>
      </c>
      <c r="J171">
        <f t="shared" si="1"/>
        <v>0</v>
      </c>
      <c r="K171">
        <f t="shared" si="1"/>
        <v>0</v>
      </c>
      <c r="L171">
        <f t="shared" si="1"/>
        <v>0</v>
      </c>
      <c r="M171">
        <f t="shared" si="1"/>
        <v>0</v>
      </c>
      <c r="N171">
        <f t="shared" si="1"/>
        <v>0</v>
      </c>
      <c r="O171">
        <f t="shared" si="1"/>
        <v>0</v>
      </c>
      <c r="P171">
        <f t="shared" si="1"/>
        <v>0</v>
      </c>
      <c r="Q171">
        <f t="shared" si="1"/>
        <v>0</v>
      </c>
      <c r="R171">
        <f t="shared" si="1"/>
        <v>0</v>
      </c>
      <c r="S171">
        <f t="shared" si="1"/>
        <v>0</v>
      </c>
      <c r="T171">
        <f t="shared" si="1"/>
        <v>0</v>
      </c>
      <c r="U171">
        <f t="shared" si="1"/>
        <v>0</v>
      </c>
      <c r="V171">
        <f t="shared" si="1"/>
        <v>0</v>
      </c>
    </row>
    <row r="172" spans="1:22" x14ac:dyDescent="0.25">
      <c r="A172" t="s">
        <v>56</v>
      </c>
      <c r="B172">
        <f>SUM(B114:B116,B128:B130)</f>
        <v>5.485102085307092E-2</v>
      </c>
      <c r="C172">
        <f t="shared" ref="C172:V172" si="2">SUM(C114:C116,C128:C130)</f>
        <v>3.7985139243792376E-2</v>
      </c>
      <c r="D172">
        <f t="shared" si="2"/>
        <v>3.6813172934434979E-2</v>
      </c>
      <c r="E172">
        <f t="shared" si="2"/>
        <v>3.53818425875147E-2</v>
      </c>
      <c r="F172">
        <f t="shared" si="2"/>
        <v>3.3696908231013518E-2</v>
      </c>
      <c r="G172">
        <f t="shared" si="2"/>
        <v>3.166375350320428E-2</v>
      </c>
      <c r="H172">
        <f t="shared" si="2"/>
        <v>2.928840375903884E-2</v>
      </c>
      <c r="I172">
        <f t="shared" si="2"/>
        <v>2.6543388382453809E-2</v>
      </c>
      <c r="J172">
        <f t="shared" si="2"/>
        <v>2.341078980891264E-2</v>
      </c>
      <c r="K172">
        <f t="shared" si="2"/>
        <v>1.990893720204184E-2</v>
      </c>
      <c r="L172">
        <f t="shared" si="2"/>
        <v>1.6123356742860879E-2</v>
      </c>
      <c r="M172">
        <f t="shared" si="2"/>
        <v>1.2239293443698472E-2</v>
      </c>
      <c r="N172">
        <f t="shared" si="2"/>
        <v>8.537946503847876E-3</v>
      </c>
      <c r="O172">
        <f t="shared" si="2"/>
        <v>5.3499334390897666E-3</v>
      </c>
      <c r="P172">
        <f t="shared" si="2"/>
        <v>2.9372148650436401E-3</v>
      </c>
      <c r="Q172">
        <f t="shared" si="2"/>
        <v>1.3754619173403746E-3</v>
      </c>
      <c r="R172">
        <f t="shared" si="2"/>
        <v>5.2916371729294111E-4</v>
      </c>
      <c r="S172">
        <f t="shared" si="2"/>
        <v>1.4235013125781643E-4</v>
      </c>
      <c r="T172">
        <f t="shared" si="2"/>
        <v>8.834484967098759E-6</v>
      </c>
      <c r="U172">
        <f t="shared" si="2"/>
        <v>3.9549519323753789E-7</v>
      </c>
      <c r="V172">
        <f t="shared" si="2"/>
        <v>4.1626685462407986E-8</v>
      </c>
    </row>
    <row r="173" spans="1:22" x14ac:dyDescent="0.25">
      <c r="A173" t="s">
        <v>58</v>
      </c>
      <c r="B173">
        <f>SUM(B117,B131)</f>
        <v>0</v>
      </c>
      <c r="C173">
        <f t="shared" ref="C173:V173" si="3">SUM(C117,C131)</f>
        <v>0</v>
      </c>
      <c r="D173">
        <f t="shared" si="3"/>
        <v>0</v>
      </c>
      <c r="E173">
        <f t="shared" si="3"/>
        <v>0</v>
      </c>
      <c r="F173">
        <f t="shared" si="3"/>
        <v>0</v>
      </c>
      <c r="G173">
        <f t="shared" si="3"/>
        <v>0</v>
      </c>
      <c r="H173">
        <f t="shared" si="3"/>
        <v>0</v>
      </c>
      <c r="I173">
        <f t="shared" si="3"/>
        <v>0</v>
      </c>
      <c r="J173">
        <f t="shared" si="3"/>
        <v>0</v>
      </c>
      <c r="K173">
        <f t="shared" si="3"/>
        <v>0</v>
      </c>
      <c r="L173">
        <f t="shared" si="3"/>
        <v>0</v>
      </c>
      <c r="M173">
        <f t="shared" si="3"/>
        <v>0</v>
      </c>
      <c r="N173">
        <f t="shared" si="3"/>
        <v>0</v>
      </c>
      <c r="O173">
        <f t="shared" si="3"/>
        <v>0</v>
      </c>
      <c r="P173">
        <f t="shared" si="3"/>
        <v>0</v>
      </c>
      <c r="Q173">
        <f t="shared" si="3"/>
        <v>0</v>
      </c>
      <c r="R173">
        <f t="shared" si="3"/>
        <v>0</v>
      </c>
      <c r="S173">
        <f t="shared" si="3"/>
        <v>0</v>
      </c>
      <c r="T173">
        <f t="shared" si="3"/>
        <v>0</v>
      </c>
      <c r="U173">
        <f t="shared" si="3"/>
        <v>0</v>
      </c>
      <c r="V173">
        <f t="shared" si="3"/>
        <v>0</v>
      </c>
    </row>
    <row r="174" spans="1:22" x14ac:dyDescent="0.25">
      <c r="A174" t="s">
        <v>59</v>
      </c>
      <c r="B174">
        <f>SUM(B117:B118,B131:B132)</f>
        <v>0.24418622796591499</v>
      </c>
      <c r="C174">
        <f t="shared" ref="C174:V174" si="4">SUM(C117:C118,C131:C132)</f>
        <v>0.24408884005886999</v>
      </c>
      <c r="D174">
        <f t="shared" si="4"/>
        <v>0.243678613012764</v>
      </c>
      <c r="E174">
        <f t="shared" si="4"/>
        <v>0.24276133411113199</v>
      </c>
      <c r="F174">
        <f t="shared" si="4"/>
        <v>0.241092050447551</v>
      </c>
      <c r="G174">
        <f t="shared" si="4"/>
        <v>0.23820634179142999</v>
      </c>
      <c r="H174">
        <f t="shared" si="4"/>
        <v>0.233579100005047</v>
      </c>
      <c r="I174">
        <f t="shared" si="4"/>
        <v>0.22646416296845501</v>
      </c>
      <c r="J174">
        <f t="shared" si="4"/>
        <v>0.21589174865365399</v>
      </c>
      <c r="K174">
        <f t="shared" si="4"/>
        <v>0.20074039783609801</v>
      </c>
      <c r="L174">
        <f t="shared" si="4"/>
        <v>0.180122480523046</v>
      </c>
      <c r="M174">
        <f t="shared" si="4"/>
        <v>0.15362039385082901</v>
      </c>
      <c r="N174">
        <f t="shared" si="4"/>
        <v>0.122138199687198</v>
      </c>
      <c r="O174">
        <f t="shared" si="4"/>
        <v>8.8425982044458798E-2</v>
      </c>
      <c r="P174">
        <f t="shared" si="4"/>
        <v>5.6890469948223998E-2</v>
      </c>
      <c r="Q174">
        <f t="shared" si="4"/>
        <v>3.1747910207549301E-2</v>
      </c>
      <c r="R174">
        <f t="shared" si="4"/>
        <v>1.50172781164773E-2</v>
      </c>
      <c r="S174">
        <f t="shared" si="4"/>
        <v>5.6028039517499999E-3</v>
      </c>
      <c r="T174">
        <f t="shared" si="4"/>
        <v>1.3858699023653501E-3</v>
      </c>
      <c r="U174">
        <f t="shared" si="4"/>
        <v>1.7763210678421698E-5</v>
      </c>
      <c r="V174">
        <f t="shared" si="4"/>
        <v>2.2501083263645899E-6</v>
      </c>
    </row>
    <row r="175" spans="1:22" x14ac:dyDescent="0.25">
      <c r="A175" t="s">
        <v>36</v>
      </c>
      <c r="B175">
        <f>SUM(B114,B128)/B172</f>
        <v>0.29169922001741955</v>
      </c>
      <c r="C175">
        <f t="shared" ref="C175:V175" si="5">SUM(C114,C128)/C172</f>
        <v>0</v>
      </c>
      <c r="D175">
        <f t="shared" si="5"/>
        <v>0</v>
      </c>
      <c r="E175">
        <f t="shared" si="5"/>
        <v>0</v>
      </c>
      <c r="F175">
        <f t="shared" si="5"/>
        <v>0</v>
      </c>
      <c r="G175">
        <f t="shared" si="5"/>
        <v>0</v>
      </c>
      <c r="H175">
        <f t="shared" si="5"/>
        <v>0</v>
      </c>
      <c r="I175">
        <f t="shared" si="5"/>
        <v>0</v>
      </c>
      <c r="J175">
        <f t="shared" si="5"/>
        <v>0</v>
      </c>
      <c r="K175">
        <f t="shared" si="5"/>
        <v>0</v>
      </c>
      <c r="L175">
        <f t="shared" si="5"/>
        <v>0</v>
      </c>
      <c r="M175">
        <f t="shared" si="5"/>
        <v>0</v>
      </c>
      <c r="N175">
        <f t="shared" si="5"/>
        <v>0</v>
      </c>
      <c r="O175">
        <f t="shared" si="5"/>
        <v>0</v>
      </c>
      <c r="P175">
        <f t="shared" si="5"/>
        <v>0</v>
      </c>
      <c r="Q175">
        <f t="shared" si="5"/>
        <v>0</v>
      </c>
      <c r="R175">
        <f t="shared" si="5"/>
        <v>0</v>
      </c>
      <c r="S175">
        <f t="shared" si="5"/>
        <v>0</v>
      </c>
      <c r="T175">
        <f t="shared" si="5"/>
        <v>0</v>
      </c>
      <c r="U175">
        <f t="shared" si="5"/>
        <v>0</v>
      </c>
      <c r="V175">
        <f t="shared" si="5"/>
        <v>0</v>
      </c>
    </row>
    <row r="176" spans="1:22" x14ac:dyDescent="0.25">
      <c r="A176" t="s">
        <v>39</v>
      </c>
      <c r="B176">
        <f>SUM(B114:B115,B128:B129)/B172</f>
        <v>0.39315927124859262</v>
      </c>
      <c r="C176">
        <f t="shared" ref="C176:V176" si="6">SUM(C114:C115,C128:C129)/C172</f>
        <v>0.14357021277615326</v>
      </c>
      <c r="D176">
        <f t="shared" si="6"/>
        <v>0.14179523585619166</v>
      </c>
      <c r="E176">
        <f t="shared" si="6"/>
        <v>0.13942976140714677</v>
      </c>
      <c r="F176">
        <f t="shared" si="6"/>
        <v>0.13624294870505796</v>
      </c>
      <c r="G176">
        <f t="shared" si="6"/>
        <v>0.13219365779414924</v>
      </c>
      <c r="H176">
        <f t="shared" si="6"/>
        <v>0.12693782087602398</v>
      </c>
      <c r="I176">
        <f t="shared" si="6"/>
        <v>0.12024557381410513</v>
      </c>
      <c r="J176">
        <f t="shared" si="6"/>
        <v>0.111978348824644</v>
      </c>
      <c r="K176">
        <f t="shared" si="6"/>
        <v>0.10215175707062668</v>
      </c>
      <c r="L176">
        <f t="shared" si="6"/>
        <v>9.1039673250877071E-2</v>
      </c>
      <c r="M176">
        <f t="shared" si="6"/>
        <v>7.9287472905219397E-2</v>
      </c>
      <c r="N176">
        <f t="shared" si="6"/>
        <v>6.7800449470045085E-2</v>
      </c>
      <c r="O176">
        <f t="shared" si="6"/>
        <v>5.7612173694491148E-2</v>
      </c>
      <c r="P176">
        <f t="shared" si="6"/>
        <v>4.9603913578271798E-2</v>
      </c>
      <c r="Q176">
        <f t="shared" si="6"/>
        <v>4.4075140277040799E-2</v>
      </c>
      <c r="R176">
        <f t="shared" si="6"/>
        <v>4.0712393015789036E-2</v>
      </c>
      <c r="S176">
        <f t="shared" si="6"/>
        <v>3.8575349545895893E-2</v>
      </c>
      <c r="T176">
        <f t="shared" si="6"/>
        <v>3.8832319253313631E-2</v>
      </c>
      <c r="U176">
        <f t="shared" si="6"/>
        <v>3.9858535946132187E-2</v>
      </c>
      <c r="V176">
        <f t="shared" si="6"/>
        <v>4.0060715757805246E-2</v>
      </c>
    </row>
    <row r="177" spans="1:22" x14ac:dyDescent="0.25">
      <c r="A177" t="s">
        <v>37</v>
      </c>
      <c r="B177">
        <f>SUM(B115,B129)/B172</f>
        <v>0.10146005123117312</v>
      </c>
      <c r="C177">
        <f t="shared" ref="C177:V177" si="7">SUM(C115,C129)/C172</f>
        <v>0.14357021277615326</v>
      </c>
      <c r="D177">
        <f t="shared" si="7"/>
        <v>0.14179523585619166</v>
      </c>
      <c r="E177">
        <f t="shared" si="7"/>
        <v>0.13942976140714677</v>
      </c>
      <c r="F177">
        <f t="shared" si="7"/>
        <v>0.13624294870505796</v>
      </c>
      <c r="G177">
        <f t="shared" si="7"/>
        <v>0.13219365779414924</v>
      </c>
      <c r="H177">
        <f t="shared" si="7"/>
        <v>0.12693782087602398</v>
      </c>
      <c r="I177">
        <f t="shared" si="7"/>
        <v>0.12024557381410513</v>
      </c>
      <c r="J177">
        <f t="shared" si="7"/>
        <v>0.111978348824644</v>
      </c>
      <c r="K177">
        <f t="shared" si="7"/>
        <v>0.10215175707062668</v>
      </c>
      <c r="L177">
        <f t="shared" si="7"/>
        <v>9.1039673250877071E-2</v>
      </c>
      <c r="M177">
        <f t="shared" si="7"/>
        <v>7.9287472905219397E-2</v>
      </c>
      <c r="N177">
        <f t="shared" si="7"/>
        <v>6.7800449470045085E-2</v>
      </c>
      <c r="O177">
        <f t="shared" si="7"/>
        <v>5.7612173694491148E-2</v>
      </c>
      <c r="P177">
        <f t="shared" si="7"/>
        <v>4.9603913578271798E-2</v>
      </c>
      <c r="Q177">
        <f t="shared" si="7"/>
        <v>4.4075140277040799E-2</v>
      </c>
      <c r="R177">
        <f t="shared" si="7"/>
        <v>4.0712393015789036E-2</v>
      </c>
      <c r="S177">
        <f t="shared" si="7"/>
        <v>3.8575349545895893E-2</v>
      </c>
      <c r="T177">
        <f t="shared" si="7"/>
        <v>3.8832319253313631E-2</v>
      </c>
      <c r="U177">
        <f t="shared" si="7"/>
        <v>3.9858535946132187E-2</v>
      </c>
      <c r="V177">
        <f t="shared" si="7"/>
        <v>4.0060715757805246E-2</v>
      </c>
    </row>
    <row r="178" spans="1:22" x14ac:dyDescent="0.25">
      <c r="A178" t="s">
        <v>38</v>
      </c>
      <c r="B178">
        <f>SUM(B116,B130)/B172</f>
        <v>0.60684072875140738</v>
      </c>
      <c r="C178">
        <f t="shared" ref="C178:V178" si="8">SUM(C116,C130)/C172</f>
        <v>0.85642978722384677</v>
      </c>
      <c r="D178">
        <f t="shared" si="8"/>
        <v>0.85820476414380831</v>
      </c>
      <c r="E178">
        <f t="shared" si="8"/>
        <v>0.8605702385928532</v>
      </c>
      <c r="F178">
        <f t="shared" si="8"/>
        <v>0.86375705129494207</v>
      </c>
      <c r="G178">
        <f t="shared" si="8"/>
        <v>0.86780634220585073</v>
      </c>
      <c r="H178">
        <f t="shared" si="8"/>
        <v>0.87306217912397599</v>
      </c>
      <c r="I178">
        <f t="shared" si="8"/>
        <v>0.87975442618589494</v>
      </c>
      <c r="J178">
        <f t="shared" si="8"/>
        <v>0.88802165117535603</v>
      </c>
      <c r="K178">
        <f t="shared" si="8"/>
        <v>0.89784824292937337</v>
      </c>
      <c r="L178">
        <f t="shared" si="8"/>
        <v>0.90896032674912297</v>
      </c>
      <c r="M178">
        <f t="shared" si="8"/>
        <v>0.92071252709478058</v>
      </c>
      <c r="N178">
        <f t="shared" si="8"/>
        <v>0.93219955052995496</v>
      </c>
      <c r="O178">
        <f t="shared" si="8"/>
        <v>0.94238782630550877</v>
      </c>
      <c r="P178">
        <f t="shared" si="8"/>
        <v>0.95039608642172824</v>
      </c>
      <c r="Q178">
        <f t="shared" si="8"/>
        <v>0.95592485972295915</v>
      </c>
      <c r="R178">
        <f t="shared" si="8"/>
        <v>0.95928760698421089</v>
      </c>
      <c r="S178">
        <f t="shared" si="8"/>
        <v>0.96142465045410408</v>
      </c>
      <c r="T178">
        <f t="shared" si="8"/>
        <v>0.96116768074668646</v>
      </c>
      <c r="U178">
        <f t="shared" si="8"/>
        <v>0.9601414640538678</v>
      </c>
      <c r="V178">
        <f t="shared" si="8"/>
        <v>0.95993928424219477</v>
      </c>
    </row>
    <row r="180" spans="1:22" x14ac:dyDescent="0.25">
      <c r="A180" t="s">
        <v>29</v>
      </c>
    </row>
    <row r="181" spans="1:22" x14ac:dyDescent="0.25">
      <c r="A181" t="str">
        <f>A141</f>
        <v>Half-length</v>
      </c>
      <c r="B181">
        <f>MAX(B141,B155)</f>
        <v>0</v>
      </c>
      <c r="C181">
        <f t="shared" ref="C181:V181" si="9">MAX(C141,C155)</f>
        <v>0.21724642805272601</v>
      </c>
      <c r="D181">
        <f t="shared" si="9"/>
        <v>0.48168886660712001</v>
      </c>
      <c r="E181">
        <f t="shared" si="9"/>
        <v>0.803580480363007</v>
      </c>
      <c r="F181">
        <f t="shared" si="9"/>
        <v>1.19540189742749</v>
      </c>
      <c r="G181">
        <f t="shared" si="9"/>
        <v>1.67234511778379</v>
      </c>
      <c r="H181">
        <f t="shared" si="9"/>
        <v>2.25290254914646</v>
      </c>
      <c r="I181">
        <f t="shared" si="9"/>
        <v>2.9595840087521301</v>
      </c>
      <c r="J181">
        <f t="shared" si="9"/>
        <v>3.81978949122822</v>
      </c>
      <c r="K181">
        <f t="shared" si="9"/>
        <v>4.8668715421636204</v>
      </c>
      <c r="L181">
        <f t="shared" si="9"/>
        <v>6.1414284285428504</v>
      </c>
      <c r="M181">
        <f t="shared" si="9"/>
        <v>7.6928782458379796</v>
      </c>
      <c r="N181">
        <f t="shared" si="9"/>
        <v>9.5813749942435091</v>
      </c>
      <c r="O181">
        <f t="shared" si="9"/>
        <v>11.880140915629401</v>
      </c>
      <c r="P181">
        <f t="shared" si="9"/>
        <v>14.6783055223656</v>
      </c>
      <c r="Q181">
        <f t="shared" si="9"/>
        <v>18.084361395018799</v>
      </c>
      <c r="R181">
        <f t="shared" si="9"/>
        <v>22.230370739754001</v>
      </c>
      <c r="S181">
        <f t="shared" si="9"/>
        <v>27.2770858053061</v>
      </c>
      <c r="T181">
        <f t="shared" si="9"/>
        <v>33.420181692249301</v>
      </c>
      <c r="U181">
        <f t="shared" si="9"/>
        <v>40.897843217816302</v>
      </c>
      <c r="V181">
        <f t="shared" si="9"/>
        <v>50</v>
      </c>
    </row>
    <row r="182" spans="1:22" x14ac:dyDescent="0.25">
      <c r="A182" t="s">
        <v>57</v>
      </c>
      <c r="B182">
        <f>SUM(B142,B156)</f>
        <v>1.6E-2</v>
      </c>
      <c r="C182">
        <f t="shared" ref="C182:V182" si="10">SUM(C142,C156)</f>
        <v>0</v>
      </c>
      <c r="D182">
        <f t="shared" si="10"/>
        <v>0</v>
      </c>
      <c r="E182">
        <f t="shared" si="10"/>
        <v>0</v>
      </c>
      <c r="F182">
        <f t="shared" si="10"/>
        <v>0</v>
      </c>
      <c r="G182">
        <f t="shared" si="10"/>
        <v>0</v>
      </c>
      <c r="H182">
        <f t="shared" si="10"/>
        <v>0</v>
      </c>
      <c r="I182">
        <f t="shared" si="10"/>
        <v>0</v>
      </c>
      <c r="J182">
        <f t="shared" si="10"/>
        <v>0</v>
      </c>
      <c r="K182">
        <f t="shared" si="10"/>
        <v>0</v>
      </c>
      <c r="L182">
        <f t="shared" si="10"/>
        <v>0</v>
      </c>
      <c r="M182">
        <f t="shared" si="10"/>
        <v>0</v>
      </c>
      <c r="N182">
        <f t="shared" si="10"/>
        <v>0</v>
      </c>
      <c r="O182">
        <f t="shared" si="10"/>
        <v>0</v>
      </c>
      <c r="P182">
        <f t="shared" si="10"/>
        <v>0</v>
      </c>
      <c r="Q182">
        <f t="shared" si="10"/>
        <v>0</v>
      </c>
      <c r="R182">
        <f t="shared" si="10"/>
        <v>0</v>
      </c>
      <c r="S182">
        <f t="shared" si="10"/>
        <v>0</v>
      </c>
      <c r="T182">
        <f t="shared" si="10"/>
        <v>0</v>
      </c>
      <c r="U182">
        <f t="shared" si="10"/>
        <v>0</v>
      </c>
      <c r="V182">
        <f t="shared" si="10"/>
        <v>0</v>
      </c>
    </row>
    <row r="183" spans="1:22" x14ac:dyDescent="0.25">
      <c r="A183" t="s">
        <v>56</v>
      </c>
      <c r="B183">
        <f>SUM(B142:B144,B156:B158)</f>
        <v>5.4850833561222487E-2</v>
      </c>
      <c r="C183">
        <f t="shared" ref="C183:V183" si="11">SUM(C142:C144,C156:C158)</f>
        <v>3.7984985278114433E-2</v>
      </c>
      <c r="D183">
        <f t="shared" si="11"/>
        <v>3.6813059410136885E-2</v>
      </c>
      <c r="E183">
        <f t="shared" si="11"/>
        <v>3.5381771968324732E-2</v>
      </c>
      <c r="F183">
        <f t="shared" si="11"/>
        <v>3.3696890796898631E-2</v>
      </c>
      <c r="G183">
        <f t="shared" si="11"/>
        <v>3.1663785624134688E-2</v>
      </c>
      <c r="H183">
        <f t="shared" si="11"/>
        <v>2.9288480808791411E-2</v>
      </c>
      <c r="I183">
        <f t="shared" si="11"/>
        <v>2.6543502016469243E-2</v>
      </c>
      <c r="J183">
        <f t="shared" si="11"/>
        <v>2.3410928245463779E-2</v>
      </c>
      <c r="K183">
        <f t="shared" si="11"/>
        <v>1.9909086102651619E-2</v>
      </c>
      <c r="L183">
        <f t="shared" si="11"/>
        <v>1.6123500985994292E-2</v>
      </c>
      <c r="M183">
        <f t="shared" si="11"/>
        <v>1.2239419614876856E-2</v>
      </c>
      <c r="N183">
        <f t="shared" si="11"/>
        <v>8.538045493801551E-3</v>
      </c>
      <c r="O183">
        <f t="shared" si="11"/>
        <v>5.3500021864110719E-3</v>
      </c>
      <c r="P183">
        <f t="shared" si="11"/>
        <v>2.9372563371427582E-3</v>
      </c>
      <c r="Q183">
        <f t="shared" si="11"/>
        <v>1.3754831222104332E-3</v>
      </c>
      <c r="R183">
        <f t="shared" si="11"/>
        <v>5.2917262964936439E-4</v>
      </c>
      <c r="S183">
        <f t="shared" si="11"/>
        <v>1.4235309715034941E-4</v>
      </c>
      <c r="T183">
        <f t="shared" si="11"/>
        <v>8.8352318202470155E-6</v>
      </c>
      <c r="U183">
        <f t="shared" si="11"/>
        <v>3.956299428538873E-7</v>
      </c>
      <c r="V183">
        <f t="shared" si="11"/>
        <v>4.164299725252893E-8</v>
      </c>
    </row>
    <row r="184" spans="1:22" x14ac:dyDescent="0.25">
      <c r="A184" t="s">
        <v>58</v>
      </c>
      <c r="B184">
        <f>SUM(B145,B159)</f>
        <v>0</v>
      </c>
      <c r="C184">
        <f t="shared" ref="C184:V184" si="12">SUM(C145,C159)</f>
        <v>0</v>
      </c>
      <c r="D184">
        <f t="shared" si="12"/>
        <v>0</v>
      </c>
      <c r="E184">
        <f t="shared" si="12"/>
        <v>0</v>
      </c>
      <c r="F184">
        <f t="shared" si="12"/>
        <v>0</v>
      </c>
      <c r="G184">
        <f t="shared" si="12"/>
        <v>0</v>
      </c>
      <c r="H184">
        <f t="shared" si="12"/>
        <v>0</v>
      </c>
      <c r="I184">
        <f t="shared" si="12"/>
        <v>0</v>
      </c>
      <c r="J184">
        <f t="shared" si="12"/>
        <v>0</v>
      </c>
      <c r="K184">
        <f t="shared" si="12"/>
        <v>0</v>
      </c>
      <c r="L184">
        <f t="shared" si="12"/>
        <v>0</v>
      </c>
      <c r="M184">
        <f t="shared" si="12"/>
        <v>0</v>
      </c>
      <c r="N184">
        <f t="shared" si="12"/>
        <v>0</v>
      </c>
      <c r="O184">
        <f t="shared" si="12"/>
        <v>0</v>
      </c>
      <c r="P184">
        <f t="shared" si="12"/>
        <v>0</v>
      </c>
      <c r="Q184">
        <f t="shared" si="12"/>
        <v>0</v>
      </c>
      <c r="R184">
        <f t="shared" si="12"/>
        <v>0</v>
      </c>
      <c r="S184">
        <f t="shared" si="12"/>
        <v>0</v>
      </c>
      <c r="T184">
        <f t="shared" si="12"/>
        <v>0</v>
      </c>
      <c r="U184">
        <f t="shared" si="12"/>
        <v>0</v>
      </c>
      <c r="V184">
        <f t="shared" si="12"/>
        <v>0</v>
      </c>
    </row>
    <row r="185" spans="1:22" x14ac:dyDescent="0.25">
      <c r="A185" t="s">
        <v>59</v>
      </c>
      <c r="B185">
        <f>SUM(B145:B146,B159:B160)</f>
        <v>0.244196022820863</v>
      </c>
      <c r="C185">
        <f t="shared" ref="C185:V185" si="13">SUM(C145:C146,C159:C160)</f>
        <v>0.244098676837913</v>
      </c>
      <c r="D185">
        <f t="shared" si="13"/>
        <v>0.24368843847834901</v>
      </c>
      <c r="E185">
        <f t="shared" si="13"/>
        <v>0.24277070481181801</v>
      </c>
      <c r="F185">
        <f t="shared" si="13"/>
        <v>0.24110077791374401</v>
      </c>
      <c r="G185">
        <f t="shared" si="13"/>
        <v>0.23821437492080599</v>
      </c>
      <c r="H185">
        <f t="shared" si="13"/>
        <v>0.233586397972839</v>
      </c>
      <c r="I185">
        <f t="shared" si="13"/>
        <v>0.22647069406451101</v>
      </c>
      <c r="J185">
        <f t="shared" si="13"/>
        <v>0.21589748985066201</v>
      </c>
      <c r="K185">
        <f t="shared" si="13"/>
        <v>0.20074533307436099</v>
      </c>
      <c r="L185">
        <f t="shared" si="13"/>
        <v>0.18012659986138799</v>
      </c>
      <c r="M185">
        <f t="shared" si="13"/>
        <v>0.15362369668484799</v>
      </c>
      <c r="N185">
        <f t="shared" si="13"/>
        <v>0.12214070472272601</v>
      </c>
      <c r="O185">
        <f t="shared" si="13"/>
        <v>8.8427742763792797E-2</v>
      </c>
      <c r="P185">
        <f t="shared" si="13"/>
        <v>5.6891587476064799E-2</v>
      </c>
      <c r="Q185">
        <f t="shared" si="13"/>
        <v>3.1748530937906999E-2</v>
      </c>
      <c r="R185">
        <f t="shared" si="13"/>
        <v>1.5017568908402799E-2</v>
      </c>
      <c r="S185">
        <f t="shared" si="13"/>
        <v>5.6029140097040497E-3</v>
      </c>
      <c r="T185">
        <f t="shared" si="13"/>
        <v>1.3859019148665299E-3</v>
      </c>
      <c r="U185">
        <f t="shared" si="13"/>
        <v>1.7769961379630701E-5</v>
      </c>
      <c r="V185">
        <f t="shared" si="13"/>
        <v>2.2510719407790901E-6</v>
      </c>
    </row>
    <row r="186" spans="1:22" x14ac:dyDescent="0.25">
      <c r="A186" t="s">
        <v>36</v>
      </c>
      <c r="B186">
        <f>SUM(B142,B156)/B183</f>
        <v>0.29170021604396201</v>
      </c>
      <c r="C186">
        <f t="shared" ref="C186:V186" si="14">SUM(C142,C156)/C183</f>
        <v>0</v>
      </c>
      <c r="D186">
        <f t="shared" si="14"/>
        <v>0</v>
      </c>
      <c r="E186">
        <f t="shared" si="14"/>
        <v>0</v>
      </c>
      <c r="F186">
        <f t="shared" si="14"/>
        <v>0</v>
      </c>
      <c r="G186">
        <f t="shared" si="14"/>
        <v>0</v>
      </c>
      <c r="H186">
        <f t="shared" si="14"/>
        <v>0</v>
      </c>
      <c r="I186">
        <f t="shared" si="14"/>
        <v>0</v>
      </c>
      <c r="J186">
        <f t="shared" si="14"/>
        <v>0</v>
      </c>
      <c r="K186">
        <f t="shared" si="14"/>
        <v>0</v>
      </c>
      <c r="L186">
        <f t="shared" si="14"/>
        <v>0</v>
      </c>
      <c r="M186">
        <f t="shared" si="14"/>
        <v>0</v>
      </c>
      <c r="N186">
        <f t="shared" si="14"/>
        <v>0</v>
      </c>
      <c r="O186">
        <f t="shared" si="14"/>
        <v>0</v>
      </c>
      <c r="P186">
        <f t="shared" si="14"/>
        <v>0</v>
      </c>
      <c r="Q186">
        <f t="shared" si="14"/>
        <v>0</v>
      </c>
      <c r="R186">
        <f t="shared" si="14"/>
        <v>0</v>
      </c>
      <c r="S186">
        <f t="shared" si="14"/>
        <v>0</v>
      </c>
      <c r="T186">
        <f t="shared" si="14"/>
        <v>0</v>
      </c>
      <c r="U186">
        <f t="shared" si="14"/>
        <v>0</v>
      </c>
      <c r="V186">
        <f t="shared" si="14"/>
        <v>0</v>
      </c>
    </row>
    <row r="187" spans="1:22" x14ac:dyDescent="0.25">
      <c r="A187" t="s">
        <v>39</v>
      </c>
      <c r="B187">
        <f>SUM(B142:B143,B156:B157)/B183</f>
        <v>0.39316095042739868</v>
      </c>
      <c r="C187">
        <f t="shared" ref="C187:V187" si="15">SUM(C142:C143,C156:C157)/C183</f>
        <v>0.14357128097071212</v>
      </c>
      <c r="D187">
        <f t="shared" si="15"/>
        <v>0.14179617496162539</v>
      </c>
      <c r="E187">
        <f t="shared" si="15"/>
        <v>0.13943055592115711</v>
      </c>
      <c r="F187">
        <f t="shared" si="15"/>
        <v>0.1362435626550231</v>
      </c>
      <c r="G187">
        <f t="shared" si="15"/>
        <v>0.13219409057074424</v>
      </c>
      <c r="H187">
        <f t="shared" si="15"/>
        <v>0.12693807663502796</v>
      </c>
      <c r="I187">
        <f t="shared" si="15"/>
        <v>0.12024566992711004</v>
      </c>
      <c r="J187">
        <f t="shared" si="15"/>
        <v>0.11197831625818333</v>
      </c>
      <c r="K187">
        <f t="shared" si="15"/>
        <v>0.10215163855687745</v>
      </c>
      <c r="L187">
        <f t="shared" si="15"/>
        <v>9.1039517838059053E-2</v>
      </c>
      <c r="M187">
        <f t="shared" si="15"/>
        <v>7.9287327204756494E-2</v>
      </c>
      <c r="N187">
        <f t="shared" si="15"/>
        <v>6.7800349041107599E-2</v>
      </c>
      <c r="O187">
        <f t="shared" si="15"/>
        <v>5.761213688495103E-2</v>
      </c>
      <c r="P187">
        <f t="shared" si="15"/>
        <v>4.9603939923305591E-2</v>
      </c>
      <c r="Q187">
        <f t="shared" si="15"/>
        <v>4.4075215979006543E-2</v>
      </c>
      <c r="R187">
        <f t="shared" si="15"/>
        <v>4.0712500360855122E-2</v>
      </c>
      <c r="S187">
        <f t="shared" si="15"/>
        <v>3.8575496490677805E-2</v>
      </c>
      <c r="T187">
        <f t="shared" si="15"/>
        <v>3.8832799297979566E-2</v>
      </c>
      <c r="U187">
        <f t="shared" si="15"/>
        <v>3.9859830931715717E-2</v>
      </c>
      <c r="V187">
        <f t="shared" si="15"/>
        <v>4.0061874582817555E-2</v>
      </c>
    </row>
    <row r="188" spans="1:22" x14ac:dyDescent="0.25">
      <c r="A188" t="s">
        <v>37</v>
      </c>
      <c r="B188">
        <f>SUM(B143,B157)/B183</f>
        <v>0.1014607343834367</v>
      </c>
      <c r="C188">
        <f t="shared" ref="C188:V188" si="16">SUM(C143,C157)/C183</f>
        <v>0.14357128097071212</v>
      </c>
      <c r="D188">
        <f t="shared" si="16"/>
        <v>0.14179617496162539</v>
      </c>
      <c r="E188">
        <f t="shared" si="16"/>
        <v>0.13943055592115711</v>
      </c>
      <c r="F188">
        <f t="shared" si="16"/>
        <v>0.1362435626550231</v>
      </c>
      <c r="G188">
        <f t="shared" si="16"/>
        <v>0.13219409057074424</v>
      </c>
      <c r="H188">
        <f t="shared" si="16"/>
        <v>0.12693807663502796</v>
      </c>
      <c r="I188">
        <f t="shared" si="16"/>
        <v>0.12024566992711004</v>
      </c>
      <c r="J188">
        <f t="shared" si="16"/>
        <v>0.11197831625818333</v>
      </c>
      <c r="K188">
        <f t="shared" si="16"/>
        <v>0.10215163855687745</v>
      </c>
      <c r="L188">
        <f t="shared" si="16"/>
        <v>9.1039517838059053E-2</v>
      </c>
      <c r="M188">
        <f t="shared" si="16"/>
        <v>7.9287327204756494E-2</v>
      </c>
      <c r="N188">
        <f t="shared" si="16"/>
        <v>6.7800349041107599E-2</v>
      </c>
      <c r="O188">
        <f t="shared" si="16"/>
        <v>5.761213688495103E-2</v>
      </c>
      <c r="P188">
        <f t="shared" si="16"/>
        <v>4.9603939923305591E-2</v>
      </c>
      <c r="Q188">
        <f t="shared" si="16"/>
        <v>4.4075215979006543E-2</v>
      </c>
      <c r="R188">
        <f t="shared" si="16"/>
        <v>4.0712500360855122E-2</v>
      </c>
      <c r="S188">
        <f t="shared" si="16"/>
        <v>3.8575496490677805E-2</v>
      </c>
      <c r="T188">
        <f t="shared" si="16"/>
        <v>3.8832799297979566E-2</v>
      </c>
      <c r="U188">
        <f t="shared" si="16"/>
        <v>3.9859830931715717E-2</v>
      </c>
      <c r="V188">
        <f t="shared" si="16"/>
        <v>4.0061874582817555E-2</v>
      </c>
    </row>
    <row r="189" spans="1:22" x14ac:dyDescent="0.25">
      <c r="A189" t="s">
        <v>38</v>
      </c>
      <c r="B189">
        <f>SUM(B144,B158)/B183</f>
        <v>0.60683904957260137</v>
      </c>
      <c r="C189">
        <f t="shared" ref="C189:V189" si="17">SUM(C144,C158)/C183</f>
        <v>0.85642871902928785</v>
      </c>
      <c r="D189">
        <f t="shared" si="17"/>
        <v>0.85820382503837456</v>
      </c>
      <c r="E189">
        <f t="shared" si="17"/>
        <v>0.86056944407884284</v>
      </c>
      <c r="F189">
        <f t="shared" si="17"/>
        <v>0.86375643734497687</v>
      </c>
      <c r="G189">
        <f t="shared" si="17"/>
        <v>0.86780590942925584</v>
      </c>
      <c r="H189">
        <f t="shared" si="17"/>
        <v>0.87306192336497201</v>
      </c>
      <c r="I189">
        <f t="shared" si="17"/>
        <v>0.87975433007288995</v>
      </c>
      <c r="J189">
        <f t="shared" si="17"/>
        <v>0.88802168374181667</v>
      </c>
      <c r="K189">
        <f t="shared" si="17"/>
        <v>0.89784836144312252</v>
      </c>
      <c r="L189">
        <f t="shared" si="17"/>
        <v>0.90896048216194081</v>
      </c>
      <c r="M189">
        <f t="shared" si="17"/>
        <v>0.92071267279524349</v>
      </c>
      <c r="N189">
        <f t="shared" si="17"/>
        <v>0.93219965095889246</v>
      </c>
      <c r="O189">
        <f t="shared" si="17"/>
        <v>0.94238786311504907</v>
      </c>
      <c r="P189">
        <f t="shared" si="17"/>
        <v>0.9503960600766943</v>
      </c>
      <c r="Q189">
        <f t="shared" si="17"/>
        <v>0.95592478402099335</v>
      </c>
      <c r="R189">
        <f t="shared" si="17"/>
        <v>0.95928749963914484</v>
      </c>
      <c r="S189">
        <f t="shared" si="17"/>
        <v>0.96142450350932218</v>
      </c>
      <c r="T189">
        <f t="shared" si="17"/>
        <v>0.96116720070202044</v>
      </c>
      <c r="U189">
        <f t="shared" si="17"/>
        <v>0.96014016906828437</v>
      </c>
      <c r="V189">
        <f t="shared" si="17"/>
        <v>0.95993812541718238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8280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90</v>
      </c>
      <c r="AH1" t="s">
        <v>91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90</v>
      </c>
      <c r="AU1" t="s">
        <v>91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191</v>
      </c>
      <c r="B2">
        <v>0</v>
      </c>
      <c r="C2">
        <v>60.0329212939995</v>
      </c>
      <c r="D2">
        <v>6.5761300696056804</v>
      </c>
      <c r="E2">
        <v>10</v>
      </c>
      <c r="F2">
        <v>1.01722196789785</v>
      </c>
      <c r="G2" t="s">
        <v>85</v>
      </c>
      <c r="H2" t="s">
        <v>85</v>
      </c>
      <c r="I2">
        <v>711</v>
      </c>
      <c r="J2">
        <v>548</v>
      </c>
      <c r="K2">
        <v>0</v>
      </c>
      <c r="Z2" s="2" t="s">
        <v>16</v>
      </c>
      <c r="AA2" s="2">
        <v>0</v>
      </c>
      <c r="AC2">
        <v>680</v>
      </c>
      <c r="AD2">
        <v>26.716042650774</v>
      </c>
      <c r="AE2">
        <v>8</v>
      </c>
      <c r="AF2">
        <v>1.01722196789785</v>
      </c>
      <c r="AG2" t="s">
        <v>85</v>
      </c>
      <c r="AH2">
        <v>707</v>
      </c>
      <c r="AI2">
        <v>0</v>
      </c>
      <c r="AJ2">
        <v>1</v>
      </c>
      <c r="AK2">
        <f>AJ2/$AA$17</f>
        <v>6.2500000000000001E-4</v>
      </c>
      <c r="AL2">
        <f>AD2*$AA$16</f>
        <v>26.716042650774</v>
      </c>
      <c r="AM2">
        <f>AL2/$AA$17</f>
        <v>1.6697526656733751E-2</v>
      </c>
      <c r="AP2">
        <v>713</v>
      </c>
      <c r="AQ2">
        <v>14.229028451086499</v>
      </c>
      <c r="AR2">
        <v>6</v>
      </c>
      <c r="AS2">
        <v>1.01722196789785</v>
      </c>
      <c r="AT2" t="s">
        <v>85</v>
      </c>
      <c r="AU2">
        <v>665</v>
      </c>
      <c r="AV2">
        <v>0</v>
      </c>
      <c r="AW2">
        <v>1</v>
      </c>
      <c r="AX2">
        <f>AW2/$AA$17</f>
        <v>6.2500000000000001E-4</v>
      </c>
      <c r="AY2">
        <f>AQ2*$AA$16</f>
        <v>14.229028451086499</v>
      </c>
      <c r="AZ2">
        <f>AY2/$AA$17</f>
        <v>8.8931427819290629E-3</v>
      </c>
    </row>
    <row r="3" spans="1:52" x14ac:dyDescent="0.25">
      <c r="A3" t="s">
        <v>86</v>
      </c>
      <c r="Z3" s="2" t="s">
        <v>17</v>
      </c>
      <c r="AA3" s="2">
        <v>150</v>
      </c>
      <c r="AC3">
        <v>758</v>
      </c>
      <c r="AD3">
        <v>21.098366852538501</v>
      </c>
      <c r="AE3">
        <v>8</v>
      </c>
      <c r="AF3">
        <v>1.01722196789785</v>
      </c>
      <c r="AG3" t="s">
        <v>85</v>
      </c>
      <c r="AH3">
        <v>395</v>
      </c>
      <c r="AI3">
        <v>8.8948032773117705E-2</v>
      </c>
      <c r="AJ3">
        <v>2</v>
      </c>
      <c r="AK3">
        <f>AJ3/$AA$17</f>
        <v>1.25E-3</v>
      </c>
      <c r="AL3">
        <f>AD3*$AA$16</f>
        <v>21.098366852538501</v>
      </c>
      <c r="AM3">
        <f>AM2+(AL3/$AA$17)</f>
        <v>2.9884005939570316E-2</v>
      </c>
      <c r="AP3">
        <v>761</v>
      </c>
      <c r="AQ3">
        <v>13.2195587616834</v>
      </c>
      <c r="AR3">
        <v>6</v>
      </c>
      <c r="AS3">
        <v>1.01722196789785</v>
      </c>
      <c r="AT3" t="s">
        <v>85</v>
      </c>
      <c r="AU3">
        <v>193</v>
      </c>
      <c r="AV3">
        <v>8.8948032773117705E-2</v>
      </c>
      <c r="AW3">
        <v>2</v>
      </c>
      <c r="AX3">
        <f>AW3/$AA$17</f>
        <v>1.25E-3</v>
      </c>
      <c r="AY3">
        <f>AQ3*$AA$16</f>
        <v>13.2195587616834</v>
      </c>
      <c r="AZ3">
        <f>AZ2+(AY3/$AA$17)</f>
        <v>1.715536700798119E-2</v>
      </c>
    </row>
    <row r="4" spans="1:52" x14ac:dyDescent="0.25">
      <c r="A4">
        <v>97.482291705412095</v>
      </c>
      <c r="B4">
        <v>136.50310962085601</v>
      </c>
      <c r="C4">
        <v>2000</v>
      </c>
      <c r="Z4" s="2" t="s">
        <v>18</v>
      </c>
      <c r="AA4" s="2">
        <v>0</v>
      </c>
      <c r="AC4">
        <v>1140</v>
      </c>
      <c r="AD4">
        <v>17.595285685762899</v>
      </c>
      <c r="AE4">
        <v>6</v>
      </c>
      <c r="AF4">
        <v>1.01722196789785</v>
      </c>
      <c r="AG4" t="s">
        <v>89</v>
      </c>
      <c r="AH4">
        <v>652</v>
      </c>
      <c r="AI4">
        <v>9.5129269803373898E-2</v>
      </c>
      <c r="AJ4">
        <v>3</v>
      </c>
      <c r="AK4">
        <f>AJ4/$AA$17</f>
        <v>1.8749999999999999E-3</v>
      </c>
      <c r="AL4">
        <f>AD4*$AA$16</f>
        <v>17.595285685762899</v>
      </c>
      <c r="AM4">
        <f>AM3+(AL4/$AA$17)</f>
        <v>4.0881059493172126E-2</v>
      </c>
      <c r="AP4">
        <v>710</v>
      </c>
      <c r="AQ4">
        <v>11.6462553979656</v>
      </c>
      <c r="AR4">
        <v>6</v>
      </c>
      <c r="AS4">
        <v>1.01722196789785</v>
      </c>
      <c r="AT4" t="s">
        <v>85</v>
      </c>
      <c r="AU4">
        <v>670</v>
      </c>
      <c r="AV4">
        <v>0</v>
      </c>
      <c r="AW4">
        <v>3</v>
      </c>
      <c r="AX4">
        <f>AW4/$AA$17</f>
        <v>1.8749999999999999E-3</v>
      </c>
      <c r="AY4">
        <f>AQ4*$AA$16</f>
        <v>11.6462553979656</v>
      </c>
      <c r="AZ4">
        <f>AZ3+(AY4/$AA$17)</f>
        <v>2.4434276631709689E-2</v>
      </c>
    </row>
    <row r="5" spans="1:52" x14ac:dyDescent="0.25">
      <c r="A5">
        <v>61.384912703377097</v>
      </c>
      <c r="B5">
        <v>100.405730618821</v>
      </c>
      <c r="C5">
        <v>2000</v>
      </c>
      <c r="Z5" s="2" t="s">
        <v>19</v>
      </c>
      <c r="AA5" s="2">
        <v>150</v>
      </c>
      <c r="AC5">
        <v>785</v>
      </c>
      <c r="AD5">
        <v>16.315734265919499</v>
      </c>
      <c r="AE5">
        <v>8</v>
      </c>
      <c r="AF5">
        <v>1.01722196789785</v>
      </c>
      <c r="AG5" t="s">
        <v>85</v>
      </c>
      <c r="AH5">
        <v>395</v>
      </c>
      <c r="AI5">
        <v>8.9537010595109504E-2</v>
      </c>
      <c r="AJ5">
        <v>4</v>
      </c>
      <c r="AK5">
        <f>AJ5/$AA$17</f>
        <v>2.5000000000000001E-3</v>
      </c>
      <c r="AL5">
        <f>AD5*$AA$16</f>
        <v>16.315734265919499</v>
      </c>
      <c r="AM5">
        <f>AM4+(AL5/$AA$17)</f>
        <v>5.1078393409371814E-2</v>
      </c>
      <c r="AP5">
        <v>856</v>
      </c>
      <c r="AQ5">
        <v>10.9666988088319</v>
      </c>
      <c r="AR5">
        <v>6</v>
      </c>
      <c r="AS5">
        <v>1.01722196789785</v>
      </c>
      <c r="AT5" t="s">
        <v>85</v>
      </c>
      <c r="AU5">
        <v>855</v>
      </c>
      <c r="AV5">
        <v>9.0645505931922193E-2</v>
      </c>
      <c r="AW5">
        <v>4</v>
      </c>
      <c r="AX5">
        <f>AW5/$AA$17</f>
        <v>2.5000000000000001E-3</v>
      </c>
      <c r="AY5">
        <f>AQ5*$AA$16</f>
        <v>10.9666988088319</v>
      </c>
      <c r="AZ5">
        <f>AZ4+(AY5/$AA$17)</f>
        <v>3.1288463387229626E-2</v>
      </c>
    </row>
    <row r="6" spans="1:52" x14ac:dyDescent="0.25">
      <c r="A6">
        <v>55.338363142375997</v>
      </c>
      <c r="B6">
        <v>94.359181057820095</v>
      </c>
      <c r="C6">
        <v>2000</v>
      </c>
      <c r="AC6">
        <v>678</v>
      </c>
      <c r="AD6">
        <v>15.8364502319889</v>
      </c>
      <c r="AE6">
        <v>6</v>
      </c>
      <c r="AF6">
        <v>1.01722196789785</v>
      </c>
      <c r="AG6" t="s">
        <v>85</v>
      </c>
      <c r="AH6">
        <v>701</v>
      </c>
      <c r="AI6">
        <v>0</v>
      </c>
      <c r="AJ6">
        <v>5</v>
      </c>
      <c r="AK6">
        <f>AJ6/$AA$17</f>
        <v>3.1250000000000002E-3</v>
      </c>
      <c r="AL6">
        <f>AD6*$AA$16</f>
        <v>15.8364502319889</v>
      </c>
      <c r="AM6">
        <f>AM5+(AL6/$AA$17)</f>
        <v>6.0976174804364874E-2</v>
      </c>
      <c r="AP6">
        <v>711</v>
      </c>
      <c r="AQ6">
        <v>10.6647513444063</v>
      </c>
      <c r="AR6">
        <v>6</v>
      </c>
      <c r="AS6">
        <v>1.01722196789785</v>
      </c>
      <c r="AT6" t="s">
        <v>85</v>
      </c>
      <c r="AU6">
        <v>183</v>
      </c>
      <c r="AV6">
        <v>0</v>
      </c>
      <c r="AW6">
        <v>5</v>
      </c>
      <c r="AX6">
        <f>AW6/$AA$17</f>
        <v>3.1250000000000002E-3</v>
      </c>
      <c r="AY6">
        <f>AQ6*$AA$16</f>
        <v>10.6647513444063</v>
      </c>
      <c r="AZ6">
        <f>AZ5+(AY6/$AA$17)</f>
        <v>3.7953932977483562E-2</v>
      </c>
    </row>
    <row r="7" spans="1:52" x14ac:dyDescent="0.25">
      <c r="A7">
        <v>55.338363142375997</v>
      </c>
      <c r="B7">
        <v>93.485149008922406</v>
      </c>
      <c r="C7">
        <v>2001</v>
      </c>
      <c r="AC7">
        <v>905</v>
      </c>
      <c r="AD7">
        <v>15.675664779292701</v>
      </c>
      <c r="AE7">
        <v>8</v>
      </c>
      <c r="AF7">
        <v>1.01722196789785</v>
      </c>
      <c r="AG7" t="s">
        <v>85</v>
      </c>
      <c r="AH7">
        <v>800</v>
      </c>
      <c r="AI7">
        <v>9.1667699418773299E-2</v>
      </c>
      <c r="AJ7">
        <v>6</v>
      </c>
      <c r="AK7">
        <f>AJ7/$AA$17</f>
        <v>3.7499999999999999E-3</v>
      </c>
      <c r="AL7">
        <f>AD7*$AA$16</f>
        <v>15.675664779292701</v>
      </c>
      <c r="AM7">
        <f>AM6+(AL7/$AA$17)</f>
        <v>7.077346529142281E-2</v>
      </c>
      <c r="AP7">
        <v>897</v>
      </c>
      <c r="AQ7">
        <v>10.3165585797028</v>
      </c>
      <c r="AR7">
        <v>6</v>
      </c>
      <c r="AS7">
        <v>1.01722196789785</v>
      </c>
      <c r="AT7" t="s">
        <v>85</v>
      </c>
      <c r="AU7">
        <v>873</v>
      </c>
      <c r="AV7">
        <v>9.142164214173E-2</v>
      </c>
      <c r="AW7">
        <v>6</v>
      </c>
      <c r="AX7">
        <f>AW7/$AA$17</f>
        <v>3.7499999999999999E-3</v>
      </c>
      <c r="AY7">
        <f>AQ7*$AA$16</f>
        <v>10.3165585797028</v>
      </c>
      <c r="AZ7">
        <f>AZ6+(AY7/$AA$17)</f>
        <v>4.4401782089797809E-2</v>
      </c>
    </row>
    <row r="8" spans="1:52" x14ac:dyDescent="0.25">
      <c r="A8">
        <v>61.447483514632403</v>
      </c>
      <c r="B8">
        <v>99.594269381178805</v>
      </c>
      <c r="C8">
        <v>2001</v>
      </c>
      <c r="AC8">
        <v>1023</v>
      </c>
      <c r="AD8">
        <v>13.312061133722199</v>
      </c>
      <c r="AE8">
        <v>10</v>
      </c>
      <c r="AF8">
        <v>1.01722196789785</v>
      </c>
      <c r="AG8" t="s">
        <v>85</v>
      </c>
      <c r="AH8">
        <v>67</v>
      </c>
      <c r="AI8">
        <v>9.3644784593262795E-2</v>
      </c>
      <c r="AJ8">
        <v>7</v>
      </c>
      <c r="AK8">
        <f>AJ8/$AA$17</f>
        <v>4.3750000000000004E-3</v>
      </c>
      <c r="AL8">
        <f>AD8*$AA$16</f>
        <v>13.312061133722199</v>
      </c>
      <c r="AM8">
        <f>AM7+(AL8/$AA$17)</f>
        <v>7.909350349999919E-2</v>
      </c>
      <c r="AP8">
        <v>702</v>
      </c>
      <c r="AQ8">
        <v>10.1263414558422</v>
      </c>
      <c r="AR8">
        <v>6</v>
      </c>
      <c r="AS8">
        <v>1.01722196789785</v>
      </c>
      <c r="AT8" t="s">
        <v>85</v>
      </c>
      <c r="AU8">
        <v>672</v>
      </c>
      <c r="AV8">
        <v>0</v>
      </c>
      <c r="AW8">
        <v>7</v>
      </c>
      <c r="AX8">
        <f>AW8/$AA$17</f>
        <v>4.3750000000000004E-3</v>
      </c>
      <c r="AY8">
        <f>AQ8*$AA$16</f>
        <v>10.1263414558422</v>
      </c>
      <c r="AZ8">
        <f>AZ7+(AY8/$AA$17)</f>
        <v>5.0730745499699186E-2</v>
      </c>
    </row>
    <row r="9" spans="1:52" x14ac:dyDescent="0.25">
      <c r="A9">
        <v>98.093806062190694</v>
      </c>
      <c r="B9">
        <v>136.24059192873699</v>
      </c>
      <c r="C9">
        <v>2001</v>
      </c>
      <c r="Z9" t="s">
        <v>33</v>
      </c>
      <c r="AA9">
        <f>COUNTIF(A:A,"Start Points")</f>
        <v>873</v>
      </c>
      <c r="AC9">
        <v>785</v>
      </c>
      <c r="AD9">
        <v>12.4966101974537</v>
      </c>
      <c r="AE9">
        <v>8</v>
      </c>
      <c r="AF9">
        <v>1.01722196789785</v>
      </c>
      <c r="AG9" t="s">
        <v>85</v>
      </c>
      <c r="AH9">
        <v>856</v>
      </c>
      <c r="AI9">
        <v>8.9537010595109504E-2</v>
      </c>
      <c r="AJ9">
        <v>8</v>
      </c>
      <c r="AK9">
        <f>AJ9/$AA$17</f>
        <v>5.0000000000000001E-3</v>
      </c>
      <c r="AL9">
        <f>AD9*$AA$16</f>
        <v>12.4966101974537</v>
      </c>
      <c r="AM9">
        <f>AM8+(AL9/$AA$17)</f>
        <v>8.690388487340775E-2</v>
      </c>
      <c r="AP9">
        <v>714</v>
      </c>
      <c r="AQ9">
        <v>9.1514983988845096</v>
      </c>
      <c r="AR9">
        <v>6</v>
      </c>
      <c r="AS9">
        <v>1.01722196789785</v>
      </c>
      <c r="AT9" t="s">
        <v>85</v>
      </c>
      <c r="AU9">
        <v>665</v>
      </c>
      <c r="AV9">
        <v>0</v>
      </c>
      <c r="AW9">
        <v>8</v>
      </c>
      <c r="AX9">
        <f>AW9/$AA$17</f>
        <v>5.0000000000000001E-3</v>
      </c>
      <c r="AY9">
        <f>AQ9*$AA$16</f>
        <v>9.1514983988845096</v>
      </c>
      <c r="AZ9">
        <f>AZ8+(AY9/$AA$17)</f>
        <v>5.6450431999002001E-2</v>
      </c>
    </row>
    <row r="10" spans="1:52" x14ac:dyDescent="0.25">
      <c r="A10">
        <v>100.322449156697</v>
      </c>
      <c r="B10">
        <v>138.46923502324299</v>
      </c>
      <c r="C10">
        <v>2001</v>
      </c>
      <c r="AC10">
        <v>672</v>
      </c>
      <c r="AD10">
        <v>12.483416620429701</v>
      </c>
      <c r="AE10">
        <v>6</v>
      </c>
      <c r="AF10">
        <v>1.01722196789785</v>
      </c>
      <c r="AG10" t="s">
        <v>85</v>
      </c>
      <c r="AH10">
        <v>840</v>
      </c>
      <c r="AI10">
        <v>0</v>
      </c>
      <c r="AJ10">
        <v>9</v>
      </c>
      <c r="AK10">
        <f>AJ10/$AA$17</f>
        <v>5.6249999999999998E-3</v>
      </c>
      <c r="AL10">
        <f>AD10*$AA$16</f>
        <v>12.483416620429701</v>
      </c>
      <c r="AM10">
        <f>AM9+(AL10/$AA$17)</f>
        <v>9.4706020261176319E-2</v>
      </c>
      <c r="AP10">
        <v>703</v>
      </c>
      <c r="AQ10">
        <v>8.8518374339188508</v>
      </c>
      <c r="AR10">
        <v>6</v>
      </c>
      <c r="AS10">
        <v>1.01722196789785</v>
      </c>
      <c r="AT10" t="s">
        <v>85</v>
      </c>
      <c r="AU10">
        <v>669</v>
      </c>
      <c r="AV10">
        <v>0</v>
      </c>
      <c r="AW10">
        <v>9</v>
      </c>
      <c r="AX10">
        <f>AW10/$AA$17</f>
        <v>5.6249999999999998E-3</v>
      </c>
      <c r="AY10">
        <f>AQ10*$AA$16</f>
        <v>8.8518374339188508</v>
      </c>
      <c r="AZ10">
        <f>AZ9+(AY10/$AA$17)</f>
        <v>6.1982830395201284E-2</v>
      </c>
    </row>
    <row r="11" spans="1:52" x14ac:dyDescent="0.25">
      <c r="A11">
        <v>102.875091074433</v>
      </c>
      <c r="B11">
        <v>141.02187694098001</v>
      </c>
      <c r="C11">
        <v>2001</v>
      </c>
      <c r="Z11" t="s">
        <v>35</v>
      </c>
      <c r="AC11">
        <v>679</v>
      </c>
      <c r="AD11">
        <v>10.7314198221019</v>
      </c>
      <c r="AE11">
        <v>6</v>
      </c>
      <c r="AF11">
        <v>1.01722196789785</v>
      </c>
      <c r="AG11" t="s">
        <v>85</v>
      </c>
      <c r="AH11">
        <v>701</v>
      </c>
      <c r="AI11">
        <v>0</v>
      </c>
      <c r="AJ11">
        <v>10</v>
      </c>
      <c r="AK11">
        <f>AJ11/$AA$17</f>
        <v>6.2500000000000003E-3</v>
      </c>
      <c r="AL11">
        <f>AD11*$AA$16</f>
        <v>10.7314198221019</v>
      </c>
      <c r="AM11">
        <f>AM10+(AL11/$AA$17)</f>
        <v>0.10141315764999001</v>
      </c>
      <c r="AP11">
        <v>1111</v>
      </c>
      <c r="AQ11">
        <v>8.7017378701500796</v>
      </c>
      <c r="AR11">
        <v>6</v>
      </c>
      <c r="AS11">
        <v>1.01722196789785</v>
      </c>
      <c r="AT11" t="s">
        <v>85</v>
      </c>
      <c r="AU11">
        <v>672</v>
      </c>
      <c r="AV11">
        <v>9.4777393206033497E-2</v>
      </c>
      <c r="AW11">
        <v>10</v>
      </c>
      <c r="AX11">
        <f>AW11/$AA$17</f>
        <v>6.2500000000000003E-3</v>
      </c>
      <c r="AY11">
        <f>AQ11*$AA$16</f>
        <v>8.7017378701500796</v>
      </c>
      <c r="AZ11">
        <f>AZ10+(AY11/$AA$17)</f>
        <v>6.7421416564045086E-2</v>
      </c>
    </row>
    <row r="12" spans="1:52" x14ac:dyDescent="0.25">
      <c r="A12">
        <v>102.001059025535</v>
      </c>
      <c r="B12">
        <v>141.02187694098001</v>
      </c>
      <c r="C12">
        <v>2000</v>
      </c>
      <c r="Z12" s="2" t="s">
        <v>16</v>
      </c>
      <c r="AA12" s="2">
        <v>55</v>
      </c>
      <c r="AC12">
        <v>671</v>
      </c>
      <c r="AD12">
        <v>9.5923762817277805</v>
      </c>
      <c r="AE12">
        <v>6</v>
      </c>
      <c r="AF12">
        <v>1.01722196789785</v>
      </c>
      <c r="AG12" t="s">
        <v>85</v>
      </c>
      <c r="AH12">
        <v>702</v>
      </c>
      <c r="AI12">
        <v>0</v>
      </c>
      <c r="AJ12">
        <v>11</v>
      </c>
      <c r="AK12">
        <f>AJ12/$AA$17</f>
        <v>6.875E-3</v>
      </c>
      <c r="AL12">
        <f>AD12*$AA$16</f>
        <v>9.5923762817277805</v>
      </c>
      <c r="AM12">
        <f>AM11+(AL12/$AA$17)</f>
        <v>0.10740839282606987</v>
      </c>
      <c r="AP12">
        <v>709</v>
      </c>
      <c r="AQ12">
        <v>8.6758083880715091</v>
      </c>
      <c r="AR12">
        <v>6</v>
      </c>
      <c r="AS12">
        <v>1.01722196789785</v>
      </c>
      <c r="AT12" t="s">
        <v>85</v>
      </c>
      <c r="AU12">
        <v>670</v>
      </c>
      <c r="AV12">
        <v>0</v>
      </c>
      <c r="AW12">
        <v>11</v>
      </c>
      <c r="AX12">
        <f>AW12/$AA$17</f>
        <v>6.875E-3</v>
      </c>
      <c r="AY12">
        <f>AQ12*$AA$16</f>
        <v>8.6758083880715091</v>
      </c>
      <c r="AZ12">
        <f>AZ11+(AY12/$AA$17)</f>
        <v>7.2843796806589783E-2</v>
      </c>
    </row>
    <row r="13" spans="1:52" x14ac:dyDescent="0.25">
      <c r="A13">
        <v>99.677550843303493</v>
      </c>
      <c r="B13">
        <v>138.69836875874799</v>
      </c>
      <c r="C13">
        <v>2000</v>
      </c>
      <c r="Z13" s="2" t="s">
        <v>17</v>
      </c>
      <c r="AA13" s="2">
        <v>95</v>
      </c>
      <c r="AC13">
        <v>855</v>
      </c>
      <c r="AD13">
        <v>9.2430392136230903</v>
      </c>
      <c r="AE13">
        <v>6</v>
      </c>
      <c r="AF13">
        <v>1.01722196789785</v>
      </c>
      <c r="AG13" t="s">
        <v>85</v>
      </c>
      <c r="AH13">
        <v>703</v>
      </c>
      <c r="AI13">
        <v>9.0645505931922193E-2</v>
      </c>
      <c r="AJ13">
        <v>12</v>
      </c>
      <c r="AK13">
        <f>AJ13/$AA$17</f>
        <v>7.4999999999999997E-3</v>
      </c>
      <c r="AL13">
        <f>AD13*$AA$16</f>
        <v>9.2430392136230903</v>
      </c>
      <c r="AM13">
        <f>AM12+(AL13/$AA$17)</f>
        <v>0.1131852923345843</v>
      </c>
      <c r="AP13">
        <v>716</v>
      </c>
      <c r="AQ13">
        <v>7.8032519113136498</v>
      </c>
      <c r="AR13">
        <v>6</v>
      </c>
      <c r="AS13">
        <v>1.01722196789785</v>
      </c>
      <c r="AT13" t="s">
        <v>89</v>
      </c>
      <c r="AU13">
        <v>720</v>
      </c>
      <c r="AV13">
        <v>0</v>
      </c>
      <c r="AW13">
        <v>12</v>
      </c>
      <c r="AX13">
        <f>AW13/$AA$17</f>
        <v>7.4999999999999997E-3</v>
      </c>
      <c r="AY13">
        <f>AQ13*$AA$16</f>
        <v>7.8032519113136498</v>
      </c>
      <c r="AZ13">
        <f>AZ12+(AY13/$AA$17)</f>
        <v>7.772082925116082E-2</v>
      </c>
    </row>
    <row r="14" spans="1:52" x14ac:dyDescent="0.25">
      <c r="A14" t="s">
        <v>87</v>
      </c>
      <c r="Z14" s="2" t="s">
        <v>18</v>
      </c>
      <c r="AA14" s="2">
        <v>55</v>
      </c>
      <c r="AC14">
        <v>672</v>
      </c>
      <c r="AD14">
        <v>9.0698620935505101</v>
      </c>
      <c r="AE14">
        <v>6</v>
      </c>
      <c r="AF14">
        <v>1.01722196789785</v>
      </c>
      <c r="AG14" t="s">
        <v>85</v>
      </c>
      <c r="AH14">
        <v>709</v>
      </c>
      <c r="AI14">
        <v>0</v>
      </c>
      <c r="AJ14">
        <v>13</v>
      </c>
      <c r="AK14">
        <f>AJ14/$AA$17</f>
        <v>8.1250000000000003E-3</v>
      </c>
      <c r="AL14">
        <f>AD14*$AA$16</f>
        <v>9.0698620935505101</v>
      </c>
      <c r="AM14">
        <f>AM13+(AL14/$AA$17)</f>
        <v>0.11885395614305337</v>
      </c>
      <c r="AP14">
        <v>1183</v>
      </c>
      <c r="AQ14">
        <v>7.7723583058936097</v>
      </c>
      <c r="AR14">
        <v>6</v>
      </c>
      <c r="AS14">
        <v>1.01722196789785</v>
      </c>
      <c r="AT14" t="s">
        <v>85</v>
      </c>
      <c r="AU14">
        <v>661</v>
      </c>
      <c r="AV14">
        <v>9.5636215209858197E-2</v>
      </c>
      <c r="AW14">
        <v>13</v>
      </c>
      <c r="AX14">
        <f>AW14/$AA$17</f>
        <v>8.1250000000000003E-3</v>
      </c>
      <c r="AY14">
        <f>AQ14*$AA$16</f>
        <v>7.7723583058936097</v>
      </c>
      <c r="AZ14">
        <f>AZ13+(AY14/$AA$17)</f>
        <v>8.257855319234432E-2</v>
      </c>
    </row>
    <row r="15" spans="1:52" x14ac:dyDescent="0.25">
      <c r="A15">
        <v>194</v>
      </c>
      <c r="B15">
        <v>0</v>
      </c>
      <c r="C15">
        <v>23.917764035401898</v>
      </c>
      <c r="D15">
        <v>29.793729402694598</v>
      </c>
      <c r="E15">
        <v>8</v>
      </c>
      <c r="F15">
        <v>1.01722196789785</v>
      </c>
      <c r="G15" t="s">
        <v>85</v>
      </c>
      <c r="H15" t="s">
        <v>85</v>
      </c>
      <c r="I15">
        <v>711</v>
      </c>
      <c r="J15">
        <v>224</v>
      </c>
      <c r="K15">
        <v>0</v>
      </c>
      <c r="Z15" s="2" t="s">
        <v>19</v>
      </c>
      <c r="AA15" s="2">
        <v>95</v>
      </c>
      <c r="AC15">
        <v>878</v>
      </c>
      <c r="AD15">
        <v>8.7768327376378501</v>
      </c>
      <c r="AE15">
        <v>6</v>
      </c>
      <c r="AF15">
        <v>1.01722196789785</v>
      </c>
      <c r="AG15" t="s">
        <v>85</v>
      </c>
      <c r="AH15">
        <v>702</v>
      </c>
      <c r="AI15">
        <v>9.1169371169763397E-2</v>
      </c>
      <c r="AJ15">
        <v>14</v>
      </c>
      <c r="AK15">
        <f>AJ15/$AA$17</f>
        <v>8.7500000000000008E-3</v>
      </c>
      <c r="AL15">
        <f>AD15*$AA$16</f>
        <v>8.7768327376378501</v>
      </c>
      <c r="AM15">
        <f>AM14+(AL15/$AA$17)</f>
        <v>0.12433947660407703</v>
      </c>
      <c r="AP15">
        <v>720</v>
      </c>
      <c r="AQ15">
        <v>7.7385669235372996</v>
      </c>
      <c r="AR15">
        <v>6</v>
      </c>
      <c r="AS15">
        <v>1.01722196789785</v>
      </c>
      <c r="AT15" t="s">
        <v>89</v>
      </c>
      <c r="AU15">
        <v>716</v>
      </c>
      <c r="AV15">
        <v>0</v>
      </c>
      <c r="AW15">
        <v>14</v>
      </c>
      <c r="AX15">
        <f>AW15/$AA$17</f>
        <v>8.7500000000000008E-3</v>
      </c>
      <c r="AY15">
        <f>AQ15*$AA$16</f>
        <v>7.7385669235372996</v>
      </c>
      <c r="AZ15">
        <f>AZ14+(AY15/$AA$17)</f>
        <v>8.7415157519555128E-2</v>
      </c>
    </row>
    <row r="16" spans="1:52" x14ac:dyDescent="0.25">
      <c r="A16" t="s">
        <v>86</v>
      </c>
      <c r="Z16" s="2" t="s">
        <v>20</v>
      </c>
      <c r="AA16" s="2">
        <v>1</v>
      </c>
      <c r="AC16">
        <v>679</v>
      </c>
      <c r="AD16">
        <v>8.5990110348571793</v>
      </c>
      <c r="AE16">
        <v>6</v>
      </c>
      <c r="AF16">
        <v>1.01722196789785</v>
      </c>
      <c r="AG16" t="s">
        <v>85</v>
      </c>
      <c r="AH16">
        <v>716</v>
      </c>
      <c r="AI16">
        <v>0</v>
      </c>
      <c r="AJ16">
        <v>15</v>
      </c>
      <c r="AK16">
        <f>AJ16/$AA$17</f>
        <v>9.3749999999999997E-3</v>
      </c>
      <c r="AL16">
        <f>AD16*$AA$16</f>
        <v>8.5990110348571793</v>
      </c>
      <c r="AM16">
        <f>AM15+(AL16/$AA$17)</f>
        <v>0.12971385850086276</v>
      </c>
      <c r="AP16">
        <v>702</v>
      </c>
      <c r="AQ16">
        <v>7.7159769025710396</v>
      </c>
      <c r="AR16">
        <v>6</v>
      </c>
      <c r="AS16">
        <v>1.01722196789785</v>
      </c>
      <c r="AT16" t="s">
        <v>85</v>
      </c>
      <c r="AU16">
        <v>680</v>
      </c>
      <c r="AV16">
        <v>0</v>
      </c>
      <c r="AW16">
        <v>15</v>
      </c>
      <c r="AX16">
        <f>AW16/$AA$17</f>
        <v>9.3749999999999997E-3</v>
      </c>
      <c r="AY16">
        <f>AQ16*$AA$16</f>
        <v>7.7159769025710396</v>
      </c>
      <c r="AZ16">
        <f>AZ15+(AY16/$AA$17)</f>
        <v>9.223764308366203E-2</v>
      </c>
    </row>
    <row r="17" spans="1:52" x14ac:dyDescent="0.25">
      <c r="A17">
        <v>72.864192570120096</v>
      </c>
      <c r="B17">
        <v>110.255766879967</v>
      </c>
      <c r="C17">
        <v>2000</v>
      </c>
      <c r="Z17" t="s">
        <v>21</v>
      </c>
      <c r="AA17">
        <f>(AA13-AA12)*(AA15-AA14)*AA16</f>
        <v>1600</v>
      </c>
      <c r="AC17">
        <v>670</v>
      </c>
      <c r="AD17">
        <v>8.5856537601319793</v>
      </c>
      <c r="AE17">
        <v>6</v>
      </c>
      <c r="AF17">
        <v>1.01722196789785</v>
      </c>
      <c r="AG17" t="s">
        <v>85</v>
      </c>
      <c r="AH17">
        <v>705</v>
      </c>
      <c r="AI17">
        <v>0</v>
      </c>
      <c r="AJ17">
        <v>16</v>
      </c>
      <c r="AK17">
        <f>AJ17/$AA$17</f>
        <v>0.01</v>
      </c>
      <c r="AL17">
        <f>AD17*$AA$16</f>
        <v>8.5856537601319793</v>
      </c>
      <c r="AM17">
        <f>AM16+(AL17/$AA$17)</f>
        <v>0.13507989210094523</v>
      </c>
      <c r="AP17">
        <v>713</v>
      </c>
      <c r="AQ17">
        <v>7.1566409061481204</v>
      </c>
      <c r="AR17">
        <v>6</v>
      </c>
      <c r="AS17">
        <v>1.01722196789785</v>
      </c>
      <c r="AT17" t="s">
        <v>85</v>
      </c>
      <c r="AU17">
        <v>679</v>
      </c>
      <c r="AV17">
        <v>0</v>
      </c>
      <c r="AW17">
        <v>16</v>
      </c>
      <c r="AX17">
        <f>AW17/$AA$17</f>
        <v>0.01</v>
      </c>
      <c r="AY17">
        <f>AQ17*$AA$16</f>
        <v>7.1566409061481204</v>
      </c>
      <c r="AZ17">
        <f>AZ16+(AY17/$AA$17)</f>
        <v>9.6710543650004602E-2</v>
      </c>
    </row>
    <row r="18" spans="1:52" x14ac:dyDescent="0.25">
      <c r="A18">
        <v>62.956391322115898</v>
      </c>
      <c r="B18">
        <v>100.347965631962</v>
      </c>
      <c r="C18">
        <v>2000</v>
      </c>
      <c r="AC18">
        <v>1014</v>
      </c>
      <c r="AD18">
        <v>8.3164750753121108</v>
      </c>
      <c r="AE18">
        <v>6</v>
      </c>
      <c r="AF18">
        <v>1.01722196789785</v>
      </c>
      <c r="AG18" t="s">
        <v>85</v>
      </c>
      <c r="AH18">
        <v>761</v>
      </c>
      <c r="AI18">
        <v>9.3443328339296097E-2</v>
      </c>
      <c r="AJ18">
        <v>17</v>
      </c>
      <c r="AK18">
        <f>AJ18/$AA$17</f>
        <v>1.0625000000000001E-2</v>
      </c>
      <c r="AL18">
        <f>AD18*$AA$16</f>
        <v>8.3164750753121108</v>
      </c>
      <c r="AM18">
        <f>AM17+(AL18/$AA$17)</f>
        <v>0.1402776890230153</v>
      </c>
      <c r="AP18">
        <v>704</v>
      </c>
      <c r="AQ18">
        <v>7.0275537987841599</v>
      </c>
      <c r="AR18">
        <v>6</v>
      </c>
      <c r="AS18">
        <v>1.01722196789785</v>
      </c>
      <c r="AT18" t="s">
        <v>89</v>
      </c>
      <c r="AU18">
        <v>711</v>
      </c>
      <c r="AV18">
        <v>0</v>
      </c>
      <c r="AW18">
        <v>17</v>
      </c>
      <c r="AX18">
        <f>AW18/$AA$17</f>
        <v>1.0625000000000001E-2</v>
      </c>
      <c r="AY18">
        <f>AQ18*$AA$16</f>
        <v>7.0275537987841599</v>
      </c>
      <c r="AZ18">
        <f>AZ17+(AY18/$AA$17)</f>
        <v>0.10110276477424471</v>
      </c>
    </row>
    <row r="19" spans="1:52" x14ac:dyDescent="0.25">
      <c r="A19">
        <v>56.152984945174801</v>
      </c>
      <c r="B19">
        <v>93.544559255021298</v>
      </c>
      <c r="C19">
        <v>2000</v>
      </c>
      <c r="AC19">
        <v>662</v>
      </c>
      <c r="AD19">
        <v>8.0491854418779702</v>
      </c>
      <c r="AE19">
        <v>6</v>
      </c>
      <c r="AF19">
        <v>1.01722196789785</v>
      </c>
      <c r="AG19" t="s">
        <v>85</v>
      </c>
      <c r="AH19">
        <v>713</v>
      </c>
      <c r="AI19">
        <v>0</v>
      </c>
      <c r="AJ19">
        <v>18</v>
      </c>
      <c r="AK19">
        <f>AJ19/$AA$17</f>
        <v>1.125E-2</v>
      </c>
      <c r="AL19">
        <f>AD19*$AA$16</f>
        <v>8.0491854418779702</v>
      </c>
      <c r="AM19">
        <f>AM18+(AL19/$AA$17)</f>
        <v>0.14530842992418902</v>
      </c>
      <c r="AP19">
        <v>711</v>
      </c>
      <c r="AQ19">
        <v>6.9323138963566802</v>
      </c>
      <c r="AR19">
        <v>6</v>
      </c>
      <c r="AS19">
        <v>1.01722196789785</v>
      </c>
      <c r="AT19" t="s">
        <v>89</v>
      </c>
      <c r="AU19">
        <v>704</v>
      </c>
      <c r="AV19">
        <v>0</v>
      </c>
      <c r="AW19">
        <v>18</v>
      </c>
      <c r="AX19">
        <f>AW19/$AA$17</f>
        <v>1.125E-2</v>
      </c>
      <c r="AY19">
        <f>AQ19*$AA$16</f>
        <v>6.9323138963566802</v>
      </c>
      <c r="AZ19">
        <f>AZ18+(AY19/$AA$17)</f>
        <v>0.10543546095946764</v>
      </c>
    </row>
    <row r="20" spans="1:52" x14ac:dyDescent="0.25">
      <c r="A20">
        <v>56.152984945174801</v>
      </c>
      <c r="B20">
        <v>92.670527206123694</v>
      </c>
      <c r="C20">
        <v>2001</v>
      </c>
      <c r="AC20">
        <v>758</v>
      </c>
      <c r="AD20">
        <v>7.7139776108347498</v>
      </c>
      <c r="AE20">
        <v>8</v>
      </c>
      <c r="AF20">
        <v>1.01722196789785</v>
      </c>
      <c r="AG20" t="s">
        <v>85</v>
      </c>
      <c r="AH20">
        <v>856</v>
      </c>
      <c r="AI20">
        <v>8.8948032773117705E-2</v>
      </c>
      <c r="AJ20">
        <v>19</v>
      </c>
      <c r="AK20">
        <f>AJ20/$AA$17</f>
        <v>1.1875E-2</v>
      </c>
      <c r="AL20">
        <f>AD20*$AA$16</f>
        <v>7.7139776108347498</v>
      </c>
      <c r="AM20">
        <f>AM19+(AL20/$AA$17)</f>
        <v>0.15012966593096075</v>
      </c>
      <c r="AP20">
        <v>1171</v>
      </c>
      <c r="AQ20">
        <v>6.9211841782554497</v>
      </c>
      <c r="AR20">
        <v>6</v>
      </c>
      <c r="AS20">
        <v>1.01722196789785</v>
      </c>
      <c r="AT20" t="s">
        <v>85</v>
      </c>
      <c r="AU20">
        <v>927</v>
      </c>
      <c r="AV20">
        <v>9.5469883166703101E-2</v>
      </c>
      <c r="AW20">
        <v>19</v>
      </c>
      <c r="AX20">
        <f>AW20/$AA$17</f>
        <v>1.1875E-2</v>
      </c>
      <c r="AY20">
        <f>AQ20*$AA$16</f>
        <v>6.9211841782554497</v>
      </c>
      <c r="AZ20">
        <f>AZ19+(AY20/$AA$17)</f>
        <v>0.10976120107087729</v>
      </c>
    </row>
    <row r="21" spans="1:52" x14ac:dyDescent="0.25">
      <c r="A21">
        <v>63.134492107088597</v>
      </c>
      <c r="B21">
        <v>99.652034368037505</v>
      </c>
      <c r="C21">
        <v>2001</v>
      </c>
      <c r="AC21">
        <v>1206</v>
      </c>
      <c r="AD21">
        <v>7.5116402057895799</v>
      </c>
      <c r="AE21">
        <v>6</v>
      </c>
      <c r="AF21">
        <v>1.01722196789785</v>
      </c>
      <c r="AG21" t="s">
        <v>85</v>
      </c>
      <c r="AH21">
        <v>705</v>
      </c>
      <c r="AI21">
        <v>9.5961381564156997E-2</v>
      </c>
      <c r="AJ21">
        <v>20</v>
      </c>
      <c r="AK21">
        <f>AJ21/$AA$17</f>
        <v>1.2500000000000001E-2</v>
      </c>
      <c r="AL21">
        <f>AD21*$AA$16</f>
        <v>7.5116402057895799</v>
      </c>
      <c r="AM21">
        <f>AM20+(AL21/$AA$17)</f>
        <v>0.15482444105957924</v>
      </c>
      <c r="AP21">
        <v>1149</v>
      </c>
      <c r="AQ21">
        <v>6.71048123293063</v>
      </c>
      <c r="AR21">
        <v>6</v>
      </c>
      <c r="AS21">
        <v>1.01722196789785</v>
      </c>
      <c r="AT21" t="s">
        <v>85</v>
      </c>
      <c r="AU21">
        <v>672</v>
      </c>
      <c r="AV21">
        <v>9.5300933138239702E-2</v>
      </c>
      <c r="AW21">
        <v>20</v>
      </c>
      <c r="AX21">
        <f>AW21/$AA$17</f>
        <v>1.2500000000000001E-2</v>
      </c>
      <c r="AY21">
        <f>AQ21*$AA$16</f>
        <v>6.71048123293063</v>
      </c>
      <c r="AZ21">
        <f>AZ20+(AY21/$AA$17)</f>
        <v>0.11395525184145894</v>
      </c>
    </row>
    <row r="22" spans="1:52" x14ac:dyDescent="0.25">
      <c r="A22">
        <v>73.2666036007343</v>
      </c>
      <c r="B22">
        <v>109.784145861683</v>
      </c>
      <c r="C22">
        <v>2001</v>
      </c>
      <c r="AC22">
        <v>873</v>
      </c>
      <c r="AD22">
        <v>7.0306010519626598</v>
      </c>
      <c r="AE22">
        <v>6</v>
      </c>
      <c r="AF22">
        <v>1.01722196789785</v>
      </c>
      <c r="AG22" t="s">
        <v>85</v>
      </c>
      <c r="AH22">
        <v>761</v>
      </c>
      <c r="AI22">
        <v>9.0910684189608806E-2</v>
      </c>
      <c r="AJ22">
        <v>21</v>
      </c>
      <c r="AK22">
        <f>AJ22/$AA$17</f>
        <v>1.3125E-2</v>
      </c>
      <c r="AL22">
        <f>AD22*$AA$16</f>
        <v>7.0306010519626598</v>
      </c>
      <c r="AM22">
        <f>AM21+(AL22/$AA$17)</f>
        <v>0.15921856671705589</v>
      </c>
      <c r="AP22">
        <v>703</v>
      </c>
      <c r="AQ22">
        <v>6.5673973578354596</v>
      </c>
      <c r="AR22">
        <v>6</v>
      </c>
      <c r="AS22">
        <v>1.01722196789785</v>
      </c>
      <c r="AT22" t="s">
        <v>89</v>
      </c>
      <c r="AU22">
        <v>720</v>
      </c>
      <c r="AV22">
        <v>0</v>
      </c>
      <c r="AW22">
        <v>21</v>
      </c>
      <c r="AX22">
        <f>AW22/$AA$17</f>
        <v>1.3125E-2</v>
      </c>
      <c r="AY22">
        <f>AQ22*$AA$16</f>
        <v>6.5673973578354596</v>
      </c>
      <c r="AZ22">
        <f>AZ21+(AY22/$AA$17)</f>
        <v>0.11805987519010611</v>
      </c>
    </row>
    <row r="23" spans="1:52" x14ac:dyDescent="0.25">
      <c r="A23">
        <v>94.569762207358394</v>
      </c>
      <c r="B23">
        <v>131.087304468307</v>
      </c>
      <c r="C23">
        <v>2001</v>
      </c>
      <c r="AC23">
        <v>799</v>
      </c>
      <c r="AD23">
        <v>6.9982911132430399</v>
      </c>
      <c r="AE23">
        <v>6</v>
      </c>
      <c r="AF23">
        <v>1.01722196789785</v>
      </c>
      <c r="AG23" t="s">
        <v>85</v>
      </c>
      <c r="AH23">
        <v>702</v>
      </c>
      <c r="AI23">
        <v>8.9816640118045604E-2</v>
      </c>
      <c r="AJ23">
        <v>22</v>
      </c>
      <c r="AK23">
        <f>AJ23/$AA$17</f>
        <v>1.375E-2</v>
      </c>
      <c r="AL23">
        <f>AD23*$AA$16</f>
        <v>6.9982911132430399</v>
      </c>
      <c r="AM23">
        <f>AM22+(AL23/$AA$17)</f>
        <v>0.16359249866283279</v>
      </c>
      <c r="AP23">
        <v>706</v>
      </c>
      <c r="AQ23">
        <v>6.09663572948641</v>
      </c>
      <c r="AR23">
        <v>6</v>
      </c>
      <c r="AS23">
        <v>1.01722196789785</v>
      </c>
      <c r="AT23" t="s">
        <v>85</v>
      </c>
      <c r="AU23">
        <v>799</v>
      </c>
      <c r="AV23">
        <v>0</v>
      </c>
      <c r="AW23">
        <v>22</v>
      </c>
      <c r="AX23">
        <f>AW23/$AA$17</f>
        <v>1.375E-2</v>
      </c>
      <c r="AY23">
        <f>AQ23*$AA$16</f>
        <v>6.09663572948641</v>
      </c>
      <c r="AZ23">
        <f>AZ22+(AY23/$AA$17)</f>
        <v>0.12187027252103511</v>
      </c>
    </row>
    <row r="24" spans="1:52" x14ac:dyDescent="0.25">
      <c r="A24">
        <v>93.695730158460805</v>
      </c>
      <c r="B24">
        <v>131.087304468307</v>
      </c>
      <c r="C24">
        <v>2000</v>
      </c>
      <c r="AC24">
        <v>1110</v>
      </c>
      <c r="AD24">
        <v>6.7996578234936198</v>
      </c>
      <c r="AE24">
        <v>6</v>
      </c>
      <c r="AF24">
        <v>1.01722196789785</v>
      </c>
      <c r="AG24" t="s">
        <v>85</v>
      </c>
      <c r="AH24">
        <v>928</v>
      </c>
      <c r="AI24">
        <v>9.4777393206033497E-2</v>
      </c>
      <c r="AJ24">
        <v>23</v>
      </c>
      <c r="AK24">
        <f>AJ24/$AA$17</f>
        <v>1.4375000000000001E-2</v>
      </c>
      <c r="AL24">
        <f>AD24*$AA$16</f>
        <v>6.7996578234936198</v>
      </c>
      <c r="AM24">
        <f>AM23+(AL24/$AA$17)</f>
        <v>0.16784228480251631</v>
      </c>
      <c r="AP24">
        <v>712</v>
      </c>
      <c r="AQ24">
        <v>5.9586624396569601</v>
      </c>
      <c r="AR24">
        <v>6</v>
      </c>
      <c r="AS24">
        <v>1.01722196789785</v>
      </c>
      <c r="AT24" t="s">
        <v>85</v>
      </c>
      <c r="AU24">
        <v>855</v>
      </c>
      <c r="AV24">
        <v>0</v>
      </c>
      <c r="AW24">
        <v>23</v>
      </c>
      <c r="AX24">
        <f>AW24/$AA$17</f>
        <v>1.4375000000000001E-2</v>
      </c>
      <c r="AY24">
        <f>AQ24*$AA$16</f>
        <v>5.9586624396569601</v>
      </c>
      <c r="AZ24">
        <f>AZ23+(AY24/$AA$17)</f>
        <v>0.1255944365458207</v>
      </c>
    </row>
    <row r="25" spans="1:52" x14ac:dyDescent="0.25">
      <c r="A25" t="s">
        <v>87</v>
      </c>
      <c r="AC25">
        <v>855</v>
      </c>
      <c r="AD25">
        <v>6.6885830145959204</v>
      </c>
      <c r="AE25">
        <v>6</v>
      </c>
      <c r="AF25">
        <v>1.01722196789785</v>
      </c>
      <c r="AG25" t="s">
        <v>85</v>
      </c>
      <c r="AH25">
        <v>800</v>
      </c>
      <c r="AI25">
        <v>9.0645505931922193E-2</v>
      </c>
      <c r="AJ25">
        <v>24</v>
      </c>
      <c r="AK25">
        <f>AJ25/$AA$17</f>
        <v>1.4999999999999999E-2</v>
      </c>
      <c r="AL25">
        <f>AD25*$AA$16</f>
        <v>6.6885830145959204</v>
      </c>
      <c r="AM25">
        <f>AM24+(AL25/$AA$17)</f>
        <v>0.17202264918663876</v>
      </c>
      <c r="AP25">
        <v>762</v>
      </c>
      <c r="AQ25">
        <v>5.5967623179677402</v>
      </c>
      <c r="AR25">
        <v>6</v>
      </c>
      <c r="AS25">
        <v>1.01722196789785</v>
      </c>
      <c r="AT25" t="s">
        <v>85</v>
      </c>
      <c r="AU25">
        <v>665</v>
      </c>
      <c r="AV25">
        <v>8.9259099568316694E-2</v>
      </c>
      <c r="AW25">
        <v>24</v>
      </c>
      <c r="AX25">
        <f>AW25/$AA$17</f>
        <v>1.4999999999999999E-2</v>
      </c>
      <c r="AY25">
        <f>AQ25*$AA$16</f>
        <v>5.5967623179677402</v>
      </c>
      <c r="AZ25">
        <f>AZ24+(AY25/$AA$17)</f>
        <v>0.12909241299455054</v>
      </c>
    </row>
    <row r="26" spans="1:52" x14ac:dyDescent="0.25">
      <c r="A26">
        <v>196</v>
      </c>
      <c r="B26">
        <v>0</v>
      </c>
      <c r="C26">
        <v>27.311229662055698</v>
      </c>
      <c r="D26">
        <v>25.317380730233801</v>
      </c>
      <c r="E26">
        <v>8</v>
      </c>
      <c r="F26">
        <v>1.01722196789785</v>
      </c>
      <c r="G26" t="s">
        <v>85</v>
      </c>
      <c r="H26" t="s">
        <v>85</v>
      </c>
      <c r="I26">
        <v>711</v>
      </c>
      <c r="J26">
        <v>222</v>
      </c>
      <c r="K26">
        <v>0</v>
      </c>
      <c r="AC26">
        <v>1216</v>
      </c>
      <c r="AD26">
        <v>5.8314691612288803</v>
      </c>
      <c r="AE26">
        <v>6</v>
      </c>
      <c r="AF26">
        <v>1.01722196789785</v>
      </c>
      <c r="AG26" t="s">
        <v>85</v>
      </c>
      <c r="AH26">
        <v>705</v>
      </c>
      <c r="AI26">
        <v>9.6120382487224904E-2</v>
      </c>
      <c r="AJ26">
        <v>25</v>
      </c>
      <c r="AK26">
        <f>AJ26/$AA$17</f>
        <v>1.5625E-2</v>
      </c>
      <c r="AL26">
        <f>AD26*$AA$16</f>
        <v>5.8314691612288803</v>
      </c>
      <c r="AM26">
        <f>AM25+(AL26/$AA$17)</f>
        <v>0.17566731741240682</v>
      </c>
      <c r="AP26">
        <v>1015</v>
      </c>
      <c r="AQ26">
        <v>5.4714312387728299</v>
      </c>
      <c r="AR26">
        <v>6</v>
      </c>
      <c r="AS26">
        <v>1.01722196789785</v>
      </c>
      <c r="AT26" t="s">
        <v>85</v>
      </c>
      <c r="AU26">
        <v>903</v>
      </c>
      <c r="AV26">
        <v>9.3443328339296097E-2</v>
      </c>
      <c r="AW26">
        <v>25</v>
      </c>
      <c r="AX26">
        <f>AW26/$AA$17</f>
        <v>1.5625E-2</v>
      </c>
      <c r="AY26">
        <f>AQ26*$AA$16</f>
        <v>5.4714312387728299</v>
      </c>
      <c r="AZ26">
        <f>AZ25+(AY26/$AA$17)</f>
        <v>0.13251205751878356</v>
      </c>
    </row>
    <row r="27" spans="1:52" x14ac:dyDescent="0.25">
      <c r="A27" t="s">
        <v>86</v>
      </c>
      <c r="AC27">
        <v>665</v>
      </c>
      <c r="AD27">
        <v>5.62107862941878</v>
      </c>
      <c r="AE27">
        <v>6</v>
      </c>
      <c r="AF27">
        <v>1.01722196789785</v>
      </c>
      <c r="AG27" t="s">
        <v>85</v>
      </c>
      <c r="AH27">
        <v>710</v>
      </c>
      <c r="AI27">
        <v>0</v>
      </c>
      <c r="AJ27">
        <v>26</v>
      </c>
      <c r="AK27">
        <f>AJ27/$AA$17</f>
        <v>1.6250000000000001E-2</v>
      </c>
      <c r="AL27">
        <f>AD27*$AA$16</f>
        <v>5.62107862941878</v>
      </c>
      <c r="AM27">
        <f>AM26+(AL27/$AA$17)</f>
        <v>0.17918049155579355</v>
      </c>
      <c r="AP27">
        <v>710</v>
      </c>
      <c r="AQ27">
        <v>5.2225692447238803</v>
      </c>
      <c r="AR27">
        <v>6</v>
      </c>
      <c r="AS27">
        <v>1.01722196789785</v>
      </c>
      <c r="AT27" t="s">
        <v>85</v>
      </c>
      <c r="AU27">
        <v>661</v>
      </c>
      <c r="AV27">
        <v>0</v>
      </c>
      <c r="AW27">
        <v>26</v>
      </c>
      <c r="AX27">
        <f>AW27/$AA$17</f>
        <v>1.6250000000000001E-2</v>
      </c>
      <c r="AY27">
        <f>AQ27*$AA$16</f>
        <v>5.2225692447238803</v>
      </c>
      <c r="AZ27">
        <f>AZ26+(AY27/$AA$17)</f>
        <v>0.13577616329673597</v>
      </c>
    </row>
    <row r="28" spans="1:52" x14ac:dyDescent="0.25">
      <c r="A28">
        <v>74.126269200293194</v>
      </c>
      <c r="B28">
        <v>114.123583352591</v>
      </c>
      <c r="C28">
        <v>2000</v>
      </c>
      <c r="AC28">
        <v>665</v>
      </c>
      <c r="AD28">
        <v>5.1403128538808396</v>
      </c>
      <c r="AE28">
        <v>6</v>
      </c>
      <c r="AF28">
        <v>1.01722196789785</v>
      </c>
      <c r="AG28" t="s">
        <v>85</v>
      </c>
      <c r="AH28">
        <v>818</v>
      </c>
      <c r="AI28">
        <v>0</v>
      </c>
      <c r="AJ28">
        <v>27</v>
      </c>
      <c r="AK28">
        <f>AJ28/$AA$17</f>
        <v>1.6875000000000001E-2</v>
      </c>
      <c r="AL28">
        <f>AD28*$AA$16</f>
        <v>5.1403128538808396</v>
      </c>
      <c r="AM28">
        <f>AM27+(AL28/$AA$17)</f>
        <v>0.18239318708946908</v>
      </c>
      <c r="AP28">
        <v>1188</v>
      </c>
      <c r="AQ28">
        <v>4.9874595533233803</v>
      </c>
      <c r="AR28">
        <v>6</v>
      </c>
      <c r="AS28">
        <v>1.01722196789785</v>
      </c>
      <c r="AT28" t="s">
        <v>85</v>
      </c>
      <c r="AU28">
        <v>672</v>
      </c>
      <c r="AV28">
        <v>9.5800019506126696E-2</v>
      </c>
      <c r="AW28">
        <v>27</v>
      </c>
      <c r="AX28">
        <f>AW28/$AA$17</f>
        <v>1.6875000000000001E-2</v>
      </c>
      <c r="AY28">
        <f>AQ28*$AA$16</f>
        <v>4.9874595533233803</v>
      </c>
      <c r="AZ28">
        <f>AZ27+(AY28/$AA$17)</f>
        <v>0.13889332551756309</v>
      </c>
    </row>
    <row r="29" spans="1:52" x14ac:dyDescent="0.25">
      <c r="A29">
        <v>60.376457655431501</v>
      </c>
      <c r="B29">
        <v>100.373771807729</v>
      </c>
      <c r="C29">
        <v>2000</v>
      </c>
      <c r="AC29">
        <v>896</v>
      </c>
      <c r="AD29">
        <v>4.9316562368338603</v>
      </c>
      <c r="AE29">
        <v>6</v>
      </c>
      <c r="AF29">
        <v>1.01722196789785</v>
      </c>
      <c r="AG29" t="s">
        <v>85</v>
      </c>
      <c r="AH29">
        <v>800</v>
      </c>
      <c r="AI29">
        <v>9.142164214173E-2</v>
      </c>
      <c r="AJ29">
        <v>28</v>
      </c>
      <c r="AK29">
        <f>AJ29/$AA$17</f>
        <v>1.7500000000000002E-2</v>
      </c>
      <c r="AL29">
        <f>AD29*$AA$16</f>
        <v>4.9316562368338603</v>
      </c>
      <c r="AM29">
        <f>AM28+(AL29/$AA$17)</f>
        <v>0.18547547223749025</v>
      </c>
      <c r="AP29">
        <v>786</v>
      </c>
      <c r="AQ29">
        <v>4.8341660157619897</v>
      </c>
      <c r="AR29">
        <v>6</v>
      </c>
      <c r="AS29">
        <v>1.01722196789785</v>
      </c>
      <c r="AT29" t="s">
        <v>85</v>
      </c>
      <c r="AU29">
        <v>679</v>
      </c>
      <c r="AV29">
        <v>8.9537010595109504E-2</v>
      </c>
      <c r="AW29">
        <v>28</v>
      </c>
      <c r="AX29">
        <f>AW29/$AA$17</f>
        <v>1.7500000000000002E-2</v>
      </c>
      <c r="AY29">
        <f>AQ29*$AA$16</f>
        <v>4.8341660157619897</v>
      </c>
      <c r="AZ29">
        <f>AZ28+(AY29/$AA$17)</f>
        <v>0.14191467927741433</v>
      </c>
    </row>
    <row r="30" spans="1:52" x14ac:dyDescent="0.25">
      <c r="A30">
        <v>54.850115023949201</v>
      </c>
      <c r="B30">
        <v>94.847429176246806</v>
      </c>
      <c r="C30">
        <v>2000</v>
      </c>
      <c r="AC30">
        <v>839</v>
      </c>
      <c r="AD30">
        <v>4.4004410622680199</v>
      </c>
      <c r="AE30">
        <v>6</v>
      </c>
      <c r="AF30">
        <v>1.01722196789785</v>
      </c>
      <c r="AG30" t="s">
        <v>85</v>
      </c>
      <c r="AH30">
        <v>701</v>
      </c>
      <c r="AI30">
        <v>9.0374042336346896E-2</v>
      </c>
      <c r="AJ30">
        <v>29</v>
      </c>
      <c r="AK30">
        <f>AJ30/$AA$17</f>
        <v>1.8124999999999999E-2</v>
      </c>
      <c r="AL30">
        <f>AD30*$AA$16</f>
        <v>4.4004410622680199</v>
      </c>
      <c r="AM30">
        <f>AM29+(AL30/$AA$17)</f>
        <v>0.18822574790140775</v>
      </c>
      <c r="AP30">
        <v>712</v>
      </c>
      <c r="AQ30">
        <v>4.4125603227085897</v>
      </c>
      <c r="AR30">
        <v>6</v>
      </c>
      <c r="AS30">
        <v>1.01722196789785</v>
      </c>
      <c r="AT30" t="s">
        <v>85</v>
      </c>
      <c r="AU30">
        <v>758</v>
      </c>
      <c r="AV30">
        <v>0</v>
      </c>
      <c r="AW30">
        <v>29</v>
      </c>
      <c r="AX30">
        <f>AW30/$AA$17</f>
        <v>1.8124999999999999E-2</v>
      </c>
      <c r="AY30">
        <f>AQ30*$AA$16</f>
        <v>4.4125603227085897</v>
      </c>
      <c r="AZ30">
        <f>AZ29+(AY30/$AA$17)</f>
        <v>0.14467252947910719</v>
      </c>
    </row>
    <row r="31" spans="1:52" x14ac:dyDescent="0.25">
      <c r="A31">
        <v>54.850115023949201</v>
      </c>
      <c r="B31">
        <v>93.973397127349202</v>
      </c>
      <c r="C31">
        <v>2001</v>
      </c>
      <c r="AC31">
        <v>664</v>
      </c>
      <c r="AD31">
        <v>4.2130963613799803</v>
      </c>
      <c r="AE31">
        <v>6</v>
      </c>
      <c r="AF31">
        <v>1.01722196789785</v>
      </c>
      <c r="AG31" t="s">
        <v>85</v>
      </c>
      <c r="AH31">
        <v>800</v>
      </c>
      <c r="AI31">
        <v>0</v>
      </c>
      <c r="AJ31">
        <v>30</v>
      </c>
      <c r="AK31">
        <f>AJ31/$AA$17</f>
        <v>1.8749999999999999E-2</v>
      </c>
      <c r="AL31">
        <f>AD31*$AA$16</f>
        <v>4.2130963613799803</v>
      </c>
      <c r="AM31">
        <f>AM30+(AL31/$AA$17)</f>
        <v>0.19085893312727023</v>
      </c>
      <c r="AP31">
        <v>704</v>
      </c>
      <c r="AQ31">
        <v>3.8983657536707099</v>
      </c>
      <c r="AR31">
        <v>6</v>
      </c>
      <c r="AS31">
        <v>1.01722196789785</v>
      </c>
      <c r="AT31" t="s">
        <v>89</v>
      </c>
      <c r="AU31">
        <v>706</v>
      </c>
      <c r="AV31">
        <v>0</v>
      </c>
      <c r="AW31">
        <v>30</v>
      </c>
      <c r="AX31">
        <f>AW31/$AA$17</f>
        <v>1.8749999999999999E-2</v>
      </c>
      <c r="AY31">
        <f>AQ31*$AA$16</f>
        <v>3.8983657536707099</v>
      </c>
      <c r="AZ31">
        <f>AZ30+(AY31/$AA$17)</f>
        <v>0.1471090080751514</v>
      </c>
    </row>
    <row r="32" spans="1:52" x14ac:dyDescent="0.25">
      <c r="A32">
        <v>60.5029460888709</v>
      </c>
      <c r="B32">
        <v>99.626228192270901</v>
      </c>
      <c r="C32">
        <v>2001</v>
      </c>
      <c r="AC32">
        <v>873</v>
      </c>
      <c r="AD32">
        <v>4.2097937442072899</v>
      </c>
      <c r="AE32">
        <v>6</v>
      </c>
      <c r="AF32">
        <v>1.01722196789785</v>
      </c>
      <c r="AG32" t="s">
        <v>85</v>
      </c>
      <c r="AH32">
        <v>711</v>
      </c>
      <c r="AI32">
        <v>9.0910684189608806E-2</v>
      </c>
      <c r="AJ32">
        <v>31</v>
      </c>
      <c r="AK32">
        <f>AJ32/$AA$17</f>
        <v>1.9375E-2</v>
      </c>
      <c r="AL32">
        <f>AD32*$AA$16</f>
        <v>4.2097937442072899</v>
      </c>
      <c r="AM32">
        <f>AM31+(AL32/$AA$17)</f>
        <v>0.19349005421739979</v>
      </c>
      <c r="AP32">
        <v>717</v>
      </c>
      <c r="AQ32">
        <v>3.86463464709936</v>
      </c>
      <c r="AR32">
        <v>6</v>
      </c>
      <c r="AS32">
        <v>1.01722196789785</v>
      </c>
      <c r="AT32" t="s">
        <v>85</v>
      </c>
      <c r="AU32">
        <v>662</v>
      </c>
      <c r="AV32">
        <v>0</v>
      </c>
      <c r="AW32">
        <v>31</v>
      </c>
      <c r="AX32">
        <f>AW32/$AA$17</f>
        <v>1.9375E-2</v>
      </c>
      <c r="AY32">
        <f>AQ32*$AA$16</f>
        <v>3.86463464709936</v>
      </c>
      <c r="AZ32">
        <f>AZ31+(AY32/$AA$17)</f>
        <v>0.1495244047295885</v>
      </c>
    </row>
    <row r="33" spans="1:52" x14ac:dyDescent="0.25">
      <c r="A33">
        <v>74.197872240770806</v>
      </c>
      <c r="B33">
        <v>113.32115434417101</v>
      </c>
      <c r="C33">
        <v>2001</v>
      </c>
      <c r="AC33">
        <v>799</v>
      </c>
      <c r="AD33">
        <v>4.0498307806746503</v>
      </c>
      <c r="AE33">
        <v>6</v>
      </c>
      <c r="AF33">
        <v>1.01722196789785</v>
      </c>
      <c r="AG33" t="s">
        <v>85</v>
      </c>
      <c r="AH33">
        <v>716</v>
      </c>
      <c r="AI33">
        <v>8.9816640118045604E-2</v>
      </c>
      <c r="AJ33">
        <v>32</v>
      </c>
      <c r="AK33">
        <f>AJ33/$AA$17</f>
        <v>0.02</v>
      </c>
      <c r="AL33">
        <f>AD33*$AA$16</f>
        <v>4.0498307806746503</v>
      </c>
      <c r="AM33">
        <f>AM32+(AL33/$AA$17)</f>
        <v>0.19602119845532145</v>
      </c>
      <c r="AP33">
        <v>706</v>
      </c>
      <c r="AQ33">
        <v>3.8609851951221001</v>
      </c>
      <c r="AR33">
        <v>6</v>
      </c>
      <c r="AS33">
        <v>1.01722196789785</v>
      </c>
      <c r="AT33" t="s">
        <v>89</v>
      </c>
      <c r="AU33">
        <v>704</v>
      </c>
      <c r="AV33">
        <v>0</v>
      </c>
      <c r="AW33">
        <v>32</v>
      </c>
      <c r="AX33">
        <f>AW33/$AA$17</f>
        <v>0.02</v>
      </c>
      <c r="AY33">
        <f>AQ33*$AA$16</f>
        <v>3.8609851951221001</v>
      </c>
      <c r="AZ33">
        <f>AZ32+(AY33/$AA$17)</f>
        <v>0.1519375204765398</v>
      </c>
    </row>
    <row r="34" spans="1:52" x14ac:dyDescent="0.25">
      <c r="A34">
        <v>92.064162316761994</v>
      </c>
      <c r="B34">
        <v>131.187444420162</v>
      </c>
      <c r="C34">
        <v>2001</v>
      </c>
      <c r="AC34">
        <v>1023</v>
      </c>
      <c r="AD34">
        <v>4.0123821533024104</v>
      </c>
      <c r="AE34">
        <v>10</v>
      </c>
      <c r="AF34">
        <v>1.01722196789785</v>
      </c>
      <c r="AG34" t="s">
        <v>85</v>
      </c>
      <c r="AH34">
        <v>701</v>
      </c>
      <c r="AI34">
        <v>9.3644784593262795E-2</v>
      </c>
      <c r="AJ34">
        <v>33</v>
      </c>
      <c r="AK34">
        <f>AJ34/$AA$17</f>
        <v>2.0625000000000001E-2</v>
      </c>
      <c r="AL34">
        <f>AD34*$AA$16</f>
        <v>4.0123821533024104</v>
      </c>
      <c r="AM34">
        <f>AM33+(AL34/$AA$17)</f>
        <v>0.19852893730113547</v>
      </c>
      <c r="AP34">
        <v>928</v>
      </c>
      <c r="AQ34">
        <v>3.7012295702035898</v>
      </c>
      <c r="AR34">
        <v>6</v>
      </c>
      <c r="AS34">
        <v>1.01722196789785</v>
      </c>
      <c r="AT34" t="s">
        <v>85</v>
      </c>
      <c r="AU34">
        <v>758</v>
      </c>
      <c r="AV34">
        <v>9.2142179589674397E-2</v>
      </c>
      <c r="AW34">
        <v>33</v>
      </c>
      <c r="AX34">
        <f>AW34/$AA$17</f>
        <v>2.0625000000000001E-2</v>
      </c>
      <c r="AY34">
        <f>AQ34*$AA$16</f>
        <v>3.7012295702035898</v>
      </c>
      <c r="AZ34">
        <f>AZ33+(AY34/$AA$17)</f>
        <v>0.15425078895791705</v>
      </c>
    </row>
    <row r="35" spans="1:52" x14ac:dyDescent="0.25">
      <c r="A35">
        <v>92.064162316761994</v>
      </c>
      <c r="B35">
        <v>132.06147646906001</v>
      </c>
      <c r="C35">
        <v>2000</v>
      </c>
      <c r="AC35">
        <v>664</v>
      </c>
      <c r="AD35">
        <v>3.9324704443267402</v>
      </c>
      <c r="AE35">
        <v>6</v>
      </c>
      <c r="AF35">
        <v>1.01722196789785</v>
      </c>
      <c r="AG35" t="s">
        <v>85</v>
      </c>
      <c r="AH35">
        <v>712</v>
      </c>
      <c r="AI35">
        <v>0</v>
      </c>
      <c r="AJ35">
        <v>34</v>
      </c>
      <c r="AK35">
        <f>AJ35/$AA$17</f>
        <v>2.1250000000000002E-2</v>
      </c>
      <c r="AL35">
        <f>AD35*$AA$16</f>
        <v>3.9324704443267402</v>
      </c>
      <c r="AM35">
        <f>AM34+(AL35/$AA$17)</f>
        <v>0.20098673132883968</v>
      </c>
      <c r="AP35">
        <v>913</v>
      </c>
      <c r="AQ35">
        <v>3.2019483054430999</v>
      </c>
      <c r="AR35">
        <v>6</v>
      </c>
      <c r="AS35">
        <v>1.01722196789785</v>
      </c>
      <c r="AT35" t="s">
        <v>85</v>
      </c>
      <c r="AU35">
        <v>666</v>
      </c>
      <c r="AV35">
        <v>9.1907793175489E-2</v>
      </c>
      <c r="AW35">
        <v>34</v>
      </c>
      <c r="AX35">
        <f>AW35/$AA$17</f>
        <v>2.1250000000000002E-2</v>
      </c>
      <c r="AY35">
        <f>AQ35*$AA$16</f>
        <v>3.2019483054430999</v>
      </c>
      <c r="AZ35">
        <f>AZ34+(AY35/$AA$17)</f>
        <v>0.156252006648819</v>
      </c>
    </row>
    <row r="36" spans="1:52" x14ac:dyDescent="0.25">
      <c r="A36" t="s">
        <v>87</v>
      </c>
      <c r="AC36">
        <v>670</v>
      </c>
      <c r="AD36">
        <v>3.4697904906469699</v>
      </c>
      <c r="AE36">
        <v>6</v>
      </c>
      <c r="AF36">
        <v>1.01722196789785</v>
      </c>
      <c r="AG36" t="s">
        <v>85</v>
      </c>
      <c r="AH36">
        <v>714</v>
      </c>
      <c r="AI36">
        <v>0</v>
      </c>
      <c r="AJ36">
        <v>35</v>
      </c>
      <c r="AK36">
        <f>AJ36/$AA$17</f>
        <v>2.1874999999999999E-2</v>
      </c>
      <c r="AL36">
        <f>AD36*$AA$16</f>
        <v>3.4697904906469699</v>
      </c>
      <c r="AM36">
        <f>AM35+(AL36/$AA$17)</f>
        <v>0.20315535038549404</v>
      </c>
      <c r="AP36">
        <v>1149</v>
      </c>
      <c r="AQ36">
        <v>3.17796688033811</v>
      </c>
      <c r="AR36">
        <v>6</v>
      </c>
      <c r="AS36">
        <v>1.01722196789785</v>
      </c>
      <c r="AT36" t="s">
        <v>85</v>
      </c>
      <c r="AU36">
        <v>675</v>
      </c>
      <c r="AV36">
        <v>9.5300933138239702E-2</v>
      </c>
      <c r="AW36">
        <v>35</v>
      </c>
      <c r="AX36">
        <f>AW36/$AA$17</f>
        <v>2.1874999999999999E-2</v>
      </c>
      <c r="AY36">
        <f>AQ36*$AA$16</f>
        <v>3.17796688033811</v>
      </c>
      <c r="AZ36">
        <f>AZ35+(AY36/$AA$17)</f>
        <v>0.1582382359490303</v>
      </c>
    </row>
    <row r="37" spans="1:52" x14ac:dyDescent="0.25">
      <c r="A37">
        <v>895</v>
      </c>
      <c r="B37">
        <v>1</v>
      </c>
      <c r="C37">
        <v>35.322603881955096</v>
      </c>
      <c r="D37">
        <v>9.2879000228539894</v>
      </c>
      <c r="E37">
        <v>8</v>
      </c>
      <c r="F37">
        <v>1.01722196789785</v>
      </c>
      <c r="G37" t="s">
        <v>85</v>
      </c>
      <c r="H37" t="s">
        <v>85</v>
      </c>
      <c r="I37">
        <v>348</v>
      </c>
      <c r="J37">
        <v>35</v>
      </c>
      <c r="K37">
        <v>9.142164214173E-2</v>
      </c>
      <c r="AC37">
        <v>680</v>
      </c>
      <c r="AD37">
        <v>3.3911715045411102</v>
      </c>
      <c r="AE37">
        <v>8</v>
      </c>
      <c r="AF37">
        <v>1.01722196789785</v>
      </c>
      <c r="AG37" t="s">
        <v>85</v>
      </c>
      <c r="AH37">
        <v>704</v>
      </c>
      <c r="AI37">
        <v>0</v>
      </c>
      <c r="AJ37">
        <v>36</v>
      </c>
      <c r="AK37">
        <f>AJ37/$AA$17</f>
        <v>2.2499999999999999E-2</v>
      </c>
      <c r="AL37">
        <f>AD37*$AA$16</f>
        <v>3.3911715045411102</v>
      </c>
      <c r="AM37">
        <f>AM36+(AL37/$AA$17)</f>
        <v>0.20527483257583223</v>
      </c>
      <c r="AP37">
        <v>762</v>
      </c>
      <c r="AQ37">
        <v>2.8880693645435298</v>
      </c>
      <c r="AR37">
        <v>6</v>
      </c>
      <c r="AS37">
        <v>1.01722196789785</v>
      </c>
      <c r="AT37" t="s">
        <v>85</v>
      </c>
      <c r="AU37">
        <v>670</v>
      </c>
      <c r="AV37">
        <v>8.9259099568316694E-2</v>
      </c>
      <c r="AW37">
        <v>36</v>
      </c>
      <c r="AX37">
        <f>AW37/$AA$17</f>
        <v>2.2499999999999999E-2</v>
      </c>
      <c r="AY37">
        <f>AQ37*$AA$16</f>
        <v>2.8880693645435298</v>
      </c>
      <c r="AZ37">
        <f>AZ36+(AY37/$AA$17)</f>
        <v>0.16004327930187001</v>
      </c>
    </row>
    <row r="38" spans="1:52" x14ac:dyDescent="0.25">
      <c r="A38" t="s">
        <v>86</v>
      </c>
      <c r="AC38">
        <v>1206</v>
      </c>
      <c r="AD38">
        <v>3.3402235214659299</v>
      </c>
      <c r="AE38">
        <v>6</v>
      </c>
      <c r="AF38">
        <v>1.01722196789785</v>
      </c>
      <c r="AG38" t="s">
        <v>85</v>
      </c>
      <c r="AH38">
        <v>709</v>
      </c>
      <c r="AI38">
        <v>9.5961381564156997E-2</v>
      </c>
      <c r="AJ38">
        <v>37</v>
      </c>
      <c r="AK38">
        <f>AJ38/$AA$17</f>
        <v>2.3125E-2</v>
      </c>
      <c r="AL38">
        <f>AD38*$AA$16</f>
        <v>3.3402235214659299</v>
      </c>
      <c r="AM38">
        <f>AM37+(AL38/$AA$17)</f>
        <v>0.20736247227674845</v>
      </c>
      <c r="AP38">
        <v>715</v>
      </c>
      <c r="AQ38">
        <v>2.7764418886309099</v>
      </c>
      <c r="AR38">
        <v>6</v>
      </c>
      <c r="AS38">
        <v>1.01722196789785</v>
      </c>
      <c r="AT38" t="s">
        <v>89</v>
      </c>
      <c r="AU38">
        <v>696</v>
      </c>
      <c r="AV38">
        <v>0</v>
      </c>
      <c r="AW38">
        <v>37</v>
      </c>
      <c r="AX38">
        <f>AW38/$AA$17</f>
        <v>2.3125E-2</v>
      </c>
      <c r="AY38">
        <f>AQ38*$AA$16</f>
        <v>2.7764418886309099</v>
      </c>
      <c r="AZ38">
        <f>AZ37+(AY38/$AA$17)</f>
        <v>0.16177855548226433</v>
      </c>
    </row>
    <row r="39" spans="1:52" x14ac:dyDescent="0.25">
      <c r="A39">
        <v>31.781988314816399</v>
      </c>
      <c r="B39">
        <v>42.175667026519399</v>
      </c>
      <c r="C39">
        <v>2000</v>
      </c>
      <c r="AC39">
        <v>678</v>
      </c>
      <c r="AD39">
        <v>3.3079532765165398</v>
      </c>
      <c r="AE39">
        <v>6</v>
      </c>
      <c r="AF39">
        <v>1.01722196789785</v>
      </c>
      <c r="AG39" t="s">
        <v>89</v>
      </c>
      <c r="AH39">
        <v>643</v>
      </c>
      <c r="AI39">
        <v>0</v>
      </c>
      <c r="AJ39">
        <v>38</v>
      </c>
      <c r="AK39">
        <f>AJ39/$AA$17</f>
        <v>2.375E-2</v>
      </c>
      <c r="AL39">
        <f>AD39*$AA$16</f>
        <v>3.3079532765165398</v>
      </c>
      <c r="AM39">
        <f>AM38+(AL39/$AA$17)</f>
        <v>0.2094299430745713</v>
      </c>
      <c r="AP39">
        <v>761</v>
      </c>
      <c r="AQ39">
        <v>2.74986760916067</v>
      </c>
      <c r="AR39">
        <v>6</v>
      </c>
      <c r="AS39">
        <v>1.01722196789785</v>
      </c>
      <c r="AT39" t="s">
        <v>89</v>
      </c>
      <c r="AU39">
        <v>688</v>
      </c>
      <c r="AV39">
        <v>8.8948032773117705E-2</v>
      </c>
      <c r="AW39">
        <v>38</v>
      </c>
      <c r="AX39">
        <f>AW39/$AA$17</f>
        <v>2.375E-2</v>
      </c>
      <c r="AY39">
        <f>AQ39*$AA$16</f>
        <v>2.74986760916067</v>
      </c>
      <c r="AZ39">
        <f>AZ38+(AY39/$AA$17)</f>
        <v>0.16349722273798975</v>
      </c>
    </row>
    <row r="40" spans="1:52" x14ac:dyDescent="0.25">
      <c r="A40">
        <v>23.667444898399101</v>
      </c>
      <c r="B40">
        <v>50.290210442936697</v>
      </c>
      <c r="C40">
        <v>2000</v>
      </c>
      <c r="AC40">
        <v>1084</v>
      </c>
      <c r="AD40">
        <v>3.2639338402130802</v>
      </c>
      <c r="AE40">
        <v>6</v>
      </c>
      <c r="AF40">
        <v>1.01722196789785</v>
      </c>
      <c r="AG40" t="s">
        <v>85</v>
      </c>
      <c r="AH40">
        <v>818</v>
      </c>
      <c r="AI40">
        <v>9.4413370804653396E-2</v>
      </c>
      <c r="AJ40">
        <v>39</v>
      </c>
      <c r="AK40">
        <f>AJ40/$AA$17</f>
        <v>2.4375000000000001E-2</v>
      </c>
      <c r="AL40">
        <f>AD40*$AA$16</f>
        <v>3.2639338402130802</v>
      </c>
      <c r="AM40">
        <f>AM39+(AL40/$AA$17)</f>
        <v>0.21146990172470448</v>
      </c>
      <c r="AP40">
        <v>1072</v>
      </c>
      <c r="AQ40">
        <v>2.7436730431706402</v>
      </c>
      <c r="AR40">
        <v>6</v>
      </c>
      <c r="AS40">
        <v>1.01722196789785</v>
      </c>
      <c r="AT40" t="s">
        <v>85</v>
      </c>
      <c r="AU40">
        <v>663</v>
      </c>
      <c r="AV40">
        <v>9.4226499478247905E-2</v>
      </c>
      <c r="AW40">
        <v>39</v>
      </c>
      <c r="AX40">
        <f>AW40/$AA$17</f>
        <v>2.4375000000000001E-2</v>
      </c>
      <c r="AY40">
        <f>AQ40*$AA$16</f>
        <v>2.7436730431706402</v>
      </c>
      <c r="AZ40">
        <f>AZ39+(AY40/$AA$17)</f>
        <v>0.1652120183899714</v>
      </c>
    </row>
    <row r="41" spans="1:52" x14ac:dyDescent="0.25">
      <c r="A41">
        <v>6.7398295303526599</v>
      </c>
      <c r="B41">
        <v>67.217825810983101</v>
      </c>
      <c r="C41">
        <v>2000</v>
      </c>
      <c r="AC41">
        <v>896</v>
      </c>
      <c r="AD41">
        <v>3.2139105688728602</v>
      </c>
      <c r="AE41">
        <v>6</v>
      </c>
      <c r="AF41">
        <v>1.01722196789785</v>
      </c>
      <c r="AG41" t="s">
        <v>85</v>
      </c>
      <c r="AH41">
        <v>712</v>
      </c>
      <c r="AI41">
        <v>9.142164214173E-2</v>
      </c>
      <c r="AJ41">
        <v>40</v>
      </c>
      <c r="AK41">
        <f>AJ41/$AA$17</f>
        <v>2.5000000000000001E-2</v>
      </c>
      <c r="AL41">
        <f>AD41*$AA$16</f>
        <v>3.2139105688728602</v>
      </c>
      <c r="AM41">
        <f>AM40+(AL41/$AA$17)</f>
        <v>0.21347859583025003</v>
      </c>
      <c r="AP41">
        <v>1171</v>
      </c>
      <c r="AQ41">
        <v>2.6674487224602501</v>
      </c>
      <c r="AR41">
        <v>6</v>
      </c>
      <c r="AS41">
        <v>1.01722196789785</v>
      </c>
      <c r="AT41" t="s">
        <v>85</v>
      </c>
      <c r="AU41">
        <v>839</v>
      </c>
      <c r="AV41">
        <v>9.5469883166703101E-2</v>
      </c>
      <c r="AW41">
        <v>40</v>
      </c>
      <c r="AX41">
        <f>AW41/$AA$17</f>
        <v>2.5000000000000001E-2</v>
      </c>
      <c r="AY41">
        <f>AQ41*$AA$16</f>
        <v>2.6674487224602501</v>
      </c>
      <c r="AZ41">
        <f>AZ40+(AY41/$AA$17)</f>
        <v>0.16687917384150905</v>
      </c>
    </row>
    <row r="42" spans="1:52" x14ac:dyDescent="0.25">
      <c r="A42">
        <v>6.7398295303526599</v>
      </c>
      <c r="B42">
        <v>66.343793762085497</v>
      </c>
      <c r="C42">
        <v>2001</v>
      </c>
      <c r="AC42">
        <v>961</v>
      </c>
      <c r="AD42">
        <v>3.19783240226631</v>
      </c>
      <c r="AE42">
        <v>6</v>
      </c>
      <c r="AF42">
        <v>1.01722196789785</v>
      </c>
      <c r="AG42" t="s">
        <v>85</v>
      </c>
      <c r="AH42">
        <v>897</v>
      </c>
      <c r="AI42">
        <v>9.2594931978171202E-2</v>
      </c>
      <c r="AJ42">
        <v>41</v>
      </c>
      <c r="AK42">
        <f>AJ42/$AA$17</f>
        <v>2.5624999999999998E-2</v>
      </c>
      <c r="AL42">
        <f>AD42*$AA$16</f>
        <v>3.19783240226631</v>
      </c>
      <c r="AM42">
        <f>AM41+(AL42/$AA$17)</f>
        <v>0.21547724108166647</v>
      </c>
      <c r="AP42">
        <v>1188</v>
      </c>
      <c r="AQ42">
        <v>2.2441372674213702</v>
      </c>
      <c r="AR42">
        <v>6</v>
      </c>
      <c r="AS42">
        <v>1.01722196789785</v>
      </c>
      <c r="AT42" t="s">
        <v>85</v>
      </c>
      <c r="AU42">
        <v>799</v>
      </c>
      <c r="AV42">
        <v>9.5800019506126696E-2</v>
      </c>
      <c r="AW42">
        <v>41</v>
      </c>
      <c r="AX42">
        <f>AW42/$AA$17</f>
        <v>2.5624999999999998E-2</v>
      </c>
      <c r="AY42">
        <f>AQ42*$AA$16</f>
        <v>2.2441372674213702</v>
      </c>
      <c r="AZ42">
        <f>AZ41+(AY42/$AA$17)</f>
        <v>0.16828175963364742</v>
      </c>
    </row>
    <row r="43" spans="1:52" x14ac:dyDescent="0.25">
      <c r="A43">
        <v>23.373833735374799</v>
      </c>
      <c r="B43">
        <v>49.709789557063303</v>
      </c>
      <c r="C43">
        <v>2001</v>
      </c>
      <c r="AC43">
        <v>989</v>
      </c>
      <c r="AD43">
        <v>3.1134214513555798</v>
      </c>
      <c r="AE43">
        <v>6</v>
      </c>
      <c r="AF43">
        <v>1.01722196789785</v>
      </c>
      <c r="AG43" t="s">
        <v>85</v>
      </c>
      <c r="AH43">
        <v>906</v>
      </c>
      <c r="AI43">
        <v>9.3028045338835699E-2</v>
      </c>
      <c r="AJ43">
        <v>42</v>
      </c>
      <c r="AK43">
        <f>AJ43/$AA$17</f>
        <v>2.6249999999999999E-2</v>
      </c>
      <c r="AL43">
        <f>AD43*$AA$16</f>
        <v>3.1134214513555798</v>
      </c>
      <c r="AM43">
        <f>AM42+(AL43/$AA$17)</f>
        <v>0.21742312948876369</v>
      </c>
      <c r="AP43">
        <v>856</v>
      </c>
      <c r="AQ43">
        <v>1.8908000682645201</v>
      </c>
      <c r="AR43">
        <v>6</v>
      </c>
      <c r="AS43">
        <v>1.01722196789785</v>
      </c>
      <c r="AT43" t="s">
        <v>85</v>
      </c>
      <c r="AU43">
        <v>678</v>
      </c>
      <c r="AV43">
        <v>9.0645505931922193E-2</v>
      </c>
      <c r="AW43">
        <v>42</v>
      </c>
      <c r="AX43">
        <f>AW43/$AA$17</f>
        <v>2.6249999999999999E-2</v>
      </c>
      <c r="AY43">
        <f>AQ43*$AA$16</f>
        <v>1.8908000682645201</v>
      </c>
      <c r="AZ43">
        <f>AZ42+(AY43/$AA$17)</f>
        <v>0.16946350967631274</v>
      </c>
    </row>
    <row r="44" spans="1:52" x14ac:dyDescent="0.25">
      <c r="A44">
        <v>31.651376214082401</v>
      </c>
      <c r="B44">
        <v>41.432247078355701</v>
      </c>
      <c r="C44">
        <v>2001</v>
      </c>
      <c r="AC44">
        <v>989</v>
      </c>
      <c r="AD44">
        <v>3.0262794669781199</v>
      </c>
      <c r="AE44">
        <v>6</v>
      </c>
      <c r="AF44">
        <v>1.01722196789785</v>
      </c>
      <c r="AG44" t="s">
        <v>85</v>
      </c>
      <c r="AH44">
        <v>712</v>
      </c>
      <c r="AI44">
        <v>9.3028045338835699E-2</v>
      </c>
      <c r="AJ44">
        <v>43</v>
      </c>
      <c r="AK44">
        <f>AJ44/$AA$17</f>
        <v>2.6875E-2</v>
      </c>
      <c r="AL44">
        <f>AD44*$AA$16</f>
        <v>3.0262794669781199</v>
      </c>
      <c r="AM44">
        <f>AM43+(AL44/$AA$17)</f>
        <v>0.21931455415562501</v>
      </c>
      <c r="AP44">
        <v>717</v>
      </c>
      <c r="AQ44">
        <v>1.8049693283210599</v>
      </c>
      <c r="AR44">
        <v>6</v>
      </c>
      <c r="AS44">
        <v>1.01722196789785</v>
      </c>
      <c r="AT44" t="s">
        <v>85</v>
      </c>
      <c r="AU44">
        <v>679</v>
      </c>
      <c r="AV44">
        <v>0</v>
      </c>
      <c r="AW44">
        <v>43</v>
      </c>
      <c r="AX44">
        <f>AW44/$AA$17</f>
        <v>2.6875E-2</v>
      </c>
      <c r="AY44">
        <f>AQ44*$AA$16</f>
        <v>1.8049693283210599</v>
      </c>
      <c r="AZ44">
        <f>AZ43+(AY44/$AA$17)</f>
        <v>0.17059161550651342</v>
      </c>
    </row>
    <row r="45" spans="1:52" x14ac:dyDescent="0.25">
      <c r="A45">
        <v>38.2842193535921</v>
      </c>
      <c r="B45">
        <v>34.799403938845998</v>
      </c>
      <c r="C45">
        <v>2001</v>
      </c>
      <c r="AC45">
        <v>1014</v>
      </c>
      <c r="AD45">
        <v>2.9239197208578398</v>
      </c>
      <c r="AE45">
        <v>6</v>
      </c>
      <c r="AF45">
        <v>1.01722196789785</v>
      </c>
      <c r="AG45" t="s">
        <v>85</v>
      </c>
      <c r="AH45">
        <v>711</v>
      </c>
      <c r="AI45">
        <v>9.3443328339296097E-2</v>
      </c>
      <c r="AJ45">
        <v>44</v>
      </c>
      <c r="AK45">
        <f>AJ45/$AA$17</f>
        <v>2.75E-2</v>
      </c>
      <c r="AL45">
        <f>AD45*$AA$16</f>
        <v>2.9239197208578398</v>
      </c>
      <c r="AM45">
        <f>AM44+(AL45/$AA$17)</f>
        <v>0.22114200398116116</v>
      </c>
      <c r="AP45">
        <v>1015</v>
      </c>
      <c r="AQ45">
        <v>1.6774853848106399</v>
      </c>
      <c r="AR45">
        <v>6</v>
      </c>
      <c r="AS45">
        <v>1.01722196789785</v>
      </c>
      <c r="AT45" t="s">
        <v>85</v>
      </c>
      <c r="AU45">
        <v>855</v>
      </c>
      <c r="AV45">
        <v>9.3443328339296097E-2</v>
      </c>
      <c r="AW45">
        <v>44</v>
      </c>
      <c r="AX45">
        <f>AW45/$AA$17</f>
        <v>2.75E-2</v>
      </c>
      <c r="AY45">
        <f>AQ45*$AA$16</f>
        <v>1.6774853848106399</v>
      </c>
      <c r="AZ45">
        <f>AZ44+(AY45/$AA$17)</f>
        <v>0.17164004387202006</v>
      </c>
    </row>
    <row r="46" spans="1:52" x14ac:dyDescent="0.25">
      <c r="A46">
        <v>38.2842193535921</v>
      </c>
      <c r="B46">
        <v>35.673435987743702</v>
      </c>
      <c r="C46">
        <v>2000</v>
      </c>
      <c r="AC46">
        <v>997</v>
      </c>
      <c r="AD46">
        <v>2.40565610820931</v>
      </c>
      <c r="AE46">
        <v>6</v>
      </c>
      <c r="AF46">
        <v>1.01722196789785</v>
      </c>
      <c r="AG46" t="s">
        <v>85</v>
      </c>
      <c r="AH46">
        <v>713</v>
      </c>
      <c r="AI46">
        <v>9.3237811683927099E-2</v>
      </c>
      <c r="AJ46">
        <v>45</v>
      </c>
      <c r="AK46">
        <f>AJ46/$AA$17</f>
        <v>2.8125000000000001E-2</v>
      </c>
      <c r="AL46">
        <f>AD46*$AA$16</f>
        <v>2.40565610820931</v>
      </c>
      <c r="AM46">
        <f>AM45+(AL46/$AA$17)</f>
        <v>0.22264553904879197</v>
      </c>
      <c r="AP46">
        <v>928</v>
      </c>
      <c r="AQ46">
        <v>1.48960625859041</v>
      </c>
      <c r="AR46">
        <v>6</v>
      </c>
      <c r="AS46">
        <v>1.01722196789785</v>
      </c>
      <c r="AT46" t="s">
        <v>85</v>
      </c>
      <c r="AU46">
        <v>896</v>
      </c>
      <c r="AV46">
        <v>9.2142179589674397E-2</v>
      </c>
      <c r="AW46">
        <v>45</v>
      </c>
      <c r="AX46">
        <f>AW46/$AA$17</f>
        <v>2.8125000000000001E-2</v>
      </c>
      <c r="AY46">
        <f>AQ46*$AA$16</f>
        <v>1.48960625859041</v>
      </c>
      <c r="AZ46">
        <f>AZ45+(AY46/$AA$17)</f>
        <v>0.17257104778363908</v>
      </c>
    </row>
    <row r="47" spans="1:52" x14ac:dyDescent="0.25">
      <c r="A47" t="s">
        <v>87</v>
      </c>
      <c r="AC47">
        <v>662</v>
      </c>
      <c r="AD47">
        <v>2.2810164601157501</v>
      </c>
      <c r="AE47">
        <v>6</v>
      </c>
      <c r="AF47">
        <v>1.01722196789785</v>
      </c>
      <c r="AG47" t="s">
        <v>89</v>
      </c>
      <c r="AH47">
        <v>839</v>
      </c>
      <c r="AI47">
        <v>0</v>
      </c>
      <c r="AJ47">
        <v>46</v>
      </c>
      <c r="AK47">
        <f>AJ47/$AA$17</f>
        <v>2.8750000000000001E-2</v>
      </c>
      <c r="AL47">
        <f>AD47*$AA$16</f>
        <v>2.2810164601157501</v>
      </c>
      <c r="AM47">
        <f>AM46+(AL47/$AA$17)</f>
        <v>0.22407117433636431</v>
      </c>
      <c r="AP47">
        <v>1054</v>
      </c>
      <c r="AQ47">
        <v>1.4763191847097701</v>
      </c>
      <c r="AR47">
        <v>6</v>
      </c>
      <c r="AS47">
        <v>1.01722196789785</v>
      </c>
      <c r="AT47" t="s">
        <v>89</v>
      </c>
      <c r="AU47">
        <v>684</v>
      </c>
      <c r="AV47">
        <v>9.4036209728977305E-2</v>
      </c>
      <c r="AW47">
        <v>46</v>
      </c>
      <c r="AX47">
        <f>AW47/$AA$17</f>
        <v>2.8750000000000001E-2</v>
      </c>
      <c r="AY47">
        <f>AQ47*$AA$16</f>
        <v>1.4763191847097701</v>
      </c>
      <c r="AZ47">
        <f>AZ46+(AY47/$AA$17)</f>
        <v>0.17349374727408268</v>
      </c>
    </row>
    <row r="48" spans="1:52" x14ac:dyDescent="0.25">
      <c r="A48">
        <v>71</v>
      </c>
      <c r="B48">
        <v>1</v>
      </c>
      <c r="C48">
        <v>17.610207695167102</v>
      </c>
      <c r="D48">
        <v>20.990485688161002</v>
      </c>
      <c r="E48">
        <v>8</v>
      </c>
      <c r="F48">
        <v>1.01722196789785</v>
      </c>
      <c r="G48" t="s">
        <v>85</v>
      </c>
      <c r="H48" t="s">
        <v>85</v>
      </c>
      <c r="I48">
        <v>348</v>
      </c>
      <c r="J48">
        <v>28</v>
      </c>
      <c r="K48">
        <v>0</v>
      </c>
      <c r="AC48">
        <v>878</v>
      </c>
      <c r="AD48">
        <v>1.49170642288183</v>
      </c>
      <c r="AE48">
        <v>6</v>
      </c>
      <c r="AF48">
        <v>1.01722196789785</v>
      </c>
      <c r="AG48" t="s">
        <v>85</v>
      </c>
      <c r="AH48">
        <v>706</v>
      </c>
      <c r="AI48">
        <v>9.1169371169763397E-2</v>
      </c>
      <c r="AJ48">
        <v>47</v>
      </c>
      <c r="AK48">
        <f>AJ48/$AA$17</f>
        <v>2.9374999999999998E-2</v>
      </c>
      <c r="AL48">
        <f>AD48*$AA$16</f>
        <v>1.49170642288183</v>
      </c>
      <c r="AM48">
        <f>AM47+(AL48/$AA$17)</f>
        <v>0.22500349085066546</v>
      </c>
      <c r="AP48">
        <v>1111</v>
      </c>
      <c r="AQ48">
        <v>1.18671024311867</v>
      </c>
      <c r="AR48">
        <v>6</v>
      </c>
      <c r="AS48">
        <v>1.01722196789785</v>
      </c>
      <c r="AT48" t="s">
        <v>85</v>
      </c>
      <c r="AU48">
        <v>675</v>
      </c>
      <c r="AV48">
        <v>9.4777393206033497E-2</v>
      </c>
      <c r="AW48">
        <v>47</v>
      </c>
      <c r="AX48">
        <f>AW48/$AA$17</f>
        <v>2.9374999999999998E-2</v>
      </c>
      <c r="AY48">
        <f>AQ48*$AA$16</f>
        <v>1.18671024311867</v>
      </c>
      <c r="AZ48">
        <f>AZ47+(AY48/$AA$17)</f>
        <v>0.17423544117603185</v>
      </c>
    </row>
    <row r="49" spans="1:52" x14ac:dyDescent="0.25">
      <c r="A49" t="s">
        <v>86</v>
      </c>
      <c r="AC49">
        <v>1140</v>
      </c>
      <c r="AD49">
        <v>1.1584109556998801</v>
      </c>
      <c r="AE49">
        <v>6</v>
      </c>
      <c r="AF49">
        <v>1.01722196789785</v>
      </c>
      <c r="AG49" t="s">
        <v>85</v>
      </c>
      <c r="AH49">
        <v>702</v>
      </c>
      <c r="AI49">
        <v>9.5129269803373898E-2</v>
      </c>
      <c r="AJ49">
        <v>48</v>
      </c>
      <c r="AK49">
        <f>AJ49/$AA$17</f>
        <v>0.03</v>
      </c>
      <c r="AL49">
        <f>AD49*$AA$16</f>
        <v>1.1584109556998801</v>
      </c>
      <c r="AM49">
        <f>AM48+(AL49/$AA$17)</f>
        <v>0.22572749769797787</v>
      </c>
      <c r="AP49">
        <v>1072</v>
      </c>
      <c r="AQ49">
        <v>1.0558318484039</v>
      </c>
      <c r="AR49">
        <v>6</v>
      </c>
      <c r="AS49">
        <v>1.01722196789785</v>
      </c>
      <c r="AT49" t="s">
        <v>85</v>
      </c>
      <c r="AU49">
        <v>1023</v>
      </c>
      <c r="AV49">
        <v>9.4226499478247905E-2</v>
      </c>
      <c r="AW49">
        <v>48</v>
      </c>
      <c r="AX49">
        <f>AW49/$AA$17</f>
        <v>0.03</v>
      </c>
      <c r="AY49">
        <f>AQ49*$AA$16</f>
        <v>1.0558318484039</v>
      </c>
      <c r="AZ49">
        <f>AZ48+(AY49/$AA$17)</f>
        <v>0.1748953360812843</v>
      </c>
    </row>
    <row r="50" spans="1:52" x14ac:dyDescent="0.25">
      <c r="A50">
        <v>14.819078097264599</v>
      </c>
      <c r="B50">
        <v>49.956920574626999</v>
      </c>
      <c r="C50">
        <v>2000</v>
      </c>
      <c r="AC50">
        <v>839</v>
      </c>
      <c r="AD50">
        <v>0.86703117916761097</v>
      </c>
      <c r="AE50">
        <v>6</v>
      </c>
      <c r="AF50">
        <v>1.01722196789785</v>
      </c>
      <c r="AG50" t="s">
        <v>89</v>
      </c>
      <c r="AH50">
        <v>662</v>
      </c>
      <c r="AI50">
        <v>9.0374042336346896E-2</v>
      </c>
      <c r="AJ50">
        <v>49</v>
      </c>
      <c r="AK50">
        <f>AJ50/$AA$17</f>
        <v>3.0624999999999999E-2</v>
      </c>
      <c r="AL50">
        <f>AD50*$AA$16</f>
        <v>0.86703117916761097</v>
      </c>
      <c r="AM50">
        <f>AM49+(AL50/$AA$17)</f>
        <v>0.22626939218495762</v>
      </c>
      <c r="AP50">
        <v>716</v>
      </c>
      <c r="AQ50">
        <v>1.0287192209942499</v>
      </c>
      <c r="AR50">
        <v>6</v>
      </c>
      <c r="AS50">
        <v>1.01722196789785</v>
      </c>
      <c r="AT50" t="s">
        <v>89</v>
      </c>
      <c r="AU50">
        <v>709</v>
      </c>
      <c r="AV50">
        <v>0</v>
      </c>
      <c r="AW50">
        <v>49</v>
      </c>
      <c r="AX50">
        <f>AW50/$AA$17</f>
        <v>3.0624999999999999E-2</v>
      </c>
      <c r="AY50">
        <f>AQ50*$AA$16</f>
        <v>1.0287192209942499</v>
      </c>
      <c r="AZ50">
        <f>AZ49+(AY50/$AA$17)</f>
        <v>0.17553828559440571</v>
      </c>
    </row>
    <row r="51" spans="1:52" x14ac:dyDescent="0.25">
      <c r="A51">
        <v>14.552887644756201</v>
      </c>
      <c r="B51">
        <v>50.223111027135303</v>
      </c>
      <c r="C51">
        <v>2000</v>
      </c>
      <c r="AC51">
        <v>961</v>
      </c>
      <c r="AD51">
        <v>0.72642599204205305</v>
      </c>
      <c r="AE51">
        <v>6</v>
      </c>
      <c r="AF51">
        <v>1.01722196789785</v>
      </c>
      <c r="AG51" t="s">
        <v>85</v>
      </c>
      <c r="AH51">
        <v>704</v>
      </c>
      <c r="AI51">
        <v>9.2594931978171202E-2</v>
      </c>
      <c r="AJ51">
        <v>50</v>
      </c>
      <c r="AK51">
        <f>AJ51/$AA$17</f>
        <v>3.125E-2</v>
      </c>
      <c r="AL51">
        <f>AD51*$AA$16</f>
        <v>0.72642599204205305</v>
      </c>
      <c r="AM51">
        <f>AM50+(AL51/$AA$17)</f>
        <v>0.2267234084299839</v>
      </c>
      <c r="AP51">
        <v>709</v>
      </c>
      <c r="AQ51">
        <v>0.94626068198578395</v>
      </c>
      <c r="AR51">
        <v>6</v>
      </c>
      <c r="AS51">
        <v>1.01722196789785</v>
      </c>
      <c r="AT51" t="s">
        <v>89</v>
      </c>
      <c r="AU51">
        <v>716</v>
      </c>
      <c r="AV51">
        <v>0</v>
      </c>
      <c r="AW51">
        <v>50</v>
      </c>
      <c r="AX51">
        <f>AW51/$AA$17</f>
        <v>3.125E-2</v>
      </c>
      <c r="AY51">
        <f>AQ51*$AA$16</f>
        <v>0.94626068198578395</v>
      </c>
      <c r="AZ51">
        <f>AZ50+(AY51/$AA$17)</f>
        <v>0.17612969852064683</v>
      </c>
    </row>
    <row r="52" spans="1:52" x14ac:dyDescent="0.25">
      <c r="A52">
        <v>2.1490011956305399</v>
      </c>
      <c r="B52">
        <v>62.626997476261003</v>
      </c>
      <c r="C52">
        <v>2000</v>
      </c>
      <c r="AC52">
        <v>997</v>
      </c>
      <c r="AD52">
        <v>0.70958628456614303</v>
      </c>
      <c r="AE52">
        <v>6</v>
      </c>
      <c r="AF52">
        <v>1.01722196789785</v>
      </c>
      <c r="AG52" t="s">
        <v>85</v>
      </c>
      <c r="AH52">
        <v>715</v>
      </c>
      <c r="AI52">
        <v>9.3237811683927099E-2</v>
      </c>
      <c r="AJ52">
        <v>51</v>
      </c>
      <c r="AK52">
        <f>AJ52/$AA$17</f>
        <v>3.1875000000000001E-2</v>
      </c>
      <c r="AL52">
        <f>AD52*$AA$16</f>
        <v>0.70958628456614303</v>
      </c>
      <c r="AM52">
        <f>AM51+(AL52/$AA$17)</f>
        <v>0.22716689985783772</v>
      </c>
      <c r="AP52">
        <v>897</v>
      </c>
      <c r="AQ52">
        <v>0.91459509187287602</v>
      </c>
      <c r="AR52">
        <v>6</v>
      </c>
      <c r="AS52">
        <v>1.01722196789785</v>
      </c>
      <c r="AT52" t="s">
        <v>85</v>
      </c>
      <c r="AU52">
        <v>680</v>
      </c>
      <c r="AV52">
        <v>9.142164214173E-2</v>
      </c>
      <c r="AW52">
        <v>51</v>
      </c>
      <c r="AX52">
        <f>AW52/$AA$17</f>
        <v>3.1875000000000001E-2</v>
      </c>
      <c r="AY52">
        <f>AQ52*$AA$16</f>
        <v>0.91459509187287602</v>
      </c>
      <c r="AZ52">
        <f>AZ51+(AY52/$AA$17)</f>
        <v>0.17670132045306738</v>
      </c>
    </row>
    <row r="53" spans="1:52" x14ac:dyDescent="0.25">
      <c r="A53">
        <v>2.1490011956305399</v>
      </c>
      <c r="B53">
        <v>61.752965427363399</v>
      </c>
      <c r="C53">
        <v>2001</v>
      </c>
      <c r="AC53">
        <v>671</v>
      </c>
      <c r="AD53">
        <v>0.67616287879189896</v>
      </c>
      <c r="AE53">
        <v>6</v>
      </c>
      <c r="AF53">
        <v>1.01722196789785</v>
      </c>
      <c r="AG53" t="s">
        <v>85</v>
      </c>
      <c r="AH53">
        <v>706</v>
      </c>
      <c r="AI53">
        <v>0</v>
      </c>
      <c r="AJ53">
        <v>52</v>
      </c>
      <c r="AK53">
        <f>AJ53/$AA$17</f>
        <v>3.2500000000000001E-2</v>
      </c>
      <c r="AL53">
        <f>AD53*$AA$16</f>
        <v>0.67616287879189896</v>
      </c>
      <c r="AM53">
        <f>AM52+(AL53/$AA$17)</f>
        <v>0.22758950165708267</v>
      </c>
      <c r="AP53">
        <v>786</v>
      </c>
      <c r="AQ53">
        <v>0.83543795965842804</v>
      </c>
      <c r="AR53">
        <v>6</v>
      </c>
      <c r="AS53">
        <v>1.01722196789785</v>
      </c>
      <c r="AT53" t="s">
        <v>85</v>
      </c>
      <c r="AU53">
        <v>662</v>
      </c>
      <c r="AV53">
        <v>8.9537010595109504E-2</v>
      </c>
      <c r="AW53">
        <v>52</v>
      </c>
      <c r="AX53">
        <f>AW53/$AA$17</f>
        <v>3.2500000000000001E-2</v>
      </c>
      <c r="AY53">
        <f>AQ53*$AA$16</f>
        <v>0.83543795965842804</v>
      </c>
      <c r="AZ53">
        <f>AZ52+(AY53/$AA$17)</f>
        <v>0.17722346917785389</v>
      </c>
    </row>
    <row r="54" spans="1:52" x14ac:dyDescent="0.25">
      <c r="A54">
        <v>14.125077650129199</v>
      </c>
      <c r="B54">
        <v>49.776888972864697</v>
      </c>
      <c r="C54">
        <v>2001</v>
      </c>
      <c r="AC54">
        <v>1216</v>
      </c>
      <c r="AD54">
        <v>0.47164516458863698</v>
      </c>
      <c r="AE54">
        <v>6</v>
      </c>
      <c r="AF54">
        <v>1.01722196789785</v>
      </c>
      <c r="AG54" t="s">
        <v>85</v>
      </c>
      <c r="AH54">
        <v>718</v>
      </c>
      <c r="AI54">
        <v>9.6120382487224904E-2</v>
      </c>
      <c r="AJ54">
        <v>53</v>
      </c>
      <c r="AK54">
        <f>AJ54/$AA$17</f>
        <v>3.3125000000000002E-2</v>
      </c>
      <c r="AL54">
        <f>AD54*$AA$16</f>
        <v>0.47164516458863698</v>
      </c>
      <c r="AM54">
        <f>AM53+(AL54/$AA$17)</f>
        <v>0.22788427988495055</v>
      </c>
      <c r="AP54">
        <v>1141</v>
      </c>
      <c r="AQ54">
        <v>0.71578203593621503</v>
      </c>
      <c r="AR54">
        <v>6</v>
      </c>
      <c r="AS54">
        <v>1.01722196789785</v>
      </c>
      <c r="AT54" t="s">
        <v>85</v>
      </c>
      <c r="AU54">
        <v>758</v>
      </c>
      <c r="AV54">
        <v>9.5129269803373898E-2</v>
      </c>
      <c r="AW54">
        <v>53</v>
      </c>
      <c r="AX54">
        <f>AW54/$AA$17</f>
        <v>3.3125000000000002E-2</v>
      </c>
      <c r="AY54">
        <f>AQ54*$AA$16</f>
        <v>0.71578203593621503</v>
      </c>
      <c r="AZ54">
        <f>AZ53+(AY54/$AA$17)</f>
        <v>0.17767083295031402</v>
      </c>
    </row>
    <row r="55" spans="1:52" x14ac:dyDescent="0.25">
      <c r="A55">
        <v>14.3835188527088</v>
      </c>
      <c r="B55">
        <v>49.518447770285</v>
      </c>
      <c r="C55">
        <v>2001</v>
      </c>
      <c r="AC55">
        <v>1084</v>
      </c>
      <c r="AD55">
        <v>0.471005322744389</v>
      </c>
      <c r="AE55">
        <v>6</v>
      </c>
      <c r="AF55">
        <v>1.01722196789785</v>
      </c>
      <c r="AG55" t="s">
        <v>85</v>
      </c>
      <c r="AH55">
        <v>713</v>
      </c>
      <c r="AI55">
        <v>9.4413370804653396E-2</v>
      </c>
      <c r="AJ55">
        <v>54</v>
      </c>
      <c r="AK55">
        <f>AJ55/$AA$17</f>
        <v>3.3750000000000002E-2</v>
      </c>
      <c r="AL55">
        <f>AD55*$AA$16</f>
        <v>0.471005322744389</v>
      </c>
      <c r="AM55">
        <f>AM54+(AL55/$AA$17)</f>
        <v>0.2281786582116658</v>
      </c>
      <c r="AP55">
        <v>1054</v>
      </c>
      <c r="AQ55">
        <v>0.68258454385554002</v>
      </c>
      <c r="AR55">
        <v>6</v>
      </c>
      <c r="AS55">
        <v>1.01722196789785</v>
      </c>
      <c r="AT55" t="s">
        <v>85</v>
      </c>
      <c r="AU55">
        <v>679</v>
      </c>
      <c r="AV55">
        <v>9.4036209728977305E-2</v>
      </c>
      <c r="AW55">
        <v>54</v>
      </c>
      <c r="AX55">
        <f>AW55/$AA$17</f>
        <v>3.3750000000000002E-2</v>
      </c>
      <c r="AY55">
        <f>AQ55*$AA$16</f>
        <v>0.68258454385554002</v>
      </c>
      <c r="AZ55">
        <f>AZ54+(AY55/$AA$17)</f>
        <v>0.17809744829022373</v>
      </c>
    </row>
    <row r="56" spans="1:52" x14ac:dyDescent="0.25">
      <c r="A56">
        <v>29.006797221035701</v>
      </c>
      <c r="B56">
        <v>34.895169401958199</v>
      </c>
      <c r="C56">
        <v>2001</v>
      </c>
      <c r="AC56">
        <v>905</v>
      </c>
      <c r="AD56">
        <v>0.25595744892635303</v>
      </c>
      <c r="AE56">
        <v>8</v>
      </c>
      <c r="AF56">
        <v>1.01722196789785</v>
      </c>
      <c r="AG56" t="s">
        <v>85</v>
      </c>
      <c r="AH56">
        <v>703</v>
      </c>
      <c r="AI56">
        <v>9.1667699418773299E-2</v>
      </c>
      <c r="AJ56">
        <v>55</v>
      </c>
      <c r="AK56">
        <f>AJ56/$AA$17</f>
        <v>3.4375000000000003E-2</v>
      </c>
      <c r="AL56">
        <f>AD56*$AA$16</f>
        <v>0.25595744892635303</v>
      </c>
      <c r="AM56">
        <f>AM55+(AL56/$AA$17)</f>
        <v>0.22833863161724477</v>
      </c>
      <c r="AP56">
        <v>1183</v>
      </c>
      <c r="AQ56">
        <v>0.61163465428455099</v>
      </c>
      <c r="AR56">
        <v>6</v>
      </c>
      <c r="AS56">
        <v>1.01722196789785</v>
      </c>
      <c r="AT56" t="s">
        <v>85</v>
      </c>
      <c r="AU56">
        <v>665</v>
      </c>
      <c r="AV56">
        <v>9.5636215209858197E-2</v>
      </c>
      <c r="AW56">
        <v>55</v>
      </c>
      <c r="AX56">
        <f>AW56/$AA$17</f>
        <v>3.4375000000000003E-2</v>
      </c>
      <c r="AY56">
        <f>AQ56*$AA$16</f>
        <v>0.61163465428455099</v>
      </c>
      <c r="AZ56">
        <f>AZ55+(AY56/$AA$17)</f>
        <v>0.17847971994915157</v>
      </c>
    </row>
    <row r="57" spans="1:52" x14ac:dyDescent="0.25">
      <c r="A57">
        <v>29.880829269933301</v>
      </c>
      <c r="B57">
        <v>34.895169401958199</v>
      </c>
      <c r="C57">
        <v>2000</v>
      </c>
      <c r="AC57">
        <v>1110</v>
      </c>
      <c r="AD57">
        <v>0.115710073200987</v>
      </c>
      <c r="AE57">
        <v>6</v>
      </c>
      <c r="AF57">
        <v>1.01722196789785</v>
      </c>
      <c r="AG57" t="s">
        <v>85</v>
      </c>
      <c r="AH57">
        <v>712</v>
      </c>
      <c r="AI57">
        <v>9.4777393206033497E-2</v>
      </c>
      <c r="AJ57">
        <v>56</v>
      </c>
      <c r="AK57">
        <f>AJ57/$AA$17</f>
        <v>3.5000000000000003E-2</v>
      </c>
      <c r="AL57">
        <f>AD57*$AA$16</f>
        <v>0.115710073200987</v>
      </c>
      <c r="AM57">
        <f>AM56+(AL57/$AA$17)</f>
        <v>0.22841095041299539</v>
      </c>
      <c r="AP57">
        <v>714</v>
      </c>
      <c r="AQ57">
        <v>0.430989098151915</v>
      </c>
      <c r="AR57">
        <v>6</v>
      </c>
      <c r="AS57">
        <v>1.01722196789785</v>
      </c>
      <c r="AT57" t="s">
        <v>89</v>
      </c>
      <c r="AU57">
        <v>715</v>
      </c>
      <c r="AV57">
        <v>0</v>
      </c>
      <c r="AW57">
        <v>56</v>
      </c>
      <c r="AX57">
        <f>AW57/$AA$17</f>
        <v>3.5000000000000003E-2</v>
      </c>
      <c r="AY57">
        <f>AQ57*$AA$16</f>
        <v>0.430989098151915</v>
      </c>
      <c r="AZ57">
        <f>AZ56+(AY57/$AA$17)</f>
        <v>0.17874908813549653</v>
      </c>
    </row>
    <row r="58" spans="1:52" x14ac:dyDescent="0.25">
      <c r="A58" t="s">
        <v>87</v>
      </c>
      <c r="AP58">
        <v>715</v>
      </c>
      <c r="AQ58">
        <v>0.40251850291654601</v>
      </c>
      <c r="AR58">
        <v>6</v>
      </c>
      <c r="AS58">
        <v>1.01722196789785</v>
      </c>
      <c r="AT58" t="s">
        <v>89</v>
      </c>
      <c r="AU58">
        <v>714</v>
      </c>
      <c r="AV58">
        <v>0</v>
      </c>
      <c r="AW58">
        <v>57</v>
      </c>
      <c r="AX58">
        <f>AW58/$AA$17</f>
        <v>3.5624999999999997E-2</v>
      </c>
      <c r="AY58">
        <f>AQ58*$AA$16</f>
        <v>0.40251850291654601</v>
      </c>
      <c r="AZ58">
        <f>AZ57+(AY58/$AA$17)</f>
        <v>0.17900066219981936</v>
      </c>
    </row>
    <row r="59" spans="1:52" x14ac:dyDescent="0.25">
      <c r="A59">
        <v>147</v>
      </c>
      <c r="B59">
        <v>1</v>
      </c>
      <c r="C59">
        <v>23.508314267254399</v>
      </c>
      <c r="D59">
        <v>9.3531699495773903</v>
      </c>
      <c r="E59">
        <v>6</v>
      </c>
      <c r="F59">
        <v>1.01722196789785</v>
      </c>
      <c r="G59" t="s">
        <v>85</v>
      </c>
      <c r="H59" t="s">
        <v>85</v>
      </c>
      <c r="I59">
        <v>104</v>
      </c>
      <c r="J59">
        <v>111</v>
      </c>
      <c r="K59">
        <v>0</v>
      </c>
      <c r="AP59">
        <v>913</v>
      </c>
      <c r="AQ59">
        <v>0.31716693838420401</v>
      </c>
      <c r="AR59">
        <v>6</v>
      </c>
      <c r="AS59">
        <v>1.01722196789785</v>
      </c>
      <c r="AT59" t="s">
        <v>85</v>
      </c>
      <c r="AU59">
        <v>680</v>
      </c>
      <c r="AV59">
        <v>9.1907793175489E-2</v>
      </c>
      <c r="AW59">
        <v>58</v>
      </c>
      <c r="AX59">
        <f>AW59/$AA$17</f>
        <v>3.6249999999999998E-2</v>
      </c>
      <c r="AY59">
        <f>AQ59*$AA$16</f>
        <v>0.31716693838420401</v>
      </c>
      <c r="AZ59">
        <f>AZ58+(AY59/$AA$17)</f>
        <v>0.1791988915363095</v>
      </c>
    </row>
    <row r="60" spans="1:52" x14ac:dyDescent="0.25">
      <c r="A60" t="s">
        <v>86</v>
      </c>
      <c r="AP60">
        <v>720</v>
      </c>
      <c r="AQ60">
        <v>0.23992442554588</v>
      </c>
      <c r="AR60">
        <v>6</v>
      </c>
      <c r="AS60">
        <v>1.01722196789785</v>
      </c>
      <c r="AT60" t="s">
        <v>89</v>
      </c>
      <c r="AU60">
        <v>703</v>
      </c>
      <c r="AV60">
        <v>0</v>
      </c>
      <c r="AW60">
        <v>59</v>
      </c>
      <c r="AX60">
        <f>AW60/$AA$17</f>
        <v>3.6874999999999998E-2</v>
      </c>
      <c r="AY60">
        <f>AQ60*$AA$16</f>
        <v>0.23992442554588</v>
      </c>
      <c r="AZ60">
        <f>AZ59+(AY60/$AA$17)</f>
        <v>0.17934884430227568</v>
      </c>
    </row>
    <row r="61" spans="1:52" x14ac:dyDescent="0.25">
      <c r="A61">
        <v>132.31222060616699</v>
      </c>
      <c r="B61">
        <v>25.6583843658109</v>
      </c>
      <c r="C61">
        <v>2000</v>
      </c>
      <c r="AP61">
        <v>1141</v>
      </c>
      <c r="AQ61">
        <v>3.72220386705919E-2</v>
      </c>
      <c r="AR61">
        <v>6</v>
      </c>
      <c r="AS61">
        <v>1.01722196789785</v>
      </c>
      <c r="AT61" t="s">
        <v>85</v>
      </c>
      <c r="AU61">
        <v>785</v>
      </c>
      <c r="AV61">
        <v>9.5129269803373898E-2</v>
      </c>
      <c r="AW61">
        <v>60</v>
      </c>
      <c r="AX61">
        <f>AW61/$AA$17</f>
        <v>3.7499999999999999E-2</v>
      </c>
      <c r="AY61">
        <f>AQ61*$AA$16</f>
        <v>3.72220386705919E-2</v>
      </c>
      <c r="AZ61">
        <f>AZ60+(AY61/$AA$17)</f>
        <v>0.1793721080764448</v>
      </c>
    </row>
    <row r="62" spans="1:52" x14ac:dyDescent="0.25">
      <c r="A62">
        <v>115.68933217352701</v>
      </c>
      <c r="B62">
        <v>42.2812727984509</v>
      </c>
      <c r="C62">
        <v>2000</v>
      </c>
    </row>
    <row r="63" spans="1:52" x14ac:dyDescent="0.25">
      <c r="A63">
        <v>115.68933217352701</v>
      </c>
      <c r="B63">
        <v>43.155304847348503</v>
      </c>
      <c r="C63">
        <v>2001</v>
      </c>
    </row>
    <row r="64" spans="1:52" x14ac:dyDescent="0.25">
      <c r="A64">
        <v>132.31222060616699</v>
      </c>
      <c r="B64">
        <v>26.5324164147085</v>
      </c>
      <c r="C64">
        <v>2001</v>
      </c>
    </row>
    <row r="65" spans="1:11" x14ac:dyDescent="0.25">
      <c r="A65">
        <v>138.92591050310301</v>
      </c>
      <c r="B65">
        <v>19.9187265177721</v>
      </c>
      <c r="C65">
        <v>2001</v>
      </c>
    </row>
    <row r="66" spans="1:11" x14ac:dyDescent="0.25">
      <c r="A66">
        <v>138.92591050310301</v>
      </c>
      <c r="B66">
        <v>19.0446944688744</v>
      </c>
      <c r="C66">
        <v>2000</v>
      </c>
    </row>
    <row r="67" spans="1:11" x14ac:dyDescent="0.25">
      <c r="A67" t="s">
        <v>87</v>
      </c>
    </row>
    <row r="68" spans="1:11" x14ac:dyDescent="0.25">
      <c r="A68">
        <v>31</v>
      </c>
      <c r="B68">
        <v>0</v>
      </c>
      <c r="C68">
        <v>6.0866426293817204</v>
      </c>
      <c r="D68">
        <v>26.745430841537299</v>
      </c>
      <c r="E68">
        <v>8</v>
      </c>
      <c r="F68">
        <v>1.01722196789785</v>
      </c>
      <c r="G68" t="s">
        <v>88</v>
      </c>
      <c r="H68" t="s">
        <v>85</v>
      </c>
      <c r="I68">
        <v>0</v>
      </c>
      <c r="J68">
        <v>802</v>
      </c>
      <c r="K68">
        <v>0</v>
      </c>
    </row>
    <row r="69" spans="1:11" x14ac:dyDescent="0.25">
      <c r="A69" t="s">
        <v>86</v>
      </c>
    </row>
    <row r="70" spans="1:11" x14ac:dyDescent="0.25">
      <c r="A70">
        <v>48.868647361471403</v>
      </c>
      <c r="B70">
        <v>4.49365246121023</v>
      </c>
      <c r="C70">
        <v>2000</v>
      </c>
    </row>
    <row r="71" spans="1:11" x14ac:dyDescent="0.25">
      <c r="A71">
        <v>44.3749949002611</v>
      </c>
      <c r="B71">
        <v>0</v>
      </c>
      <c r="C71">
        <v>2000</v>
      </c>
    </row>
    <row r="72" spans="1:11" x14ac:dyDescent="0.25">
      <c r="A72">
        <v>45.249026949158797</v>
      </c>
      <c r="B72">
        <v>0</v>
      </c>
      <c r="C72">
        <v>2001</v>
      </c>
    </row>
    <row r="73" spans="1:11" x14ac:dyDescent="0.25">
      <c r="A73">
        <v>49.363187043738399</v>
      </c>
      <c r="B73">
        <v>4.1141600945796304</v>
      </c>
      <c r="C73">
        <v>2001</v>
      </c>
    </row>
    <row r="74" spans="1:11" x14ac:dyDescent="0.25">
      <c r="A74">
        <v>50.208293310115202</v>
      </c>
      <c r="B74">
        <v>4.9592663609563798</v>
      </c>
      <c r="C74">
        <v>2001</v>
      </c>
    </row>
    <row r="75" spans="1:11" x14ac:dyDescent="0.25">
      <c r="A75">
        <v>68.027792716411795</v>
      </c>
      <c r="B75">
        <v>22.778765767252999</v>
      </c>
      <c r="C75">
        <v>2001</v>
      </c>
    </row>
    <row r="76" spans="1:11" x14ac:dyDescent="0.25">
      <c r="A76">
        <v>68.027792716411795</v>
      </c>
      <c r="B76">
        <v>23.652797816150599</v>
      </c>
      <c r="C76">
        <v>2000</v>
      </c>
    </row>
    <row r="77" spans="1:11" x14ac:dyDescent="0.25">
      <c r="A77">
        <v>49.791706689884798</v>
      </c>
      <c r="B77">
        <v>5.4167117896236796</v>
      </c>
      <c r="C77">
        <v>2000</v>
      </c>
    </row>
    <row r="78" spans="1:11" x14ac:dyDescent="0.25">
      <c r="A78" t="s">
        <v>87</v>
      </c>
    </row>
    <row r="79" spans="1:11" x14ac:dyDescent="0.25">
      <c r="A79">
        <v>193</v>
      </c>
      <c r="B79">
        <v>0</v>
      </c>
      <c r="C79">
        <v>22.712264710744702</v>
      </c>
      <c r="D79">
        <v>10.115214556121201</v>
      </c>
      <c r="E79">
        <v>8</v>
      </c>
      <c r="F79">
        <v>1.01722196789785</v>
      </c>
      <c r="G79" t="s">
        <v>85</v>
      </c>
      <c r="H79" t="s">
        <v>85</v>
      </c>
      <c r="I79">
        <v>711</v>
      </c>
      <c r="J79">
        <v>235</v>
      </c>
      <c r="K79">
        <v>0</v>
      </c>
    </row>
    <row r="80" spans="1:11" x14ac:dyDescent="0.25">
      <c r="A80" t="s">
        <v>86</v>
      </c>
    </row>
    <row r="81" spans="1:11" x14ac:dyDescent="0.25">
      <c r="A81">
        <v>74.480726891736097</v>
      </c>
      <c r="B81">
        <v>107.208462264326</v>
      </c>
      <c r="C81">
        <v>2000</v>
      </c>
    </row>
    <row r="82" spans="1:11" x14ac:dyDescent="0.25">
      <c r="A82">
        <v>67.583776257806804</v>
      </c>
      <c r="B82">
        <v>100.31151163039701</v>
      </c>
      <c r="C82">
        <v>2000</v>
      </c>
    </row>
    <row r="83" spans="1:11" x14ac:dyDescent="0.25">
      <c r="A83">
        <v>58.484904413803001</v>
      </c>
      <c r="B83">
        <v>91.212639786393098</v>
      </c>
      <c r="C83">
        <v>2000</v>
      </c>
    </row>
    <row r="84" spans="1:11" x14ac:dyDescent="0.25">
      <c r="A84">
        <v>58.484904413803001</v>
      </c>
      <c r="B84">
        <v>90.338607737495494</v>
      </c>
      <c r="C84">
        <v>2001</v>
      </c>
    </row>
    <row r="85" spans="1:11" x14ac:dyDescent="0.25">
      <c r="A85">
        <v>67.834785045910493</v>
      </c>
      <c r="B85">
        <v>99.688488369603107</v>
      </c>
      <c r="C85">
        <v>2001</v>
      </c>
    </row>
    <row r="86" spans="1:11" x14ac:dyDescent="0.25">
      <c r="A86">
        <v>74.609074722012807</v>
      </c>
      <c r="B86">
        <v>106.46277804570499</v>
      </c>
      <c r="C86">
        <v>2001</v>
      </c>
    </row>
    <row r="87" spans="1:11" x14ac:dyDescent="0.25">
      <c r="A87">
        <v>81.697437612664601</v>
      </c>
      <c r="B87">
        <v>113.551140936357</v>
      </c>
      <c r="C87">
        <v>2001</v>
      </c>
    </row>
    <row r="88" spans="1:11" x14ac:dyDescent="0.25">
      <c r="A88">
        <v>81.697437612664601</v>
      </c>
      <c r="B88">
        <v>114.425172985255</v>
      </c>
      <c r="C88">
        <v>2000</v>
      </c>
    </row>
    <row r="89" spans="1:11" x14ac:dyDescent="0.25">
      <c r="A89" t="s">
        <v>87</v>
      </c>
    </row>
    <row r="90" spans="1:11" x14ac:dyDescent="0.25">
      <c r="A90">
        <v>1159</v>
      </c>
      <c r="B90">
        <v>0</v>
      </c>
      <c r="C90">
        <v>15.778286609663599</v>
      </c>
      <c r="D90">
        <v>17.049192657202202</v>
      </c>
      <c r="E90">
        <v>8</v>
      </c>
      <c r="F90">
        <v>1.01722196789785</v>
      </c>
      <c r="G90" t="s">
        <v>85</v>
      </c>
      <c r="H90" t="s">
        <v>85</v>
      </c>
      <c r="I90">
        <v>711</v>
      </c>
      <c r="J90">
        <v>235</v>
      </c>
      <c r="K90">
        <v>9.5300933138239702E-2</v>
      </c>
    </row>
    <row r="91" spans="1:11" x14ac:dyDescent="0.25">
      <c r="A91" t="s">
        <v>86</v>
      </c>
    </row>
    <row r="92" spans="1:11" x14ac:dyDescent="0.25">
      <c r="A92">
        <v>68.560052415136994</v>
      </c>
      <c r="B92">
        <v>103.21119257072</v>
      </c>
      <c r="C92">
        <v>2000</v>
      </c>
    </row>
    <row r="93" spans="1:11" x14ac:dyDescent="0.25">
      <c r="A93">
        <v>65.1955947073956</v>
      </c>
      <c r="B93">
        <v>99.846734862978494</v>
      </c>
      <c r="C93">
        <v>2000</v>
      </c>
    </row>
    <row r="94" spans="1:11" x14ac:dyDescent="0.25">
      <c r="A94">
        <v>57.523202022306599</v>
      </c>
      <c r="B94">
        <v>92.1743421778895</v>
      </c>
      <c r="C94">
        <v>2000</v>
      </c>
    </row>
    <row r="95" spans="1:11" x14ac:dyDescent="0.25">
      <c r="A95">
        <v>56.649169973409002</v>
      </c>
      <c r="B95">
        <v>92.1743421778895</v>
      </c>
      <c r="C95">
        <v>2001</v>
      </c>
    </row>
    <row r="96" spans="1:11" x14ac:dyDescent="0.25">
      <c r="A96">
        <v>64.628092932541094</v>
      </c>
      <c r="B96">
        <v>100.153265137022</v>
      </c>
      <c r="C96">
        <v>2001</v>
      </c>
    </row>
    <row r="97" spans="1:11" x14ac:dyDescent="0.25">
      <c r="A97">
        <v>67.926186494974701</v>
      </c>
      <c r="B97">
        <v>103.451358699455</v>
      </c>
      <c r="C97">
        <v>2001</v>
      </c>
    </row>
    <row r="98" spans="1:11" x14ac:dyDescent="0.25">
      <c r="A98">
        <v>79.861703172270595</v>
      </c>
      <c r="B98">
        <v>115.38687537675099</v>
      </c>
      <c r="C98">
        <v>2001</v>
      </c>
    </row>
    <row r="99" spans="1:11" x14ac:dyDescent="0.25">
      <c r="A99">
        <v>80.735735221168298</v>
      </c>
      <c r="B99">
        <v>115.38687537675099</v>
      </c>
      <c r="C99">
        <v>2000</v>
      </c>
    </row>
    <row r="100" spans="1:11" x14ac:dyDescent="0.25">
      <c r="A100" t="s">
        <v>87</v>
      </c>
    </row>
    <row r="101" spans="1:11" x14ac:dyDescent="0.25">
      <c r="A101">
        <v>750</v>
      </c>
      <c r="B101">
        <v>1</v>
      </c>
      <c r="C101">
        <v>14.1654658668552</v>
      </c>
      <c r="D101">
        <v>18.144278450429901</v>
      </c>
      <c r="E101">
        <v>6</v>
      </c>
      <c r="F101">
        <v>1.01722196789785</v>
      </c>
      <c r="G101" t="s">
        <v>88</v>
      </c>
      <c r="H101" t="s">
        <v>85</v>
      </c>
      <c r="I101">
        <v>0</v>
      </c>
      <c r="J101">
        <v>849</v>
      </c>
      <c r="K101">
        <v>8.9259099568316694E-2</v>
      </c>
    </row>
    <row r="102" spans="1:11" x14ac:dyDescent="0.25">
      <c r="A102" t="s">
        <v>86</v>
      </c>
    </row>
    <row r="103" spans="1:11" x14ac:dyDescent="0.25">
      <c r="A103">
        <v>110.059751118758</v>
      </c>
      <c r="B103">
        <v>139.66919519159299</v>
      </c>
      <c r="C103">
        <v>2000</v>
      </c>
    </row>
    <row r="104" spans="1:11" x14ac:dyDescent="0.25">
      <c r="A104">
        <v>99.947454322575197</v>
      </c>
      <c r="B104">
        <v>149.78149198777601</v>
      </c>
      <c r="C104">
        <v>2000</v>
      </c>
    </row>
    <row r="105" spans="1:11" x14ac:dyDescent="0.25">
      <c r="A105">
        <v>100.602978359248</v>
      </c>
      <c r="B105">
        <v>150</v>
      </c>
      <c r="C105">
        <v>2001</v>
      </c>
    </row>
    <row r="106" spans="1:11" x14ac:dyDescent="0.25">
      <c r="A106">
        <v>110.427875686243</v>
      </c>
      <c r="B106">
        <v>140.17510267300599</v>
      </c>
      <c r="C106">
        <v>2001</v>
      </c>
    </row>
    <row r="107" spans="1:11" x14ac:dyDescent="0.25">
      <c r="A107">
        <v>123.012401639955</v>
      </c>
      <c r="B107">
        <v>127.590576719293</v>
      </c>
      <c r="C107">
        <v>2001</v>
      </c>
    </row>
    <row r="108" spans="1:11" x14ac:dyDescent="0.25">
      <c r="A108">
        <v>123.012401639955</v>
      </c>
      <c r="B108">
        <v>126.716544670395</v>
      </c>
      <c r="C108">
        <v>2000</v>
      </c>
    </row>
    <row r="109" spans="1:11" x14ac:dyDescent="0.25">
      <c r="A109" t="s">
        <v>87</v>
      </c>
    </row>
    <row r="110" spans="1:11" x14ac:dyDescent="0.25">
      <c r="A110">
        <v>558</v>
      </c>
      <c r="B110">
        <v>1</v>
      </c>
      <c r="C110">
        <v>20.208881585321901</v>
      </c>
      <c r="D110">
        <v>11.396010460449199</v>
      </c>
      <c r="E110">
        <v>8</v>
      </c>
      <c r="F110">
        <v>1.01722196789785</v>
      </c>
      <c r="G110" t="s">
        <v>85</v>
      </c>
      <c r="H110" t="s">
        <v>85</v>
      </c>
      <c r="I110">
        <v>200</v>
      </c>
      <c r="J110">
        <v>849</v>
      </c>
      <c r="K110">
        <v>0</v>
      </c>
    </row>
    <row r="111" spans="1:11" x14ac:dyDescent="0.25">
      <c r="A111" t="s">
        <v>86</v>
      </c>
    </row>
    <row r="112" spans="1:11" x14ac:dyDescent="0.25">
      <c r="A112">
        <v>112.91593422176901</v>
      </c>
      <c r="B112">
        <v>133.05710622671199</v>
      </c>
      <c r="C112">
        <v>2000</v>
      </c>
    </row>
    <row r="113" spans="1:11" x14ac:dyDescent="0.25">
      <c r="A113">
        <v>100.02523958072</v>
      </c>
      <c r="B113">
        <v>145.947800867761</v>
      </c>
      <c r="C113">
        <v>2000</v>
      </c>
    </row>
    <row r="114" spans="1:11" x14ac:dyDescent="0.25">
      <c r="A114">
        <v>98.3493992003377</v>
      </c>
      <c r="B114">
        <v>147.623641248143</v>
      </c>
      <c r="C114">
        <v>2000</v>
      </c>
    </row>
    <row r="115" spans="1:11" x14ac:dyDescent="0.25">
      <c r="A115">
        <v>98.3493992003377</v>
      </c>
      <c r="B115">
        <v>146.74960919924499</v>
      </c>
      <c r="C115">
        <v>2001</v>
      </c>
    </row>
    <row r="116" spans="1:11" x14ac:dyDescent="0.25">
      <c r="A116">
        <v>99.9747604192804</v>
      </c>
      <c r="B116">
        <v>145.12424798030199</v>
      </c>
      <c r="C116">
        <v>2001</v>
      </c>
    </row>
    <row r="117" spans="1:11" x14ac:dyDescent="0.25">
      <c r="A117">
        <v>112.36253859726099</v>
      </c>
      <c r="B117">
        <v>132.73646980232201</v>
      </c>
      <c r="C117">
        <v>2001</v>
      </c>
    </row>
    <row r="118" spans="1:11" x14ac:dyDescent="0.25">
      <c r="A118">
        <v>120.260416660122</v>
      </c>
      <c r="B118">
        <v>124.83859173946</v>
      </c>
      <c r="C118">
        <v>2001</v>
      </c>
    </row>
    <row r="119" spans="1:11" x14ac:dyDescent="0.25">
      <c r="A119">
        <v>121.13444870902001</v>
      </c>
      <c r="B119">
        <v>124.83859173946</v>
      </c>
      <c r="C119">
        <v>2000</v>
      </c>
    </row>
    <row r="120" spans="1:11" x14ac:dyDescent="0.25">
      <c r="A120" t="s">
        <v>87</v>
      </c>
    </row>
    <row r="121" spans="1:11" x14ac:dyDescent="0.25">
      <c r="A121">
        <v>796</v>
      </c>
      <c r="B121">
        <v>1</v>
      </c>
      <c r="C121">
        <v>13.3460692940925</v>
      </c>
      <c r="D121">
        <v>17.921504812321999</v>
      </c>
      <c r="E121">
        <v>8</v>
      </c>
      <c r="F121">
        <v>1.01722196789785</v>
      </c>
      <c r="G121" t="s">
        <v>85</v>
      </c>
      <c r="H121" t="s">
        <v>85</v>
      </c>
      <c r="I121">
        <v>268</v>
      </c>
      <c r="J121">
        <v>353</v>
      </c>
      <c r="K121">
        <v>8.9816640118045604E-2</v>
      </c>
    </row>
    <row r="122" spans="1:11" x14ac:dyDescent="0.25">
      <c r="A122" t="s">
        <v>86</v>
      </c>
    </row>
    <row r="123" spans="1:11" x14ac:dyDescent="0.25">
      <c r="A123">
        <v>19.9539071329122</v>
      </c>
      <c r="B123">
        <v>95.3930291811415</v>
      </c>
      <c r="C123">
        <v>2000</v>
      </c>
    </row>
    <row r="124" spans="1:11" x14ac:dyDescent="0.25">
      <c r="A124">
        <v>15.0133594087036</v>
      </c>
      <c r="B124">
        <v>100.33357690535</v>
      </c>
      <c r="C124">
        <v>2000</v>
      </c>
    </row>
    <row r="125" spans="1:11" x14ac:dyDescent="0.25">
      <c r="A125">
        <v>10.4425101589609</v>
      </c>
      <c r="B125">
        <v>104.90442615509301</v>
      </c>
      <c r="C125">
        <v>2000</v>
      </c>
    </row>
    <row r="126" spans="1:11" x14ac:dyDescent="0.25">
      <c r="A126">
        <v>10.4425101589609</v>
      </c>
      <c r="B126">
        <v>104.030394106195</v>
      </c>
      <c r="C126">
        <v>2001</v>
      </c>
    </row>
    <row r="127" spans="1:11" x14ac:dyDescent="0.25">
      <c r="A127">
        <v>14.8064811705061</v>
      </c>
      <c r="B127">
        <v>99.6664230946499</v>
      </c>
      <c r="C127">
        <v>2001</v>
      </c>
    </row>
    <row r="128" spans="1:11" x14ac:dyDescent="0.25">
      <c r="A128">
        <v>19.805305385086498</v>
      </c>
      <c r="B128">
        <v>94.667598880069605</v>
      </c>
      <c r="C128">
        <v>2001</v>
      </c>
    </row>
    <row r="129" spans="1:11" x14ac:dyDescent="0.25">
      <c r="A129">
        <v>32.552023840859498</v>
      </c>
      <c r="B129">
        <v>81.920880424296499</v>
      </c>
      <c r="C129">
        <v>2001</v>
      </c>
    </row>
    <row r="130" spans="1:11" x14ac:dyDescent="0.25">
      <c r="A130">
        <v>32.552023840859498</v>
      </c>
      <c r="B130">
        <v>82.794912473194202</v>
      </c>
      <c r="C130">
        <v>2000</v>
      </c>
    </row>
    <row r="131" spans="1:11" x14ac:dyDescent="0.25">
      <c r="A131" t="s">
        <v>87</v>
      </c>
    </row>
    <row r="132" spans="1:11" x14ac:dyDescent="0.25">
      <c r="A132">
        <v>184</v>
      </c>
      <c r="B132">
        <v>0</v>
      </c>
      <c r="C132">
        <v>24.988533895841499</v>
      </c>
      <c r="D132">
        <v>5.6343333029095497</v>
      </c>
      <c r="E132">
        <v>10</v>
      </c>
      <c r="F132">
        <v>1.01722196789785</v>
      </c>
      <c r="G132" t="s">
        <v>85</v>
      </c>
      <c r="H132" t="s">
        <v>85</v>
      </c>
      <c r="I132">
        <v>862</v>
      </c>
      <c r="J132">
        <v>732</v>
      </c>
      <c r="K132">
        <v>0</v>
      </c>
    </row>
    <row r="133" spans="1:11" x14ac:dyDescent="0.25">
      <c r="A133" t="s">
        <v>86</v>
      </c>
    </row>
    <row r="134" spans="1:11" x14ac:dyDescent="0.25">
      <c r="A134">
        <v>61.736157783698999</v>
      </c>
      <c r="B134">
        <v>117.647434842183</v>
      </c>
      <c r="C134">
        <v>2000</v>
      </c>
    </row>
    <row r="135" spans="1:11" x14ac:dyDescent="0.25">
      <c r="A135">
        <v>49.781491987775603</v>
      </c>
      <c r="B135">
        <v>105.69276904626</v>
      </c>
      <c r="C135">
        <v>2000</v>
      </c>
    </row>
    <row r="136" spans="1:11" x14ac:dyDescent="0.25">
      <c r="A136">
        <v>44.522739632979302</v>
      </c>
      <c r="B136">
        <v>100.434016691463</v>
      </c>
      <c r="C136">
        <v>2000</v>
      </c>
    </row>
    <row r="137" spans="1:11" x14ac:dyDescent="0.25">
      <c r="A137">
        <v>44.449551168107199</v>
      </c>
      <c r="B137">
        <v>100.360828226591</v>
      </c>
      <c r="C137">
        <v>2000</v>
      </c>
    </row>
    <row r="138" spans="1:11" x14ac:dyDescent="0.25">
      <c r="A138">
        <v>44.449551168107199</v>
      </c>
      <c r="B138">
        <v>99.486796177693606</v>
      </c>
      <c r="C138">
        <v>2001</v>
      </c>
    </row>
    <row r="139" spans="1:11" x14ac:dyDescent="0.25">
      <c r="A139">
        <v>44.528738298950202</v>
      </c>
      <c r="B139">
        <v>99.565983308536602</v>
      </c>
      <c r="C139">
        <v>2001</v>
      </c>
    </row>
    <row r="140" spans="1:11" x14ac:dyDescent="0.25">
      <c r="A140">
        <v>50.218508012224397</v>
      </c>
      <c r="B140">
        <v>105.255753021811</v>
      </c>
      <c r="C140">
        <v>2001</v>
      </c>
    </row>
    <row r="141" spans="1:11" x14ac:dyDescent="0.25">
      <c r="A141">
        <v>62.502068091834303</v>
      </c>
      <c r="B141">
        <v>117.539313101421</v>
      </c>
      <c r="C141">
        <v>2001</v>
      </c>
    </row>
    <row r="142" spans="1:11" x14ac:dyDescent="0.25">
      <c r="A142">
        <v>66.540204248167996</v>
      </c>
      <c r="B142">
        <v>121.577449257754</v>
      </c>
      <c r="C142">
        <v>2001</v>
      </c>
    </row>
    <row r="143" spans="1:11" x14ac:dyDescent="0.25">
      <c r="A143">
        <v>65.666172199270406</v>
      </c>
      <c r="B143">
        <v>121.577449257754</v>
      </c>
      <c r="C143">
        <v>2000</v>
      </c>
    </row>
    <row r="144" spans="1:11" x14ac:dyDescent="0.25">
      <c r="A144" t="s">
        <v>87</v>
      </c>
    </row>
    <row r="145" spans="1:11" x14ac:dyDescent="0.25">
      <c r="A145">
        <v>680</v>
      </c>
      <c r="B145">
        <v>0</v>
      </c>
      <c r="C145">
        <v>3.3911715045411102</v>
      </c>
      <c r="D145">
        <v>26.716042650774</v>
      </c>
      <c r="E145">
        <v>8</v>
      </c>
      <c r="F145">
        <v>1.01722196789785</v>
      </c>
      <c r="G145" t="s">
        <v>85</v>
      </c>
      <c r="H145" t="s">
        <v>85</v>
      </c>
      <c r="I145">
        <v>704</v>
      </c>
      <c r="J145">
        <v>707</v>
      </c>
      <c r="K145">
        <v>0</v>
      </c>
    </row>
    <row r="146" spans="1:11" x14ac:dyDescent="0.25">
      <c r="A146" t="s">
        <v>86</v>
      </c>
    </row>
    <row r="147" spans="1:11" x14ac:dyDescent="0.25">
      <c r="A147">
        <v>72.961988616717093</v>
      </c>
      <c r="B147">
        <v>82.249779466181394</v>
      </c>
      <c r="C147">
        <v>2000</v>
      </c>
    </row>
    <row r="148" spans="1:11" x14ac:dyDescent="0.25">
      <c r="A148">
        <v>70.565017939342695</v>
      </c>
      <c r="B148">
        <v>79.852808788806897</v>
      </c>
      <c r="C148">
        <v>2000</v>
      </c>
    </row>
    <row r="149" spans="1:11" x14ac:dyDescent="0.25">
      <c r="A149">
        <v>70.565017939342695</v>
      </c>
      <c r="B149">
        <v>78.978776739909307</v>
      </c>
      <c r="C149">
        <v>2001</v>
      </c>
    </row>
    <row r="150" spans="1:11" x14ac:dyDescent="0.25">
      <c r="A150">
        <v>72.963887996023402</v>
      </c>
      <c r="B150">
        <v>81.377646796590099</v>
      </c>
      <c r="C150">
        <v>2001</v>
      </c>
    </row>
    <row r="151" spans="1:11" x14ac:dyDescent="0.25">
      <c r="A151">
        <v>91.157377492675906</v>
      </c>
      <c r="B151">
        <v>99.571136293242503</v>
      </c>
      <c r="C151">
        <v>2001</v>
      </c>
    </row>
    <row r="152" spans="1:11" x14ac:dyDescent="0.25">
      <c r="A152">
        <v>91.854033231201598</v>
      </c>
      <c r="B152">
        <v>100.267792031768</v>
      </c>
      <c r="C152">
        <v>2001</v>
      </c>
    </row>
    <row r="153" spans="1:11" x14ac:dyDescent="0.25">
      <c r="A153">
        <v>91.854033231201598</v>
      </c>
      <c r="B153">
        <v>101.141824080666</v>
      </c>
      <c r="C153">
        <v>2000</v>
      </c>
    </row>
    <row r="154" spans="1:11" x14ac:dyDescent="0.25">
      <c r="A154">
        <v>91.141072857293295</v>
      </c>
      <c r="B154">
        <v>100.42886370675799</v>
      </c>
      <c r="C154">
        <v>2000</v>
      </c>
    </row>
    <row r="155" spans="1:11" x14ac:dyDescent="0.25">
      <c r="A155" t="s">
        <v>87</v>
      </c>
    </row>
    <row r="156" spans="1:11" x14ac:dyDescent="0.25">
      <c r="A156">
        <v>772</v>
      </c>
      <c r="B156">
        <v>1</v>
      </c>
      <c r="C156">
        <v>24.294468517519</v>
      </c>
      <c r="D156">
        <v>5.67763711535952</v>
      </c>
      <c r="E156">
        <v>8</v>
      </c>
      <c r="F156">
        <v>1.01722196789785</v>
      </c>
      <c r="G156" t="s">
        <v>85</v>
      </c>
      <c r="H156" t="s">
        <v>85</v>
      </c>
      <c r="I156">
        <v>346</v>
      </c>
      <c r="J156">
        <v>35</v>
      </c>
      <c r="K156">
        <v>8.8543832116719706E-2</v>
      </c>
    </row>
    <row r="157" spans="1:11" x14ac:dyDescent="0.25">
      <c r="A157" t="s">
        <v>86</v>
      </c>
    </row>
    <row r="158" spans="1:11" x14ac:dyDescent="0.25">
      <c r="A158">
        <v>37.5841847340306</v>
      </c>
      <c r="B158">
        <v>42.7797939510276</v>
      </c>
      <c r="C158">
        <v>2000</v>
      </c>
    </row>
    <row r="159" spans="1:11" x14ac:dyDescent="0.25">
      <c r="A159">
        <v>30.672906916052199</v>
      </c>
      <c r="B159">
        <v>49.691071769006101</v>
      </c>
      <c r="C159">
        <v>2000</v>
      </c>
    </row>
    <row r="160" spans="1:11" x14ac:dyDescent="0.25">
      <c r="A160">
        <v>20.730917910454298</v>
      </c>
      <c r="B160">
        <v>59.633060774603997</v>
      </c>
      <c r="C160">
        <v>2000</v>
      </c>
    </row>
    <row r="161" spans="1:11" x14ac:dyDescent="0.25">
      <c r="A161">
        <v>20.730917910454298</v>
      </c>
      <c r="B161">
        <v>60.507092823501601</v>
      </c>
      <c r="C161">
        <v>2001</v>
      </c>
    </row>
    <row r="162" spans="1:11" x14ac:dyDescent="0.25">
      <c r="A162">
        <v>30.929082502962</v>
      </c>
      <c r="B162">
        <v>50.308928230993899</v>
      </c>
      <c r="C162">
        <v>2001</v>
      </c>
    </row>
    <row r="163" spans="1:11" x14ac:dyDescent="0.25">
      <c r="A163">
        <v>38.235217954999499</v>
      </c>
      <c r="B163">
        <v>43.002792778956398</v>
      </c>
      <c r="C163">
        <v>2001</v>
      </c>
    </row>
    <row r="164" spans="1:11" x14ac:dyDescent="0.25">
      <c r="A164">
        <v>42.361413074350999</v>
      </c>
      <c r="B164">
        <v>38.876597659604897</v>
      </c>
      <c r="C164">
        <v>2001</v>
      </c>
    </row>
    <row r="165" spans="1:11" x14ac:dyDescent="0.25">
      <c r="A165">
        <v>41.487381025453402</v>
      </c>
      <c r="B165">
        <v>38.876597659604897</v>
      </c>
      <c r="C165">
        <v>2000</v>
      </c>
    </row>
    <row r="166" spans="1:11" x14ac:dyDescent="0.25">
      <c r="A166" t="s">
        <v>87</v>
      </c>
    </row>
    <row r="167" spans="1:11" x14ac:dyDescent="0.25">
      <c r="A167">
        <v>970</v>
      </c>
      <c r="B167">
        <v>1</v>
      </c>
      <c r="C167">
        <v>15.0293754714939</v>
      </c>
      <c r="D167">
        <v>14.8657502596326</v>
      </c>
      <c r="E167">
        <v>8</v>
      </c>
      <c r="F167">
        <v>1.01722196789785</v>
      </c>
      <c r="G167" t="s">
        <v>85</v>
      </c>
      <c r="H167" t="s">
        <v>85</v>
      </c>
      <c r="I167">
        <v>945</v>
      </c>
      <c r="J167">
        <v>908</v>
      </c>
      <c r="K167">
        <v>9.2813824447879903E-2</v>
      </c>
    </row>
    <row r="168" spans="1:11" x14ac:dyDescent="0.25">
      <c r="A168" t="s">
        <v>86</v>
      </c>
    </row>
    <row r="169" spans="1:11" x14ac:dyDescent="0.25">
      <c r="A169">
        <v>17.023470283276001</v>
      </c>
      <c r="B169">
        <v>51.123459537800798</v>
      </c>
      <c r="C169">
        <v>2000</v>
      </c>
    </row>
    <row r="170" spans="1:11" x14ac:dyDescent="0.25">
      <c r="A170">
        <v>6.6148745858179803</v>
      </c>
      <c r="B170">
        <v>61.532055235258902</v>
      </c>
      <c r="C170">
        <v>2000</v>
      </c>
    </row>
    <row r="171" spans="1:11" x14ac:dyDescent="0.25">
      <c r="A171">
        <v>6.61487458581799</v>
      </c>
      <c r="B171">
        <v>62.406087284156499</v>
      </c>
      <c r="C171">
        <v>2001</v>
      </c>
    </row>
    <row r="172" spans="1:11" x14ac:dyDescent="0.25">
      <c r="A172">
        <v>17.461025514144101</v>
      </c>
      <c r="B172">
        <v>51.559936355830402</v>
      </c>
      <c r="C172">
        <v>2001</v>
      </c>
    </row>
    <row r="173" spans="1:11" x14ac:dyDescent="0.25">
      <c r="A173">
        <v>18.830343971578401</v>
      </c>
      <c r="B173">
        <v>50.190617898396098</v>
      </c>
      <c r="C173">
        <v>2001</v>
      </c>
    </row>
    <row r="174" spans="1:11" x14ac:dyDescent="0.25">
      <c r="A174">
        <v>28.190936739170802</v>
      </c>
      <c r="B174">
        <v>40.830025130803698</v>
      </c>
      <c r="C174">
        <v>2001</v>
      </c>
    </row>
    <row r="175" spans="1:11" x14ac:dyDescent="0.25">
      <c r="A175">
        <v>27.316904690273201</v>
      </c>
      <c r="B175">
        <v>40.830025130803698</v>
      </c>
      <c r="C175">
        <v>2000</v>
      </c>
    </row>
    <row r="176" spans="1:11" x14ac:dyDescent="0.25">
      <c r="A176">
        <v>18.337547719473001</v>
      </c>
      <c r="B176">
        <v>49.809382101603902</v>
      </c>
      <c r="C176">
        <v>2000</v>
      </c>
    </row>
    <row r="177" spans="1:11" x14ac:dyDescent="0.25">
      <c r="A177" t="s">
        <v>87</v>
      </c>
    </row>
    <row r="178" spans="1:11" x14ac:dyDescent="0.25">
      <c r="A178">
        <v>73</v>
      </c>
      <c r="B178">
        <v>1</v>
      </c>
      <c r="C178">
        <v>22.7575555166122</v>
      </c>
      <c r="D178">
        <v>6.4813359945086297</v>
      </c>
      <c r="E178">
        <v>8</v>
      </c>
      <c r="F178">
        <v>1.01722196789785</v>
      </c>
      <c r="G178" t="s">
        <v>85</v>
      </c>
      <c r="H178" t="s">
        <v>89</v>
      </c>
      <c r="I178">
        <v>348</v>
      </c>
      <c r="J178">
        <v>64</v>
      </c>
      <c r="K178">
        <v>0</v>
      </c>
    </row>
    <row r="179" spans="1:11" x14ac:dyDescent="0.25">
      <c r="A179" t="s">
        <v>86</v>
      </c>
    </row>
    <row r="180" spans="1:11" x14ac:dyDescent="0.25">
      <c r="A180">
        <v>19.122837625639999</v>
      </c>
      <c r="B180">
        <v>47.026747882248799</v>
      </c>
      <c r="C180">
        <v>2000</v>
      </c>
    </row>
    <row r="181" spans="1:11" x14ac:dyDescent="0.25">
      <c r="A181">
        <v>16.330368880816302</v>
      </c>
      <c r="B181">
        <v>49.8192166270724</v>
      </c>
      <c r="C181">
        <v>2000</v>
      </c>
    </row>
    <row r="182" spans="1:11" x14ac:dyDescent="0.25">
      <c r="A182">
        <v>2.8357946136291301</v>
      </c>
      <c r="B182">
        <v>63.313790894259597</v>
      </c>
      <c r="C182">
        <v>2000</v>
      </c>
    </row>
    <row r="183" spans="1:11" x14ac:dyDescent="0.25">
      <c r="A183">
        <v>3.70982666252677</v>
      </c>
      <c r="B183">
        <v>63.313790894259597</v>
      </c>
      <c r="C183">
        <v>2001</v>
      </c>
    </row>
    <row r="184" spans="1:11" x14ac:dyDescent="0.25">
      <c r="A184">
        <v>16.842834183858699</v>
      </c>
      <c r="B184">
        <v>50.1807833729276</v>
      </c>
      <c r="C184">
        <v>2001</v>
      </c>
    </row>
    <row r="185" spans="1:11" x14ac:dyDescent="0.25">
      <c r="A185">
        <v>19.606827308567599</v>
      </c>
      <c r="B185">
        <v>47.416790248218803</v>
      </c>
      <c r="C185">
        <v>2001</v>
      </c>
    </row>
    <row r="186" spans="1:11" x14ac:dyDescent="0.25">
      <c r="A186">
        <v>24.166337112193698</v>
      </c>
      <c r="B186">
        <v>42.857280444592703</v>
      </c>
      <c r="C186">
        <v>2001</v>
      </c>
    </row>
    <row r="187" spans="1:11" x14ac:dyDescent="0.25">
      <c r="A187">
        <v>23.7293210877449</v>
      </c>
      <c r="B187">
        <v>42.420264420143901</v>
      </c>
      <c r="C187">
        <v>2000</v>
      </c>
    </row>
    <row r="188" spans="1:11" x14ac:dyDescent="0.25">
      <c r="A188" t="s">
        <v>87</v>
      </c>
    </row>
    <row r="189" spans="1:11" x14ac:dyDescent="0.25">
      <c r="A189">
        <v>278</v>
      </c>
      <c r="B189">
        <v>0</v>
      </c>
      <c r="C189">
        <v>8.4400072875858907</v>
      </c>
      <c r="D189">
        <v>20.581275366796699</v>
      </c>
      <c r="E189">
        <v>10</v>
      </c>
      <c r="F189">
        <v>1.01722196789785</v>
      </c>
      <c r="G189" t="s">
        <v>89</v>
      </c>
      <c r="H189" t="s">
        <v>85</v>
      </c>
      <c r="I189">
        <v>882</v>
      </c>
      <c r="J189">
        <v>221</v>
      </c>
      <c r="K189">
        <v>0</v>
      </c>
    </row>
    <row r="190" spans="1:11" x14ac:dyDescent="0.25">
      <c r="A190" t="s">
        <v>86</v>
      </c>
    </row>
    <row r="191" spans="1:11" x14ac:dyDescent="0.25">
      <c r="A191">
        <v>41.412156808761999</v>
      </c>
      <c r="B191">
        <v>105.398997969551</v>
      </c>
      <c r="C191">
        <v>2000</v>
      </c>
    </row>
    <row r="192" spans="1:11" x14ac:dyDescent="0.25">
      <c r="A192">
        <v>36.231666851435399</v>
      </c>
      <c r="B192">
        <v>100.21850801222401</v>
      </c>
      <c r="C192">
        <v>2000</v>
      </c>
    </row>
    <row r="193" spans="1:11" x14ac:dyDescent="0.25">
      <c r="A193">
        <v>35.492382097230298</v>
      </c>
      <c r="B193">
        <v>99.479223258019303</v>
      </c>
      <c r="C193">
        <v>2000</v>
      </c>
    </row>
    <row r="194" spans="1:11" x14ac:dyDescent="0.25">
      <c r="A194">
        <v>35.9293981216791</v>
      </c>
      <c r="B194">
        <v>99.042207233570494</v>
      </c>
      <c r="C194">
        <v>2001</v>
      </c>
    </row>
    <row r="195" spans="1:11" x14ac:dyDescent="0.25">
      <c r="A195">
        <v>36.668682875884301</v>
      </c>
      <c r="B195">
        <v>99.781491987775595</v>
      </c>
      <c r="C195">
        <v>2001</v>
      </c>
    </row>
    <row r="196" spans="1:11" x14ac:dyDescent="0.25">
      <c r="A196">
        <v>41.945596182779198</v>
      </c>
      <c r="B196">
        <v>105.05840529467</v>
      </c>
      <c r="C196">
        <v>2001</v>
      </c>
    </row>
    <row r="197" spans="1:11" x14ac:dyDescent="0.25">
      <c r="A197">
        <v>50.3434452927997</v>
      </c>
      <c r="B197">
        <v>113.45625440469099</v>
      </c>
      <c r="C197">
        <v>2001</v>
      </c>
    </row>
    <row r="198" spans="1:11" x14ac:dyDescent="0.25">
      <c r="A198">
        <v>56.669051897548997</v>
      </c>
      <c r="B198">
        <v>119.78186100943999</v>
      </c>
      <c r="C198">
        <v>2001</v>
      </c>
    </row>
    <row r="199" spans="1:11" x14ac:dyDescent="0.25">
      <c r="A199">
        <v>55.7950198486514</v>
      </c>
      <c r="B199">
        <v>119.78186100943999</v>
      </c>
      <c r="C199">
        <v>2000</v>
      </c>
    </row>
    <row r="200" spans="1:11" x14ac:dyDescent="0.25">
      <c r="A200">
        <v>49.6565547072003</v>
      </c>
      <c r="B200">
        <v>113.643395867989</v>
      </c>
      <c r="C200">
        <v>2000</v>
      </c>
    </row>
    <row r="201" spans="1:11" x14ac:dyDescent="0.25">
      <c r="A201" t="s">
        <v>87</v>
      </c>
    </row>
    <row r="202" spans="1:11" x14ac:dyDescent="0.25">
      <c r="A202">
        <v>631</v>
      </c>
      <c r="B202">
        <v>1</v>
      </c>
      <c r="C202">
        <v>9.0103168283831696</v>
      </c>
      <c r="D202">
        <v>19.963598056276599</v>
      </c>
      <c r="E202">
        <v>8</v>
      </c>
      <c r="F202">
        <v>1.01722196789785</v>
      </c>
      <c r="G202" t="s">
        <v>85</v>
      </c>
      <c r="H202" t="s">
        <v>85</v>
      </c>
      <c r="I202">
        <v>506</v>
      </c>
      <c r="J202">
        <v>599</v>
      </c>
      <c r="K202">
        <v>0</v>
      </c>
    </row>
    <row r="203" spans="1:11" x14ac:dyDescent="0.25">
      <c r="A203" t="s">
        <v>86</v>
      </c>
    </row>
    <row r="204" spans="1:11" x14ac:dyDescent="0.25">
      <c r="A204">
        <v>115.48558936567601</v>
      </c>
      <c r="B204">
        <v>98.779830711825696</v>
      </c>
      <c r="C204">
        <v>2000</v>
      </c>
    </row>
    <row r="205" spans="1:11" x14ac:dyDescent="0.25">
      <c r="A205">
        <v>114.448961566101</v>
      </c>
      <c r="B205">
        <v>99.816458511399802</v>
      </c>
      <c r="C205">
        <v>2000</v>
      </c>
    </row>
    <row r="206" spans="1:11" x14ac:dyDescent="0.25">
      <c r="A206">
        <v>108.913717764864</v>
      </c>
      <c r="B206">
        <v>105.351702312637</v>
      </c>
      <c r="C206">
        <v>2000</v>
      </c>
    </row>
    <row r="207" spans="1:11" x14ac:dyDescent="0.25">
      <c r="A207">
        <v>109.78774981376201</v>
      </c>
      <c r="B207">
        <v>105.351702312637</v>
      </c>
      <c r="C207">
        <v>2001</v>
      </c>
    </row>
    <row r="208" spans="1:11" x14ac:dyDescent="0.25">
      <c r="A208">
        <v>114.95591063779899</v>
      </c>
      <c r="B208">
        <v>100.1835414886</v>
      </c>
      <c r="C208">
        <v>2001</v>
      </c>
    </row>
    <row r="209" spans="1:11" x14ac:dyDescent="0.25">
      <c r="A209">
        <v>115.958390472929</v>
      </c>
      <c r="B209">
        <v>99.181061653470195</v>
      </c>
      <c r="C209">
        <v>2001</v>
      </c>
    </row>
    <row r="210" spans="1:11" x14ac:dyDescent="0.25">
      <c r="A210">
        <v>129.838385481778</v>
      </c>
      <c r="B210">
        <v>85.301066644621002</v>
      </c>
      <c r="C210">
        <v>2001</v>
      </c>
    </row>
    <row r="211" spans="1:11" x14ac:dyDescent="0.25">
      <c r="A211">
        <v>129.838385481778</v>
      </c>
      <c r="B211">
        <v>84.427034595723399</v>
      </c>
      <c r="C211">
        <v>2000</v>
      </c>
    </row>
    <row r="212" spans="1:11" x14ac:dyDescent="0.25">
      <c r="A212" t="s">
        <v>87</v>
      </c>
    </row>
    <row r="213" spans="1:11" x14ac:dyDescent="0.25">
      <c r="A213">
        <v>635</v>
      </c>
      <c r="B213">
        <v>1</v>
      </c>
      <c r="C213">
        <v>14.8752501592913</v>
      </c>
      <c r="D213">
        <v>14.098664725368501</v>
      </c>
      <c r="E213">
        <v>8</v>
      </c>
      <c r="F213">
        <v>1.01722196789785</v>
      </c>
      <c r="G213" t="s">
        <v>85</v>
      </c>
      <c r="H213" t="s">
        <v>85</v>
      </c>
      <c r="I213">
        <v>506</v>
      </c>
      <c r="J213">
        <v>599</v>
      </c>
      <c r="K213">
        <v>0</v>
      </c>
    </row>
    <row r="214" spans="1:11" x14ac:dyDescent="0.25">
      <c r="A214" t="s">
        <v>86</v>
      </c>
    </row>
    <row r="215" spans="1:11" x14ac:dyDescent="0.25">
      <c r="A215">
        <v>118.98916013911099</v>
      </c>
      <c r="B215">
        <v>93.944927122890206</v>
      </c>
      <c r="C215">
        <v>2000</v>
      </c>
    </row>
    <row r="216" spans="1:11" x14ac:dyDescent="0.25">
      <c r="A216">
        <v>113.03143451434001</v>
      </c>
      <c r="B216">
        <v>99.902652747661094</v>
      </c>
      <c r="C216">
        <v>2000</v>
      </c>
    </row>
    <row r="217" spans="1:11" x14ac:dyDescent="0.25">
      <c r="A217">
        <v>108.24805135711399</v>
      </c>
      <c r="B217">
        <v>104.68603590488701</v>
      </c>
      <c r="C217">
        <v>2000</v>
      </c>
    </row>
    <row r="218" spans="1:11" x14ac:dyDescent="0.25">
      <c r="A218">
        <v>109.122083406012</v>
      </c>
      <c r="B218">
        <v>104.68603590488701</v>
      </c>
      <c r="C218">
        <v>2001</v>
      </c>
    </row>
    <row r="219" spans="1:11" x14ac:dyDescent="0.25">
      <c r="A219">
        <v>113.71077205856</v>
      </c>
      <c r="B219">
        <v>100.09734725233901</v>
      </c>
      <c r="C219">
        <v>2001</v>
      </c>
    </row>
    <row r="220" spans="1:11" x14ac:dyDescent="0.25">
      <c r="A220">
        <v>119.417755142977</v>
      </c>
      <c r="B220">
        <v>94.390364167921703</v>
      </c>
      <c r="C220">
        <v>2001</v>
      </c>
    </row>
    <row r="221" spans="1:11" x14ac:dyDescent="0.25">
      <c r="A221">
        <v>129.17271907402801</v>
      </c>
      <c r="B221">
        <v>84.635400236871206</v>
      </c>
      <c r="C221">
        <v>2001</v>
      </c>
    </row>
    <row r="222" spans="1:11" x14ac:dyDescent="0.25">
      <c r="A222">
        <v>129.17271907402801</v>
      </c>
      <c r="B222">
        <v>83.761368187973503</v>
      </c>
      <c r="C222">
        <v>2000</v>
      </c>
    </row>
    <row r="223" spans="1:11" x14ac:dyDescent="0.25">
      <c r="A223" t="s">
        <v>87</v>
      </c>
    </row>
    <row r="224" spans="1:11" x14ac:dyDescent="0.25">
      <c r="A224">
        <v>636</v>
      </c>
      <c r="B224">
        <v>1</v>
      </c>
      <c r="C224">
        <v>18.9884930632407</v>
      </c>
      <c r="D224">
        <v>9.9854218214191501</v>
      </c>
      <c r="E224">
        <v>8</v>
      </c>
      <c r="F224">
        <v>1.01722196789785</v>
      </c>
      <c r="G224" t="s">
        <v>85</v>
      </c>
      <c r="H224" t="s">
        <v>85</v>
      </c>
      <c r="I224">
        <v>506</v>
      </c>
      <c r="J224">
        <v>599</v>
      </c>
      <c r="K224">
        <v>0</v>
      </c>
    </row>
    <row r="225" spans="1:11" x14ac:dyDescent="0.25">
      <c r="A225" t="s">
        <v>86</v>
      </c>
    </row>
    <row r="226" spans="1:11" x14ac:dyDescent="0.25">
      <c r="A226">
        <v>120.677720131974</v>
      </c>
      <c r="B226">
        <v>89.703366618168801</v>
      </c>
      <c r="C226">
        <v>2000</v>
      </c>
    </row>
    <row r="227" spans="1:11" x14ac:dyDescent="0.25">
      <c r="A227">
        <v>110.436573220551</v>
      </c>
      <c r="B227">
        <v>99.944513529591504</v>
      </c>
      <c r="C227">
        <v>2000</v>
      </c>
    </row>
    <row r="228" spans="1:11" x14ac:dyDescent="0.25">
      <c r="A228">
        <v>106.971551101185</v>
      </c>
      <c r="B228">
        <v>103.409535648958</v>
      </c>
      <c r="C228">
        <v>2000</v>
      </c>
    </row>
    <row r="229" spans="1:11" x14ac:dyDescent="0.25">
      <c r="A229">
        <v>107.84558315008201</v>
      </c>
      <c r="B229">
        <v>103.409535648958</v>
      </c>
      <c r="C229">
        <v>2001</v>
      </c>
    </row>
    <row r="230" spans="1:11" x14ac:dyDescent="0.25">
      <c r="A230">
        <v>111.19963232863201</v>
      </c>
      <c r="B230">
        <v>100.05548647040899</v>
      </c>
      <c r="C230">
        <v>2001</v>
      </c>
    </row>
    <row r="231" spans="1:11" x14ac:dyDescent="0.25">
      <c r="A231">
        <v>120.993198538356</v>
      </c>
      <c r="B231">
        <v>90.261920260683993</v>
      </c>
      <c r="C231">
        <v>2001</v>
      </c>
    </row>
    <row r="232" spans="1:11" x14ac:dyDescent="0.25">
      <c r="A232">
        <v>127.89621881809801</v>
      </c>
      <c r="B232">
        <v>83.358899980941601</v>
      </c>
      <c r="C232">
        <v>2001</v>
      </c>
    </row>
    <row r="233" spans="1:11" x14ac:dyDescent="0.25">
      <c r="A233">
        <v>127.89621881809801</v>
      </c>
      <c r="B233">
        <v>82.484867932043997</v>
      </c>
      <c r="C233">
        <v>2000</v>
      </c>
    </row>
    <row r="234" spans="1:11" x14ac:dyDescent="0.25">
      <c r="A234" t="s">
        <v>87</v>
      </c>
    </row>
    <row r="235" spans="1:11" x14ac:dyDescent="0.25">
      <c r="A235">
        <v>758</v>
      </c>
      <c r="B235">
        <v>0</v>
      </c>
      <c r="C235">
        <v>21.098366852538501</v>
      </c>
      <c r="D235">
        <v>7.7139776108347498</v>
      </c>
      <c r="E235">
        <v>8</v>
      </c>
      <c r="F235">
        <v>1.01722196789785</v>
      </c>
      <c r="G235" t="s">
        <v>85</v>
      </c>
      <c r="H235" t="s">
        <v>85</v>
      </c>
      <c r="I235">
        <v>395</v>
      </c>
      <c r="J235">
        <v>856</v>
      </c>
      <c r="K235">
        <v>8.8948032773117705E-2</v>
      </c>
    </row>
    <row r="236" spans="1:11" x14ac:dyDescent="0.25">
      <c r="A236" t="s">
        <v>86</v>
      </c>
    </row>
    <row r="237" spans="1:11" x14ac:dyDescent="0.25">
      <c r="A237">
        <v>64.214045468500302</v>
      </c>
      <c r="B237">
        <v>70.002817574581499</v>
      </c>
      <c r="C237">
        <v>2000</v>
      </c>
    </row>
    <row r="238" spans="1:11" x14ac:dyDescent="0.25">
      <c r="A238">
        <v>50.424957295418302</v>
      </c>
      <c r="B238">
        <v>56.213729401499499</v>
      </c>
      <c r="C238">
        <v>2000</v>
      </c>
    </row>
    <row r="239" spans="1:11" x14ac:dyDescent="0.25">
      <c r="A239">
        <v>49.613697263688998</v>
      </c>
      <c r="B239">
        <v>55.402469369770202</v>
      </c>
      <c r="C239">
        <v>2000</v>
      </c>
    </row>
    <row r="240" spans="1:11" x14ac:dyDescent="0.25">
      <c r="A240">
        <v>48.739665214791401</v>
      </c>
      <c r="B240">
        <v>55.402469369770202</v>
      </c>
      <c r="C240">
        <v>2001</v>
      </c>
    </row>
    <row r="241" spans="1:11" x14ac:dyDescent="0.25">
      <c r="A241">
        <v>49.575042704581797</v>
      </c>
      <c r="B241">
        <v>56.237846859560598</v>
      </c>
      <c r="C241">
        <v>2001</v>
      </c>
    </row>
    <row r="242" spans="1:11" x14ac:dyDescent="0.25">
      <c r="A242">
        <v>63.976913556763002</v>
      </c>
      <c r="B242">
        <v>70.639717711741895</v>
      </c>
      <c r="C242">
        <v>2001</v>
      </c>
    </row>
    <row r="243" spans="1:11" x14ac:dyDescent="0.25">
      <c r="A243">
        <v>69.550085391174093</v>
      </c>
      <c r="B243">
        <v>76.212889546152994</v>
      </c>
      <c r="C243">
        <v>2001</v>
      </c>
    </row>
    <row r="244" spans="1:11" x14ac:dyDescent="0.25">
      <c r="A244">
        <v>69.550085391174093</v>
      </c>
      <c r="B244">
        <v>75.338857497255304</v>
      </c>
      <c r="C244">
        <v>2000</v>
      </c>
    </row>
    <row r="245" spans="1:11" x14ac:dyDescent="0.25">
      <c r="A245" t="s">
        <v>87</v>
      </c>
    </row>
    <row r="246" spans="1:11" x14ac:dyDescent="0.25">
      <c r="A246">
        <v>785</v>
      </c>
      <c r="B246">
        <v>0</v>
      </c>
      <c r="C246">
        <v>16.315734265919499</v>
      </c>
      <c r="D246">
        <v>12.4966101974537</v>
      </c>
      <c r="E246">
        <v>8</v>
      </c>
      <c r="F246">
        <v>1.01722196789785</v>
      </c>
      <c r="G246" t="s">
        <v>85</v>
      </c>
      <c r="H246" t="s">
        <v>85</v>
      </c>
      <c r="I246">
        <v>395</v>
      </c>
      <c r="J246">
        <v>856</v>
      </c>
      <c r="K246">
        <v>8.9537010595109504E-2</v>
      </c>
    </row>
    <row r="247" spans="1:11" x14ac:dyDescent="0.25">
      <c r="A247" t="s">
        <v>86</v>
      </c>
    </row>
    <row r="248" spans="1:11" x14ac:dyDescent="0.25">
      <c r="A248">
        <v>60.998951553895203</v>
      </c>
      <c r="B248">
        <v>66.596847134042903</v>
      </c>
      <c r="C248">
        <v>2000</v>
      </c>
    </row>
    <row r="249" spans="1:11" x14ac:dyDescent="0.25">
      <c r="A249">
        <v>49.994491080581597</v>
      </c>
      <c r="B249">
        <v>55.592386660729296</v>
      </c>
      <c r="C249">
        <v>2000</v>
      </c>
    </row>
    <row r="250" spans="1:11" x14ac:dyDescent="0.25">
      <c r="A250">
        <v>49.7091355266558</v>
      </c>
      <c r="B250">
        <v>55.3070311068035</v>
      </c>
      <c r="C250">
        <v>2000</v>
      </c>
    </row>
    <row r="251" spans="1:11" x14ac:dyDescent="0.25">
      <c r="A251">
        <v>49.7091355266558</v>
      </c>
      <c r="B251">
        <v>54.432999057905803</v>
      </c>
      <c r="C251">
        <v>2001</v>
      </c>
    </row>
    <row r="252" spans="1:11" x14ac:dyDescent="0.25">
      <c r="A252">
        <v>50.005508919418403</v>
      </c>
      <c r="B252">
        <v>54.7293724506685</v>
      </c>
      <c r="C252">
        <v>2001</v>
      </c>
    </row>
    <row r="253" spans="1:11" x14ac:dyDescent="0.25">
      <c r="A253">
        <v>61.493252178355199</v>
      </c>
      <c r="B253">
        <v>66.217115709605295</v>
      </c>
      <c r="C253">
        <v>2001</v>
      </c>
    </row>
    <row r="254" spans="1:11" x14ac:dyDescent="0.25">
      <c r="A254">
        <v>70.519555703038506</v>
      </c>
      <c r="B254">
        <v>75.243419234288595</v>
      </c>
      <c r="C254">
        <v>2001</v>
      </c>
    </row>
    <row r="255" spans="1:11" x14ac:dyDescent="0.25">
      <c r="A255">
        <v>69.645523654140902</v>
      </c>
      <c r="B255">
        <v>75.243419234288595</v>
      </c>
      <c r="C255">
        <v>2000</v>
      </c>
    </row>
    <row r="256" spans="1:11" x14ac:dyDescent="0.25">
      <c r="A256" t="s">
        <v>87</v>
      </c>
    </row>
    <row r="257" spans="1:11" x14ac:dyDescent="0.25">
      <c r="A257">
        <v>36</v>
      </c>
      <c r="B257">
        <v>0</v>
      </c>
      <c r="C257">
        <v>12.9483152599487</v>
      </c>
      <c r="D257">
        <v>15.260059579162601</v>
      </c>
      <c r="E257">
        <v>6</v>
      </c>
      <c r="F257">
        <v>1.01722196789785</v>
      </c>
      <c r="G257" t="s">
        <v>85</v>
      </c>
      <c r="H257" t="s">
        <v>85</v>
      </c>
      <c r="I257">
        <v>80</v>
      </c>
      <c r="J257">
        <v>65</v>
      </c>
      <c r="K257">
        <v>0</v>
      </c>
    </row>
    <row r="258" spans="1:11" x14ac:dyDescent="0.25">
      <c r="A258" t="s">
        <v>86</v>
      </c>
    </row>
    <row r="259" spans="1:11" x14ac:dyDescent="0.25">
      <c r="A259">
        <v>26.5096061807102</v>
      </c>
      <c r="B259">
        <v>14.9560573475539</v>
      </c>
      <c r="C259">
        <v>2000</v>
      </c>
    </row>
    <row r="260" spans="1:11" x14ac:dyDescent="0.25">
      <c r="A260">
        <v>17.5543654093306</v>
      </c>
      <c r="B260">
        <v>6.00081657617429</v>
      </c>
      <c r="C260">
        <v>2000</v>
      </c>
    </row>
    <row r="261" spans="1:11" x14ac:dyDescent="0.25">
      <c r="A261">
        <v>17.5543654093306</v>
      </c>
      <c r="B261">
        <v>5.1267845272766399</v>
      </c>
      <c r="C261">
        <v>2001</v>
      </c>
    </row>
    <row r="262" spans="1:11" x14ac:dyDescent="0.25">
      <c r="A262">
        <v>26.910807688453001</v>
      </c>
      <c r="B262">
        <v>14.483226806398999</v>
      </c>
      <c r="C262">
        <v>2001</v>
      </c>
    </row>
    <row r="263" spans="1:11" x14ac:dyDescent="0.25">
      <c r="A263">
        <v>37.937714568766999</v>
      </c>
      <c r="B263">
        <v>25.510133686713001</v>
      </c>
      <c r="C263">
        <v>2001</v>
      </c>
    </row>
    <row r="264" spans="1:11" x14ac:dyDescent="0.25">
      <c r="A264">
        <v>37.063682519869403</v>
      </c>
      <c r="B264">
        <v>25.510133686713001</v>
      </c>
      <c r="C264">
        <v>2000</v>
      </c>
    </row>
    <row r="265" spans="1:11" x14ac:dyDescent="0.25">
      <c r="A265" t="s">
        <v>87</v>
      </c>
    </row>
    <row r="266" spans="1:11" x14ac:dyDescent="0.25">
      <c r="A266">
        <v>514</v>
      </c>
      <c r="B266">
        <v>0</v>
      </c>
      <c r="C266">
        <v>13.208944604716599</v>
      </c>
      <c r="D266">
        <v>14.7615429998216</v>
      </c>
      <c r="E266">
        <v>8</v>
      </c>
      <c r="F266">
        <v>1.01722196789785</v>
      </c>
      <c r="G266" t="s">
        <v>85</v>
      </c>
      <c r="H266" t="s">
        <v>85</v>
      </c>
      <c r="I266">
        <v>631</v>
      </c>
      <c r="J266">
        <v>541</v>
      </c>
      <c r="K266">
        <v>0</v>
      </c>
    </row>
    <row r="267" spans="1:11" x14ac:dyDescent="0.25">
      <c r="A267" t="s">
        <v>86</v>
      </c>
    </row>
    <row r="268" spans="1:11" x14ac:dyDescent="0.25">
      <c r="A268">
        <v>124.444527787396</v>
      </c>
      <c r="B268">
        <v>108.914813914786</v>
      </c>
      <c r="C268">
        <v>2000</v>
      </c>
    </row>
    <row r="269" spans="1:11" x14ac:dyDescent="0.25">
      <c r="A269">
        <v>115.544502649468</v>
      </c>
      <c r="B269">
        <v>100.014788776858</v>
      </c>
      <c r="C269">
        <v>2000</v>
      </c>
    </row>
    <row r="270" spans="1:11" x14ac:dyDescent="0.25">
      <c r="A270">
        <v>114.89756697505599</v>
      </c>
      <c r="B270">
        <v>99.367853102445494</v>
      </c>
      <c r="C270">
        <v>2000</v>
      </c>
    </row>
    <row r="271" spans="1:11" x14ac:dyDescent="0.25">
      <c r="A271">
        <v>115.771599023953</v>
      </c>
      <c r="B271">
        <v>99.367853102445494</v>
      </c>
      <c r="C271">
        <v>2001</v>
      </c>
    </row>
    <row r="272" spans="1:11" x14ac:dyDescent="0.25">
      <c r="A272">
        <v>116.38895714465001</v>
      </c>
      <c r="B272">
        <v>99.985211223142201</v>
      </c>
      <c r="C272">
        <v>2001</v>
      </c>
    </row>
    <row r="273" spans="1:11" x14ac:dyDescent="0.25">
      <c r="A273">
        <v>124.904906816238</v>
      </c>
      <c r="B273">
        <v>108.50116089473001</v>
      </c>
      <c r="C273">
        <v>2001</v>
      </c>
    </row>
    <row r="274" spans="1:11" x14ac:dyDescent="0.25">
      <c r="A274">
        <v>135.11270445776799</v>
      </c>
      <c r="B274">
        <v>118.70895853626</v>
      </c>
      <c r="C274">
        <v>2001</v>
      </c>
    </row>
    <row r="275" spans="1:11" x14ac:dyDescent="0.25">
      <c r="A275">
        <v>135.11270445776799</v>
      </c>
      <c r="B275">
        <v>119.582990585158</v>
      </c>
      <c r="C275">
        <v>2000</v>
      </c>
    </row>
    <row r="276" spans="1:11" x14ac:dyDescent="0.25">
      <c r="A276" t="s">
        <v>87</v>
      </c>
    </row>
    <row r="277" spans="1:11" x14ac:dyDescent="0.25">
      <c r="A277">
        <v>319</v>
      </c>
      <c r="B277">
        <v>1</v>
      </c>
      <c r="C277">
        <v>10.104373118980901</v>
      </c>
      <c r="D277">
        <v>17.408611449038801</v>
      </c>
      <c r="E277">
        <v>8</v>
      </c>
      <c r="F277">
        <v>1.01722196789785</v>
      </c>
      <c r="G277" t="s">
        <v>85</v>
      </c>
      <c r="H277" t="s">
        <v>85</v>
      </c>
      <c r="I277">
        <v>857</v>
      </c>
      <c r="J277">
        <v>184</v>
      </c>
      <c r="K277">
        <v>0</v>
      </c>
    </row>
    <row r="278" spans="1:11" x14ac:dyDescent="0.25">
      <c r="A278" t="s">
        <v>86</v>
      </c>
    </row>
    <row r="279" spans="1:11" x14ac:dyDescent="0.25">
      <c r="A279">
        <v>49.020939933044097</v>
      </c>
      <c r="B279">
        <v>129.21042846441699</v>
      </c>
      <c r="C279">
        <v>2000</v>
      </c>
    </row>
    <row r="280" spans="1:11" x14ac:dyDescent="0.25">
      <c r="A280">
        <v>41.705427710761001</v>
      </c>
      <c r="B280">
        <v>136.52594068670001</v>
      </c>
      <c r="C280">
        <v>2000</v>
      </c>
    </row>
    <row r="281" spans="1:11" x14ac:dyDescent="0.25">
      <c r="A281">
        <v>41.705427710761001</v>
      </c>
      <c r="B281">
        <v>135.65190863780299</v>
      </c>
      <c r="C281">
        <v>2001</v>
      </c>
    </row>
    <row r="282" spans="1:11" x14ac:dyDescent="0.25">
      <c r="A282">
        <v>48.679656992618902</v>
      </c>
      <c r="B282">
        <v>128.677679355945</v>
      </c>
      <c r="C282">
        <v>2001</v>
      </c>
    </row>
    <row r="283" spans="1:11" x14ac:dyDescent="0.25">
      <c r="A283">
        <v>49.801900123972104</v>
      </c>
      <c r="B283">
        <v>127.555436224592</v>
      </c>
      <c r="C283">
        <v>2001</v>
      </c>
    </row>
    <row r="284" spans="1:11" x14ac:dyDescent="0.25">
      <c r="A284">
        <v>61.160045669488603</v>
      </c>
      <c r="B284">
        <v>116.197290679075</v>
      </c>
      <c r="C284">
        <v>2001</v>
      </c>
    </row>
    <row r="285" spans="1:11" x14ac:dyDescent="0.25">
      <c r="A285">
        <v>61.160045669488603</v>
      </c>
      <c r="B285">
        <v>117.071322727973</v>
      </c>
      <c r="C285">
        <v>2000</v>
      </c>
    </row>
    <row r="286" spans="1:11" x14ac:dyDescent="0.25">
      <c r="A286">
        <v>50.198099876027896</v>
      </c>
      <c r="B286">
        <v>128.033268521433</v>
      </c>
      <c r="C286">
        <v>2000</v>
      </c>
    </row>
    <row r="287" spans="1:11" x14ac:dyDescent="0.25">
      <c r="A287" t="s">
        <v>87</v>
      </c>
    </row>
    <row r="288" spans="1:11" x14ac:dyDescent="0.25">
      <c r="A288">
        <v>851</v>
      </c>
      <c r="B288">
        <v>0</v>
      </c>
      <c r="C288">
        <v>7.9826894699162398</v>
      </c>
      <c r="D288">
        <v>19.228839599352799</v>
      </c>
      <c r="E288">
        <v>6</v>
      </c>
      <c r="F288">
        <v>1.01722196789785</v>
      </c>
      <c r="G288" t="s">
        <v>85</v>
      </c>
      <c r="H288" t="s">
        <v>85</v>
      </c>
      <c r="I288">
        <v>143</v>
      </c>
      <c r="J288">
        <v>146</v>
      </c>
      <c r="K288">
        <v>9.0645505931922193E-2</v>
      </c>
    </row>
    <row r="289" spans="1:11" x14ac:dyDescent="0.25">
      <c r="A289" t="s">
        <v>86</v>
      </c>
    </row>
    <row r="290" spans="1:11" x14ac:dyDescent="0.25">
      <c r="A290">
        <v>107.595141384491</v>
      </c>
      <c r="B290">
        <v>20.040581712455701</v>
      </c>
      <c r="C290">
        <v>2000</v>
      </c>
    </row>
    <row r="291" spans="1:11" x14ac:dyDescent="0.25">
      <c r="A291">
        <v>101.822325867518</v>
      </c>
      <c r="B291">
        <v>14.267766195483</v>
      </c>
      <c r="C291">
        <v>2000</v>
      </c>
    </row>
    <row r="292" spans="1:11" x14ac:dyDescent="0.25">
      <c r="A292">
        <v>101.822325867518</v>
      </c>
      <c r="B292">
        <v>15.1417982443807</v>
      </c>
      <c r="C292">
        <v>2001</v>
      </c>
    </row>
    <row r="293" spans="1:11" x14ac:dyDescent="0.25">
      <c r="A293">
        <v>107.33873806311399</v>
      </c>
      <c r="B293">
        <v>20.658210439976401</v>
      </c>
      <c r="C293">
        <v>2001</v>
      </c>
    </row>
    <row r="294" spans="1:11" x14ac:dyDescent="0.25">
      <c r="A294">
        <v>120.626766574404</v>
      </c>
      <c r="B294">
        <v>33.9462389512668</v>
      </c>
      <c r="C294">
        <v>2001</v>
      </c>
    </row>
    <row r="295" spans="1:11" x14ac:dyDescent="0.25">
      <c r="A295">
        <v>121.500798623302</v>
      </c>
      <c r="B295">
        <v>33.9462389512668</v>
      </c>
      <c r="C295">
        <v>2000</v>
      </c>
    </row>
    <row r="296" spans="1:11" x14ac:dyDescent="0.25">
      <c r="A296" t="s">
        <v>87</v>
      </c>
    </row>
    <row r="297" spans="1:11" x14ac:dyDescent="0.25">
      <c r="A297">
        <v>346</v>
      </c>
      <c r="B297">
        <v>0</v>
      </c>
      <c r="C297">
        <v>8.5127889548397597</v>
      </c>
      <c r="D297">
        <v>18.4298544160612</v>
      </c>
      <c r="E297">
        <v>6</v>
      </c>
      <c r="F297">
        <v>1.01722196789785</v>
      </c>
      <c r="G297" t="s">
        <v>85</v>
      </c>
      <c r="H297" t="s">
        <v>85</v>
      </c>
      <c r="I297">
        <v>742</v>
      </c>
      <c r="J297">
        <v>382</v>
      </c>
      <c r="K297">
        <v>0</v>
      </c>
    </row>
    <row r="298" spans="1:11" x14ac:dyDescent="0.25">
      <c r="A298" t="s">
        <v>86</v>
      </c>
    </row>
    <row r="299" spans="1:11" x14ac:dyDescent="0.25">
      <c r="A299">
        <v>24.7716621378305</v>
      </c>
      <c r="B299">
        <v>63.673805001980199</v>
      </c>
      <c r="C299">
        <v>2000</v>
      </c>
    </row>
    <row r="300" spans="1:11" x14ac:dyDescent="0.25">
      <c r="A300">
        <v>18.7522113410533</v>
      </c>
      <c r="B300">
        <v>57.654354205202999</v>
      </c>
      <c r="C300">
        <v>2000</v>
      </c>
    </row>
    <row r="301" spans="1:11" x14ac:dyDescent="0.25">
      <c r="A301">
        <v>18.7522113410533</v>
      </c>
      <c r="B301">
        <v>58.528386254100703</v>
      </c>
      <c r="C301">
        <v>2001</v>
      </c>
    </row>
    <row r="302" spans="1:11" x14ac:dyDescent="0.25">
      <c r="A302">
        <v>24.7716621378305</v>
      </c>
      <c r="B302">
        <v>64.547837050877803</v>
      </c>
      <c r="C302">
        <v>2001</v>
      </c>
    </row>
    <row r="303" spans="1:11" x14ac:dyDescent="0.25">
      <c r="A303">
        <v>37.8035371717082</v>
      </c>
      <c r="B303">
        <v>77.579712084755499</v>
      </c>
      <c r="C303">
        <v>2001</v>
      </c>
    </row>
    <row r="304" spans="1:11" x14ac:dyDescent="0.25">
      <c r="A304">
        <v>37.8035371717082</v>
      </c>
      <c r="B304">
        <v>76.705680035857895</v>
      </c>
      <c r="C304">
        <v>2000</v>
      </c>
    </row>
    <row r="305" spans="1:11" x14ac:dyDescent="0.25">
      <c r="A305" t="s">
        <v>87</v>
      </c>
    </row>
    <row r="306" spans="1:11" x14ac:dyDescent="0.25">
      <c r="A306">
        <v>345</v>
      </c>
      <c r="B306">
        <v>0</v>
      </c>
      <c r="C306">
        <v>26.299874246916801</v>
      </c>
      <c r="D306">
        <v>0.64276912398413799</v>
      </c>
      <c r="E306">
        <v>6</v>
      </c>
      <c r="F306">
        <v>1.01722196789785</v>
      </c>
      <c r="G306" t="s">
        <v>85</v>
      </c>
      <c r="H306" t="s">
        <v>85</v>
      </c>
      <c r="I306">
        <v>742</v>
      </c>
      <c r="J306">
        <v>382</v>
      </c>
      <c r="K306">
        <v>0</v>
      </c>
    </row>
    <row r="307" spans="1:11" x14ac:dyDescent="0.25">
      <c r="A307" t="s">
        <v>86</v>
      </c>
    </row>
    <row r="308" spans="1:11" x14ac:dyDescent="0.25">
      <c r="A308">
        <v>36.4307661011958</v>
      </c>
      <c r="B308">
        <v>77.169438293757196</v>
      </c>
      <c r="C308">
        <v>2000</v>
      </c>
    </row>
    <row r="309" spans="1:11" x14ac:dyDescent="0.25">
      <c r="A309">
        <v>17.8339466768475</v>
      </c>
      <c r="B309">
        <v>58.572618869408899</v>
      </c>
      <c r="C309">
        <v>2000</v>
      </c>
    </row>
    <row r="310" spans="1:11" x14ac:dyDescent="0.25">
      <c r="A310">
        <v>17.8339466768475</v>
      </c>
      <c r="B310">
        <v>59.446650918306503</v>
      </c>
      <c r="C310">
        <v>2001</v>
      </c>
    </row>
    <row r="311" spans="1:11" x14ac:dyDescent="0.25">
      <c r="A311">
        <v>36.4307661011958</v>
      </c>
      <c r="B311">
        <v>78.043470342654899</v>
      </c>
      <c r="C311">
        <v>2001</v>
      </c>
    </row>
    <row r="312" spans="1:11" x14ac:dyDescent="0.25">
      <c r="A312">
        <v>36.8852725075024</v>
      </c>
      <c r="B312">
        <v>78.497976748961406</v>
      </c>
      <c r="C312">
        <v>2001</v>
      </c>
    </row>
    <row r="313" spans="1:11" x14ac:dyDescent="0.25">
      <c r="A313">
        <v>36.8852725075024</v>
      </c>
      <c r="B313">
        <v>77.623944700063703</v>
      </c>
      <c r="C313">
        <v>2000</v>
      </c>
    </row>
    <row r="314" spans="1:11" x14ac:dyDescent="0.25">
      <c r="A314" t="s">
        <v>87</v>
      </c>
    </row>
    <row r="315" spans="1:11" x14ac:dyDescent="0.25">
      <c r="A315">
        <v>183</v>
      </c>
      <c r="B315">
        <v>0</v>
      </c>
      <c r="C315">
        <v>9.2890339047883508</v>
      </c>
      <c r="D315">
        <v>17.572544415212398</v>
      </c>
      <c r="E315">
        <v>10</v>
      </c>
      <c r="F315">
        <v>1.01722196789785</v>
      </c>
      <c r="G315" t="s">
        <v>85</v>
      </c>
      <c r="H315" t="s">
        <v>85</v>
      </c>
      <c r="I315">
        <v>385</v>
      </c>
      <c r="J315">
        <v>230</v>
      </c>
      <c r="K315">
        <v>0</v>
      </c>
    </row>
    <row r="316" spans="1:11" x14ac:dyDescent="0.25">
      <c r="A316" t="s">
        <v>86</v>
      </c>
    </row>
    <row r="317" spans="1:11" x14ac:dyDescent="0.25">
      <c r="A317">
        <v>52.647077983454999</v>
      </c>
      <c r="B317">
        <v>100.47480497336799</v>
      </c>
      <c r="C317">
        <v>2000</v>
      </c>
    </row>
    <row r="318" spans="1:11" x14ac:dyDescent="0.25">
      <c r="A318">
        <v>51.953764997862301</v>
      </c>
      <c r="B318">
        <v>99.781491987775595</v>
      </c>
      <c r="C318">
        <v>2000</v>
      </c>
    </row>
    <row r="319" spans="1:11" x14ac:dyDescent="0.25">
      <c r="A319">
        <v>50.154093780476501</v>
      </c>
      <c r="B319">
        <v>97.981820770389803</v>
      </c>
      <c r="C319">
        <v>2000</v>
      </c>
    </row>
    <row r="320" spans="1:11" x14ac:dyDescent="0.25">
      <c r="A320">
        <v>45.8488628714573</v>
      </c>
      <c r="B320">
        <v>93.676589861370502</v>
      </c>
      <c r="C320">
        <v>2000</v>
      </c>
    </row>
    <row r="321" spans="1:11" x14ac:dyDescent="0.25">
      <c r="A321">
        <v>45.8488628714573</v>
      </c>
      <c r="B321">
        <v>94.550621910268205</v>
      </c>
      <c r="C321">
        <v>2001</v>
      </c>
    </row>
    <row r="322" spans="1:11" x14ac:dyDescent="0.25">
      <c r="A322">
        <v>49.845906219523499</v>
      </c>
      <c r="B322">
        <v>98.547665258334305</v>
      </c>
      <c r="C322">
        <v>2001</v>
      </c>
    </row>
    <row r="323" spans="1:11" x14ac:dyDescent="0.25">
      <c r="A323">
        <v>51.516748973413499</v>
      </c>
      <c r="B323">
        <v>100.21850801222401</v>
      </c>
      <c r="C323">
        <v>2001</v>
      </c>
    </row>
    <row r="324" spans="1:11" x14ac:dyDescent="0.25">
      <c r="A324">
        <v>52.187325488954698</v>
      </c>
      <c r="B324">
        <v>100.889084527766</v>
      </c>
      <c r="C324">
        <v>2001</v>
      </c>
    </row>
    <row r="325" spans="1:11" x14ac:dyDescent="0.25">
      <c r="A325">
        <v>64.4058510304545</v>
      </c>
      <c r="B325">
        <v>113.10761006926499</v>
      </c>
      <c r="C325">
        <v>2001</v>
      </c>
    </row>
    <row r="326" spans="1:11" x14ac:dyDescent="0.25">
      <c r="A326">
        <v>65.279883079352203</v>
      </c>
      <c r="B326">
        <v>113.10761006926499</v>
      </c>
      <c r="C326">
        <v>2000</v>
      </c>
    </row>
    <row r="327" spans="1:11" x14ac:dyDescent="0.25">
      <c r="A327" t="s">
        <v>87</v>
      </c>
    </row>
    <row r="328" spans="1:11" x14ac:dyDescent="0.25">
      <c r="A328">
        <v>728</v>
      </c>
      <c r="B328">
        <v>0</v>
      </c>
      <c r="C328">
        <v>7.81010410147519</v>
      </c>
      <c r="D328">
        <v>19.051474218525499</v>
      </c>
      <c r="E328">
        <v>10</v>
      </c>
      <c r="F328">
        <v>1.01722196789785</v>
      </c>
      <c r="G328" t="s">
        <v>85</v>
      </c>
      <c r="H328" t="s">
        <v>85</v>
      </c>
      <c r="I328">
        <v>385</v>
      </c>
      <c r="J328">
        <v>230</v>
      </c>
      <c r="K328">
        <v>8.8948032773117705E-2</v>
      </c>
    </row>
    <row r="329" spans="1:11" x14ac:dyDescent="0.25">
      <c r="A329" t="s">
        <v>86</v>
      </c>
    </row>
    <row r="330" spans="1:11" x14ac:dyDescent="0.25">
      <c r="A330">
        <v>50.485923462024203</v>
      </c>
      <c r="B330">
        <v>100.53147110385</v>
      </c>
      <c r="C330">
        <v>2000</v>
      </c>
    </row>
    <row r="331" spans="1:11" x14ac:dyDescent="0.25">
      <c r="A331">
        <v>50.1729603703984</v>
      </c>
      <c r="B331">
        <v>100.21850801222401</v>
      </c>
      <c r="C331">
        <v>2000</v>
      </c>
    </row>
    <row r="332" spans="1:11" x14ac:dyDescent="0.25">
      <c r="A332">
        <v>49.765087925792898</v>
      </c>
      <c r="B332">
        <v>99.810635567618903</v>
      </c>
      <c r="C332">
        <v>2000</v>
      </c>
    </row>
    <row r="333" spans="1:11" x14ac:dyDescent="0.25">
      <c r="A333">
        <v>44.739952545500898</v>
      </c>
      <c r="B333">
        <v>94.785500187326903</v>
      </c>
      <c r="C333">
        <v>2000</v>
      </c>
    </row>
    <row r="334" spans="1:11" x14ac:dyDescent="0.25">
      <c r="A334">
        <v>45.613984594398502</v>
      </c>
      <c r="B334">
        <v>94.785500187326903</v>
      </c>
      <c r="C334">
        <v>2001</v>
      </c>
    </row>
    <row r="335" spans="1:11" x14ac:dyDescent="0.25">
      <c r="A335">
        <v>50.234912074207102</v>
      </c>
      <c r="B335">
        <v>99.406427667135404</v>
      </c>
      <c r="C335">
        <v>2001</v>
      </c>
    </row>
    <row r="336" spans="1:11" x14ac:dyDescent="0.25">
      <c r="A336">
        <v>50.609976394847202</v>
      </c>
      <c r="B336">
        <v>99.781491987775595</v>
      </c>
      <c r="C336">
        <v>2001</v>
      </c>
    </row>
    <row r="337" spans="1:11" x14ac:dyDescent="0.25">
      <c r="A337">
        <v>50.913168821727197</v>
      </c>
      <c r="B337">
        <v>100.084684414656</v>
      </c>
      <c r="C337">
        <v>2001</v>
      </c>
    </row>
    <row r="338" spans="1:11" x14ac:dyDescent="0.25">
      <c r="A338">
        <v>64.170972753395802</v>
      </c>
      <c r="B338">
        <v>113.342488346324</v>
      </c>
      <c r="C338">
        <v>2001</v>
      </c>
    </row>
    <row r="339" spans="1:11" x14ac:dyDescent="0.25">
      <c r="A339">
        <v>64.170972753395802</v>
      </c>
      <c r="B339">
        <v>114.21652039522201</v>
      </c>
      <c r="C339">
        <v>2000</v>
      </c>
    </row>
    <row r="340" spans="1:11" x14ac:dyDescent="0.25">
      <c r="A340" t="s">
        <v>87</v>
      </c>
    </row>
    <row r="341" spans="1:11" x14ac:dyDescent="0.25">
      <c r="A341">
        <v>222</v>
      </c>
      <c r="B341">
        <v>1</v>
      </c>
      <c r="C341">
        <v>18.4102798555605</v>
      </c>
      <c r="D341">
        <v>8.2671445104765997</v>
      </c>
      <c r="E341">
        <v>6</v>
      </c>
      <c r="F341">
        <v>1.01722196789785</v>
      </c>
      <c r="G341" t="s">
        <v>88</v>
      </c>
      <c r="H341" t="s">
        <v>85</v>
      </c>
      <c r="I341">
        <v>0</v>
      </c>
      <c r="J341">
        <v>191</v>
      </c>
      <c r="K341">
        <v>0</v>
      </c>
    </row>
    <row r="342" spans="1:11" x14ac:dyDescent="0.25">
      <c r="A342" t="s">
        <v>86</v>
      </c>
    </row>
    <row r="343" spans="1:11" x14ac:dyDescent="0.25">
      <c r="A343">
        <v>86.842084655732606</v>
      </c>
      <c r="B343">
        <v>137.28355413008899</v>
      </c>
      <c r="C343">
        <v>2000</v>
      </c>
    </row>
    <row r="344" spans="1:11" x14ac:dyDescent="0.25">
      <c r="A344">
        <v>74.125638785821593</v>
      </c>
      <c r="B344">
        <v>150</v>
      </c>
      <c r="C344">
        <v>2000</v>
      </c>
    </row>
    <row r="345" spans="1:11" x14ac:dyDescent="0.25">
      <c r="A345">
        <v>73.251606736923904</v>
      </c>
      <c r="B345">
        <v>150</v>
      </c>
      <c r="C345">
        <v>2001</v>
      </c>
    </row>
    <row r="346" spans="1:11" x14ac:dyDescent="0.25">
      <c r="A346">
        <v>86.571228325830603</v>
      </c>
      <c r="B346">
        <v>136.68037841109299</v>
      </c>
      <c r="C346">
        <v>2001</v>
      </c>
    </row>
    <row r="347" spans="1:11" x14ac:dyDescent="0.25">
      <c r="A347">
        <v>92.552410435188705</v>
      </c>
      <c r="B347">
        <v>130.69919630173499</v>
      </c>
      <c r="C347">
        <v>2001</v>
      </c>
    </row>
    <row r="348" spans="1:11" x14ac:dyDescent="0.25">
      <c r="A348">
        <v>92.552410435188705</v>
      </c>
      <c r="B348">
        <v>131.573228350633</v>
      </c>
      <c r="C348">
        <v>2000</v>
      </c>
    </row>
    <row r="349" spans="1:11" x14ac:dyDescent="0.25">
      <c r="A349" t="s">
        <v>87</v>
      </c>
    </row>
    <row r="350" spans="1:11" x14ac:dyDescent="0.25">
      <c r="A350">
        <v>810</v>
      </c>
      <c r="B350">
        <v>1</v>
      </c>
      <c r="C350">
        <v>13.9332235957982</v>
      </c>
      <c r="D350">
        <v>12.4362333881359</v>
      </c>
      <c r="E350">
        <v>6</v>
      </c>
      <c r="F350">
        <v>1.01722196789785</v>
      </c>
      <c r="G350" t="s">
        <v>89</v>
      </c>
      <c r="H350" t="s">
        <v>85</v>
      </c>
      <c r="I350">
        <v>79</v>
      </c>
      <c r="J350">
        <v>36</v>
      </c>
      <c r="K350">
        <v>8.9816640118045604E-2</v>
      </c>
    </row>
    <row r="351" spans="1:11" x14ac:dyDescent="0.25">
      <c r="A351" t="s">
        <v>86</v>
      </c>
    </row>
    <row r="352" spans="1:11" x14ac:dyDescent="0.25">
      <c r="A352">
        <v>20.456034318218698</v>
      </c>
      <c r="B352">
        <v>26.283872063001201</v>
      </c>
      <c r="C352">
        <v>2000</v>
      </c>
    </row>
    <row r="353" spans="1:11" x14ac:dyDescent="0.25">
      <c r="A353">
        <v>10.719213769865799</v>
      </c>
      <c r="B353">
        <v>36.0206926113542</v>
      </c>
      <c r="C353">
        <v>2000</v>
      </c>
    </row>
    <row r="354" spans="1:11" x14ac:dyDescent="0.25">
      <c r="A354">
        <v>10.282197745416999</v>
      </c>
      <c r="B354">
        <v>35.583676586905298</v>
      </c>
      <c r="C354">
        <v>2001</v>
      </c>
    </row>
    <row r="355" spans="1:11" x14ac:dyDescent="0.25">
      <c r="A355">
        <v>20.249930973818699</v>
      </c>
      <c r="B355">
        <v>25.6159433585036</v>
      </c>
      <c r="C355">
        <v>2001</v>
      </c>
    </row>
    <row r="356" spans="1:11" x14ac:dyDescent="0.25">
      <c r="A356">
        <v>29.146727607188101</v>
      </c>
      <c r="B356">
        <v>16.719146725134099</v>
      </c>
      <c r="C356">
        <v>2001</v>
      </c>
    </row>
    <row r="357" spans="1:11" x14ac:dyDescent="0.25">
      <c r="A357">
        <v>29.146727607188101</v>
      </c>
      <c r="B357">
        <v>17.593178774031799</v>
      </c>
      <c r="C357">
        <v>2000</v>
      </c>
    </row>
    <row r="358" spans="1:11" x14ac:dyDescent="0.25">
      <c r="A358" t="s">
        <v>87</v>
      </c>
    </row>
    <row r="359" spans="1:11" x14ac:dyDescent="0.25">
      <c r="A359">
        <v>466</v>
      </c>
      <c r="B359">
        <v>1</v>
      </c>
      <c r="C359">
        <v>5.10030854698081</v>
      </c>
      <c r="D359">
        <v>20.953483521038201</v>
      </c>
      <c r="E359">
        <v>8</v>
      </c>
      <c r="F359">
        <v>1.01722196789785</v>
      </c>
      <c r="G359" t="s">
        <v>85</v>
      </c>
      <c r="H359" t="s">
        <v>85</v>
      </c>
      <c r="I359">
        <v>423</v>
      </c>
      <c r="J359">
        <v>118</v>
      </c>
      <c r="K359">
        <v>0</v>
      </c>
    </row>
    <row r="360" spans="1:11" x14ac:dyDescent="0.25">
      <c r="A360" t="s">
        <v>86</v>
      </c>
    </row>
    <row r="361" spans="1:11" x14ac:dyDescent="0.25">
      <c r="A361">
        <v>88.930941523641707</v>
      </c>
      <c r="B361">
        <v>33.848255306265102</v>
      </c>
      <c r="C361">
        <v>2000</v>
      </c>
    </row>
    <row r="362" spans="1:11" x14ac:dyDescent="0.25">
      <c r="A362">
        <v>85.308923581302196</v>
      </c>
      <c r="B362">
        <v>37.470273248604599</v>
      </c>
      <c r="C362">
        <v>2000</v>
      </c>
    </row>
    <row r="363" spans="1:11" x14ac:dyDescent="0.25">
      <c r="A363">
        <v>86.182955630199899</v>
      </c>
      <c r="B363">
        <v>37.470273248604599</v>
      </c>
      <c r="C363">
        <v>2001</v>
      </c>
    </row>
    <row r="364" spans="1:11" x14ac:dyDescent="0.25">
      <c r="A364">
        <v>89.773863207288002</v>
      </c>
      <c r="B364">
        <v>33.879365671516503</v>
      </c>
      <c r="C364">
        <v>2001</v>
      </c>
    </row>
    <row r="365" spans="1:11" x14ac:dyDescent="0.25">
      <c r="A365">
        <v>100.37553625123</v>
      </c>
      <c r="B365">
        <v>23.277692627574599</v>
      </c>
      <c r="C365">
        <v>2001</v>
      </c>
    </row>
    <row r="366" spans="1:11" x14ac:dyDescent="0.25">
      <c r="A366">
        <v>104.60576867712</v>
      </c>
      <c r="B366">
        <v>19.0474602016841</v>
      </c>
      <c r="C366">
        <v>2001</v>
      </c>
    </row>
    <row r="367" spans="1:11" x14ac:dyDescent="0.25">
      <c r="A367">
        <v>103.731736628223</v>
      </c>
      <c r="B367">
        <v>19.0474602016841</v>
      </c>
      <c r="C367">
        <v>2000</v>
      </c>
    </row>
    <row r="368" spans="1:11" x14ac:dyDescent="0.25">
      <c r="A368">
        <v>99.624463748770197</v>
      </c>
      <c r="B368">
        <v>23.154733081136701</v>
      </c>
      <c r="C368">
        <v>2000</v>
      </c>
    </row>
    <row r="369" spans="1:11" x14ac:dyDescent="0.25">
      <c r="A369" t="s">
        <v>87</v>
      </c>
    </row>
    <row r="370" spans="1:11" x14ac:dyDescent="0.25">
      <c r="A370">
        <v>502</v>
      </c>
      <c r="B370">
        <v>0</v>
      </c>
      <c r="C370">
        <v>18.5279862076566</v>
      </c>
      <c r="D370">
        <v>7.3515209861087101</v>
      </c>
      <c r="E370">
        <v>6</v>
      </c>
      <c r="F370">
        <v>1.01722196789785</v>
      </c>
      <c r="G370" t="s">
        <v>85</v>
      </c>
      <c r="H370" t="s">
        <v>88</v>
      </c>
      <c r="I370">
        <v>543</v>
      </c>
      <c r="J370">
        <v>0</v>
      </c>
      <c r="K370">
        <v>0</v>
      </c>
    </row>
    <row r="371" spans="1:11" x14ac:dyDescent="0.25">
      <c r="A371" t="s">
        <v>86</v>
      </c>
    </row>
    <row r="372" spans="1:11" x14ac:dyDescent="0.25">
      <c r="A372">
        <v>144.801689658687</v>
      </c>
      <c r="B372">
        <v>138.128334658271</v>
      </c>
      <c r="C372">
        <v>2000</v>
      </c>
    </row>
    <row r="373" spans="1:11" x14ac:dyDescent="0.25">
      <c r="A373">
        <v>131.700424969522</v>
      </c>
      <c r="B373">
        <v>125.02706996910599</v>
      </c>
      <c r="C373">
        <v>2000</v>
      </c>
    </row>
    <row r="374" spans="1:11" x14ac:dyDescent="0.25">
      <c r="A374">
        <v>131.700424969522</v>
      </c>
      <c r="B374">
        <v>124.153037920209</v>
      </c>
      <c r="C374">
        <v>2001</v>
      </c>
    </row>
    <row r="375" spans="1:11" x14ac:dyDescent="0.25">
      <c r="A375">
        <v>144.801689658687</v>
      </c>
      <c r="B375">
        <v>137.25430260937401</v>
      </c>
      <c r="C375">
        <v>2001</v>
      </c>
    </row>
    <row r="376" spans="1:11" x14ac:dyDescent="0.25">
      <c r="A376">
        <v>150</v>
      </c>
      <c r="B376">
        <v>142.45261295068599</v>
      </c>
      <c r="C376">
        <v>2001</v>
      </c>
    </row>
    <row r="377" spans="1:11" x14ac:dyDescent="0.25">
      <c r="A377">
        <v>150</v>
      </c>
      <c r="B377">
        <v>143.326644999584</v>
      </c>
      <c r="C377">
        <v>2000</v>
      </c>
    </row>
    <row r="378" spans="1:11" x14ac:dyDescent="0.25">
      <c r="A378" t="s">
        <v>87</v>
      </c>
    </row>
    <row r="379" spans="1:11" x14ac:dyDescent="0.25">
      <c r="A379">
        <v>727</v>
      </c>
      <c r="B379">
        <v>0</v>
      </c>
      <c r="C379">
        <v>14.203048079981</v>
      </c>
      <c r="D379">
        <v>11.6122791111494</v>
      </c>
      <c r="E379">
        <v>8</v>
      </c>
      <c r="F379">
        <v>1.01722196789785</v>
      </c>
      <c r="G379" t="s">
        <v>85</v>
      </c>
      <c r="H379" t="s">
        <v>85</v>
      </c>
      <c r="I379">
        <v>711</v>
      </c>
      <c r="J379">
        <v>228</v>
      </c>
      <c r="K379">
        <v>8.8543832116719706E-2</v>
      </c>
    </row>
    <row r="380" spans="1:11" x14ac:dyDescent="0.25">
      <c r="A380" t="s">
        <v>86</v>
      </c>
    </row>
    <row r="381" spans="1:11" x14ac:dyDescent="0.25">
      <c r="A381">
        <v>64.076589102409002</v>
      </c>
      <c r="B381">
        <v>105.23977611408699</v>
      </c>
      <c r="C381">
        <v>2000</v>
      </c>
    </row>
    <row r="382" spans="1:11" x14ac:dyDescent="0.25">
      <c r="A382">
        <v>59.164898869360798</v>
      </c>
      <c r="B382">
        <v>100.328085881039</v>
      </c>
      <c r="C382">
        <v>2000</v>
      </c>
    </row>
    <row r="383" spans="1:11" x14ac:dyDescent="0.25">
      <c r="A383">
        <v>54.2671785942592</v>
      </c>
      <c r="B383">
        <v>95.430365605936899</v>
      </c>
      <c r="C383">
        <v>2000</v>
      </c>
    </row>
    <row r="384" spans="1:11" x14ac:dyDescent="0.25">
      <c r="A384">
        <v>54.2671785942592</v>
      </c>
      <c r="B384">
        <v>94.556333557039295</v>
      </c>
      <c r="C384">
        <v>2001</v>
      </c>
    </row>
    <row r="385" spans="1:11" x14ac:dyDescent="0.25">
      <c r="A385">
        <v>59.382759156181301</v>
      </c>
      <c r="B385">
        <v>99.671914118961396</v>
      </c>
      <c r="C385">
        <v>2001</v>
      </c>
    </row>
    <row r="386" spans="1:11" x14ac:dyDescent="0.25">
      <c r="A386">
        <v>64.543911307855595</v>
      </c>
      <c r="B386">
        <v>104.833066270636</v>
      </c>
      <c r="C386">
        <v>2001</v>
      </c>
    </row>
    <row r="387" spans="1:11" x14ac:dyDescent="0.25">
      <c r="A387">
        <v>72.958387534105796</v>
      </c>
      <c r="B387">
        <v>113.247542496886</v>
      </c>
      <c r="C387">
        <v>2001</v>
      </c>
    </row>
    <row r="388" spans="1:11" x14ac:dyDescent="0.25">
      <c r="A388">
        <v>72.084355485208107</v>
      </c>
      <c r="B388">
        <v>113.247542496886</v>
      </c>
      <c r="C388">
        <v>2000</v>
      </c>
    </row>
    <row r="389" spans="1:11" x14ac:dyDescent="0.25">
      <c r="A389" t="s">
        <v>87</v>
      </c>
    </row>
    <row r="390" spans="1:11" x14ac:dyDescent="0.25">
      <c r="A390">
        <v>550</v>
      </c>
      <c r="B390">
        <v>1</v>
      </c>
      <c r="C390">
        <v>2.0265973057751698</v>
      </c>
      <c r="D390">
        <v>23.723909556195</v>
      </c>
      <c r="E390">
        <v>6</v>
      </c>
      <c r="F390">
        <v>1.01722196789785</v>
      </c>
      <c r="G390" t="s">
        <v>89</v>
      </c>
      <c r="H390" t="s">
        <v>85</v>
      </c>
      <c r="I390">
        <v>544</v>
      </c>
      <c r="J390">
        <v>849</v>
      </c>
      <c r="K390">
        <v>0</v>
      </c>
    </row>
    <row r="391" spans="1:11" x14ac:dyDescent="0.25">
      <c r="A391" t="s">
        <v>86</v>
      </c>
    </row>
    <row r="392" spans="1:11" x14ac:dyDescent="0.25">
      <c r="A392">
        <v>105.210279791822</v>
      </c>
      <c r="B392">
        <v>142.86771978233801</v>
      </c>
      <c r="C392">
        <v>2000</v>
      </c>
    </row>
    <row r="393" spans="1:11" x14ac:dyDescent="0.25">
      <c r="A393">
        <v>103.760062238546</v>
      </c>
      <c r="B393">
        <v>144.317937335614</v>
      </c>
      <c r="C393">
        <v>2000</v>
      </c>
    </row>
    <row r="394" spans="1:11" x14ac:dyDescent="0.25">
      <c r="A394">
        <v>103.323046214097</v>
      </c>
      <c r="B394">
        <v>143.880921311165</v>
      </c>
      <c r="C394">
        <v>2001</v>
      </c>
    </row>
    <row r="395" spans="1:11" x14ac:dyDescent="0.25">
      <c r="A395">
        <v>104.738870056116</v>
      </c>
      <c r="B395">
        <v>142.465097469146</v>
      </c>
      <c r="C395">
        <v>2001</v>
      </c>
    </row>
    <row r="396" spans="1:11" x14ac:dyDescent="0.25">
      <c r="A396">
        <v>121.312896222962</v>
      </c>
      <c r="B396">
        <v>125.89107130230001</v>
      </c>
      <c r="C396">
        <v>2001</v>
      </c>
    </row>
    <row r="397" spans="1:11" x14ac:dyDescent="0.25">
      <c r="A397">
        <v>122.18692827186</v>
      </c>
      <c r="B397">
        <v>125.89107130230001</v>
      </c>
      <c r="C397">
        <v>2000</v>
      </c>
    </row>
    <row r="398" spans="1:11" x14ac:dyDescent="0.25">
      <c r="A398" t="s">
        <v>87</v>
      </c>
    </row>
    <row r="399" spans="1:11" x14ac:dyDescent="0.25">
      <c r="A399">
        <v>861</v>
      </c>
      <c r="B399">
        <v>0</v>
      </c>
      <c r="C399">
        <v>4.0746041220144802</v>
      </c>
      <c r="D399">
        <v>21.670742079616399</v>
      </c>
      <c r="E399">
        <v>8</v>
      </c>
      <c r="F399">
        <v>1.01722196789785</v>
      </c>
      <c r="G399" t="s">
        <v>85</v>
      </c>
      <c r="H399" t="s">
        <v>85</v>
      </c>
      <c r="I399">
        <v>381</v>
      </c>
      <c r="J399">
        <v>304</v>
      </c>
      <c r="K399">
        <v>9.0910684189608806E-2</v>
      </c>
    </row>
    <row r="400" spans="1:11" x14ac:dyDescent="0.25">
      <c r="A400" t="s">
        <v>86</v>
      </c>
    </row>
    <row r="401" spans="1:11" x14ac:dyDescent="0.25">
      <c r="A401">
        <v>33.746613560647603</v>
      </c>
      <c r="B401">
        <v>99.350031556789006</v>
      </c>
      <c r="C401">
        <v>2000</v>
      </c>
    </row>
    <row r="402" spans="1:11" x14ac:dyDescent="0.25">
      <c r="A402">
        <v>31.059712065402699</v>
      </c>
      <c r="B402">
        <v>96.663130061544095</v>
      </c>
      <c r="C402">
        <v>2000</v>
      </c>
    </row>
    <row r="403" spans="1:11" x14ac:dyDescent="0.25">
      <c r="A403">
        <v>30.185680016505</v>
      </c>
      <c r="B403">
        <v>96.663130061544095</v>
      </c>
      <c r="C403">
        <v>2001</v>
      </c>
    </row>
    <row r="404" spans="1:11" x14ac:dyDescent="0.25">
      <c r="A404">
        <v>33.261138931914203</v>
      </c>
      <c r="B404">
        <v>99.738588976953295</v>
      </c>
      <c r="C404">
        <v>2001</v>
      </c>
    </row>
    <row r="405" spans="1:11" x14ac:dyDescent="0.25">
      <c r="A405">
        <v>33.747555939021403</v>
      </c>
      <c r="B405">
        <v>100.22500598406</v>
      </c>
      <c r="C405">
        <v>2001</v>
      </c>
    </row>
    <row r="406" spans="1:11" x14ac:dyDescent="0.25">
      <c r="A406">
        <v>48.827404924122298</v>
      </c>
      <c r="B406">
        <v>115.304854969161</v>
      </c>
      <c r="C406">
        <v>2001</v>
      </c>
    </row>
    <row r="407" spans="1:11" x14ac:dyDescent="0.25">
      <c r="A407">
        <v>48.827404924122298</v>
      </c>
      <c r="B407">
        <v>114.43082292026401</v>
      </c>
      <c r="C407">
        <v>2000</v>
      </c>
    </row>
    <row r="408" spans="1:11" x14ac:dyDescent="0.25">
      <c r="A408">
        <v>34.171576019798103</v>
      </c>
      <c r="B408">
        <v>99.774994015939598</v>
      </c>
      <c r="C408">
        <v>2000</v>
      </c>
    </row>
    <row r="409" spans="1:11" x14ac:dyDescent="0.25">
      <c r="A409" t="s">
        <v>87</v>
      </c>
    </row>
    <row r="410" spans="1:11" x14ac:dyDescent="0.25">
      <c r="A410">
        <v>748</v>
      </c>
      <c r="B410">
        <v>1</v>
      </c>
      <c r="C410">
        <v>2.08925253815551</v>
      </c>
      <c r="D410">
        <v>23.446073645269198</v>
      </c>
      <c r="E410">
        <v>8</v>
      </c>
      <c r="F410">
        <v>1.01722196789785</v>
      </c>
      <c r="G410" t="s">
        <v>85</v>
      </c>
      <c r="H410" t="s">
        <v>85</v>
      </c>
      <c r="I410">
        <v>514</v>
      </c>
      <c r="J410">
        <v>595</v>
      </c>
      <c r="K410">
        <v>8.8543832116719706E-2</v>
      </c>
    </row>
    <row r="411" spans="1:11" x14ac:dyDescent="0.25">
      <c r="A411" t="s">
        <v>86</v>
      </c>
    </row>
    <row r="412" spans="1:11" x14ac:dyDescent="0.25">
      <c r="A412">
        <v>125.022921087466</v>
      </c>
      <c r="B412">
        <v>106.48951183771899</v>
      </c>
      <c r="C412">
        <v>2000</v>
      </c>
    </row>
    <row r="413" spans="1:11" x14ac:dyDescent="0.25">
      <c r="A413">
        <v>123.521073398898</v>
      </c>
      <c r="B413">
        <v>107.991359526287</v>
      </c>
      <c r="C413">
        <v>2000</v>
      </c>
    </row>
    <row r="414" spans="1:11" x14ac:dyDescent="0.25">
      <c r="A414">
        <v>124.395105447795</v>
      </c>
      <c r="B414">
        <v>107.991359526287</v>
      </c>
      <c r="C414">
        <v>2001</v>
      </c>
    </row>
    <row r="415" spans="1:11" x14ac:dyDescent="0.25">
      <c r="A415">
        <v>125.847907033909</v>
      </c>
      <c r="B415">
        <v>106.538557940174</v>
      </c>
      <c r="C415">
        <v>2001</v>
      </c>
    </row>
    <row r="416" spans="1:11" x14ac:dyDescent="0.25">
      <c r="A416">
        <v>132.253811314834</v>
      </c>
      <c r="B416">
        <v>100.132653659249</v>
      </c>
      <c r="C416">
        <v>2001</v>
      </c>
    </row>
    <row r="417" spans="1:11" x14ac:dyDescent="0.25">
      <c r="A417">
        <v>142.45130775190501</v>
      </c>
      <c r="B417">
        <v>89.935157222177395</v>
      </c>
      <c r="C417">
        <v>2001</v>
      </c>
    </row>
    <row r="418" spans="1:11" x14ac:dyDescent="0.25">
      <c r="A418">
        <v>141.57727570300801</v>
      </c>
      <c r="B418">
        <v>89.935157222177395</v>
      </c>
      <c r="C418">
        <v>2000</v>
      </c>
    </row>
    <row r="419" spans="1:11" x14ac:dyDescent="0.25">
      <c r="A419">
        <v>131.64508658443401</v>
      </c>
      <c r="B419">
        <v>99.867346340751297</v>
      </c>
      <c r="C419">
        <v>2000</v>
      </c>
    </row>
    <row r="420" spans="1:11" x14ac:dyDescent="0.25">
      <c r="A420" t="s">
        <v>87</v>
      </c>
    </row>
    <row r="421" spans="1:11" x14ac:dyDescent="0.25">
      <c r="A421">
        <v>102</v>
      </c>
      <c r="B421">
        <v>0</v>
      </c>
      <c r="C421">
        <v>14.601844524226999</v>
      </c>
      <c r="D421">
        <v>10.7532054457893</v>
      </c>
      <c r="E421">
        <v>6</v>
      </c>
      <c r="F421">
        <v>1.01722196789785</v>
      </c>
      <c r="G421" t="s">
        <v>85</v>
      </c>
      <c r="H421" t="s">
        <v>88</v>
      </c>
      <c r="I421">
        <v>790</v>
      </c>
      <c r="J421">
        <v>0</v>
      </c>
      <c r="K421">
        <v>0</v>
      </c>
    </row>
    <row r="422" spans="1:11" x14ac:dyDescent="0.25">
      <c r="A422" t="s">
        <v>86</v>
      </c>
    </row>
    <row r="423" spans="1:11" x14ac:dyDescent="0.25">
      <c r="A423">
        <v>142.58167622493599</v>
      </c>
      <c r="B423">
        <v>17.213223784291799</v>
      </c>
      <c r="C423">
        <v>2000</v>
      </c>
    </row>
    <row r="424" spans="1:11" x14ac:dyDescent="0.25">
      <c r="A424">
        <v>132.50828825332599</v>
      </c>
      <c r="B424">
        <v>7.1398358126822199</v>
      </c>
      <c r="C424">
        <v>2000</v>
      </c>
    </row>
    <row r="425" spans="1:11" x14ac:dyDescent="0.25">
      <c r="A425">
        <v>131.63425620442899</v>
      </c>
      <c r="B425">
        <v>7.1398358126822199</v>
      </c>
      <c r="C425">
        <v>2001</v>
      </c>
    </row>
    <row r="426" spans="1:11" x14ac:dyDescent="0.25">
      <c r="A426">
        <v>142.21099479464399</v>
      </c>
      <c r="B426">
        <v>17.716574402897798</v>
      </c>
      <c r="C426">
        <v>2001</v>
      </c>
    </row>
    <row r="427" spans="1:11" x14ac:dyDescent="0.25">
      <c r="A427">
        <v>150</v>
      </c>
      <c r="B427">
        <v>25.505579608253399</v>
      </c>
      <c r="C427">
        <v>2001</v>
      </c>
    </row>
    <row r="428" spans="1:11" x14ac:dyDescent="0.25">
      <c r="A428">
        <v>150</v>
      </c>
      <c r="B428">
        <v>24.631547559355699</v>
      </c>
      <c r="C428">
        <v>2000</v>
      </c>
    </row>
    <row r="429" spans="1:11" x14ac:dyDescent="0.25">
      <c r="A429" t="s">
        <v>87</v>
      </c>
    </row>
    <row r="430" spans="1:11" x14ac:dyDescent="0.25">
      <c r="A430">
        <v>701</v>
      </c>
      <c r="B430">
        <v>1</v>
      </c>
      <c r="C430">
        <v>12.1777022484894</v>
      </c>
      <c r="D430">
        <v>12.969279859734</v>
      </c>
      <c r="E430">
        <v>8</v>
      </c>
      <c r="F430">
        <v>1.01722196789785</v>
      </c>
      <c r="G430" t="s">
        <v>85</v>
      </c>
      <c r="H430" t="s">
        <v>85</v>
      </c>
      <c r="I430">
        <v>785</v>
      </c>
      <c r="J430">
        <v>429</v>
      </c>
      <c r="K430">
        <v>0</v>
      </c>
    </row>
    <row r="431" spans="1:11" x14ac:dyDescent="0.25">
      <c r="A431" t="s">
        <v>86</v>
      </c>
    </row>
    <row r="432" spans="1:11" x14ac:dyDescent="0.25">
      <c r="A432">
        <v>66.775574004632404</v>
      </c>
      <c r="B432">
        <v>54.723737657404598</v>
      </c>
      <c r="C432">
        <v>2000</v>
      </c>
    </row>
    <row r="433" spans="1:11" x14ac:dyDescent="0.25">
      <c r="A433">
        <v>57.950708040944598</v>
      </c>
      <c r="B433">
        <v>63.548603621092397</v>
      </c>
      <c r="C433">
        <v>2000</v>
      </c>
    </row>
    <row r="434" spans="1:11" x14ac:dyDescent="0.25">
      <c r="A434">
        <v>57.950708040944598</v>
      </c>
      <c r="B434">
        <v>62.674571572194701</v>
      </c>
      <c r="C434">
        <v>2001</v>
      </c>
    </row>
    <row r="435" spans="1:11" x14ac:dyDescent="0.25">
      <c r="A435">
        <v>66.347713755611906</v>
      </c>
      <c r="B435">
        <v>54.277565857527399</v>
      </c>
      <c r="C435">
        <v>2001</v>
      </c>
    </row>
    <row r="436" spans="1:11" x14ac:dyDescent="0.25">
      <c r="A436">
        <v>70.736551302772099</v>
      </c>
      <c r="B436">
        <v>49.888728310367298</v>
      </c>
      <c r="C436">
        <v>2001</v>
      </c>
    </row>
    <row r="437" spans="1:11" x14ac:dyDescent="0.25">
      <c r="A437">
        <v>75.2952935915974</v>
      </c>
      <c r="B437">
        <v>45.329986021541998</v>
      </c>
      <c r="C437">
        <v>2001</v>
      </c>
    </row>
    <row r="438" spans="1:11" x14ac:dyDescent="0.25">
      <c r="A438">
        <v>76.169325640495003</v>
      </c>
      <c r="B438">
        <v>45.329986021541998</v>
      </c>
      <c r="C438">
        <v>2000</v>
      </c>
    </row>
    <row r="439" spans="1:11" x14ac:dyDescent="0.25">
      <c r="A439">
        <v>71.3880399724043</v>
      </c>
      <c r="B439">
        <v>50.111271689632702</v>
      </c>
      <c r="C439">
        <v>2000</v>
      </c>
    </row>
    <row r="440" spans="1:11" x14ac:dyDescent="0.25">
      <c r="A440" t="s">
        <v>87</v>
      </c>
    </row>
    <row r="441" spans="1:11" x14ac:dyDescent="0.25">
      <c r="A441">
        <v>1034</v>
      </c>
      <c r="B441">
        <v>1</v>
      </c>
      <c r="C441">
        <v>8.3217097962176805</v>
      </c>
      <c r="D441">
        <v>16.736445869557699</v>
      </c>
      <c r="E441">
        <v>6</v>
      </c>
      <c r="F441">
        <v>1.01722196789785</v>
      </c>
      <c r="G441" t="s">
        <v>88</v>
      </c>
      <c r="H441" t="s">
        <v>89</v>
      </c>
      <c r="I441">
        <v>0</v>
      </c>
      <c r="J441">
        <v>44</v>
      </c>
      <c r="K441">
        <v>9.3842356677082794E-2</v>
      </c>
    </row>
    <row r="442" spans="1:11" x14ac:dyDescent="0.25">
      <c r="A442" t="s">
        <v>86</v>
      </c>
    </row>
    <row r="443" spans="1:11" x14ac:dyDescent="0.25">
      <c r="A443">
        <v>5.9569030345606997</v>
      </c>
      <c r="B443">
        <v>36.795811471199997</v>
      </c>
      <c r="C443">
        <v>2000</v>
      </c>
    </row>
    <row r="444" spans="1:11" x14ac:dyDescent="0.25">
      <c r="A444">
        <v>0</v>
      </c>
      <c r="B444">
        <v>42.7527145057607</v>
      </c>
      <c r="C444">
        <v>2000</v>
      </c>
    </row>
    <row r="445" spans="1:11" x14ac:dyDescent="0.25">
      <c r="A445">
        <v>0</v>
      </c>
      <c r="B445">
        <v>41.878682456863103</v>
      </c>
      <c r="C445">
        <v>2001</v>
      </c>
    </row>
    <row r="446" spans="1:11" x14ac:dyDescent="0.25">
      <c r="A446">
        <v>5.81177182138339</v>
      </c>
      <c r="B446">
        <v>36.066910635479701</v>
      </c>
      <c r="C446">
        <v>2001</v>
      </c>
    </row>
    <row r="447" spans="1:11" x14ac:dyDescent="0.25">
      <c r="A447">
        <v>17.500283783073499</v>
      </c>
      <c r="B447">
        <v>24.378398673789601</v>
      </c>
      <c r="C447">
        <v>2001</v>
      </c>
    </row>
    <row r="448" spans="1:11" x14ac:dyDescent="0.25">
      <c r="A448">
        <v>17.937299807522301</v>
      </c>
      <c r="B448">
        <v>24.815414698238399</v>
      </c>
      <c r="C448">
        <v>2000</v>
      </c>
    </row>
    <row r="449" spans="1:11" x14ac:dyDescent="0.25">
      <c r="A449" t="s">
        <v>87</v>
      </c>
    </row>
    <row r="450" spans="1:11" x14ac:dyDescent="0.25">
      <c r="A450">
        <v>270</v>
      </c>
      <c r="B450">
        <v>0</v>
      </c>
      <c r="C450">
        <v>10.3702596410221</v>
      </c>
      <c r="D450">
        <v>14.511841015788599</v>
      </c>
      <c r="E450">
        <v>6</v>
      </c>
      <c r="F450">
        <v>1.01722196789785</v>
      </c>
      <c r="G450" t="s">
        <v>88</v>
      </c>
      <c r="H450" t="s">
        <v>85</v>
      </c>
      <c r="I450">
        <v>0</v>
      </c>
      <c r="J450">
        <v>307</v>
      </c>
      <c r="K450">
        <v>0</v>
      </c>
    </row>
    <row r="451" spans="1:11" x14ac:dyDescent="0.25">
      <c r="A451" t="s">
        <v>86</v>
      </c>
    </row>
    <row r="452" spans="1:11" x14ac:dyDescent="0.25">
      <c r="A452">
        <v>7.51501865727296</v>
      </c>
      <c r="B452">
        <v>121.499951825902</v>
      </c>
      <c r="C452">
        <v>2000</v>
      </c>
    </row>
    <row r="453" spans="1:11" x14ac:dyDescent="0.25">
      <c r="A453">
        <v>0</v>
      </c>
      <c r="B453">
        <v>113.984933168629</v>
      </c>
      <c r="C453">
        <v>2000</v>
      </c>
    </row>
    <row r="454" spans="1:11" x14ac:dyDescent="0.25">
      <c r="A454">
        <v>0</v>
      </c>
      <c r="B454">
        <v>114.858965217527</v>
      </c>
      <c r="C454">
        <v>2001</v>
      </c>
    </row>
    <row r="455" spans="1:11" x14ac:dyDescent="0.25">
      <c r="A455">
        <v>7.1507431723909303</v>
      </c>
      <c r="B455">
        <v>122.009708389918</v>
      </c>
      <c r="C455">
        <v>2001</v>
      </c>
    </row>
    <row r="456" spans="1:11" x14ac:dyDescent="0.25">
      <c r="A456">
        <v>17.1572860801483</v>
      </c>
      <c r="B456">
        <v>132.01625129767501</v>
      </c>
      <c r="C456">
        <v>2001</v>
      </c>
    </row>
    <row r="457" spans="1:11" x14ac:dyDescent="0.25">
      <c r="A457">
        <v>18.031318129045999</v>
      </c>
      <c r="B457">
        <v>132.01625129767501</v>
      </c>
      <c r="C457">
        <v>2000</v>
      </c>
    </row>
    <row r="458" spans="1:11" x14ac:dyDescent="0.25">
      <c r="A458" t="s">
        <v>87</v>
      </c>
    </row>
    <row r="459" spans="1:11" x14ac:dyDescent="0.25">
      <c r="A459">
        <v>314</v>
      </c>
      <c r="B459">
        <v>1</v>
      </c>
      <c r="C459">
        <v>9.8016429744072298</v>
      </c>
      <c r="D459">
        <v>14.845482416400801</v>
      </c>
      <c r="E459">
        <v>6</v>
      </c>
      <c r="F459">
        <v>1.01722196789785</v>
      </c>
      <c r="G459" t="s">
        <v>85</v>
      </c>
      <c r="H459" t="s">
        <v>85</v>
      </c>
      <c r="I459">
        <v>270</v>
      </c>
      <c r="J459">
        <v>829</v>
      </c>
      <c r="K459">
        <v>0</v>
      </c>
    </row>
    <row r="460" spans="1:11" x14ac:dyDescent="0.25">
      <c r="A460" t="s">
        <v>86</v>
      </c>
    </row>
    <row r="461" spans="1:11" x14ac:dyDescent="0.25">
      <c r="A461">
        <v>19.3197474032218</v>
      </c>
      <c r="B461">
        <v>119.790648292387</v>
      </c>
      <c r="C461">
        <v>2000</v>
      </c>
    </row>
    <row r="462" spans="1:11" x14ac:dyDescent="0.25">
      <c r="A462">
        <v>12.5627312634898</v>
      </c>
      <c r="B462">
        <v>126.54766443211901</v>
      </c>
      <c r="C462">
        <v>2000</v>
      </c>
    </row>
    <row r="463" spans="1:11" x14ac:dyDescent="0.25">
      <c r="A463">
        <v>12.5627312634898</v>
      </c>
      <c r="B463">
        <v>127.42169648101699</v>
      </c>
      <c r="C463">
        <v>2001</v>
      </c>
    </row>
    <row r="464" spans="1:11" x14ac:dyDescent="0.25">
      <c r="A464">
        <v>19.667331551703398</v>
      </c>
      <c r="B464">
        <v>120.31709619280301</v>
      </c>
      <c r="C464">
        <v>2001</v>
      </c>
    </row>
    <row r="465" spans="1:11" x14ac:dyDescent="0.25">
      <c r="A465">
        <v>30.427896788534099</v>
      </c>
      <c r="B465">
        <v>109.55653095597199</v>
      </c>
      <c r="C465">
        <v>2001</v>
      </c>
    </row>
    <row r="466" spans="1:11" x14ac:dyDescent="0.25">
      <c r="A466">
        <v>29.553864739636399</v>
      </c>
      <c r="B466">
        <v>109.55653095597199</v>
      </c>
      <c r="C466">
        <v>2000</v>
      </c>
    </row>
    <row r="467" spans="1:11" x14ac:dyDescent="0.25">
      <c r="A467" t="s">
        <v>87</v>
      </c>
    </row>
    <row r="468" spans="1:11" x14ac:dyDescent="0.25">
      <c r="A468">
        <v>930</v>
      </c>
      <c r="B468">
        <v>1</v>
      </c>
      <c r="C468">
        <v>10.4949412636229</v>
      </c>
      <c r="D468">
        <v>14.1521841271851</v>
      </c>
      <c r="E468">
        <v>6</v>
      </c>
      <c r="F468">
        <v>1.01722196789785</v>
      </c>
      <c r="G468" t="s">
        <v>85</v>
      </c>
      <c r="H468" t="s">
        <v>85</v>
      </c>
      <c r="I468">
        <v>270</v>
      </c>
      <c r="J468">
        <v>829</v>
      </c>
      <c r="K468">
        <v>9.2142179589674397E-2</v>
      </c>
    </row>
    <row r="469" spans="1:11" x14ac:dyDescent="0.25">
      <c r="A469" t="s">
        <v>86</v>
      </c>
    </row>
    <row r="470" spans="1:11" x14ac:dyDescent="0.25">
      <c r="A470">
        <v>20.551832659098899</v>
      </c>
      <c r="B470">
        <v>120.066847327533</v>
      </c>
      <c r="C470">
        <v>2000</v>
      </c>
    </row>
    <row r="471" spans="1:11" x14ac:dyDescent="0.25">
      <c r="A471">
        <v>13.3168734090016</v>
      </c>
      <c r="B471">
        <v>127.301806577631</v>
      </c>
      <c r="C471">
        <v>2000</v>
      </c>
    </row>
    <row r="472" spans="1:11" x14ac:dyDescent="0.25">
      <c r="A472">
        <v>13.3168734090016</v>
      </c>
      <c r="B472">
        <v>128.17583862652799</v>
      </c>
      <c r="C472">
        <v>2001</v>
      </c>
    </row>
    <row r="473" spans="1:11" x14ac:dyDescent="0.25">
      <c r="A473">
        <v>20.9240024302287</v>
      </c>
      <c r="B473">
        <v>120.568709605301</v>
      </c>
      <c r="C473">
        <v>2001</v>
      </c>
    </row>
    <row r="474" spans="1:11" x14ac:dyDescent="0.25">
      <c r="A474">
        <v>31.182038934045799</v>
      </c>
      <c r="B474">
        <v>110.310673101484</v>
      </c>
      <c r="C474">
        <v>2001</v>
      </c>
    </row>
    <row r="475" spans="1:11" x14ac:dyDescent="0.25">
      <c r="A475">
        <v>30.308006885148199</v>
      </c>
      <c r="B475">
        <v>110.310673101484</v>
      </c>
      <c r="C475">
        <v>2000</v>
      </c>
    </row>
    <row r="476" spans="1:11" x14ac:dyDescent="0.25">
      <c r="A476" t="s">
        <v>87</v>
      </c>
    </row>
    <row r="477" spans="1:11" x14ac:dyDescent="0.25">
      <c r="A477">
        <v>1172</v>
      </c>
      <c r="B477">
        <v>1</v>
      </c>
      <c r="C477">
        <v>15.0270184089898</v>
      </c>
      <c r="D477">
        <v>9.4656198817264396</v>
      </c>
      <c r="E477">
        <v>6</v>
      </c>
      <c r="F477">
        <v>1.01722196789785</v>
      </c>
      <c r="G477" t="s">
        <v>88</v>
      </c>
      <c r="H477" t="s">
        <v>85</v>
      </c>
      <c r="I477">
        <v>0</v>
      </c>
      <c r="J477">
        <v>30</v>
      </c>
      <c r="K477">
        <v>9.5469883166703101E-2</v>
      </c>
    </row>
    <row r="478" spans="1:11" x14ac:dyDescent="0.25">
      <c r="A478" t="s">
        <v>86</v>
      </c>
    </row>
    <row r="479" spans="1:11" x14ac:dyDescent="0.25">
      <c r="A479">
        <v>10.3575832837075</v>
      </c>
      <c r="B479">
        <v>26.722275226628</v>
      </c>
      <c r="C479">
        <v>2000</v>
      </c>
    </row>
    <row r="480" spans="1:11" x14ac:dyDescent="0.25">
      <c r="A480">
        <v>0</v>
      </c>
      <c r="B480">
        <v>37.079858510335498</v>
      </c>
      <c r="C480">
        <v>2000</v>
      </c>
    </row>
    <row r="481" spans="1:11" x14ac:dyDescent="0.25">
      <c r="A481">
        <v>0</v>
      </c>
      <c r="B481">
        <v>37.953890559233102</v>
      </c>
      <c r="C481">
        <v>2001</v>
      </c>
    </row>
    <row r="482" spans="1:11" x14ac:dyDescent="0.25">
      <c r="A482">
        <v>10.8938299523161</v>
      </c>
      <c r="B482">
        <v>27.060060606916998</v>
      </c>
      <c r="C482">
        <v>2001</v>
      </c>
    </row>
    <row r="483" spans="1:11" x14ac:dyDescent="0.25">
      <c r="A483">
        <v>17.755926648963602</v>
      </c>
      <c r="B483">
        <v>20.1979639102695</v>
      </c>
      <c r="C483">
        <v>2001</v>
      </c>
    </row>
    <row r="484" spans="1:11" x14ac:dyDescent="0.25">
      <c r="A484">
        <v>16.881894600065898</v>
      </c>
      <c r="B484">
        <v>20.1979639102695</v>
      </c>
      <c r="C484">
        <v>2000</v>
      </c>
    </row>
    <row r="485" spans="1:11" x14ac:dyDescent="0.25">
      <c r="A485" t="s">
        <v>87</v>
      </c>
    </row>
    <row r="486" spans="1:11" x14ac:dyDescent="0.25">
      <c r="A486">
        <v>555</v>
      </c>
      <c r="B486">
        <v>1</v>
      </c>
      <c r="C486">
        <v>8.9491983827036705</v>
      </c>
      <c r="D486">
        <v>15.311894950962699</v>
      </c>
      <c r="E486">
        <v>8</v>
      </c>
      <c r="F486">
        <v>1.01722196789785</v>
      </c>
      <c r="G486" t="s">
        <v>85</v>
      </c>
      <c r="H486" t="s">
        <v>88</v>
      </c>
      <c r="I486">
        <v>791</v>
      </c>
      <c r="J486">
        <v>0</v>
      </c>
      <c r="K486">
        <v>0</v>
      </c>
    </row>
    <row r="487" spans="1:11" x14ac:dyDescent="0.25">
      <c r="A487" t="s">
        <v>86</v>
      </c>
    </row>
    <row r="488" spans="1:11" x14ac:dyDescent="0.25">
      <c r="A488">
        <v>139.31386372875301</v>
      </c>
      <c r="B488">
        <v>102.121045026099</v>
      </c>
      <c r="C488">
        <v>2000</v>
      </c>
    </row>
    <row r="489" spans="1:11" x14ac:dyDescent="0.25">
      <c r="A489">
        <v>132.84481638476501</v>
      </c>
      <c r="B489">
        <v>108.59009237008701</v>
      </c>
      <c r="C489">
        <v>2000</v>
      </c>
    </row>
    <row r="490" spans="1:11" x14ac:dyDescent="0.25">
      <c r="A490">
        <v>132.84481638476501</v>
      </c>
      <c r="B490">
        <v>107.716060321189</v>
      </c>
      <c r="C490">
        <v>2001</v>
      </c>
    </row>
    <row r="491" spans="1:11" x14ac:dyDescent="0.25">
      <c r="A491">
        <v>139.031846765963</v>
      </c>
      <c r="B491">
        <v>101.52902993999</v>
      </c>
      <c r="C491">
        <v>2001</v>
      </c>
    </row>
    <row r="492" spans="1:11" x14ac:dyDescent="0.25">
      <c r="A492">
        <v>140.816216710524</v>
      </c>
      <c r="B492">
        <v>99.744659995429899</v>
      </c>
      <c r="C492">
        <v>2001</v>
      </c>
    </row>
    <row r="493" spans="1:11" x14ac:dyDescent="0.25">
      <c r="A493">
        <v>150</v>
      </c>
      <c r="B493">
        <v>90.560876705953902</v>
      </c>
      <c r="C493">
        <v>2001</v>
      </c>
    </row>
    <row r="494" spans="1:11" x14ac:dyDescent="0.25">
      <c r="A494">
        <v>150</v>
      </c>
      <c r="B494">
        <v>91.434908754851506</v>
      </c>
      <c r="C494">
        <v>2000</v>
      </c>
    </row>
    <row r="495" spans="1:11" x14ac:dyDescent="0.25">
      <c r="A495">
        <v>141.17956875028099</v>
      </c>
      <c r="B495">
        <v>100.25534000457</v>
      </c>
      <c r="C495">
        <v>2000</v>
      </c>
    </row>
    <row r="496" spans="1:11" x14ac:dyDescent="0.25">
      <c r="A496" t="s">
        <v>87</v>
      </c>
    </row>
    <row r="497" spans="1:11" x14ac:dyDescent="0.25">
      <c r="A497">
        <v>781</v>
      </c>
      <c r="B497">
        <v>0</v>
      </c>
      <c r="C497">
        <v>18.956965030879399</v>
      </c>
      <c r="D497">
        <v>5.2790324063470004</v>
      </c>
      <c r="E497">
        <v>8</v>
      </c>
      <c r="F497">
        <v>1.01722196789785</v>
      </c>
      <c r="G497" t="s">
        <v>85</v>
      </c>
      <c r="H497" t="s">
        <v>85</v>
      </c>
      <c r="I497">
        <v>319</v>
      </c>
      <c r="J497">
        <v>239</v>
      </c>
      <c r="K497">
        <v>8.9537010595109504E-2</v>
      </c>
    </row>
    <row r="498" spans="1:11" x14ac:dyDescent="0.25">
      <c r="A498" t="s">
        <v>86</v>
      </c>
    </row>
    <row r="499" spans="1:11" x14ac:dyDescent="0.25">
      <c r="A499">
        <v>58.320627360325503</v>
      </c>
      <c r="B499">
        <v>146.668972797566</v>
      </c>
      <c r="C499">
        <v>2000</v>
      </c>
    </row>
    <row r="500" spans="1:11" x14ac:dyDescent="0.25">
      <c r="A500">
        <v>49.917541710081203</v>
      </c>
      <c r="B500">
        <v>138.26588714732199</v>
      </c>
      <c r="C500">
        <v>2000</v>
      </c>
    </row>
    <row r="501" spans="1:11" x14ac:dyDescent="0.25">
      <c r="A501">
        <v>44.941511480110499</v>
      </c>
      <c r="B501">
        <v>133.28985691735099</v>
      </c>
      <c r="C501">
        <v>2000</v>
      </c>
    </row>
    <row r="502" spans="1:11" x14ac:dyDescent="0.25">
      <c r="A502">
        <v>44.941511480110499</v>
      </c>
      <c r="B502">
        <v>132.415824868453</v>
      </c>
      <c r="C502">
        <v>2001</v>
      </c>
    </row>
    <row r="503" spans="1:11" x14ac:dyDescent="0.25">
      <c r="A503">
        <v>50.082458289918797</v>
      </c>
      <c r="B503">
        <v>137.55677167826201</v>
      </c>
      <c r="C503">
        <v>2001</v>
      </c>
    </row>
    <row r="504" spans="1:11" x14ac:dyDescent="0.25">
      <c r="A504">
        <v>58.371592647997602</v>
      </c>
      <c r="B504">
        <v>145.84590603634001</v>
      </c>
      <c r="C504">
        <v>2001</v>
      </c>
    </row>
    <row r="505" spans="1:11" x14ac:dyDescent="0.25">
      <c r="A505">
        <v>62.078949616793103</v>
      </c>
      <c r="B505">
        <v>149.55326300513599</v>
      </c>
      <c r="C505">
        <v>2001</v>
      </c>
    </row>
    <row r="506" spans="1:11" x14ac:dyDescent="0.25">
      <c r="A506">
        <v>62.078949616792997</v>
      </c>
      <c r="B506">
        <v>150.42729505403301</v>
      </c>
      <c r="C506">
        <v>2000</v>
      </c>
    </row>
    <row r="507" spans="1:11" x14ac:dyDescent="0.25">
      <c r="A507" t="s">
        <v>87</v>
      </c>
    </row>
    <row r="508" spans="1:11" x14ac:dyDescent="0.25">
      <c r="A508">
        <v>429</v>
      </c>
      <c r="B508">
        <v>0</v>
      </c>
      <c r="C508">
        <v>12.8985746194478</v>
      </c>
      <c r="D508">
        <v>11.297282043992899</v>
      </c>
      <c r="E508">
        <v>8</v>
      </c>
      <c r="F508">
        <v>1.01722196789785</v>
      </c>
      <c r="G508" t="s">
        <v>85</v>
      </c>
      <c r="H508" t="s">
        <v>85</v>
      </c>
      <c r="I508">
        <v>478</v>
      </c>
      <c r="J508">
        <v>708</v>
      </c>
      <c r="K508">
        <v>0</v>
      </c>
    </row>
    <row r="509" spans="1:11" x14ac:dyDescent="0.25">
      <c r="A509" t="s">
        <v>86</v>
      </c>
    </row>
    <row r="510" spans="1:11" x14ac:dyDescent="0.25">
      <c r="A510">
        <v>75.874888847301804</v>
      </c>
      <c r="B510">
        <v>45.035549228348799</v>
      </c>
      <c r="C510">
        <v>2000</v>
      </c>
    </row>
    <row r="511" spans="1:11" x14ac:dyDescent="0.25">
      <c r="A511">
        <v>66.525095417874397</v>
      </c>
      <c r="B511">
        <v>35.685755798921399</v>
      </c>
      <c r="C511">
        <v>2000</v>
      </c>
    </row>
    <row r="512" spans="1:11" x14ac:dyDescent="0.25">
      <c r="A512">
        <v>66.525095417874397</v>
      </c>
      <c r="B512">
        <v>36.559787847819102</v>
      </c>
      <c r="C512">
        <v>2001</v>
      </c>
    </row>
    <row r="513" spans="1:11" x14ac:dyDescent="0.25">
      <c r="A513">
        <v>75.416641150551499</v>
      </c>
      <c r="B513">
        <v>45.451333580496097</v>
      </c>
      <c r="C513">
        <v>2001</v>
      </c>
    </row>
    <row r="514" spans="1:11" x14ac:dyDescent="0.25">
      <c r="A514">
        <v>80.053708408266601</v>
      </c>
      <c r="B514">
        <v>50.0884008382112</v>
      </c>
      <c r="C514">
        <v>2001</v>
      </c>
    </row>
    <row r="515" spans="1:11" x14ac:dyDescent="0.25">
      <c r="A515">
        <v>83.197133716762195</v>
      </c>
      <c r="B515">
        <v>53.231826146706901</v>
      </c>
      <c r="C515">
        <v>2001</v>
      </c>
    </row>
    <row r="516" spans="1:11" x14ac:dyDescent="0.25">
      <c r="A516">
        <v>84.071165765659899</v>
      </c>
      <c r="B516">
        <v>53.231826146706901</v>
      </c>
      <c r="C516">
        <v>2000</v>
      </c>
    </row>
    <row r="517" spans="1:11" x14ac:dyDescent="0.25">
      <c r="A517">
        <v>80.750938780741805</v>
      </c>
      <c r="B517">
        <v>49.9115991617888</v>
      </c>
      <c r="C517">
        <v>2000</v>
      </c>
    </row>
    <row r="518" spans="1:11" x14ac:dyDescent="0.25">
      <c r="A518" t="s">
        <v>87</v>
      </c>
    </row>
    <row r="519" spans="1:11" x14ac:dyDescent="0.25">
      <c r="A519">
        <v>116</v>
      </c>
      <c r="B519">
        <v>0</v>
      </c>
      <c r="C519">
        <v>12.8521081305332</v>
      </c>
      <c r="D519">
        <v>11.2875354206341</v>
      </c>
      <c r="E519">
        <v>6</v>
      </c>
      <c r="F519">
        <v>1.01722196789785</v>
      </c>
      <c r="G519" t="s">
        <v>85</v>
      </c>
      <c r="H519" t="s">
        <v>88</v>
      </c>
      <c r="I519">
        <v>790</v>
      </c>
      <c r="J519">
        <v>0</v>
      </c>
      <c r="K519">
        <v>0</v>
      </c>
    </row>
    <row r="520" spans="1:11" x14ac:dyDescent="0.25">
      <c r="A520" t="s">
        <v>86</v>
      </c>
    </row>
    <row r="521" spans="1:11" x14ac:dyDescent="0.25">
      <c r="A521">
        <v>142.01850716118599</v>
      </c>
      <c r="B521">
        <v>15.805242528108</v>
      </c>
      <c r="C521">
        <v>2000</v>
      </c>
    </row>
    <row r="522" spans="1:11" x14ac:dyDescent="0.25">
      <c r="A522">
        <v>132.93069434954401</v>
      </c>
      <c r="B522">
        <v>6.7174297164651904</v>
      </c>
      <c r="C522">
        <v>2000</v>
      </c>
    </row>
    <row r="523" spans="1:11" x14ac:dyDescent="0.25">
      <c r="A523">
        <v>132.93069434954401</v>
      </c>
      <c r="B523">
        <v>5.8433976675675297</v>
      </c>
      <c r="C523">
        <v>2001</v>
      </c>
    </row>
    <row r="524" spans="1:11" x14ac:dyDescent="0.25">
      <c r="A524">
        <v>142.01850716118599</v>
      </c>
      <c r="B524">
        <v>14.9312104792103</v>
      </c>
      <c r="C524">
        <v>2001</v>
      </c>
    </row>
    <row r="525" spans="1:11" x14ac:dyDescent="0.25">
      <c r="A525">
        <v>150</v>
      </c>
      <c r="B525">
        <v>22.912703318024001</v>
      </c>
      <c r="C525">
        <v>2001</v>
      </c>
    </row>
    <row r="526" spans="1:11" x14ac:dyDescent="0.25">
      <c r="A526">
        <v>150</v>
      </c>
      <c r="B526">
        <v>23.7867353669217</v>
      </c>
      <c r="C526">
        <v>2000</v>
      </c>
    </row>
    <row r="527" spans="1:11" x14ac:dyDescent="0.25">
      <c r="A527" t="s">
        <v>87</v>
      </c>
    </row>
    <row r="528" spans="1:11" x14ac:dyDescent="0.25">
      <c r="A528">
        <v>427</v>
      </c>
      <c r="B528">
        <v>0</v>
      </c>
      <c r="C528">
        <v>4.32940626984632</v>
      </c>
      <c r="D528">
        <v>19.793016770483099</v>
      </c>
      <c r="E528">
        <v>6</v>
      </c>
      <c r="F528">
        <v>1.01722196789785</v>
      </c>
      <c r="G528" t="s">
        <v>88</v>
      </c>
      <c r="H528" t="s">
        <v>85</v>
      </c>
      <c r="I528">
        <v>0</v>
      </c>
      <c r="J528">
        <v>152</v>
      </c>
      <c r="K528">
        <v>0</v>
      </c>
    </row>
    <row r="529" spans="1:11" x14ac:dyDescent="0.25">
      <c r="A529" t="s">
        <v>86</v>
      </c>
    </row>
    <row r="530" spans="1:11" x14ac:dyDescent="0.25">
      <c r="A530">
        <v>82.050859167273202</v>
      </c>
      <c r="B530">
        <v>3.0613525319198902</v>
      </c>
      <c r="C530">
        <v>2000</v>
      </c>
    </row>
    <row r="531" spans="1:11" x14ac:dyDescent="0.25">
      <c r="A531">
        <v>78.989506635353294</v>
      </c>
      <c r="B531">
        <v>0</v>
      </c>
      <c r="C531">
        <v>2000</v>
      </c>
    </row>
    <row r="532" spans="1:11" x14ac:dyDescent="0.25">
      <c r="A532">
        <v>79.863538684250898</v>
      </c>
      <c r="B532">
        <v>0</v>
      </c>
      <c r="C532">
        <v>2001</v>
      </c>
    </row>
    <row r="533" spans="1:11" x14ac:dyDescent="0.25">
      <c r="A533">
        <v>82.924891216170806</v>
      </c>
      <c r="B533">
        <v>3.0613525319198902</v>
      </c>
      <c r="C533">
        <v>2001</v>
      </c>
    </row>
    <row r="534" spans="1:11" x14ac:dyDescent="0.25">
      <c r="A534">
        <v>96.920667594718495</v>
      </c>
      <c r="B534">
        <v>17.0571289104676</v>
      </c>
      <c r="C534">
        <v>2001</v>
      </c>
    </row>
    <row r="535" spans="1:11" x14ac:dyDescent="0.25">
      <c r="A535">
        <v>96.046635545820905</v>
      </c>
      <c r="B535">
        <v>17.0571289104676</v>
      </c>
      <c r="C535">
        <v>2000</v>
      </c>
    </row>
    <row r="536" spans="1:11" x14ac:dyDescent="0.25">
      <c r="A536" t="s">
        <v>87</v>
      </c>
    </row>
    <row r="537" spans="1:11" x14ac:dyDescent="0.25">
      <c r="A537">
        <v>238</v>
      </c>
      <c r="B537">
        <v>1</v>
      </c>
      <c r="C537">
        <v>7.1838175892073197</v>
      </c>
      <c r="D537">
        <v>16.899264891232001</v>
      </c>
      <c r="E537">
        <v>8</v>
      </c>
      <c r="F537">
        <v>1.01722196789785</v>
      </c>
      <c r="G537" t="s">
        <v>85</v>
      </c>
      <c r="H537" t="s">
        <v>85</v>
      </c>
      <c r="I537">
        <v>185</v>
      </c>
      <c r="J537">
        <v>600</v>
      </c>
      <c r="K537">
        <v>0</v>
      </c>
    </row>
    <row r="538" spans="1:11" x14ac:dyDescent="0.25">
      <c r="A538" t="s">
        <v>86</v>
      </c>
    </row>
    <row r="539" spans="1:11" x14ac:dyDescent="0.25">
      <c r="A539">
        <v>94.212338030375506</v>
      </c>
      <c r="B539">
        <v>113.327193763796</v>
      </c>
      <c r="C539">
        <v>2000</v>
      </c>
    </row>
    <row r="540" spans="1:11" x14ac:dyDescent="0.25">
      <c r="A540">
        <v>88.979431322309495</v>
      </c>
      <c r="B540">
        <v>118.560100471862</v>
      </c>
      <c r="C540">
        <v>2000</v>
      </c>
    </row>
    <row r="541" spans="1:11" x14ac:dyDescent="0.25">
      <c r="A541">
        <v>89.853463371207098</v>
      </c>
      <c r="B541">
        <v>118.560100471862</v>
      </c>
      <c r="C541">
        <v>2001</v>
      </c>
    </row>
    <row r="542" spans="1:11" x14ac:dyDescent="0.25">
      <c r="A542">
        <v>94.780008927412496</v>
      </c>
      <c r="B542">
        <v>113.63355491565601</v>
      </c>
      <c r="C542">
        <v>2001</v>
      </c>
    </row>
    <row r="543" spans="1:11" x14ac:dyDescent="0.25">
      <c r="A543">
        <v>100.117866005601</v>
      </c>
      <c r="B543">
        <v>108.295697837468</v>
      </c>
      <c r="C543">
        <v>2001</v>
      </c>
    </row>
    <row r="544" spans="1:11" x14ac:dyDescent="0.25">
      <c r="A544">
        <v>106.445758280552</v>
      </c>
      <c r="B544">
        <v>101.967805562517</v>
      </c>
      <c r="C544">
        <v>2001</v>
      </c>
    </row>
    <row r="545" spans="1:11" x14ac:dyDescent="0.25">
      <c r="A545">
        <v>106.445758280552</v>
      </c>
      <c r="B545">
        <v>101.093773513619</v>
      </c>
      <c r="C545">
        <v>2000</v>
      </c>
    </row>
    <row r="546" spans="1:11" x14ac:dyDescent="0.25">
      <c r="A546">
        <v>99.882133994398899</v>
      </c>
      <c r="B546">
        <v>107.657397799772</v>
      </c>
      <c r="C546">
        <v>2000</v>
      </c>
    </row>
    <row r="547" spans="1:11" x14ac:dyDescent="0.25">
      <c r="A547" t="s">
        <v>87</v>
      </c>
    </row>
    <row r="548" spans="1:11" x14ac:dyDescent="0.25">
      <c r="A548">
        <v>390</v>
      </c>
      <c r="B548">
        <v>1</v>
      </c>
      <c r="C548">
        <v>15.353891651345201</v>
      </c>
      <c r="D548">
        <v>8.5345759614705905</v>
      </c>
      <c r="E548">
        <v>8</v>
      </c>
      <c r="F548">
        <v>1.01722196789785</v>
      </c>
      <c r="G548" t="s">
        <v>85</v>
      </c>
      <c r="H548" t="s">
        <v>85</v>
      </c>
      <c r="I548">
        <v>346</v>
      </c>
      <c r="J548">
        <v>813</v>
      </c>
      <c r="K548">
        <v>0</v>
      </c>
    </row>
    <row r="549" spans="1:11" x14ac:dyDescent="0.25">
      <c r="A549" t="s">
        <v>86</v>
      </c>
    </row>
    <row r="550" spans="1:11" x14ac:dyDescent="0.25">
      <c r="A550">
        <v>33.468577163035199</v>
      </c>
      <c r="B550">
        <v>51.132204075891401</v>
      </c>
      <c r="C550">
        <v>2000</v>
      </c>
    </row>
    <row r="551" spans="1:11" x14ac:dyDescent="0.25">
      <c r="A551">
        <v>22.849319187388399</v>
      </c>
      <c r="B551">
        <v>61.751462051538098</v>
      </c>
      <c r="C551">
        <v>2000</v>
      </c>
    </row>
    <row r="552" spans="1:11" x14ac:dyDescent="0.25">
      <c r="A552">
        <v>22.849319187388399</v>
      </c>
      <c r="B552">
        <v>62.625494100435802</v>
      </c>
      <c r="C552">
        <v>2001</v>
      </c>
    </row>
    <row r="553" spans="1:11" x14ac:dyDescent="0.25">
      <c r="A553">
        <v>33.943743020281197</v>
      </c>
      <c r="B553">
        <v>51.531070267543001</v>
      </c>
      <c r="C553">
        <v>2001</v>
      </c>
    </row>
    <row r="554" spans="1:11" x14ac:dyDescent="0.25">
      <c r="A554">
        <v>35.304520736831797</v>
      </c>
      <c r="B554">
        <v>50.1702925509924</v>
      </c>
      <c r="C554">
        <v>2001</v>
      </c>
    </row>
    <row r="555" spans="1:11" x14ac:dyDescent="0.25">
      <c r="A555">
        <v>40.178032653014597</v>
      </c>
      <c r="B555">
        <v>45.2967806348097</v>
      </c>
      <c r="C555">
        <v>2001</v>
      </c>
    </row>
    <row r="556" spans="1:11" x14ac:dyDescent="0.25">
      <c r="A556">
        <v>39.304000604116901</v>
      </c>
      <c r="B556">
        <v>45.2967806348097</v>
      </c>
      <c r="C556">
        <v>2000</v>
      </c>
    </row>
    <row r="557" spans="1:11" x14ac:dyDescent="0.25">
      <c r="A557">
        <v>34.771073789919001</v>
      </c>
      <c r="B557">
        <v>49.8297074490076</v>
      </c>
      <c r="C557">
        <v>2000</v>
      </c>
    </row>
    <row r="558" spans="1:11" x14ac:dyDescent="0.25">
      <c r="A558" t="s">
        <v>87</v>
      </c>
    </row>
    <row r="559" spans="1:11" x14ac:dyDescent="0.25">
      <c r="A559">
        <v>1064</v>
      </c>
      <c r="B559">
        <v>1</v>
      </c>
      <c r="C559">
        <v>21.9610441228388</v>
      </c>
      <c r="D559">
        <v>1.9274234899770399</v>
      </c>
      <c r="E559">
        <v>8</v>
      </c>
      <c r="F559">
        <v>1.01722196789785</v>
      </c>
      <c r="G559" t="s">
        <v>85</v>
      </c>
      <c r="H559" t="s">
        <v>85</v>
      </c>
      <c r="I559">
        <v>346</v>
      </c>
      <c r="J559">
        <v>813</v>
      </c>
      <c r="K559">
        <v>9.4226499478247905E-2</v>
      </c>
    </row>
    <row r="560" spans="1:11" x14ac:dyDescent="0.25">
      <c r="A560" t="s">
        <v>86</v>
      </c>
    </row>
    <row r="561" spans="1:11" x14ac:dyDescent="0.25">
      <c r="A561">
        <v>37.497748644977499</v>
      </c>
      <c r="B561">
        <v>46.081811444674202</v>
      </c>
      <c r="C561">
        <v>2000</v>
      </c>
    </row>
    <row r="562" spans="1:11" x14ac:dyDescent="0.25">
      <c r="A562">
        <v>33.421388460007002</v>
      </c>
      <c r="B562">
        <v>50.158171629644599</v>
      </c>
      <c r="C562">
        <v>2000</v>
      </c>
    </row>
    <row r="563" spans="1:11" x14ac:dyDescent="0.25">
      <c r="A563">
        <v>22.338708612750999</v>
      </c>
      <c r="B563">
        <v>61.240851476900701</v>
      </c>
      <c r="C563">
        <v>2000</v>
      </c>
    </row>
    <row r="564" spans="1:11" x14ac:dyDescent="0.25">
      <c r="A564">
        <v>21.464676563853399</v>
      </c>
      <c r="B564">
        <v>61.240851476900701</v>
      </c>
      <c r="C564">
        <v>2001</v>
      </c>
    </row>
    <row r="565" spans="1:11" x14ac:dyDescent="0.25">
      <c r="A565">
        <v>32.863699670398702</v>
      </c>
      <c r="B565">
        <v>49.841828370355401</v>
      </c>
      <c r="C565">
        <v>2001</v>
      </c>
    </row>
    <row r="566" spans="1:11" x14ac:dyDescent="0.25">
      <c r="A566">
        <v>37.363242974019499</v>
      </c>
      <c r="B566">
        <v>45.342285066734597</v>
      </c>
      <c r="C566">
        <v>2001</v>
      </c>
    </row>
    <row r="567" spans="1:11" x14ac:dyDescent="0.25">
      <c r="A567">
        <v>38.793390029479497</v>
      </c>
      <c r="B567">
        <v>43.9121380112746</v>
      </c>
      <c r="C567">
        <v>2001</v>
      </c>
    </row>
    <row r="568" spans="1:11" x14ac:dyDescent="0.25">
      <c r="A568">
        <v>38.793390029479497</v>
      </c>
      <c r="B568">
        <v>44.786170060172203</v>
      </c>
      <c r="C568">
        <v>2000</v>
      </c>
    </row>
    <row r="569" spans="1:11" x14ac:dyDescent="0.25">
      <c r="A569" t="s">
        <v>87</v>
      </c>
    </row>
    <row r="570" spans="1:11" x14ac:dyDescent="0.25">
      <c r="A570">
        <v>312</v>
      </c>
      <c r="B570">
        <v>1</v>
      </c>
      <c r="C570">
        <v>9.6118900750339993</v>
      </c>
      <c r="D570">
        <v>14.2028178857482</v>
      </c>
      <c r="E570">
        <v>8</v>
      </c>
      <c r="F570">
        <v>1.01722196789785</v>
      </c>
      <c r="G570" t="s">
        <v>85</v>
      </c>
      <c r="H570" t="s">
        <v>85</v>
      </c>
      <c r="I570">
        <v>271</v>
      </c>
      <c r="J570">
        <v>278</v>
      </c>
      <c r="K570">
        <v>0</v>
      </c>
    </row>
    <row r="571" spans="1:11" x14ac:dyDescent="0.25">
      <c r="A571" t="s">
        <v>86</v>
      </c>
    </row>
    <row r="572" spans="1:11" x14ac:dyDescent="0.25">
      <c r="A572">
        <v>40.258303256686297</v>
      </c>
      <c r="B572">
        <v>124.31753101229501</v>
      </c>
      <c r="C572">
        <v>2000</v>
      </c>
    </row>
    <row r="573" spans="1:11" x14ac:dyDescent="0.25">
      <c r="A573">
        <v>33.454955063049702</v>
      </c>
      <c r="B573">
        <v>131.120879205931</v>
      </c>
      <c r="C573">
        <v>2000</v>
      </c>
    </row>
    <row r="574" spans="1:11" x14ac:dyDescent="0.25">
      <c r="A574">
        <v>34.328987111947399</v>
      </c>
      <c r="B574">
        <v>131.120879205931</v>
      </c>
      <c r="C574">
        <v>2001</v>
      </c>
    </row>
    <row r="575" spans="1:11" x14ac:dyDescent="0.25">
      <c r="A575">
        <v>41.1189042224633</v>
      </c>
      <c r="B575">
        <v>124.330962095416</v>
      </c>
      <c r="C575">
        <v>2001</v>
      </c>
    </row>
    <row r="576" spans="1:11" x14ac:dyDescent="0.25">
      <c r="A576">
        <v>50.421100181537298</v>
      </c>
      <c r="B576">
        <v>115.02876613634101</v>
      </c>
      <c r="C576">
        <v>2001</v>
      </c>
    </row>
    <row r="577" spans="1:11" x14ac:dyDescent="0.25">
      <c r="A577">
        <v>51.168528602993703</v>
      </c>
      <c r="B577">
        <v>114.281337714885</v>
      </c>
      <c r="C577">
        <v>2001</v>
      </c>
    </row>
    <row r="578" spans="1:11" x14ac:dyDescent="0.25">
      <c r="A578">
        <v>50.294496554096099</v>
      </c>
      <c r="B578">
        <v>114.281337714885</v>
      </c>
      <c r="C578">
        <v>2000</v>
      </c>
    </row>
    <row r="579" spans="1:11" x14ac:dyDescent="0.25">
      <c r="A579">
        <v>49.578899818462602</v>
      </c>
      <c r="B579">
        <v>114.99693445051901</v>
      </c>
      <c r="C579">
        <v>2000</v>
      </c>
    </row>
    <row r="580" spans="1:11" x14ac:dyDescent="0.25">
      <c r="A580" t="s">
        <v>87</v>
      </c>
    </row>
    <row r="581" spans="1:11" x14ac:dyDescent="0.25">
      <c r="A581">
        <v>962</v>
      </c>
      <c r="B581">
        <v>0</v>
      </c>
      <c r="C581">
        <v>5.75897682871057</v>
      </c>
      <c r="D581">
        <v>17.983627999357701</v>
      </c>
      <c r="E581">
        <v>10</v>
      </c>
      <c r="F581">
        <v>1.01722196789785</v>
      </c>
      <c r="G581" t="s">
        <v>85</v>
      </c>
      <c r="H581" t="s">
        <v>85</v>
      </c>
      <c r="I581">
        <v>862</v>
      </c>
      <c r="J581">
        <v>230</v>
      </c>
      <c r="K581">
        <v>9.2594931978171202E-2</v>
      </c>
    </row>
    <row r="582" spans="1:11" x14ac:dyDescent="0.25">
      <c r="A582" t="s">
        <v>86</v>
      </c>
    </row>
    <row r="583" spans="1:11" x14ac:dyDescent="0.25">
      <c r="A583">
        <v>49.761096574990297</v>
      </c>
      <c r="B583">
        <v>102.759771291316</v>
      </c>
      <c r="C583">
        <v>2000</v>
      </c>
    </row>
    <row r="584" spans="1:11" x14ac:dyDescent="0.25">
      <c r="A584">
        <v>47.356110531862598</v>
      </c>
      <c r="B584">
        <v>100.35478524818799</v>
      </c>
      <c r="C584">
        <v>2000</v>
      </c>
    </row>
    <row r="585" spans="1:11" x14ac:dyDescent="0.25">
      <c r="A585">
        <v>45.905852339186602</v>
      </c>
      <c r="B585">
        <v>98.904527055511906</v>
      </c>
      <c r="C585">
        <v>2000</v>
      </c>
    </row>
    <row r="586" spans="1:11" x14ac:dyDescent="0.25">
      <c r="A586">
        <v>45.905852339186602</v>
      </c>
      <c r="B586">
        <v>98.030495006614203</v>
      </c>
      <c r="C586">
        <v>2001</v>
      </c>
    </row>
    <row r="587" spans="1:11" x14ac:dyDescent="0.25">
      <c r="A587">
        <v>47.520572084384497</v>
      </c>
      <c r="B587">
        <v>99.645214751812105</v>
      </c>
      <c r="C587">
        <v>2001</v>
      </c>
    </row>
    <row r="588" spans="1:11" x14ac:dyDescent="0.25">
      <c r="A588">
        <v>50.195031239937798</v>
      </c>
      <c r="B588">
        <v>102.319673907365</v>
      </c>
      <c r="C588">
        <v>2001</v>
      </c>
    </row>
    <row r="589" spans="1:11" x14ac:dyDescent="0.25">
      <c r="A589">
        <v>50.218131079083697</v>
      </c>
      <c r="B589">
        <v>102.342773746511</v>
      </c>
      <c r="C589">
        <v>2001</v>
      </c>
    </row>
    <row r="590" spans="1:11" x14ac:dyDescent="0.25">
      <c r="A590">
        <v>62.694409216146198</v>
      </c>
      <c r="B590">
        <v>114.81905188357401</v>
      </c>
      <c r="C590">
        <v>2001</v>
      </c>
    </row>
    <row r="591" spans="1:11" x14ac:dyDescent="0.25">
      <c r="A591">
        <v>62.694409216146198</v>
      </c>
      <c r="B591">
        <v>115.693083932471</v>
      </c>
      <c r="C591">
        <v>2000</v>
      </c>
    </row>
    <row r="592" spans="1:11" x14ac:dyDescent="0.25">
      <c r="A592">
        <v>49.781868920916303</v>
      </c>
      <c r="B592">
        <v>102.780543637242</v>
      </c>
      <c r="C592">
        <v>2000</v>
      </c>
    </row>
    <row r="593" spans="1:11" x14ac:dyDescent="0.25">
      <c r="A593" t="s">
        <v>87</v>
      </c>
    </row>
    <row r="594" spans="1:11" x14ac:dyDescent="0.25">
      <c r="A594">
        <v>198</v>
      </c>
      <c r="B594">
        <v>0</v>
      </c>
      <c r="C594">
        <v>11.752982759437399</v>
      </c>
      <c r="D594">
        <v>11.989622068630901</v>
      </c>
      <c r="E594">
        <v>10</v>
      </c>
      <c r="F594">
        <v>1.01722196789785</v>
      </c>
      <c r="G594" t="s">
        <v>85</v>
      </c>
      <c r="H594" t="s">
        <v>85</v>
      </c>
      <c r="I594">
        <v>862</v>
      </c>
      <c r="J594">
        <v>230</v>
      </c>
      <c r="K594">
        <v>0</v>
      </c>
    </row>
    <row r="595" spans="1:11" x14ac:dyDescent="0.25">
      <c r="A595" t="s">
        <v>86</v>
      </c>
    </row>
    <row r="596" spans="1:11" x14ac:dyDescent="0.25">
      <c r="A596">
        <v>54.552076536122499</v>
      </c>
      <c r="B596">
        <v>106.588678533129</v>
      </c>
      <c r="C596">
        <v>2000</v>
      </c>
    </row>
    <row r="597" spans="1:11" x14ac:dyDescent="0.25">
      <c r="A597">
        <v>50.218508012224397</v>
      </c>
      <c r="B597">
        <v>102.255110009231</v>
      </c>
      <c r="C597">
        <v>2000</v>
      </c>
    </row>
    <row r="598" spans="1:11" x14ac:dyDescent="0.25">
      <c r="A598">
        <v>47.878343907996197</v>
      </c>
      <c r="B598">
        <v>99.914945905002796</v>
      </c>
      <c r="C598">
        <v>2000</v>
      </c>
    </row>
    <row r="599" spans="1:11" x14ac:dyDescent="0.25">
      <c r="A599">
        <v>46.386888698845901</v>
      </c>
      <c r="B599">
        <v>98.423490695852607</v>
      </c>
      <c r="C599">
        <v>2000</v>
      </c>
    </row>
    <row r="600" spans="1:11" x14ac:dyDescent="0.25">
      <c r="A600">
        <v>45.512856649948297</v>
      </c>
      <c r="B600">
        <v>98.423490695852607</v>
      </c>
      <c r="C600">
        <v>2001</v>
      </c>
    </row>
    <row r="601" spans="1:11" x14ac:dyDescent="0.25">
      <c r="A601">
        <v>47.174420049092902</v>
      </c>
      <c r="B601">
        <v>100.08505409499701</v>
      </c>
      <c r="C601">
        <v>2001</v>
      </c>
    </row>
    <row r="602" spans="1:11" x14ac:dyDescent="0.25">
      <c r="A602">
        <v>49.781491987775603</v>
      </c>
      <c r="B602">
        <v>102.69212603368</v>
      </c>
      <c r="C602">
        <v>2001</v>
      </c>
    </row>
    <row r="603" spans="1:11" x14ac:dyDescent="0.25">
      <c r="A603">
        <v>53.968896429405198</v>
      </c>
      <c r="B603">
        <v>106.879530475309</v>
      </c>
      <c r="C603">
        <v>2001</v>
      </c>
    </row>
    <row r="604" spans="1:11" x14ac:dyDescent="0.25">
      <c r="A604">
        <v>62.301413526907901</v>
      </c>
      <c r="B604">
        <v>115.212047572812</v>
      </c>
      <c r="C604">
        <v>2001</v>
      </c>
    </row>
    <row r="605" spans="1:11" x14ac:dyDescent="0.25">
      <c r="A605">
        <v>63.175445575805497</v>
      </c>
      <c r="B605">
        <v>115.212047572812</v>
      </c>
      <c r="C605">
        <v>2000</v>
      </c>
    </row>
    <row r="606" spans="1:11" x14ac:dyDescent="0.25">
      <c r="A606" t="s">
        <v>87</v>
      </c>
    </row>
    <row r="607" spans="1:11" x14ac:dyDescent="0.25">
      <c r="A607">
        <v>304</v>
      </c>
      <c r="B607">
        <v>1</v>
      </c>
      <c r="C607">
        <v>3.0925384616984499</v>
      </c>
      <c r="D607">
        <v>20.2994333649909</v>
      </c>
      <c r="E607">
        <v>8</v>
      </c>
      <c r="F607">
        <v>1.01722196789785</v>
      </c>
      <c r="G607" t="s">
        <v>85</v>
      </c>
      <c r="H607" t="s">
        <v>85</v>
      </c>
      <c r="I607">
        <v>262</v>
      </c>
      <c r="J607">
        <v>278</v>
      </c>
      <c r="K607">
        <v>0</v>
      </c>
    </row>
    <row r="608" spans="1:11" x14ac:dyDescent="0.25">
      <c r="A608" t="s">
        <v>86</v>
      </c>
    </row>
    <row r="609" spans="1:11" x14ac:dyDescent="0.25">
      <c r="A609">
        <v>35.281973332503902</v>
      </c>
      <c r="B609">
        <v>127.976254511882</v>
      </c>
      <c r="C609">
        <v>2000</v>
      </c>
    </row>
    <row r="610" spans="1:11" x14ac:dyDescent="0.25">
      <c r="A610">
        <v>33.095071437821801</v>
      </c>
      <c r="B610">
        <v>130.16315640656401</v>
      </c>
      <c r="C610">
        <v>2000</v>
      </c>
    </row>
    <row r="611" spans="1:11" x14ac:dyDescent="0.25">
      <c r="A611">
        <v>33.969103486719497</v>
      </c>
      <c r="B611">
        <v>130.16315640656401</v>
      </c>
      <c r="C611">
        <v>2001</v>
      </c>
    </row>
    <row r="612" spans="1:11" x14ac:dyDescent="0.25">
      <c r="A612">
        <v>36.155711426731798</v>
      </c>
      <c r="B612">
        <v>127.976548466552</v>
      </c>
      <c r="C612">
        <v>2001</v>
      </c>
    </row>
    <row r="613" spans="1:11" x14ac:dyDescent="0.25">
      <c r="A613">
        <v>50.435909174350201</v>
      </c>
      <c r="B613">
        <v>113.696350718934</v>
      </c>
      <c r="C613">
        <v>2001</v>
      </c>
    </row>
    <row r="614" spans="1:11" x14ac:dyDescent="0.25">
      <c r="A614">
        <v>50.509725390696197</v>
      </c>
      <c r="B614">
        <v>113.622534502588</v>
      </c>
      <c r="C614">
        <v>2001</v>
      </c>
    </row>
    <row r="615" spans="1:11" x14ac:dyDescent="0.25">
      <c r="A615">
        <v>49.6356933417986</v>
      </c>
      <c r="B615">
        <v>113.622534502588</v>
      </c>
      <c r="C615">
        <v>2000</v>
      </c>
    </row>
    <row r="616" spans="1:11" x14ac:dyDescent="0.25">
      <c r="A616">
        <v>49.5640908256497</v>
      </c>
      <c r="B616">
        <v>113.694137018736</v>
      </c>
      <c r="C616">
        <v>2000</v>
      </c>
    </row>
    <row r="617" spans="1:11" x14ac:dyDescent="0.25">
      <c r="A617" t="s">
        <v>87</v>
      </c>
    </row>
    <row r="618" spans="1:11" x14ac:dyDescent="0.25">
      <c r="A618">
        <v>735</v>
      </c>
      <c r="B618">
        <v>0</v>
      </c>
      <c r="C618">
        <v>14.6736932447338</v>
      </c>
      <c r="D618">
        <v>8.5256789593091202</v>
      </c>
      <c r="E618">
        <v>6</v>
      </c>
      <c r="F618">
        <v>1.01722196789785</v>
      </c>
      <c r="G618" t="s">
        <v>85</v>
      </c>
      <c r="H618" t="s">
        <v>85</v>
      </c>
      <c r="I618">
        <v>305</v>
      </c>
      <c r="J618">
        <v>830</v>
      </c>
      <c r="K618">
        <v>8.9259099568316694E-2</v>
      </c>
    </row>
    <row r="619" spans="1:11" x14ac:dyDescent="0.25">
      <c r="A619" t="s">
        <v>86</v>
      </c>
    </row>
    <row r="620" spans="1:11" x14ac:dyDescent="0.25">
      <c r="A620">
        <v>29.426066902399</v>
      </c>
      <c r="B620">
        <v>143.78503227896701</v>
      </c>
      <c r="C620">
        <v>2000</v>
      </c>
    </row>
    <row r="621" spans="1:11" x14ac:dyDescent="0.25">
      <c r="A621">
        <v>18.773784567031001</v>
      </c>
      <c r="B621">
        <v>133.13274994359901</v>
      </c>
      <c r="C621">
        <v>2000</v>
      </c>
    </row>
    <row r="622" spans="1:11" x14ac:dyDescent="0.25">
      <c r="A622">
        <v>18.773784567031001</v>
      </c>
      <c r="B622">
        <v>134.006781992497</v>
      </c>
      <c r="C622">
        <v>2001</v>
      </c>
    </row>
    <row r="623" spans="1:11" x14ac:dyDescent="0.25">
      <c r="A623">
        <v>28.8732382284681</v>
      </c>
      <c r="B623">
        <v>144.10623565393399</v>
      </c>
      <c r="C623">
        <v>2001</v>
      </c>
    </row>
    <row r="624" spans="1:11" x14ac:dyDescent="0.25">
      <c r="A624">
        <v>34.741201947331597</v>
      </c>
      <c r="B624">
        <v>149.97419937279699</v>
      </c>
      <c r="C624">
        <v>2001</v>
      </c>
    </row>
    <row r="625" spans="1:11" x14ac:dyDescent="0.25">
      <c r="A625">
        <v>35.6152339962293</v>
      </c>
      <c r="B625">
        <v>149.97419937279699</v>
      </c>
      <c r="C625">
        <v>2000</v>
      </c>
    </row>
    <row r="626" spans="1:11" x14ac:dyDescent="0.25">
      <c r="A626" t="s">
        <v>87</v>
      </c>
    </row>
    <row r="627" spans="1:11" x14ac:dyDescent="0.25">
      <c r="A627">
        <v>596</v>
      </c>
      <c r="B627">
        <v>0</v>
      </c>
      <c r="C627">
        <v>11.348355660896599</v>
      </c>
      <c r="D627">
        <v>11.6231220629421</v>
      </c>
      <c r="E627">
        <v>6</v>
      </c>
      <c r="F627">
        <v>1.01722196789785</v>
      </c>
      <c r="G627" t="s">
        <v>85</v>
      </c>
      <c r="H627" t="s">
        <v>85</v>
      </c>
      <c r="I627">
        <v>784</v>
      </c>
      <c r="J627">
        <v>798</v>
      </c>
      <c r="K627">
        <v>0</v>
      </c>
    </row>
    <row r="628" spans="1:11" x14ac:dyDescent="0.25">
      <c r="A628" t="s">
        <v>86</v>
      </c>
    </row>
    <row r="629" spans="1:11" x14ac:dyDescent="0.25">
      <c r="A629">
        <v>140.27664101426299</v>
      </c>
      <c r="B629">
        <v>77.719138327966505</v>
      </c>
      <c r="C629">
        <v>2000</v>
      </c>
    </row>
    <row r="630" spans="1:11" x14ac:dyDescent="0.25">
      <c r="A630">
        <v>132.46803616566999</v>
      </c>
      <c r="B630">
        <v>69.9105334793732</v>
      </c>
      <c r="C630">
        <v>2000</v>
      </c>
    </row>
    <row r="631" spans="1:11" x14ac:dyDescent="0.25">
      <c r="A631">
        <v>131.594004116772</v>
      </c>
      <c r="B631">
        <v>69.9105334793732</v>
      </c>
      <c r="C631">
        <v>2001</v>
      </c>
    </row>
    <row r="632" spans="1:11" x14ac:dyDescent="0.25">
      <c r="A632">
        <v>139.834397754452</v>
      </c>
      <c r="B632">
        <v>78.150927117053399</v>
      </c>
      <c r="C632">
        <v>2001</v>
      </c>
    </row>
    <row r="633" spans="1:11" x14ac:dyDescent="0.25">
      <c r="A633">
        <v>148.27430781362301</v>
      </c>
      <c r="B633">
        <v>86.590837176224099</v>
      </c>
      <c r="C633">
        <v>2001</v>
      </c>
    </row>
    <row r="634" spans="1:11" x14ac:dyDescent="0.25">
      <c r="A634">
        <v>148.27430781362301</v>
      </c>
      <c r="B634">
        <v>85.716805127326396</v>
      </c>
      <c r="C634">
        <v>2000</v>
      </c>
    </row>
    <row r="635" spans="1:11" x14ac:dyDescent="0.25">
      <c r="A635" t="s">
        <v>87</v>
      </c>
    </row>
    <row r="636" spans="1:11" x14ac:dyDescent="0.25">
      <c r="A636">
        <v>742</v>
      </c>
      <c r="B636">
        <v>1</v>
      </c>
      <c r="C636">
        <v>6.6345797137782396</v>
      </c>
      <c r="D636">
        <v>16.288211964483999</v>
      </c>
      <c r="E636">
        <v>6</v>
      </c>
      <c r="F636">
        <v>1.01722196789785</v>
      </c>
      <c r="G636" t="s">
        <v>89</v>
      </c>
      <c r="H636" t="s">
        <v>89</v>
      </c>
      <c r="I636">
        <v>389</v>
      </c>
      <c r="J636">
        <v>78</v>
      </c>
      <c r="K636">
        <v>8.8543832116719706E-2</v>
      </c>
    </row>
    <row r="637" spans="1:11" x14ac:dyDescent="0.25">
      <c r="A637" t="s">
        <v>86</v>
      </c>
    </row>
    <row r="638" spans="1:11" x14ac:dyDescent="0.25">
      <c r="A638">
        <v>13.565624542802199</v>
      </c>
      <c r="B638">
        <v>62.840941003454198</v>
      </c>
      <c r="C638">
        <v>2000</v>
      </c>
    </row>
    <row r="639" spans="1:11" x14ac:dyDescent="0.25">
      <c r="A639">
        <v>8.8742682368669108</v>
      </c>
      <c r="B639">
        <v>67.532297309389506</v>
      </c>
      <c r="C639">
        <v>2000</v>
      </c>
    </row>
    <row r="640" spans="1:11" x14ac:dyDescent="0.25">
      <c r="A640">
        <v>9.3112842613157305</v>
      </c>
      <c r="B640">
        <v>67.969313333838301</v>
      </c>
      <c r="C640">
        <v>2001</v>
      </c>
    </row>
    <row r="641" spans="1:11" x14ac:dyDescent="0.25">
      <c r="A641">
        <v>14.002640567250999</v>
      </c>
      <c r="B641">
        <v>63.277957027903</v>
      </c>
      <c r="C641">
        <v>2001</v>
      </c>
    </row>
    <row r="642" spans="1:11" x14ac:dyDescent="0.25">
      <c r="A642">
        <v>25.520145700741502</v>
      </c>
      <c r="B642">
        <v>51.760451894412498</v>
      </c>
      <c r="C642">
        <v>2001</v>
      </c>
    </row>
    <row r="643" spans="1:11" x14ac:dyDescent="0.25">
      <c r="A643">
        <v>25.0831296762927</v>
      </c>
      <c r="B643">
        <v>51.323435869963603</v>
      </c>
      <c r="C643">
        <v>2000</v>
      </c>
    </row>
    <row r="644" spans="1:11" x14ac:dyDescent="0.25">
      <c r="A644" t="s">
        <v>87</v>
      </c>
    </row>
    <row r="645" spans="1:11" x14ac:dyDescent="0.25">
      <c r="A645">
        <v>398</v>
      </c>
      <c r="B645">
        <v>1</v>
      </c>
      <c r="C645">
        <v>14.7313886089864</v>
      </c>
      <c r="D645">
        <v>8.1469230781215494</v>
      </c>
      <c r="E645">
        <v>8</v>
      </c>
      <c r="F645">
        <v>1.01722196789785</v>
      </c>
      <c r="G645" t="s">
        <v>85</v>
      </c>
      <c r="H645" t="s">
        <v>85</v>
      </c>
      <c r="I645">
        <v>261</v>
      </c>
      <c r="J645">
        <v>353</v>
      </c>
      <c r="K645">
        <v>0</v>
      </c>
    </row>
    <row r="646" spans="1:11" x14ac:dyDescent="0.25">
      <c r="A646" t="s">
        <v>86</v>
      </c>
    </row>
    <row r="647" spans="1:11" x14ac:dyDescent="0.25">
      <c r="A647">
        <v>29.247975829270601</v>
      </c>
      <c r="B647">
        <v>90.996697990115607</v>
      </c>
      <c r="C647">
        <v>2000</v>
      </c>
    </row>
    <row r="648" spans="1:11" x14ac:dyDescent="0.25">
      <c r="A648">
        <v>19.828302600771998</v>
      </c>
      <c r="B648">
        <v>100.416371218614</v>
      </c>
      <c r="C648">
        <v>2000</v>
      </c>
    </row>
    <row r="649" spans="1:11" x14ac:dyDescent="0.25">
      <c r="A649">
        <v>18.823483257472301</v>
      </c>
      <c r="B649">
        <v>101.421190561914</v>
      </c>
      <c r="C649">
        <v>2000</v>
      </c>
    </row>
    <row r="650" spans="1:11" x14ac:dyDescent="0.25">
      <c r="A650">
        <v>18.823483257472301</v>
      </c>
      <c r="B650">
        <v>100.547158513016</v>
      </c>
      <c r="C650">
        <v>2001</v>
      </c>
    </row>
    <row r="651" spans="1:11" x14ac:dyDescent="0.25">
      <c r="A651">
        <v>19.7870129891026</v>
      </c>
      <c r="B651">
        <v>99.583628781385897</v>
      </c>
      <c r="C651">
        <v>2001</v>
      </c>
    </row>
    <row r="652" spans="1:11" x14ac:dyDescent="0.25">
      <c r="A652">
        <v>29.232320249091099</v>
      </c>
      <c r="B652">
        <v>90.138321521397401</v>
      </c>
      <c r="C652">
        <v>2001</v>
      </c>
    </row>
    <row r="653" spans="1:11" x14ac:dyDescent="0.25">
      <c r="A653">
        <v>35.000892593525798</v>
      </c>
      <c r="B653">
        <v>84.369749176962699</v>
      </c>
      <c r="C653">
        <v>2001</v>
      </c>
    </row>
    <row r="654" spans="1:11" x14ac:dyDescent="0.25">
      <c r="A654">
        <v>35.000892593525798</v>
      </c>
      <c r="B654">
        <v>85.243781225860403</v>
      </c>
      <c r="C654">
        <v>2000</v>
      </c>
    </row>
    <row r="655" spans="1:11" x14ac:dyDescent="0.25">
      <c r="A655" t="s">
        <v>87</v>
      </c>
    </row>
    <row r="656" spans="1:11" x14ac:dyDescent="0.25">
      <c r="A656">
        <v>266</v>
      </c>
      <c r="B656">
        <v>0</v>
      </c>
      <c r="C656">
        <v>2.9326867569799799</v>
      </c>
      <c r="D656">
        <v>19.945227940754201</v>
      </c>
      <c r="E656">
        <v>8</v>
      </c>
      <c r="F656">
        <v>1.01722196789785</v>
      </c>
      <c r="G656" t="s">
        <v>89</v>
      </c>
      <c r="H656" t="s">
        <v>88</v>
      </c>
      <c r="I656">
        <v>271</v>
      </c>
      <c r="J656">
        <v>0</v>
      </c>
      <c r="K656">
        <v>0</v>
      </c>
    </row>
    <row r="657" spans="1:11" x14ac:dyDescent="0.25">
      <c r="A657" t="s">
        <v>86</v>
      </c>
    </row>
    <row r="658" spans="1:11" x14ac:dyDescent="0.25">
      <c r="A658">
        <v>38.838375384819102</v>
      </c>
      <c r="B658">
        <v>135.70527261340601</v>
      </c>
      <c r="C658">
        <v>2000</v>
      </c>
    </row>
    <row r="659" spans="1:11" x14ac:dyDescent="0.25">
      <c r="A659">
        <v>36.737466137013797</v>
      </c>
      <c r="B659">
        <v>133.60436336559999</v>
      </c>
      <c r="C659">
        <v>2000</v>
      </c>
    </row>
    <row r="660" spans="1:11" x14ac:dyDescent="0.25">
      <c r="A660">
        <v>36.300450112565002</v>
      </c>
      <c r="B660">
        <v>134.041379390049</v>
      </c>
      <c r="C660">
        <v>2001</v>
      </c>
    </row>
    <row r="661" spans="1:11" x14ac:dyDescent="0.25">
      <c r="A661">
        <v>38.346986250672799</v>
      </c>
      <c r="B661">
        <v>136.087915528157</v>
      </c>
      <c r="C661">
        <v>2001</v>
      </c>
    </row>
    <row r="662" spans="1:11" x14ac:dyDescent="0.25">
      <c r="A662">
        <v>49.6047552015104</v>
      </c>
      <c r="B662">
        <v>147.345684478995</v>
      </c>
      <c r="C662">
        <v>2001</v>
      </c>
    </row>
    <row r="663" spans="1:11" x14ac:dyDescent="0.25">
      <c r="A663">
        <v>52.259070722515801</v>
      </c>
      <c r="B663">
        <v>150</v>
      </c>
      <c r="C663">
        <v>2001</v>
      </c>
    </row>
    <row r="664" spans="1:11" x14ac:dyDescent="0.25">
      <c r="A664">
        <v>53.133102771413498</v>
      </c>
      <c r="B664">
        <v>150</v>
      </c>
      <c r="C664">
        <v>2000</v>
      </c>
    </row>
    <row r="665" spans="1:11" x14ac:dyDescent="0.25">
      <c r="A665">
        <v>50.3952447984896</v>
      </c>
      <c r="B665">
        <v>147.26214202707601</v>
      </c>
      <c r="C665">
        <v>2000</v>
      </c>
    </row>
    <row r="666" spans="1:11" x14ac:dyDescent="0.25">
      <c r="A666" t="s">
        <v>87</v>
      </c>
    </row>
    <row r="667" spans="1:11" x14ac:dyDescent="0.25">
      <c r="A667">
        <v>774</v>
      </c>
      <c r="B667">
        <v>1</v>
      </c>
      <c r="C667">
        <v>13.477919387692999</v>
      </c>
      <c r="D667">
        <v>9.3848178205755808</v>
      </c>
      <c r="E667">
        <v>6</v>
      </c>
      <c r="F667">
        <v>1.01722196789785</v>
      </c>
      <c r="G667" t="s">
        <v>88</v>
      </c>
      <c r="H667" t="s">
        <v>85</v>
      </c>
      <c r="I667">
        <v>0</v>
      </c>
      <c r="J667">
        <v>30</v>
      </c>
      <c r="K667">
        <v>8.9259099568316694E-2</v>
      </c>
    </row>
    <row r="668" spans="1:11" x14ac:dyDescent="0.25">
      <c r="A668" t="s">
        <v>86</v>
      </c>
    </row>
    <row r="669" spans="1:11" x14ac:dyDescent="0.25">
      <c r="A669">
        <v>9.5303281953233796</v>
      </c>
      <c r="B669">
        <v>26.118534147785699</v>
      </c>
      <c r="C669">
        <v>2000</v>
      </c>
    </row>
    <row r="670" spans="1:11" x14ac:dyDescent="0.25">
      <c r="A670">
        <v>0</v>
      </c>
      <c r="B670">
        <v>35.648862343109101</v>
      </c>
      <c r="C670">
        <v>2000</v>
      </c>
    </row>
    <row r="671" spans="1:11" x14ac:dyDescent="0.25">
      <c r="A671">
        <v>0</v>
      </c>
      <c r="B671">
        <v>34.774830294211398</v>
      </c>
      <c r="C671">
        <v>2001</v>
      </c>
    </row>
    <row r="672" spans="1:11" x14ac:dyDescent="0.25">
      <c r="A672">
        <v>9.5303281953233796</v>
      </c>
      <c r="B672">
        <v>25.244502098887999</v>
      </c>
      <c r="C672">
        <v>2001</v>
      </c>
    </row>
    <row r="673" spans="1:11" x14ac:dyDescent="0.25">
      <c r="A673">
        <v>16.1663965164527</v>
      </c>
      <c r="B673">
        <v>18.608433777758702</v>
      </c>
      <c r="C673">
        <v>2001</v>
      </c>
    </row>
    <row r="674" spans="1:11" x14ac:dyDescent="0.25">
      <c r="A674">
        <v>16.1663965164527</v>
      </c>
      <c r="B674">
        <v>19.482465826656298</v>
      </c>
      <c r="C674">
        <v>2000</v>
      </c>
    </row>
    <row r="675" spans="1:11" x14ac:dyDescent="0.25">
      <c r="A675" t="s">
        <v>87</v>
      </c>
    </row>
    <row r="676" spans="1:11" x14ac:dyDescent="0.25">
      <c r="A676">
        <v>800</v>
      </c>
      <c r="B676">
        <v>1</v>
      </c>
      <c r="C676">
        <v>14.794452444534301</v>
      </c>
      <c r="D676">
        <v>8.0468567461786105</v>
      </c>
      <c r="E676">
        <v>8</v>
      </c>
      <c r="F676">
        <v>1.01722196789785</v>
      </c>
      <c r="G676" t="s">
        <v>85</v>
      </c>
      <c r="H676" t="s">
        <v>85</v>
      </c>
      <c r="I676">
        <v>757</v>
      </c>
      <c r="J676">
        <v>758</v>
      </c>
      <c r="K676">
        <v>8.9816640118045604E-2</v>
      </c>
    </row>
    <row r="677" spans="1:11" x14ac:dyDescent="0.25">
      <c r="A677" t="s">
        <v>86</v>
      </c>
    </row>
    <row r="678" spans="1:11" x14ac:dyDescent="0.25">
      <c r="A678">
        <v>54.036510207110503</v>
      </c>
      <c r="B678">
        <v>71.377047466411895</v>
      </c>
      <c r="C678">
        <v>2000</v>
      </c>
    </row>
    <row r="679" spans="1:11" x14ac:dyDescent="0.25">
      <c r="A679">
        <v>50.295486060536099</v>
      </c>
      <c r="B679">
        <v>75.118071612986299</v>
      </c>
      <c r="C679">
        <v>2000</v>
      </c>
    </row>
    <row r="680" spans="1:11" x14ac:dyDescent="0.25">
      <c r="A680">
        <v>43.661148163788901</v>
      </c>
      <c r="B680">
        <v>81.752409509733496</v>
      </c>
      <c r="C680">
        <v>2000</v>
      </c>
    </row>
    <row r="681" spans="1:11" x14ac:dyDescent="0.25">
      <c r="A681">
        <v>42.787116114891298</v>
      </c>
      <c r="B681">
        <v>81.752409509733496</v>
      </c>
      <c r="C681">
        <v>2001</v>
      </c>
    </row>
    <row r="682" spans="1:11" x14ac:dyDescent="0.25">
      <c r="A682">
        <v>49.704513939463901</v>
      </c>
      <c r="B682">
        <v>74.835011685160893</v>
      </c>
      <c r="C682">
        <v>2001</v>
      </c>
    </row>
    <row r="683" spans="1:11" x14ac:dyDescent="0.25">
      <c r="A683">
        <v>53.334269366513801</v>
      </c>
      <c r="B683">
        <v>71.205256258111007</v>
      </c>
      <c r="C683">
        <v>2001</v>
      </c>
    </row>
    <row r="684" spans="1:11" x14ac:dyDescent="0.25">
      <c r="A684">
        <v>58.938360734823</v>
      </c>
      <c r="B684">
        <v>65.601164889801794</v>
      </c>
      <c r="C684">
        <v>2001</v>
      </c>
    </row>
    <row r="685" spans="1:11" x14ac:dyDescent="0.25">
      <c r="A685">
        <v>59.812392783720597</v>
      </c>
      <c r="B685">
        <v>65.601164889801794</v>
      </c>
      <c r="C685">
        <v>2000</v>
      </c>
    </row>
    <row r="686" spans="1:11" x14ac:dyDescent="0.25">
      <c r="A686" t="s">
        <v>87</v>
      </c>
    </row>
    <row r="687" spans="1:11" x14ac:dyDescent="0.25">
      <c r="A687">
        <v>826</v>
      </c>
      <c r="B687">
        <v>1</v>
      </c>
      <c r="C687">
        <v>14.0869784579421</v>
      </c>
      <c r="D687">
        <v>8.7251757820087104</v>
      </c>
      <c r="E687">
        <v>6</v>
      </c>
      <c r="F687">
        <v>1.01722196789785</v>
      </c>
      <c r="G687" t="s">
        <v>85</v>
      </c>
      <c r="H687" t="s">
        <v>85</v>
      </c>
      <c r="I687">
        <v>270</v>
      </c>
      <c r="J687">
        <v>261</v>
      </c>
      <c r="K687">
        <v>9.0097089164053304E-2</v>
      </c>
    </row>
    <row r="688" spans="1:11" x14ac:dyDescent="0.25">
      <c r="A688" t="s">
        <v>86</v>
      </c>
    </row>
    <row r="689" spans="1:11" x14ac:dyDescent="0.25">
      <c r="A689">
        <v>16.988050738382402</v>
      </c>
      <c r="B689">
        <v>111.59072084002599</v>
      </c>
      <c r="C689">
        <v>2000</v>
      </c>
    </row>
    <row r="690" spans="1:11" x14ac:dyDescent="0.25">
      <c r="A690">
        <v>7.2969192048896598</v>
      </c>
      <c r="B690">
        <v>121.281852373519</v>
      </c>
      <c r="C690">
        <v>2000</v>
      </c>
    </row>
    <row r="691" spans="1:11" x14ac:dyDescent="0.25">
      <c r="A691">
        <v>6.4228871559920302</v>
      </c>
      <c r="B691">
        <v>121.281852373519</v>
      </c>
      <c r="C691">
        <v>2001</v>
      </c>
    </row>
    <row r="692" spans="1:11" x14ac:dyDescent="0.25">
      <c r="A692">
        <v>16.653751610578599</v>
      </c>
      <c r="B692">
        <v>111.05098791893199</v>
      </c>
      <c r="C692">
        <v>2001</v>
      </c>
    </row>
    <row r="693" spans="1:11" x14ac:dyDescent="0.25">
      <c r="A693">
        <v>22.9905321369835</v>
      </c>
      <c r="B693">
        <v>104.714207392527</v>
      </c>
      <c r="C693">
        <v>2001</v>
      </c>
    </row>
    <row r="694" spans="1:11" x14ac:dyDescent="0.25">
      <c r="A694">
        <v>22.9905321369835</v>
      </c>
      <c r="B694">
        <v>105.588239441425</v>
      </c>
      <c r="C694">
        <v>2000</v>
      </c>
    </row>
    <row r="695" spans="1:11" x14ac:dyDescent="0.25">
      <c r="A695" t="s">
        <v>87</v>
      </c>
    </row>
    <row r="696" spans="1:11" x14ac:dyDescent="0.25">
      <c r="A696">
        <v>103</v>
      </c>
      <c r="B696">
        <v>0</v>
      </c>
      <c r="C696">
        <v>11.049118107122601</v>
      </c>
      <c r="D696">
        <v>11.7085442254089</v>
      </c>
      <c r="E696">
        <v>6</v>
      </c>
      <c r="F696">
        <v>1.01722196789785</v>
      </c>
      <c r="G696" t="s">
        <v>85</v>
      </c>
      <c r="H696" t="s">
        <v>85</v>
      </c>
      <c r="I696">
        <v>153</v>
      </c>
      <c r="J696">
        <v>816</v>
      </c>
      <c r="K696">
        <v>0</v>
      </c>
    </row>
    <row r="697" spans="1:11" x14ac:dyDescent="0.25">
      <c r="A697" t="s">
        <v>86</v>
      </c>
    </row>
    <row r="698" spans="1:11" x14ac:dyDescent="0.25">
      <c r="A698">
        <v>122.934671253392</v>
      </c>
      <c r="B698">
        <v>16.744942691523999</v>
      </c>
      <c r="C698">
        <v>2000</v>
      </c>
    </row>
    <row r="699" spans="1:11" x14ac:dyDescent="0.25">
      <c r="A699">
        <v>115.121764913715</v>
      </c>
      <c r="B699">
        <v>8.9320363518465502</v>
      </c>
      <c r="C699">
        <v>2000</v>
      </c>
    </row>
    <row r="700" spans="1:11" x14ac:dyDescent="0.25">
      <c r="A700">
        <v>114.247732864817</v>
      </c>
      <c r="B700">
        <v>8.9320363518465502</v>
      </c>
      <c r="C700">
        <v>2001</v>
      </c>
    </row>
    <row r="701" spans="1:11" x14ac:dyDescent="0.25">
      <c r="A701">
        <v>122.060639204495</v>
      </c>
      <c r="B701">
        <v>16.744942691523999</v>
      </c>
      <c r="C701">
        <v>2001</v>
      </c>
    </row>
    <row r="702" spans="1:11" x14ac:dyDescent="0.25">
      <c r="A702">
        <v>130.33983022410399</v>
      </c>
      <c r="B702">
        <v>25.024133711133199</v>
      </c>
      <c r="C702">
        <v>2001</v>
      </c>
    </row>
    <row r="703" spans="1:11" x14ac:dyDescent="0.25">
      <c r="A703">
        <v>131.21386227300101</v>
      </c>
      <c r="B703">
        <v>25.024133711133199</v>
      </c>
      <c r="C703">
        <v>2000</v>
      </c>
    </row>
    <row r="704" spans="1:11" x14ac:dyDescent="0.25">
      <c r="A704" t="s">
        <v>87</v>
      </c>
    </row>
    <row r="705" spans="1:11" x14ac:dyDescent="0.25">
      <c r="A705">
        <v>876</v>
      </c>
      <c r="B705">
        <v>1</v>
      </c>
      <c r="C705">
        <v>10.934595900042099</v>
      </c>
      <c r="D705">
        <v>11.7530598420721</v>
      </c>
      <c r="E705">
        <v>6</v>
      </c>
      <c r="F705">
        <v>1.01722196789785</v>
      </c>
      <c r="G705" t="s">
        <v>88</v>
      </c>
      <c r="H705" t="s">
        <v>85</v>
      </c>
      <c r="I705">
        <v>0</v>
      </c>
      <c r="J705">
        <v>875</v>
      </c>
      <c r="K705">
        <v>9.1169371169763397E-2</v>
      </c>
    </row>
    <row r="706" spans="1:11" x14ac:dyDescent="0.25">
      <c r="A706" t="s">
        <v>86</v>
      </c>
    </row>
    <row r="707" spans="1:11" x14ac:dyDescent="0.25">
      <c r="A707">
        <v>84.105957148550701</v>
      </c>
      <c r="B707">
        <v>142.47869836011199</v>
      </c>
      <c r="C707">
        <v>2000</v>
      </c>
    </row>
    <row r="708" spans="1:11" x14ac:dyDescent="0.25">
      <c r="A708">
        <v>76.584655508662294</v>
      </c>
      <c r="B708">
        <v>150</v>
      </c>
      <c r="C708">
        <v>2000</v>
      </c>
    </row>
    <row r="709" spans="1:11" x14ac:dyDescent="0.25">
      <c r="A709">
        <v>75.710623459764705</v>
      </c>
      <c r="B709">
        <v>150</v>
      </c>
      <c r="C709">
        <v>2001</v>
      </c>
    </row>
    <row r="710" spans="1:11" x14ac:dyDescent="0.25">
      <c r="A710">
        <v>83.653175640784994</v>
      </c>
      <c r="B710">
        <v>142.05744781897999</v>
      </c>
      <c r="C710">
        <v>2001</v>
      </c>
    </row>
    <row r="711" spans="1:11" x14ac:dyDescent="0.25">
      <c r="A711">
        <v>92.190234708688294</v>
      </c>
      <c r="B711">
        <v>133.52038875107601</v>
      </c>
      <c r="C711">
        <v>2001</v>
      </c>
    </row>
    <row r="712" spans="1:11" x14ac:dyDescent="0.25">
      <c r="A712">
        <v>92.190234708688294</v>
      </c>
      <c r="B712">
        <v>134.394420799974</v>
      </c>
      <c r="C712">
        <v>2000</v>
      </c>
    </row>
    <row r="713" spans="1:11" x14ac:dyDescent="0.25">
      <c r="A713" t="s">
        <v>87</v>
      </c>
    </row>
    <row r="714" spans="1:11" x14ac:dyDescent="0.25">
      <c r="A714">
        <v>388</v>
      </c>
      <c r="B714">
        <v>1</v>
      </c>
      <c r="C714">
        <v>7.37646793624452</v>
      </c>
      <c r="D714">
        <v>14.920194867092601</v>
      </c>
      <c r="E714">
        <v>6</v>
      </c>
      <c r="F714">
        <v>1.01722196789785</v>
      </c>
      <c r="G714" t="s">
        <v>88</v>
      </c>
      <c r="H714" t="s">
        <v>85</v>
      </c>
      <c r="I714">
        <v>0</v>
      </c>
      <c r="J714">
        <v>357</v>
      </c>
      <c r="K714">
        <v>0</v>
      </c>
    </row>
    <row r="715" spans="1:11" x14ac:dyDescent="0.25">
      <c r="A715" t="s">
        <v>86</v>
      </c>
    </row>
    <row r="716" spans="1:11" x14ac:dyDescent="0.25">
      <c r="A716">
        <v>5.2159504989236298</v>
      </c>
      <c r="B716">
        <v>87.898718133530593</v>
      </c>
      <c r="C716">
        <v>2000</v>
      </c>
    </row>
    <row r="717" spans="1:11" x14ac:dyDescent="0.25">
      <c r="A717">
        <v>0</v>
      </c>
      <c r="B717">
        <v>93.114668632454197</v>
      </c>
      <c r="C717">
        <v>2000</v>
      </c>
    </row>
    <row r="718" spans="1:11" x14ac:dyDescent="0.25">
      <c r="A718">
        <v>0</v>
      </c>
      <c r="B718">
        <v>93.988700681351801</v>
      </c>
      <c r="C718">
        <v>2001</v>
      </c>
    </row>
    <row r="719" spans="1:11" x14ac:dyDescent="0.25">
      <c r="A719">
        <v>5.2159504989236298</v>
      </c>
      <c r="B719">
        <v>88.772750182428197</v>
      </c>
      <c r="C719">
        <v>2001</v>
      </c>
    </row>
    <row r="720" spans="1:11" x14ac:dyDescent="0.25">
      <c r="A720">
        <v>15.766121466069499</v>
      </c>
      <c r="B720">
        <v>78.222579215282295</v>
      </c>
      <c r="C720">
        <v>2001</v>
      </c>
    </row>
    <row r="721" spans="1:11" x14ac:dyDescent="0.25">
      <c r="A721">
        <v>15.766121466069499</v>
      </c>
      <c r="B721">
        <v>77.348547166384606</v>
      </c>
      <c r="C721">
        <v>2000</v>
      </c>
    </row>
    <row r="722" spans="1:11" x14ac:dyDescent="0.25">
      <c r="A722" t="s">
        <v>87</v>
      </c>
    </row>
    <row r="723" spans="1:11" x14ac:dyDescent="0.25">
      <c r="A723">
        <v>306</v>
      </c>
      <c r="B723">
        <v>1</v>
      </c>
      <c r="C723">
        <v>5.2821539285936199</v>
      </c>
      <c r="D723">
        <v>16.998961845560299</v>
      </c>
      <c r="E723">
        <v>6</v>
      </c>
      <c r="F723">
        <v>1.01722196789785</v>
      </c>
      <c r="G723" t="s">
        <v>89</v>
      </c>
      <c r="H723" t="s">
        <v>85</v>
      </c>
      <c r="I723">
        <v>307</v>
      </c>
      <c r="J723">
        <v>272</v>
      </c>
      <c r="K723">
        <v>0</v>
      </c>
    </row>
    <row r="724" spans="1:11" x14ac:dyDescent="0.25">
      <c r="A724" t="s">
        <v>86</v>
      </c>
    </row>
    <row r="725" spans="1:11" x14ac:dyDescent="0.25">
      <c r="A725">
        <v>22.579817634803799</v>
      </c>
      <c r="B725">
        <v>125.709605234091</v>
      </c>
      <c r="C725">
        <v>2000</v>
      </c>
    </row>
    <row r="726" spans="1:11" x14ac:dyDescent="0.25">
      <c r="A726">
        <v>18.792969374215701</v>
      </c>
      <c r="B726">
        <v>129.496453494679</v>
      </c>
      <c r="C726">
        <v>2000</v>
      </c>
    </row>
    <row r="727" spans="1:11" x14ac:dyDescent="0.25">
      <c r="A727">
        <v>19.2299853986645</v>
      </c>
      <c r="B727">
        <v>129.93346951912801</v>
      </c>
      <c r="C727">
        <v>2001</v>
      </c>
    </row>
    <row r="728" spans="1:11" x14ac:dyDescent="0.25">
      <c r="A728">
        <v>22.9132308624358</v>
      </c>
      <c r="B728">
        <v>126.25022405535699</v>
      </c>
      <c r="C728">
        <v>2001</v>
      </c>
    </row>
    <row r="729" spans="1:11" x14ac:dyDescent="0.25">
      <c r="A729">
        <v>34.766605442746801</v>
      </c>
      <c r="B729">
        <v>114.396849475046</v>
      </c>
      <c r="C729">
        <v>2001</v>
      </c>
    </row>
    <row r="730" spans="1:11" x14ac:dyDescent="0.25">
      <c r="A730">
        <v>34.766605442746801</v>
      </c>
      <c r="B730">
        <v>113.52281742614799</v>
      </c>
      <c r="C730">
        <v>2000</v>
      </c>
    </row>
    <row r="731" spans="1:11" x14ac:dyDescent="0.25">
      <c r="A731" t="s">
        <v>87</v>
      </c>
    </row>
    <row r="732" spans="1:11" x14ac:dyDescent="0.25">
      <c r="A732">
        <v>505</v>
      </c>
      <c r="B732">
        <v>0</v>
      </c>
      <c r="C732">
        <v>8.22830658468237</v>
      </c>
      <c r="D732">
        <v>13.8659405949856</v>
      </c>
      <c r="E732">
        <v>8</v>
      </c>
      <c r="F732">
        <v>1.01722196789785</v>
      </c>
      <c r="G732" t="s">
        <v>85</v>
      </c>
      <c r="H732" t="s">
        <v>85</v>
      </c>
      <c r="I732">
        <v>232</v>
      </c>
      <c r="J732">
        <v>887</v>
      </c>
      <c r="K732">
        <v>0</v>
      </c>
    </row>
    <row r="733" spans="1:11" x14ac:dyDescent="0.25">
      <c r="A733" t="s">
        <v>86</v>
      </c>
    </row>
    <row r="734" spans="1:11" x14ac:dyDescent="0.25">
      <c r="A734">
        <v>100.886261644033</v>
      </c>
      <c r="B734">
        <v>122.137758776379</v>
      </c>
      <c r="C734">
        <v>2000</v>
      </c>
    </row>
    <row r="735" spans="1:11" x14ac:dyDescent="0.25">
      <c r="A735">
        <v>99.739425499807197</v>
      </c>
      <c r="B735">
        <v>120.990922632153</v>
      </c>
      <c r="C735">
        <v>2000</v>
      </c>
    </row>
    <row r="736" spans="1:11" x14ac:dyDescent="0.25">
      <c r="A736">
        <v>94.864812087679297</v>
      </c>
      <c r="B736">
        <v>116.116309220025</v>
      </c>
      <c r="C736">
        <v>2000</v>
      </c>
    </row>
    <row r="737" spans="1:11" x14ac:dyDescent="0.25">
      <c r="A737">
        <v>95.738844136576901</v>
      </c>
      <c r="B737">
        <v>116.116309220025</v>
      </c>
      <c r="C737">
        <v>2001</v>
      </c>
    </row>
    <row r="738" spans="1:11" x14ac:dyDescent="0.25">
      <c r="A738">
        <v>100.260574500193</v>
      </c>
      <c r="B738">
        <v>120.638039583641</v>
      </c>
      <c r="C738">
        <v>2001</v>
      </c>
    </row>
    <row r="739" spans="1:11" x14ac:dyDescent="0.25">
      <c r="A739">
        <v>101.353977347645</v>
      </c>
      <c r="B739">
        <v>121.731442431093</v>
      </c>
      <c r="C739">
        <v>2001</v>
      </c>
    </row>
    <row r="740" spans="1:11" x14ac:dyDescent="0.25">
      <c r="A740">
        <v>110.92482011808301</v>
      </c>
      <c r="B740">
        <v>131.30228520153199</v>
      </c>
      <c r="C740">
        <v>2001</v>
      </c>
    </row>
    <row r="741" spans="1:11" x14ac:dyDescent="0.25">
      <c r="A741">
        <v>110.92482011808301</v>
      </c>
      <c r="B741">
        <v>132.17631725042901</v>
      </c>
      <c r="C741">
        <v>2000</v>
      </c>
    </row>
    <row r="742" spans="1:11" x14ac:dyDescent="0.25">
      <c r="A742" t="s">
        <v>87</v>
      </c>
    </row>
    <row r="743" spans="1:11" x14ac:dyDescent="0.25">
      <c r="A743">
        <v>803</v>
      </c>
      <c r="B743">
        <v>0</v>
      </c>
      <c r="C743">
        <v>2.2207809377846398E-2</v>
      </c>
      <c r="D743">
        <v>21.913171904816899</v>
      </c>
      <c r="E743">
        <v>6</v>
      </c>
      <c r="F743">
        <v>1.01722196789785</v>
      </c>
      <c r="G743" t="s">
        <v>89</v>
      </c>
      <c r="H743" t="s">
        <v>85</v>
      </c>
      <c r="I743">
        <v>835</v>
      </c>
      <c r="J743">
        <v>551</v>
      </c>
      <c r="K743">
        <v>8.9816640118045604E-2</v>
      </c>
    </row>
    <row r="744" spans="1:11" x14ac:dyDescent="0.25">
      <c r="A744" t="s">
        <v>86</v>
      </c>
    </row>
    <row r="745" spans="1:11" x14ac:dyDescent="0.25">
      <c r="A745">
        <v>129.80218908125701</v>
      </c>
      <c r="B745">
        <v>126.215227129403</v>
      </c>
      <c r="C745">
        <v>2000</v>
      </c>
    </row>
    <row r="746" spans="1:11" x14ac:dyDescent="0.25">
      <c r="A746">
        <v>129.78670701045499</v>
      </c>
      <c r="B746">
        <v>126.199745058601</v>
      </c>
      <c r="C746">
        <v>2000</v>
      </c>
    </row>
    <row r="747" spans="1:11" x14ac:dyDescent="0.25">
      <c r="A747">
        <v>130.223723034904</v>
      </c>
      <c r="B747">
        <v>125.762729034152</v>
      </c>
      <c r="C747">
        <v>2001</v>
      </c>
    </row>
    <row r="748" spans="1:11" x14ac:dyDescent="0.25">
      <c r="A748">
        <v>130.23964754931501</v>
      </c>
      <c r="B748">
        <v>125.778653548563</v>
      </c>
      <c r="C748">
        <v>2001</v>
      </c>
    </row>
    <row r="749" spans="1:11" x14ac:dyDescent="0.25">
      <c r="A749">
        <v>145.95288679093801</v>
      </c>
      <c r="B749">
        <v>141.49189279018501</v>
      </c>
      <c r="C749">
        <v>2001</v>
      </c>
    </row>
    <row r="750" spans="1:11" x14ac:dyDescent="0.25">
      <c r="A750">
        <v>145.07885474203999</v>
      </c>
      <c r="B750">
        <v>141.49189279018501</v>
      </c>
      <c r="C750">
        <v>2000</v>
      </c>
    </row>
    <row r="751" spans="1:11" x14ac:dyDescent="0.25">
      <c r="A751" t="s">
        <v>87</v>
      </c>
    </row>
    <row r="752" spans="1:11" x14ac:dyDescent="0.25">
      <c r="A752">
        <v>274</v>
      </c>
      <c r="B752">
        <v>0</v>
      </c>
      <c r="C752">
        <v>8.3466510005526509</v>
      </c>
      <c r="D752">
        <v>13.410413636509601</v>
      </c>
      <c r="E752">
        <v>6</v>
      </c>
      <c r="F752">
        <v>1.01722196789785</v>
      </c>
      <c r="G752" t="s">
        <v>85</v>
      </c>
      <c r="H752" t="s">
        <v>88</v>
      </c>
      <c r="I752">
        <v>305</v>
      </c>
      <c r="J752">
        <v>0</v>
      </c>
      <c r="K752">
        <v>0</v>
      </c>
    </row>
    <row r="753" spans="1:11" x14ac:dyDescent="0.25">
      <c r="A753" t="s">
        <v>86</v>
      </c>
    </row>
    <row r="754" spans="1:11" x14ac:dyDescent="0.25">
      <c r="A754">
        <v>23.193075976898999</v>
      </c>
      <c r="B754">
        <v>140.51740557910799</v>
      </c>
      <c r="C754">
        <v>2000</v>
      </c>
    </row>
    <row r="755" spans="1:11" x14ac:dyDescent="0.25">
      <c r="A755">
        <v>17.291102454210801</v>
      </c>
      <c r="B755">
        <v>134.615432056419</v>
      </c>
      <c r="C755">
        <v>2000</v>
      </c>
    </row>
    <row r="756" spans="1:11" x14ac:dyDescent="0.25">
      <c r="A756">
        <v>18.165134503108401</v>
      </c>
      <c r="B756">
        <v>134.615432056419</v>
      </c>
      <c r="C756">
        <v>2001</v>
      </c>
    </row>
    <row r="757" spans="1:11" x14ac:dyDescent="0.25">
      <c r="A757">
        <v>24.067108025796699</v>
      </c>
      <c r="B757">
        <v>140.51740557910799</v>
      </c>
      <c r="C757">
        <v>2001</v>
      </c>
    </row>
    <row r="758" spans="1:11" x14ac:dyDescent="0.25">
      <c r="A758">
        <v>33.549702446689203</v>
      </c>
      <c r="B758">
        <v>150</v>
      </c>
      <c r="C758">
        <v>2001</v>
      </c>
    </row>
    <row r="759" spans="1:11" x14ac:dyDescent="0.25">
      <c r="A759">
        <v>32.6756703977915</v>
      </c>
      <c r="B759">
        <v>150</v>
      </c>
      <c r="C759">
        <v>2000</v>
      </c>
    </row>
    <row r="760" spans="1:11" x14ac:dyDescent="0.25">
      <c r="A760" t="s">
        <v>87</v>
      </c>
    </row>
    <row r="761" spans="1:11" x14ac:dyDescent="0.25">
      <c r="A761">
        <v>1226</v>
      </c>
      <c r="B761">
        <v>1</v>
      </c>
      <c r="C761">
        <v>19.102042814109399</v>
      </c>
      <c r="D761">
        <v>2.5236687164290901</v>
      </c>
      <c r="E761">
        <v>6</v>
      </c>
      <c r="F761">
        <v>1.01722196789785</v>
      </c>
      <c r="G761" t="s">
        <v>85</v>
      </c>
      <c r="H761" t="s">
        <v>85</v>
      </c>
      <c r="I761">
        <v>1042</v>
      </c>
      <c r="J761">
        <v>272</v>
      </c>
      <c r="K761">
        <v>9.6277099271545E-2</v>
      </c>
    </row>
    <row r="762" spans="1:11" x14ac:dyDescent="0.25">
      <c r="A762" t="s">
        <v>86</v>
      </c>
    </row>
    <row r="763" spans="1:11" x14ac:dyDescent="0.25">
      <c r="A763">
        <v>31.200915659405702</v>
      </c>
      <c r="B763">
        <v>113.526134168518</v>
      </c>
      <c r="C763">
        <v>2000</v>
      </c>
    </row>
    <row r="764" spans="1:11" x14ac:dyDescent="0.25">
      <c r="A764">
        <v>17.6937316510332</v>
      </c>
      <c r="B764">
        <v>127.03331817689001</v>
      </c>
      <c r="C764">
        <v>2000</v>
      </c>
    </row>
    <row r="765" spans="1:11" x14ac:dyDescent="0.25">
      <c r="A765">
        <v>17.6937316510332</v>
      </c>
      <c r="B765">
        <v>127.90735022578799</v>
      </c>
      <c r="C765">
        <v>2001</v>
      </c>
    </row>
    <row r="766" spans="1:11" x14ac:dyDescent="0.25">
      <c r="A766">
        <v>31.200915659405702</v>
      </c>
      <c r="B766">
        <v>114.40016621741501</v>
      </c>
      <c r="C766">
        <v>2001</v>
      </c>
    </row>
    <row r="767" spans="1:11" x14ac:dyDescent="0.25">
      <c r="A767">
        <v>32.985418922261097</v>
      </c>
      <c r="B767">
        <v>112.61566295455999</v>
      </c>
      <c r="C767">
        <v>2001</v>
      </c>
    </row>
    <row r="768" spans="1:11" x14ac:dyDescent="0.25">
      <c r="A768">
        <v>32.985418922261097</v>
      </c>
      <c r="B768">
        <v>111.74163090566201</v>
      </c>
      <c r="C768">
        <v>2000</v>
      </c>
    </row>
    <row r="769" spans="1:11" x14ac:dyDescent="0.25">
      <c r="A769" t="s">
        <v>87</v>
      </c>
    </row>
    <row r="770" spans="1:11" x14ac:dyDescent="0.25">
      <c r="A770">
        <v>672</v>
      </c>
      <c r="B770">
        <v>0</v>
      </c>
      <c r="C770">
        <v>9.0698620935505101</v>
      </c>
      <c r="D770">
        <v>12.483416620429701</v>
      </c>
      <c r="E770">
        <v>6</v>
      </c>
      <c r="F770">
        <v>1.01722196789785</v>
      </c>
      <c r="G770" t="s">
        <v>85</v>
      </c>
      <c r="H770" t="s">
        <v>85</v>
      </c>
      <c r="I770">
        <v>709</v>
      </c>
      <c r="J770">
        <v>840</v>
      </c>
      <c r="K770">
        <v>0</v>
      </c>
    </row>
    <row r="771" spans="1:11" x14ac:dyDescent="0.25">
      <c r="A771" t="s">
        <v>86</v>
      </c>
    </row>
    <row r="772" spans="1:11" x14ac:dyDescent="0.25">
      <c r="A772">
        <v>89.566217691426601</v>
      </c>
      <c r="B772">
        <v>72.747127885346799</v>
      </c>
      <c r="C772">
        <v>2000</v>
      </c>
    </row>
    <row r="773" spans="1:11" x14ac:dyDescent="0.25">
      <c r="A773">
        <v>83.152856700650204</v>
      </c>
      <c r="B773">
        <v>66.333766894570402</v>
      </c>
      <c r="C773">
        <v>2000</v>
      </c>
    </row>
    <row r="774" spans="1:11" x14ac:dyDescent="0.25">
      <c r="A774">
        <v>82.278824651752601</v>
      </c>
      <c r="B774">
        <v>66.333766894570402</v>
      </c>
      <c r="C774">
        <v>2001</v>
      </c>
    </row>
    <row r="775" spans="1:11" x14ac:dyDescent="0.25">
      <c r="A775">
        <v>88.692185642528997</v>
      </c>
      <c r="B775">
        <v>72.747127885346799</v>
      </c>
      <c r="C775">
        <v>2001</v>
      </c>
    </row>
    <row r="776" spans="1:11" x14ac:dyDescent="0.25">
      <c r="A776">
        <v>97.519294187211699</v>
      </c>
      <c r="B776">
        <v>81.574236430029501</v>
      </c>
      <c r="C776">
        <v>2001</v>
      </c>
    </row>
    <row r="777" spans="1:11" x14ac:dyDescent="0.25">
      <c r="A777">
        <v>98.393326236109303</v>
      </c>
      <c r="B777">
        <v>81.574236430029501</v>
      </c>
      <c r="C777">
        <v>2000</v>
      </c>
    </row>
    <row r="778" spans="1:11" x14ac:dyDescent="0.25">
      <c r="A778" t="s">
        <v>87</v>
      </c>
    </row>
    <row r="779" spans="1:11" x14ac:dyDescent="0.25">
      <c r="A779">
        <v>61</v>
      </c>
      <c r="B779">
        <v>1</v>
      </c>
      <c r="C779">
        <v>18.602560973155398</v>
      </c>
      <c r="D779">
        <v>2.8713782905632002</v>
      </c>
      <c r="E779">
        <v>6</v>
      </c>
      <c r="F779">
        <v>1.01722196789785</v>
      </c>
      <c r="G779" t="s">
        <v>85</v>
      </c>
      <c r="H779" t="s">
        <v>85</v>
      </c>
      <c r="I779">
        <v>868</v>
      </c>
      <c r="J779">
        <v>28</v>
      </c>
      <c r="K779">
        <v>0</v>
      </c>
    </row>
    <row r="780" spans="1:11" x14ac:dyDescent="0.25">
      <c r="A780" t="s">
        <v>86</v>
      </c>
    </row>
    <row r="781" spans="1:11" x14ac:dyDescent="0.25">
      <c r="A781">
        <v>26.441621594623399</v>
      </c>
      <c r="B781">
        <v>35.633574656693803</v>
      </c>
      <c r="C781">
        <v>2000</v>
      </c>
    </row>
    <row r="782" spans="1:11" x14ac:dyDescent="0.25">
      <c r="A782">
        <v>12.909043963033801</v>
      </c>
      <c r="B782">
        <v>49.1661522882833</v>
      </c>
      <c r="C782">
        <v>2000</v>
      </c>
    </row>
    <row r="783" spans="1:11" x14ac:dyDescent="0.25">
      <c r="A783">
        <v>13.783076011931501</v>
      </c>
      <c r="B783">
        <v>49.1661522882833</v>
      </c>
      <c r="C783">
        <v>2001</v>
      </c>
    </row>
    <row r="784" spans="1:11" x14ac:dyDescent="0.25">
      <c r="A784">
        <v>26.558492403450799</v>
      </c>
      <c r="B784">
        <v>36.390735896763999</v>
      </c>
      <c r="C784">
        <v>2001</v>
      </c>
    </row>
    <row r="785" spans="1:11" x14ac:dyDescent="0.25">
      <c r="A785">
        <v>28.530428059646098</v>
      </c>
      <c r="B785">
        <v>34.418800240568601</v>
      </c>
      <c r="C785">
        <v>2001</v>
      </c>
    </row>
    <row r="786" spans="1:11" x14ac:dyDescent="0.25">
      <c r="A786">
        <v>28.530428059646098</v>
      </c>
      <c r="B786">
        <v>33.544768191670997</v>
      </c>
      <c r="C786">
        <v>2000</v>
      </c>
    </row>
    <row r="787" spans="1:11" x14ac:dyDescent="0.25">
      <c r="A787" t="s">
        <v>87</v>
      </c>
    </row>
    <row r="788" spans="1:11" x14ac:dyDescent="0.25">
      <c r="A788">
        <v>832</v>
      </c>
      <c r="B788">
        <v>0</v>
      </c>
      <c r="C788">
        <v>7.7930820265612804</v>
      </c>
      <c r="D788">
        <v>13.609099280547399</v>
      </c>
      <c r="E788">
        <v>6</v>
      </c>
      <c r="F788">
        <v>1.01722196789785</v>
      </c>
      <c r="G788" t="s">
        <v>85</v>
      </c>
      <c r="H788" t="s">
        <v>88</v>
      </c>
      <c r="I788">
        <v>784</v>
      </c>
      <c r="J788">
        <v>0</v>
      </c>
      <c r="K788">
        <v>9.0374042336346896E-2</v>
      </c>
    </row>
    <row r="789" spans="1:11" x14ac:dyDescent="0.25">
      <c r="A789" t="s">
        <v>86</v>
      </c>
    </row>
    <row r="790" spans="1:11" x14ac:dyDescent="0.25">
      <c r="A790">
        <v>140.37691361288401</v>
      </c>
      <c r="B790">
        <v>73.022738326808195</v>
      </c>
      <c r="C790">
        <v>2000</v>
      </c>
    </row>
    <row r="791" spans="1:11" x14ac:dyDescent="0.25">
      <c r="A791">
        <v>134.86637246555901</v>
      </c>
      <c r="B791">
        <v>67.512197179483707</v>
      </c>
      <c r="C791">
        <v>2000</v>
      </c>
    </row>
    <row r="792" spans="1:11" x14ac:dyDescent="0.25">
      <c r="A792">
        <v>134.86637246555901</v>
      </c>
      <c r="B792">
        <v>66.638165130586103</v>
      </c>
      <c r="C792">
        <v>2001</v>
      </c>
    </row>
    <row r="793" spans="1:11" x14ac:dyDescent="0.25">
      <c r="A793">
        <v>140.37691361288401</v>
      </c>
      <c r="B793">
        <v>72.148706277910605</v>
      </c>
      <c r="C793">
        <v>2001</v>
      </c>
    </row>
    <row r="794" spans="1:11" x14ac:dyDescent="0.25">
      <c r="A794">
        <v>150</v>
      </c>
      <c r="B794">
        <v>81.771792665026595</v>
      </c>
      <c r="C794">
        <v>2001</v>
      </c>
    </row>
    <row r="795" spans="1:11" x14ac:dyDescent="0.25">
      <c r="A795">
        <v>150</v>
      </c>
      <c r="B795">
        <v>82.645824713924299</v>
      </c>
      <c r="C795">
        <v>2000</v>
      </c>
    </row>
    <row r="796" spans="1:11" x14ac:dyDescent="0.25">
      <c r="A796" t="s">
        <v>87</v>
      </c>
    </row>
    <row r="797" spans="1:11" x14ac:dyDescent="0.25">
      <c r="A797">
        <v>713</v>
      </c>
      <c r="B797">
        <v>1</v>
      </c>
      <c r="C797">
        <v>7.1566409061481204</v>
      </c>
      <c r="D797">
        <v>14.229028451086499</v>
      </c>
      <c r="E797">
        <v>6</v>
      </c>
      <c r="F797">
        <v>1.01722196789785</v>
      </c>
      <c r="G797" t="s">
        <v>85</v>
      </c>
      <c r="H797" t="s">
        <v>85</v>
      </c>
      <c r="I797">
        <v>679</v>
      </c>
      <c r="J797">
        <v>665</v>
      </c>
      <c r="K797">
        <v>0</v>
      </c>
    </row>
    <row r="798" spans="1:11" x14ac:dyDescent="0.25">
      <c r="A798" t="s">
        <v>86</v>
      </c>
    </row>
    <row r="799" spans="1:11" x14ac:dyDescent="0.25">
      <c r="A799">
        <v>77.4570328544159</v>
      </c>
      <c r="B799">
        <v>65.226689073837306</v>
      </c>
      <c r="C799">
        <v>2000</v>
      </c>
    </row>
    <row r="800" spans="1:11" x14ac:dyDescent="0.25">
      <c r="A800">
        <v>72.396523539161606</v>
      </c>
      <c r="B800">
        <v>70.287198389091699</v>
      </c>
      <c r="C800">
        <v>2000</v>
      </c>
    </row>
    <row r="801" spans="1:11" x14ac:dyDescent="0.25">
      <c r="A801">
        <v>72.396523539161606</v>
      </c>
      <c r="B801">
        <v>71.161230437989303</v>
      </c>
      <c r="C801">
        <v>2001</v>
      </c>
    </row>
    <row r="802" spans="1:11" x14ac:dyDescent="0.25">
      <c r="A802">
        <v>77.4570328544159</v>
      </c>
      <c r="B802">
        <v>66.100721122734996</v>
      </c>
      <c r="C802">
        <v>2001</v>
      </c>
    </row>
    <row r="803" spans="1:11" x14ac:dyDescent="0.25">
      <c r="A803">
        <v>87.518475361875502</v>
      </c>
      <c r="B803">
        <v>56.0392786152754</v>
      </c>
      <c r="C803">
        <v>2001</v>
      </c>
    </row>
    <row r="804" spans="1:11" x14ac:dyDescent="0.25">
      <c r="A804">
        <v>87.518475361875502</v>
      </c>
      <c r="B804">
        <v>55.165246566377803</v>
      </c>
      <c r="C804">
        <v>2000</v>
      </c>
    </row>
    <row r="805" spans="1:11" x14ac:dyDescent="0.25">
      <c r="A805" t="s">
        <v>87</v>
      </c>
    </row>
    <row r="806" spans="1:11" x14ac:dyDescent="0.25">
      <c r="A806">
        <v>353</v>
      </c>
      <c r="B806">
        <v>0</v>
      </c>
      <c r="C806">
        <v>20.100748280715901</v>
      </c>
      <c r="D806">
        <v>1.27664539846575</v>
      </c>
      <c r="E806">
        <v>6</v>
      </c>
      <c r="F806">
        <v>1.01722196789785</v>
      </c>
      <c r="G806" t="s">
        <v>85</v>
      </c>
      <c r="H806" t="s">
        <v>89</v>
      </c>
      <c r="I806">
        <v>394</v>
      </c>
      <c r="J806">
        <v>775</v>
      </c>
      <c r="K806">
        <v>0</v>
      </c>
    </row>
    <row r="807" spans="1:11" x14ac:dyDescent="0.25">
      <c r="A807" t="s">
        <v>86</v>
      </c>
    </row>
    <row r="808" spans="1:11" x14ac:dyDescent="0.25">
      <c r="A808">
        <v>36.629341577202702</v>
      </c>
      <c r="B808">
        <v>86.872230209537406</v>
      </c>
      <c r="C808">
        <v>2000</v>
      </c>
    </row>
    <row r="809" spans="1:11" x14ac:dyDescent="0.25">
      <c r="A809">
        <v>22.2105073189501</v>
      </c>
      <c r="B809">
        <v>72.453395951284705</v>
      </c>
      <c r="C809">
        <v>2000</v>
      </c>
    </row>
    <row r="810" spans="1:11" x14ac:dyDescent="0.25">
      <c r="A810">
        <v>23.0845393678478</v>
      </c>
      <c r="B810">
        <v>72.453395951284705</v>
      </c>
      <c r="C810">
        <v>2001</v>
      </c>
    </row>
    <row r="811" spans="1:11" x14ac:dyDescent="0.25">
      <c r="A811">
        <v>37.092455942031201</v>
      </c>
      <c r="B811">
        <v>86.461312525468202</v>
      </c>
      <c r="C811">
        <v>2001</v>
      </c>
    </row>
    <row r="812" spans="1:11" x14ac:dyDescent="0.25">
      <c r="A812">
        <v>37.982131390267099</v>
      </c>
      <c r="B812">
        <v>87.350987973704093</v>
      </c>
      <c r="C812">
        <v>2001</v>
      </c>
    </row>
    <row r="813" spans="1:11" x14ac:dyDescent="0.25">
      <c r="A813">
        <v>37.545115365818297</v>
      </c>
      <c r="B813">
        <v>87.788003998152902</v>
      </c>
      <c r="C813">
        <v>2000</v>
      </c>
    </row>
    <row r="814" spans="1:11" x14ac:dyDescent="0.25">
      <c r="A814" t="s">
        <v>87</v>
      </c>
    </row>
    <row r="815" spans="1:11" x14ac:dyDescent="0.25">
      <c r="A815">
        <v>821</v>
      </c>
      <c r="B815">
        <v>0</v>
      </c>
      <c r="C815">
        <v>8.1507498308684099</v>
      </c>
      <c r="D815">
        <v>13.216004810999101</v>
      </c>
      <c r="E815">
        <v>8</v>
      </c>
      <c r="F815">
        <v>1.01722196789785</v>
      </c>
      <c r="G815" t="s">
        <v>85</v>
      </c>
      <c r="H815" t="s">
        <v>85</v>
      </c>
      <c r="I815">
        <v>319</v>
      </c>
      <c r="J815">
        <v>225</v>
      </c>
      <c r="K815">
        <v>9.0097089164053304E-2</v>
      </c>
    </row>
    <row r="816" spans="1:11" x14ac:dyDescent="0.25">
      <c r="A816" t="s">
        <v>86</v>
      </c>
    </row>
    <row r="817" spans="1:11" x14ac:dyDescent="0.25">
      <c r="A817">
        <v>54.7949243271703</v>
      </c>
      <c r="B817">
        <v>134.62057257155101</v>
      </c>
      <c r="C817">
        <v>2000</v>
      </c>
    </row>
    <row r="818" spans="1:11" x14ac:dyDescent="0.25">
      <c r="A818">
        <v>49.9697782672324</v>
      </c>
      <c r="B818">
        <v>129.79542651161299</v>
      </c>
      <c r="C818">
        <v>2000</v>
      </c>
    </row>
    <row r="819" spans="1:11" x14ac:dyDescent="0.25">
      <c r="A819">
        <v>49.202860076540503</v>
      </c>
      <c r="B819">
        <v>129.02850832092099</v>
      </c>
      <c r="C819">
        <v>2000</v>
      </c>
    </row>
    <row r="820" spans="1:11" x14ac:dyDescent="0.25">
      <c r="A820">
        <v>49.202860076540503</v>
      </c>
      <c r="B820">
        <v>128.154476272023</v>
      </c>
      <c r="C820">
        <v>2001</v>
      </c>
    </row>
    <row r="821" spans="1:11" x14ac:dyDescent="0.25">
      <c r="A821">
        <v>50.0302217327676</v>
      </c>
      <c r="B821">
        <v>128.98183792825</v>
      </c>
      <c r="C821">
        <v>2001</v>
      </c>
    </row>
    <row r="822" spans="1:11" x14ac:dyDescent="0.25">
      <c r="A822">
        <v>55.137696780235103</v>
      </c>
      <c r="B822">
        <v>134.089312975718</v>
      </c>
      <c r="C822">
        <v>2001</v>
      </c>
    </row>
    <row r="823" spans="1:11" x14ac:dyDescent="0.25">
      <c r="A823">
        <v>64.748453200203002</v>
      </c>
      <c r="B823">
        <v>143.700069395686</v>
      </c>
      <c r="C823">
        <v>2001</v>
      </c>
    </row>
    <row r="824" spans="1:11" x14ac:dyDescent="0.25">
      <c r="A824">
        <v>63.874421151305398</v>
      </c>
      <c r="B824">
        <v>143.700069395686</v>
      </c>
      <c r="C824">
        <v>2000</v>
      </c>
    </row>
    <row r="825" spans="1:11" x14ac:dyDescent="0.25">
      <c r="A825" t="s">
        <v>87</v>
      </c>
    </row>
    <row r="826" spans="1:11" x14ac:dyDescent="0.25">
      <c r="A826">
        <v>37</v>
      </c>
      <c r="B826">
        <v>0</v>
      </c>
      <c r="C826">
        <v>6.4447297948316402</v>
      </c>
      <c r="D826">
        <v>14.7920445588578</v>
      </c>
      <c r="E826">
        <v>6</v>
      </c>
      <c r="F826">
        <v>1.01722196789785</v>
      </c>
      <c r="G826" t="s">
        <v>85</v>
      </c>
      <c r="H826" t="s">
        <v>85</v>
      </c>
      <c r="I826">
        <v>69</v>
      </c>
      <c r="J826">
        <v>773</v>
      </c>
      <c r="K826">
        <v>0</v>
      </c>
    </row>
    <row r="827" spans="1:11" x14ac:dyDescent="0.25">
      <c r="A827" t="s">
        <v>86</v>
      </c>
    </row>
    <row r="828" spans="1:11" x14ac:dyDescent="0.25">
      <c r="A828">
        <v>17.3526785957317</v>
      </c>
      <c r="B828">
        <v>6.12773150490957</v>
      </c>
      <c r="C828">
        <v>2000</v>
      </c>
    </row>
    <row r="829" spans="1:11" x14ac:dyDescent="0.25">
      <c r="A829">
        <v>12.795566454891301</v>
      </c>
      <c r="B829">
        <v>1.5706193640691299</v>
      </c>
      <c r="C829">
        <v>2000</v>
      </c>
    </row>
    <row r="830" spans="1:11" x14ac:dyDescent="0.25">
      <c r="A830">
        <v>11.921534405993601</v>
      </c>
      <c r="B830">
        <v>1.5706193640691299</v>
      </c>
      <c r="C830">
        <v>2001</v>
      </c>
    </row>
    <row r="831" spans="1:11" x14ac:dyDescent="0.25">
      <c r="A831">
        <v>16.478646546834099</v>
      </c>
      <c r="B831">
        <v>6.12773150490957</v>
      </c>
      <c r="C831">
        <v>2001</v>
      </c>
    </row>
    <row r="832" spans="1:11" x14ac:dyDescent="0.25">
      <c r="A832">
        <v>26.938201562016001</v>
      </c>
      <c r="B832">
        <v>16.587286520091499</v>
      </c>
      <c r="C832">
        <v>2001</v>
      </c>
    </row>
    <row r="833" spans="1:11" x14ac:dyDescent="0.25">
      <c r="A833">
        <v>27.812233610913601</v>
      </c>
      <c r="B833">
        <v>16.587286520091499</v>
      </c>
      <c r="C833">
        <v>2000</v>
      </c>
    </row>
    <row r="834" spans="1:11" x14ac:dyDescent="0.25">
      <c r="A834" t="s">
        <v>87</v>
      </c>
    </row>
    <row r="835" spans="1:11" x14ac:dyDescent="0.25">
      <c r="A835">
        <v>472</v>
      </c>
      <c r="B835">
        <v>1</v>
      </c>
      <c r="C835">
        <v>8.9896989522815698</v>
      </c>
      <c r="D835">
        <v>12.130708117251199</v>
      </c>
      <c r="E835">
        <v>6</v>
      </c>
      <c r="F835">
        <v>1.01722196789785</v>
      </c>
      <c r="G835" t="s">
        <v>85</v>
      </c>
      <c r="H835" t="s">
        <v>85</v>
      </c>
      <c r="I835">
        <v>436</v>
      </c>
      <c r="J835">
        <v>427</v>
      </c>
      <c r="K835">
        <v>0</v>
      </c>
    </row>
    <row r="836" spans="1:11" x14ac:dyDescent="0.25">
      <c r="A836" t="s">
        <v>86</v>
      </c>
    </row>
    <row r="837" spans="1:11" x14ac:dyDescent="0.25">
      <c r="A837">
        <v>72.780849764496097</v>
      </c>
      <c r="B837">
        <v>10.9467550697489</v>
      </c>
      <c r="C837">
        <v>2000</v>
      </c>
    </row>
    <row r="838" spans="1:11" x14ac:dyDescent="0.25">
      <c r="A838">
        <v>66.424172674512207</v>
      </c>
      <c r="B838">
        <v>17.3034321597328</v>
      </c>
      <c r="C838">
        <v>2000</v>
      </c>
    </row>
    <row r="839" spans="1:11" x14ac:dyDescent="0.25">
      <c r="A839">
        <v>67.298204723409796</v>
      </c>
      <c r="B839">
        <v>17.3034321597328</v>
      </c>
      <c r="C839">
        <v>2001</v>
      </c>
    </row>
    <row r="840" spans="1:11" x14ac:dyDescent="0.25">
      <c r="A840">
        <v>73.6548818133937</v>
      </c>
      <c r="B840">
        <v>10.9467550697489</v>
      </c>
      <c r="C840">
        <v>2001</v>
      </c>
    </row>
    <row r="841" spans="1:11" x14ac:dyDescent="0.25">
      <c r="A841">
        <v>82.2325877836968</v>
      </c>
      <c r="B841">
        <v>2.36904909944584</v>
      </c>
      <c r="C841">
        <v>2001</v>
      </c>
    </row>
    <row r="842" spans="1:11" x14ac:dyDescent="0.25">
      <c r="A842">
        <v>81.358555734799097</v>
      </c>
      <c r="B842">
        <v>2.36904909944584</v>
      </c>
      <c r="C842">
        <v>2000</v>
      </c>
    </row>
    <row r="843" spans="1:11" x14ac:dyDescent="0.25">
      <c r="A843" t="s">
        <v>87</v>
      </c>
    </row>
    <row r="844" spans="1:11" x14ac:dyDescent="0.25">
      <c r="A844">
        <v>867</v>
      </c>
      <c r="B844">
        <v>1</v>
      </c>
      <c r="C844">
        <v>20.634749197333399</v>
      </c>
      <c r="D844">
        <v>0.48565787219939699</v>
      </c>
      <c r="E844">
        <v>6</v>
      </c>
      <c r="F844">
        <v>1.01722196789785</v>
      </c>
      <c r="G844" t="s">
        <v>85</v>
      </c>
      <c r="H844" t="s">
        <v>85</v>
      </c>
      <c r="I844">
        <v>436</v>
      </c>
      <c r="J844">
        <v>427</v>
      </c>
      <c r="K844">
        <v>9.0910684189608806E-2</v>
      </c>
    </row>
    <row r="845" spans="1:11" x14ac:dyDescent="0.25">
      <c r="A845" t="s">
        <v>86</v>
      </c>
    </row>
    <row r="846" spans="1:11" x14ac:dyDescent="0.25">
      <c r="A846">
        <v>81.666647766570506</v>
      </c>
      <c r="B846">
        <v>3.3639650807548298</v>
      </c>
      <c r="C846">
        <v>2000</v>
      </c>
    </row>
    <row r="847" spans="1:11" x14ac:dyDescent="0.25">
      <c r="A847">
        <v>67.0756766810524</v>
      </c>
      <c r="B847">
        <v>17.954936166272901</v>
      </c>
      <c r="C847">
        <v>2000</v>
      </c>
    </row>
    <row r="848" spans="1:11" x14ac:dyDescent="0.25">
      <c r="A848">
        <v>67.949708729950004</v>
      </c>
      <c r="B848">
        <v>17.954936166273001</v>
      </c>
      <c r="C848">
        <v>2001</v>
      </c>
    </row>
    <row r="849" spans="1:11" x14ac:dyDescent="0.25">
      <c r="A849">
        <v>82.540679815468096</v>
      </c>
      <c r="B849">
        <v>3.3639650807548298</v>
      </c>
      <c r="C849">
        <v>2001</v>
      </c>
    </row>
    <row r="850" spans="1:11" x14ac:dyDescent="0.25">
      <c r="A850">
        <v>82.884091790236894</v>
      </c>
      <c r="B850">
        <v>3.020553105986</v>
      </c>
      <c r="C850">
        <v>2001</v>
      </c>
    </row>
    <row r="851" spans="1:11" x14ac:dyDescent="0.25">
      <c r="A851">
        <v>82.010059741339305</v>
      </c>
      <c r="B851">
        <v>3.0205531059860098</v>
      </c>
      <c r="C851">
        <v>2000</v>
      </c>
    </row>
    <row r="852" spans="1:11" x14ac:dyDescent="0.25">
      <c r="A852" t="s">
        <v>87</v>
      </c>
    </row>
    <row r="853" spans="1:11" x14ac:dyDescent="0.25">
      <c r="A853">
        <v>583</v>
      </c>
      <c r="B853">
        <v>0</v>
      </c>
      <c r="C853">
        <v>4.9118291080505099</v>
      </c>
      <c r="D853">
        <v>16.1959584706333</v>
      </c>
      <c r="E853">
        <v>6</v>
      </c>
      <c r="F853">
        <v>1.01722196789785</v>
      </c>
      <c r="G853" t="s">
        <v>85</v>
      </c>
      <c r="H853" t="s">
        <v>85</v>
      </c>
      <c r="I853">
        <v>637</v>
      </c>
      <c r="J853">
        <v>754</v>
      </c>
      <c r="K853">
        <v>0</v>
      </c>
    </row>
    <row r="854" spans="1:11" x14ac:dyDescent="0.25">
      <c r="A854" t="s">
        <v>86</v>
      </c>
    </row>
    <row r="855" spans="1:11" x14ac:dyDescent="0.25">
      <c r="A855">
        <v>121.652122736747</v>
      </c>
      <c r="B855">
        <v>68.592447966604098</v>
      </c>
      <c r="C855">
        <v>2000</v>
      </c>
    </row>
    <row r="856" spans="1:11" x14ac:dyDescent="0.25">
      <c r="A856">
        <v>118.17893506641499</v>
      </c>
      <c r="B856">
        <v>65.119260296272103</v>
      </c>
      <c r="C856">
        <v>2000</v>
      </c>
    </row>
    <row r="857" spans="1:11" x14ac:dyDescent="0.25">
      <c r="A857">
        <v>118.17893506641499</v>
      </c>
      <c r="B857">
        <v>64.245228247374499</v>
      </c>
      <c r="C857">
        <v>2001</v>
      </c>
    </row>
    <row r="858" spans="1:11" x14ac:dyDescent="0.25">
      <c r="A858">
        <v>121.652122736747</v>
      </c>
      <c r="B858">
        <v>67.718415917706494</v>
      </c>
      <c r="C858">
        <v>2001</v>
      </c>
    </row>
    <row r="859" spans="1:11" x14ac:dyDescent="0.25">
      <c r="A859">
        <v>133.104394799147</v>
      </c>
      <c r="B859">
        <v>79.170687980107004</v>
      </c>
      <c r="C859">
        <v>2001</v>
      </c>
    </row>
    <row r="860" spans="1:11" x14ac:dyDescent="0.25">
      <c r="A860">
        <v>133.104394799147</v>
      </c>
      <c r="B860">
        <v>80.044720029004594</v>
      </c>
      <c r="C860">
        <v>2000</v>
      </c>
    </row>
    <row r="861" spans="1:11" x14ac:dyDescent="0.25">
      <c r="A861" t="s">
        <v>87</v>
      </c>
    </row>
    <row r="862" spans="1:11" x14ac:dyDescent="0.25">
      <c r="A862">
        <v>797</v>
      </c>
      <c r="B862">
        <v>0</v>
      </c>
      <c r="C862">
        <v>3.82765080397738</v>
      </c>
      <c r="D862">
        <v>17.280136774706399</v>
      </c>
      <c r="E862">
        <v>6</v>
      </c>
      <c r="F862">
        <v>1.01722196789785</v>
      </c>
      <c r="G862" t="s">
        <v>85</v>
      </c>
      <c r="H862" t="s">
        <v>85</v>
      </c>
      <c r="I862">
        <v>637</v>
      </c>
      <c r="J862">
        <v>754</v>
      </c>
      <c r="K862">
        <v>8.9816640118045604E-2</v>
      </c>
    </row>
    <row r="863" spans="1:11" x14ac:dyDescent="0.25">
      <c r="A863" t="s">
        <v>86</v>
      </c>
    </row>
    <row r="864" spans="1:11" x14ac:dyDescent="0.25">
      <c r="A864">
        <v>117.969210508256</v>
      </c>
      <c r="B864">
        <v>70.742100533443505</v>
      </c>
      <c r="C864">
        <v>2000</v>
      </c>
    </row>
    <row r="865" spans="1:11" x14ac:dyDescent="0.25">
      <c r="A865">
        <v>115.26265266874999</v>
      </c>
      <c r="B865">
        <v>68.035542693937003</v>
      </c>
      <c r="C865">
        <v>2000</v>
      </c>
    </row>
    <row r="866" spans="1:11" x14ac:dyDescent="0.25">
      <c r="A866">
        <v>114.38862061985201</v>
      </c>
      <c r="B866">
        <v>68.035542693937003</v>
      </c>
      <c r="C866">
        <v>2001</v>
      </c>
    </row>
    <row r="867" spans="1:11" x14ac:dyDescent="0.25">
      <c r="A867">
        <v>117.095178459359</v>
      </c>
      <c r="B867">
        <v>70.742100533443505</v>
      </c>
      <c r="C867">
        <v>2001</v>
      </c>
    </row>
    <row r="868" spans="1:11" x14ac:dyDescent="0.25">
      <c r="A868">
        <v>129.31408035258499</v>
      </c>
      <c r="B868">
        <v>82.961002426669495</v>
      </c>
      <c r="C868">
        <v>2001</v>
      </c>
    </row>
    <row r="869" spans="1:11" x14ac:dyDescent="0.25">
      <c r="A869">
        <v>130.18811240148199</v>
      </c>
      <c r="B869">
        <v>82.961002426669495</v>
      </c>
      <c r="C869">
        <v>2000</v>
      </c>
    </row>
    <row r="870" spans="1:11" x14ac:dyDescent="0.25">
      <c r="A870" t="s">
        <v>87</v>
      </c>
    </row>
    <row r="871" spans="1:11" x14ac:dyDescent="0.25">
      <c r="A871">
        <v>75</v>
      </c>
      <c r="B871">
        <v>1</v>
      </c>
      <c r="C871">
        <v>9.0878725779168708</v>
      </c>
      <c r="D871">
        <v>11.9137143267293</v>
      </c>
      <c r="E871">
        <v>8</v>
      </c>
      <c r="F871">
        <v>1.01722196789785</v>
      </c>
      <c r="G871" t="s">
        <v>85</v>
      </c>
      <c r="H871" t="s">
        <v>85</v>
      </c>
      <c r="I871">
        <v>27</v>
      </c>
      <c r="J871">
        <v>40</v>
      </c>
      <c r="K871">
        <v>0</v>
      </c>
    </row>
    <row r="872" spans="1:11" x14ac:dyDescent="0.25">
      <c r="A872" t="s">
        <v>86</v>
      </c>
    </row>
    <row r="873" spans="1:11" x14ac:dyDescent="0.25">
      <c r="A873">
        <v>43.597008289353802</v>
      </c>
      <c r="B873">
        <v>17.5546055073034</v>
      </c>
      <c r="C873">
        <v>2000</v>
      </c>
    </row>
    <row r="874" spans="1:11" x14ac:dyDescent="0.25">
      <c r="A874">
        <v>37.363066211502897</v>
      </c>
      <c r="B874">
        <v>23.788547585154198</v>
      </c>
      <c r="C874">
        <v>2000</v>
      </c>
    </row>
    <row r="875" spans="1:11" x14ac:dyDescent="0.25">
      <c r="A875">
        <v>36.4890341626053</v>
      </c>
      <c r="B875">
        <v>23.788547585154198</v>
      </c>
      <c r="C875">
        <v>2001</v>
      </c>
    </row>
    <row r="876" spans="1:11" x14ac:dyDescent="0.25">
      <c r="A876">
        <v>43.107284737562999</v>
      </c>
      <c r="B876">
        <v>17.170297010196499</v>
      </c>
      <c r="C876">
        <v>2001</v>
      </c>
    </row>
    <row r="877" spans="1:11" x14ac:dyDescent="0.25">
      <c r="A877">
        <v>49.9539234937793</v>
      </c>
      <c r="B877">
        <v>10.3236582539802</v>
      </c>
      <c r="C877">
        <v>2001</v>
      </c>
    </row>
    <row r="878" spans="1:11" x14ac:dyDescent="0.25">
      <c r="A878">
        <v>51.776414703008001</v>
      </c>
      <c r="B878">
        <v>8.5011670447515097</v>
      </c>
      <c r="C878">
        <v>2001</v>
      </c>
    </row>
    <row r="879" spans="1:11" x14ac:dyDescent="0.25">
      <c r="A879">
        <v>51.776414703008001</v>
      </c>
      <c r="B879">
        <v>9.3751990936491492</v>
      </c>
      <c r="C879">
        <v>2000</v>
      </c>
    </row>
    <row r="880" spans="1:11" x14ac:dyDescent="0.25">
      <c r="A880">
        <v>50.0460765062207</v>
      </c>
      <c r="B880">
        <v>11.1055372904365</v>
      </c>
      <c r="C880">
        <v>2000</v>
      </c>
    </row>
    <row r="881" spans="1:11" x14ac:dyDescent="0.25">
      <c r="A881" t="s">
        <v>87</v>
      </c>
    </row>
    <row r="882" spans="1:11" x14ac:dyDescent="0.25">
      <c r="A882">
        <v>841</v>
      </c>
      <c r="B882">
        <v>0</v>
      </c>
      <c r="C882">
        <v>12.688240080384499</v>
      </c>
      <c r="D882">
        <v>8.1957740908461592</v>
      </c>
      <c r="E882">
        <v>6</v>
      </c>
      <c r="F882">
        <v>1.01722196789785</v>
      </c>
      <c r="G882" t="s">
        <v>85</v>
      </c>
      <c r="H882" t="s">
        <v>85</v>
      </c>
      <c r="I882">
        <v>235</v>
      </c>
      <c r="J882">
        <v>224</v>
      </c>
      <c r="K882">
        <v>9.0374042336346896E-2</v>
      </c>
    </row>
    <row r="883" spans="1:11" x14ac:dyDescent="0.25">
      <c r="A883" t="s">
        <v>86</v>
      </c>
    </row>
    <row r="884" spans="1:11" x14ac:dyDescent="0.25">
      <c r="A884">
        <v>91.344779296933396</v>
      </c>
      <c r="B884">
        <v>122.19068775195601</v>
      </c>
      <c r="C884">
        <v>2000</v>
      </c>
    </row>
    <row r="885" spans="1:11" x14ac:dyDescent="0.25">
      <c r="A885">
        <v>82.638351071448596</v>
      </c>
      <c r="B885">
        <v>113.48425952647101</v>
      </c>
      <c r="C885">
        <v>2000</v>
      </c>
    </row>
    <row r="886" spans="1:11" x14ac:dyDescent="0.25">
      <c r="A886">
        <v>81.764319022551007</v>
      </c>
      <c r="B886">
        <v>113.48425952647101</v>
      </c>
      <c r="C886">
        <v>2001</v>
      </c>
    </row>
    <row r="887" spans="1:11" x14ac:dyDescent="0.25">
      <c r="A887">
        <v>91.001772001391899</v>
      </c>
      <c r="B887">
        <v>122.721712505312</v>
      </c>
      <c r="C887">
        <v>2001</v>
      </c>
    </row>
    <row r="888" spans="1:11" x14ac:dyDescent="0.25">
      <c r="A888">
        <v>96.968563085872901</v>
      </c>
      <c r="B888">
        <v>128.68850358979299</v>
      </c>
      <c r="C888">
        <v>2001</v>
      </c>
    </row>
    <row r="889" spans="1:11" x14ac:dyDescent="0.25">
      <c r="A889">
        <v>96.968563085872901</v>
      </c>
      <c r="B889">
        <v>127.814471540895</v>
      </c>
      <c r="C889">
        <v>2000</v>
      </c>
    </row>
    <row r="890" spans="1:11" x14ac:dyDescent="0.25">
      <c r="A890" t="s">
        <v>87</v>
      </c>
    </row>
    <row r="891" spans="1:11" x14ac:dyDescent="0.25">
      <c r="A891">
        <v>185</v>
      </c>
      <c r="B891">
        <v>0</v>
      </c>
      <c r="C891">
        <v>15.5264467432026</v>
      </c>
      <c r="D891">
        <v>5.35756742802812</v>
      </c>
      <c r="E891">
        <v>6</v>
      </c>
      <c r="F891">
        <v>1.01722196789785</v>
      </c>
      <c r="G891" t="s">
        <v>85</v>
      </c>
      <c r="H891" t="s">
        <v>85</v>
      </c>
      <c r="I891">
        <v>235</v>
      </c>
      <c r="J891">
        <v>224</v>
      </c>
      <c r="K891">
        <v>0</v>
      </c>
    </row>
    <row r="892" spans="1:11" x14ac:dyDescent="0.25">
      <c r="A892" t="s">
        <v>86</v>
      </c>
    </row>
    <row r="893" spans="1:11" x14ac:dyDescent="0.25">
      <c r="A893">
        <v>93.924922202882897</v>
      </c>
      <c r="B893">
        <v>123.505591352435</v>
      </c>
      <c r="C893">
        <v>2000</v>
      </c>
    </row>
    <row r="894" spans="1:11" x14ac:dyDescent="0.25">
      <c r="A894">
        <v>83.270970724183599</v>
      </c>
      <c r="B894">
        <v>112.851639873736</v>
      </c>
      <c r="C894">
        <v>2000</v>
      </c>
    </row>
    <row r="895" spans="1:11" x14ac:dyDescent="0.25">
      <c r="A895">
        <v>83.270970724183599</v>
      </c>
      <c r="B895">
        <v>111.977607824838</v>
      </c>
      <c r="C895">
        <v>2001</v>
      </c>
    </row>
    <row r="896" spans="1:11" x14ac:dyDescent="0.25">
      <c r="A896">
        <v>94.574730805184799</v>
      </c>
      <c r="B896">
        <v>123.28136790583901</v>
      </c>
      <c r="C896">
        <v>2001</v>
      </c>
    </row>
    <row r="897" spans="1:11" x14ac:dyDescent="0.25">
      <c r="A897">
        <v>98.475214787505607</v>
      </c>
      <c r="B897">
        <v>127.18185188816</v>
      </c>
      <c r="C897">
        <v>2001</v>
      </c>
    </row>
    <row r="898" spans="1:11" x14ac:dyDescent="0.25">
      <c r="A898">
        <v>97.601182738607903</v>
      </c>
      <c r="B898">
        <v>127.18185188816</v>
      </c>
      <c r="C898">
        <v>2000</v>
      </c>
    </row>
    <row r="899" spans="1:11" x14ac:dyDescent="0.25">
      <c r="A899" t="s">
        <v>87</v>
      </c>
    </row>
    <row r="900" spans="1:11" x14ac:dyDescent="0.25">
      <c r="A900">
        <v>628</v>
      </c>
      <c r="B900">
        <v>1</v>
      </c>
      <c r="C900">
        <v>12.785879165442401</v>
      </c>
      <c r="D900">
        <v>8.0430774086363908</v>
      </c>
      <c r="E900">
        <v>6</v>
      </c>
      <c r="F900">
        <v>1.01722196789785</v>
      </c>
      <c r="G900" t="s">
        <v>85</v>
      </c>
      <c r="H900" t="s">
        <v>85</v>
      </c>
      <c r="I900">
        <v>883</v>
      </c>
      <c r="J900">
        <v>596</v>
      </c>
      <c r="K900">
        <v>0</v>
      </c>
    </row>
    <row r="901" spans="1:11" x14ac:dyDescent="0.25">
      <c r="A901" t="s">
        <v>86</v>
      </c>
    </row>
    <row r="902" spans="1:11" x14ac:dyDescent="0.25">
      <c r="A902">
        <v>135.685603133596</v>
      </c>
      <c r="B902">
        <v>84.840236063158301</v>
      </c>
      <c r="C902">
        <v>2000</v>
      </c>
    </row>
    <row r="903" spans="1:11" x14ac:dyDescent="0.25">
      <c r="A903">
        <v>126.376358478505</v>
      </c>
      <c r="B903">
        <v>94.149480718248597</v>
      </c>
      <c r="C903">
        <v>2000</v>
      </c>
    </row>
    <row r="904" spans="1:11" x14ac:dyDescent="0.25">
      <c r="A904">
        <v>126.376358478505</v>
      </c>
      <c r="B904">
        <v>93.275448669350993</v>
      </c>
      <c r="C904">
        <v>2001</v>
      </c>
    </row>
    <row r="905" spans="1:11" x14ac:dyDescent="0.25">
      <c r="A905">
        <v>135.14907754604701</v>
      </c>
      <c r="B905">
        <v>84.502729601809193</v>
      </c>
      <c r="C905">
        <v>2001</v>
      </c>
    </row>
    <row r="906" spans="1:11" x14ac:dyDescent="0.25">
      <c r="A906">
        <v>140.66763889262799</v>
      </c>
      <c r="B906">
        <v>78.984168255228596</v>
      </c>
      <c r="C906">
        <v>2001</v>
      </c>
    </row>
    <row r="907" spans="1:11" x14ac:dyDescent="0.25">
      <c r="A907">
        <v>141.54167094152501</v>
      </c>
      <c r="B907">
        <v>78.984168255228596</v>
      </c>
      <c r="C907">
        <v>2000</v>
      </c>
    </row>
    <row r="908" spans="1:11" x14ac:dyDescent="0.25">
      <c r="A908" t="s">
        <v>87</v>
      </c>
    </row>
    <row r="909" spans="1:11" x14ac:dyDescent="0.25">
      <c r="A909">
        <v>599</v>
      </c>
      <c r="B909">
        <v>0</v>
      </c>
      <c r="C909">
        <v>10.8644205740581</v>
      </c>
      <c r="D909">
        <v>9.9236369286971904</v>
      </c>
      <c r="E909">
        <v>6</v>
      </c>
      <c r="F909">
        <v>1.01722196789785</v>
      </c>
      <c r="G909" t="s">
        <v>85</v>
      </c>
      <c r="H909" t="s">
        <v>85</v>
      </c>
      <c r="I909">
        <v>640</v>
      </c>
      <c r="J909">
        <v>628</v>
      </c>
      <c r="K909">
        <v>0</v>
      </c>
    </row>
    <row r="910" spans="1:11" x14ac:dyDescent="0.25">
      <c r="A910" t="s">
        <v>86</v>
      </c>
    </row>
    <row r="911" spans="1:11" x14ac:dyDescent="0.25">
      <c r="A911">
        <v>125.742904854266</v>
      </c>
      <c r="B911">
        <v>80.331553968211594</v>
      </c>
      <c r="C911">
        <v>2000</v>
      </c>
    </row>
    <row r="912" spans="1:11" x14ac:dyDescent="0.25">
      <c r="A912">
        <v>117.832202589061</v>
      </c>
      <c r="B912">
        <v>72.420851703006804</v>
      </c>
      <c r="C912">
        <v>2000</v>
      </c>
    </row>
    <row r="913" spans="1:11" x14ac:dyDescent="0.25">
      <c r="A913">
        <v>117.832202589061</v>
      </c>
      <c r="B913">
        <v>73.294883751904393</v>
      </c>
      <c r="C913">
        <v>2001</v>
      </c>
    </row>
    <row r="914" spans="1:11" x14ac:dyDescent="0.25">
      <c r="A914">
        <v>125.286111247015</v>
      </c>
      <c r="B914">
        <v>80.748792409857899</v>
      </c>
      <c r="C914">
        <v>2001</v>
      </c>
    </row>
    <row r="915" spans="1:11" x14ac:dyDescent="0.25">
      <c r="A915">
        <v>132.09456299250701</v>
      </c>
      <c r="B915">
        <v>87.557244155349807</v>
      </c>
      <c r="C915">
        <v>2001</v>
      </c>
    </row>
    <row r="916" spans="1:11" x14ac:dyDescent="0.25">
      <c r="A916">
        <v>132.968595041404</v>
      </c>
      <c r="B916">
        <v>87.557244155349807</v>
      </c>
      <c r="C916">
        <v>2000</v>
      </c>
    </row>
    <row r="917" spans="1:11" x14ac:dyDescent="0.25">
      <c r="A917" t="s">
        <v>87</v>
      </c>
    </row>
    <row r="918" spans="1:11" x14ac:dyDescent="0.25">
      <c r="A918">
        <v>967</v>
      </c>
      <c r="B918">
        <v>0</v>
      </c>
      <c r="C918">
        <v>11.8681227471212</v>
      </c>
      <c r="D918">
        <v>8.8631527102964203</v>
      </c>
      <c r="E918">
        <v>6</v>
      </c>
      <c r="F918">
        <v>1.01722196789785</v>
      </c>
      <c r="G918" t="s">
        <v>85</v>
      </c>
      <c r="H918" t="s">
        <v>85</v>
      </c>
      <c r="I918">
        <v>308</v>
      </c>
      <c r="J918">
        <v>304</v>
      </c>
      <c r="K918">
        <v>9.2813824447879903E-2</v>
      </c>
    </row>
    <row r="919" spans="1:11" x14ac:dyDescent="0.25">
      <c r="A919" t="s">
        <v>86</v>
      </c>
    </row>
    <row r="920" spans="1:11" x14ac:dyDescent="0.25">
      <c r="A920">
        <v>39.961246319106102</v>
      </c>
      <c r="B920">
        <v>110.762590756995</v>
      </c>
      <c r="C920">
        <v>2000</v>
      </c>
    </row>
    <row r="921" spans="1:11" x14ac:dyDescent="0.25">
      <c r="A921">
        <v>31.5692162446624</v>
      </c>
      <c r="B921">
        <v>102.370560682551</v>
      </c>
      <c r="C921">
        <v>2000</v>
      </c>
    </row>
    <row r="922" spans="1:11" x14ac:dyDescent="0.25">
      <c r="A922">
        <v>32.443248293560004</v>
      </c>
      <c r="B922">
        <v>102.370560682551</v>
      </c>
      <c r="C922">
        <v>2001</v>
      </c>
    </row>
    <row r="923" spans="1:11" x14ac:dyDescent="0.25">
      <c r="A923">
        <v>40.835278368003699</v>
      </c>
      <c r="B923">
        <v>110.762590756995</v>
      </c>
      <c r="C923">
        <v>2001</v>
      </c>
    </row>
    <row r="924" spans="1:11" x14ac:dyDescent="0.25">
      <c r="A924">
        <v>47.102473752146203</v>
      </c>
      <c r="B924">
        <v>117.029786141137</v>
      </c>
      <c r="C924">
        <v>2001</v>
      </c>
    </row>
    <row r="925" spans="1:11" x14ac:dyDescent="0.25">
      <c r="A925">
        <v>46.228441703248599</v>
      </c>
      <c r="B925">
        <v>117.029786141137</v>
      </c>
      <c r="C925">
        <v>2000</v>
      </c>
    </row>
    <row r="926" spans="1:11" x14ac:dyDescent="0.25">
      <c r="A926" t="s">
        <v>87</v>
      </c>
    </row>
    <row r="927" spans="1:11" x14ac:dyDescent="0.25">
      <c r="A927">
        <v>1031</v>
      </c>
      <c r="B927">
        <v>0</v>
      </c>
      <c r="C927">
        <v>18.835197994563401</v>
      </c>
      <c r="D927">
        <v>1.8960774628541499</v>
      </c>
      <c r="E927">
        <v>6</v>
      </c>
      <c r="F927">
        <v>1.01722196789785</v>
      </c>
      <c r="G927" t="s">
        <v>85</v>
      </c>
      <c r="H927" t="s">
        <v>85</v>
      </c>
      <c r="I927">
        <v>308</v>
      </c>
      <c r="J927">
        <v>304</v>
      </c>
      <c r="K927">
        <v>9.3644784593262795E-2</v>
      </c>
    </row>
    <row r="928" spans="1:11" x14ac:dyDescent="0.25">
      <c r="A928" t="s">
        <v>86</v>
      </c>
    </row>
    <row r="929" spans="1:11" x14ac:dyDescent="0.25">
      <c r="A929">
        <v>45.686219250646197</v>
      </c>
      <c r="B929">
        <v>114.890550130462</v>
      </c>
      <c r="C929">
        <v>2000</v>
      </c>
    </row>
    <row r="930" spans="1:11" x14ac:dyDescent="0.25">
      <c r="A930">
        <v>32.367723023699099</v>
      </c>
      <c r="B930">
        <v>101.572053903515</v>
      </c>
      <c r="C930">
        <v>2000</v>
      </c>
    </row>
    <row r="931" spans="1:11" x14ac:dyDescent="0.25">
      <c r="A931">
        <v>33.241755072596703</v>
      </c>
      <c r="B931">
        <v>101.572053903515</v>
      </c>
      <c r="C931">
        <v>2001</v>
      </c>
    </row>
    <row r="932" spans="1:11" x14ac:dyDescent="0.25">
      <c r="A932">
        <v>46.5602512995438</v>
      </c>
      <c r="B932">
        <v>114.890550130462</v>
      </c>
      <c r="C932">
        <v>2001</v>
      </c>
    </row>
    <row r="933" spans="1:11" x14ac:dyDescent="0.25">
      <c r="A933">
        <v>47.900980531182903</v>
      </c>
      <c r="B933">
        <v>116.23127936210101</v>
      </c>
      <c r="C933">
        <v>2001</v>
      </c>
    </row>
    <row r="934" spans="1:11" x14ac:dyDescent="0.25">
      <c r="A934">
        <v>47.026948482285299</v>
      </c>
      <c r="B934">
        <v>116.23127936210101</v>
      </c>
      <c r="C934">
        <v>2000</v>
      </c>
    </row>
    <row r="935" spans="1:11" x14ac:dyDescent="0.25">
      <c r="A935" t="s">
        <v>87</v>
      </c>
    </row>
    <row r="936" spans="1:11" x14ac:dyDescent="0.25">
      <c r="A936">
        <v>1112</v>
      </c>
      <c r="B936">
        <v>0</v>
      </c>
      <c r="C936">
        <v>17.072439459444599</v>
      </c>
      <c r="D936">
        <v>3.6588359979729699</v>
      </c>
      <c r="E936">
        <v>6</v>
      </c>
      <c r="F936">
        <v>1.01722196789785</v>
      </c>
      <c r="G936" t="s">
        <v>85</v>
      </c>
      <c r="H936" t="s">
        <v>85</v>
      </c>
      <c r="I936">
        <v>308</v>
      </c>
      <c r="J936">
        <v>304</v>
      </c>
      <c r="K936">
        <v>9.4777393206033497E-2</v>
      </c>
    </row>
    <row r="937" spans="1:11" x14ac:dyDescent="0.25">
      <c r="A937" t="s">
        <v>86</v>
      </c>
    </row>
    <row r="938" spans="1:11" x14ac:dyDescent="0.25">
      <c r="A938">
        <v>39.835335418514198</v>
      </c>
      <c r="B938">
        <v>118.24851693504</v>
      </c>
      <c r="C938">
        <v>2000</v>
      </c>
    </row>
    <row r="939" spans="1:11" x14ac:dyDescent="0.25">
      <c r="A939">
        <v>27.7632977053442</v>
      </c>
      <c r="B939">
        <v>106.176479221869</v>
      </c>
      <c r="C939">
        <v>2000</v>
      </c>
    </row>
    <row r="940" spans="1:11" x14ac:dyDescent="0.25">
      <c r="A940">
        <v>28.637329754241801</v>
      </c>
      <c r="B940">
        <v>106.176479221869</v>
      </c>
      <c r="C940">
        <v>2001</v>
      </c>
    </row>
    <row r="941" spans="1:11" x14ac:dyDescent="0.25">
      <c r="A941">
        <v>40.709367467411901</v>
      </c>
      <c r="B941">
        <v>118.24851693504</v>
      </c>
      <c r="C941">
        <v>2001</v>
      </c>
    </row>
    <row r="942" spans="1:11" x14ac:dyDescent="0.25">
      <c r="A942">
        <v>43.296555212827997</v>
      </c>
      <c r="B942">
        <v>120.835704680456</v>
      </c>
      <c r="C942">
        <v>2001</v>
      </c>
    </row>
    <row r="943" spans="1:11" x14ac:dyDescent="0.25">
      <c r="A943">
        <v>42.4225231639304</v>
      </c>
      <c r="B943">
        <v>120.835704680456</v>
      </c>
      <c r="C943">
        <v>2000</v>
      </c>
    </row>
    <row r="944" spans="1:11" x14ac:dyDescent="0.25">
      <c r="A944" t="s">
        <v>87</v>
      </c>
    </row>
    <row r="945" spans="1:11" x14ac:dyDescent="0.25">
      <c r="A945">
        <v>763</v>
      </c>
      <c r="B945">
        <v>0</v>
      </c>
      <c r="C945">
        <v>7.67666383691419</v>
      </c>
      <c r="D945">
        <v>12.676969041734299</v>
      </c>
      <c r="E945">
        <v>6</v>
      </c>
      <c r="F945">
        <v>1.01722196789785</v>
      </c>
      <c r="G945" t="s">
        <v>85</v>
      </c>
      <c r="H945" t="s">
        <v>85</v>
      </c>
      <c r="I945">
        <v>471</v>
      </c>
      <c r="J945">
        <v>470</v>
      </c>
      <c r="K945">
        <v>8.8543832116719706E-2</v>
      </c>
    </row>
    <row r="946" spans="1:11" x14ac:dyDescent="0.25">
      <c r="A946" t="s">
        <v>86</v>
      </c>
    </row>
    <row r="947" spans="1:11" x14ac:dyDescent="0.25">
      <c r="A947">
        <v>79.3579983270442</v>
      </c>
      <c r="B947">
        <v>40.7105907288895</v>
      </c>
      <c r="C947">
        <v>2000</v>
      </c>
    </row>
    <row r="948" spans="1:11" x14ac:dyDescent="0.25">
      <c r="A948">
        <v>73.929777271072595</v>
      </c>
      <c r="B948">
        <v>35.282369672917902</v>
      </c>
      <c r="C948">
        <v>2000</v>
      </c>
    </row>
    <row r="949" spans="1:11" x14ac:dyDescent="0.25">
      <c r="A949">
        <v>73.055745222175005</v>
      </c>
      <c r="B949">
        <v>35.282369672917902</v>
      </c>
      <c r="C949">
        <v>2001</v>
      </c>
    </row>
    <row r="950" spans="1:11" x14ac:dyDescent="0.25">
      <c r="A950">
        <v>78.483966278146596</v>
      </c>
      <c r="B950">
        <v>40.7105907288895</v>
      </c>
      <c r="C950">
        <v>2001</v>
      </c>
    </row>
    <row r="951" spans="1:11" x14ac:dyDescent="0.25">
      <c r="A951">
        <v>87.447937052448793</v>
      </c>
      <c r="B951">
        <v>49.674561503191697</v>
      </c>
      <c r="C951">
        <v>2001</v>
      </c>
    </row>
    <row r="952" spans="1:11" x14ac:dyDescent="0.25">
      <c r="A952">
        <v>88.321969101346497</v>
      </c>
      <c r="B952">
        <v>49.674561503191697</v>
      </c>
      <c r="C952">
        <v>2000</v>
      </c>
    </row>
    <row r="953" spans="1:11" x14ac:dyDescent="0.25">
      <c r="A953" t="s">
        <v>87</v>
      </c>
    </row>
    <row r="954" spans="1:11" x14ac:dyDescent="0.25">
      <c r="A954">
        <v>315</v>
      </c>
      <c r="B954">
        <v>1</v>
      </c>
      <c r="C954">
        <v>13.1841309933801</v>
      </c>
      <c r="D954">
        <v>7.1300189778802299</v>
      </c>
      <c r="E954">
        <v>6</v>
      </c>
      <c r="F954">
        <v>1.01722196789785</v>
      </c>
      <c r="G954" t="s">
        <v>85</v>
      </c>
      <c r="H954" t="s">
        <v>89</v>
      </c>
      <c r="I954">
        <v>270</v>
      </c>
      <c r="J954">
        <v>308</v>
      </c>
      <c r="K954">
        <v>0</v>
      </c>
    </row>
    <row r="955" spans="1:11" x14ac:dyDescent="0.25">
      <c r="A955" t="s">
        <v>86</v>
      </c>
    </row>
    <row r="956" spans="1:11" x14ac:dyDescent="0.25">
      <c r="A956">
        <v>19.820919241022601</v>
      </c>
      <c r="B956">
        <v>115.444304278503</v>
      </c>
      <c r="C956">
        <v>2000</v>
      </c>
    </row>
    <row r="957" spans="1:11" x14ac:dyDescent="0.25">
      <c r="A957">
        <v>10.640145175448099</v>
      </c>
      <c r="B957">
        <v>124.625078344077</v>
      </c>
      <c r="C957">
        <v>2000</v>
      </c>
    </row>
    <row r="958" spans="1:11" x14ac:dyDescent="0.25">
      <c r="A958">
        <v>9.7661131265504899</v>
      </c>
      <c r="B958">
        <v>124.625078344077</v>
      </c>
      <c r="C958">
        <v>2001</v>
      </c>
    </row>
    <row r="959" spans="1:11" x14ac:dyDescent="0.25">
      <c r="A959">
        <v>19.2305159199177</v>
      </c>
      <c r="B959">
        <v>115.16067555071</v>
      </c>
      <c r="C959">
        <v>2001</v>
      </c>
    </row>
    <row r="960" spans="1:11" x14ac:dyDescent="0.25">
      <c r="A960">
        <v>24.348894337493601</v>
      </c>
      <c r="B960">
        <v>110.042297133134</v>
      </c>
      <c r="C960">
        <v>2001</v>
      </c>
    </row>
    <row r="961" spans="1:11" x14ac:dyDescent="0.25">
      <c r="A961">
        <v>24.785910361942399</v>
      </c>
      <c r="B961">
        <v>110.47931315758299</v>
      </c>
      <c r="C961">
        <v>2000</v>
      </c>
    </row>
    <row r="962" spans="1:11" x14ac:dyDescent="0.25">
      <c r="A962" t="s">
        <v>87</v>
      </c>
    </row>
    <row r="963" spans="1:11" x14ac:dyDescent="0.25">
      <c r="A963">
        <v>666</v>
      </c>
      <c r="B963">
        <v>0</v>
      </c>
      <c r="C963">
        <v>13.5988249160833</v>
      </c>
      <c r="D963">
        <v>6.6903777459443701</v>
      </c>
      <c r="E963">
        <v>8</v>
      </c>
      <c r="F963">
        <v>1.01722196789785</v>
      </c>
      <c r="G963" t="s">
        <v>85</v>
      </c>
      <c r="H963" t="s">
        <v>85</v>
      </c>
      <c r="I963">
        <v>761</v>
      </c>
      <c r="J963">
        <v>719</v>
      </c>
      <c r="K963">
        <v>0</v>
      </c>
    </row>
    <row r="964" spans="1:11" x14ac:dyDescent="0.25">
      <c r="A964" t="s">
        <v>86</v>
      </c>
    </row>
    <row r="965" spans="1:11" x14ac:dyDescent="0.25">
      <c r="A965">
        <v>85.518128244463298</v>
      </c>
      <c r="B965">
        <v>98.908667550404402</v>
      </c>
      <c r="C965">
        <v>2000</v>
      </c>
    </row>
    <row r="966" spans="1:11" x14ac:dyDescent="0.25">
      <c r="A966">
        <v>75.664645806264403</v>
      </c>
      <c r="B966">
        <v>89.055185112205507</v>
      </c>
      <c r="C966">
        <v>2000</v>
      </c>
    </row>
    <row r="967" spans="1:11" x14ac:dyDescent="0.25">
      <c r="A967">
        <v>75.664645806264403</v>
      </c>
      <c r="B967">
        <v>89.929217161103196</v>
      </c>
      <c r="C967">
        <v>2001</v>
      </c>
    </row>
    <row r="968" spans="1:11" x14ac:dyDescent="0.25">
      <c r="A968">
        <v>85.042805996727594</v>
      </c>
      <c r="B968">
        <v>99.307377351566302</v>
      </c>
      <c r="C968">
        <v>2001</v>
      </c>
    </row>
    <row r="969" spans="1:11" x14ac:dyDescent="0.25">
      <c r="A969">
        <v>85.912737754765601</v>
      </c>
      <c r="B969">
        <v>100.177309109604</v>
      </c>
      <c r="C969">
        <v>2001</v>
      </c>
    </row>
    <row r="970" spans="1:11" x14ac:dyDescent="0.25">
      <c r="A970">
        <v>89.574262569003494</v>
      </c>
      <c r="B970">
        <v>103.838833923842</v>
      </c>
      <c r="C970">
        <v>2001</v>
      </c>
    </row>
    <row r="971" spans="1:11" x14ac:dyDescent="0.25">
      <c r="A971">
        <v>90.448294617901098</v>
      </c>
      <c r="B971">
        <v>103.838833923842</v>
      </c>
      <c r="C971">
        <v>2000</v>
      </c>
    </row>
    <row r="972" spans="1:11" x14ac:dyDescent="0.25">
      <c r="A972">
        <v>86.432151584454502</v>
      </c>
      <c r="B972">
        <v>99.822690890395606</v>
      </c>
      <c r="C972">
        <v>2000</v>
      </c>
    </row>
    <row r="973" spans="1:11" x14ac:dyDescent="0.25">
      <c r="A973" t="s">
        <v>87</v>
      </c>
    </row>
    <row r="974" spans="1:11" x14ac:dyDescent="0.25">
      <c r="A974">
        <v>1116</v>
      </c>
      <c r="B974">
        <v>0</v>
      </c>
      <c r="C974">
        <v>3.2068271982872401</v>
      </c>
      <c r="D974">
        <v>17.0800302550374</v>
      </c>
      <c r="E974">
        <v>8</v>
      </c>
      <c r="F974">
        <v>1.01722196789785</v>
      </c>
      <c r="G974" t="s">
        <v>85</v>
      </c>
      <c r="H974" t="s">
        <v>85</v>
      </c>
      <c r="I974">
        <v>711</v>
      </c>
      <c r="J974">
        <v>230</v>
      </c>
      <c r="K974">
        <v>9.4777393206033497E-2</v>
      </c>
    </row>
    <row r="975" spans="1:11" x14ac:dyDescent="0.25">
      <c r="A975" t="s">
        <v>86</v>
      </c>
    </row>
    <row r="976" spans="1:11" x14ac:dyDescent="0.25">
      <c r="A976">
        <v>53.707130733836799</v>
      </c>
      <c r="B976">
        <v>100.16542161460499</v>
      </c>
      <c r="C976">
        <v>2000</v>
      </c>
    </row>
    <row r="977" spans="1:11" x14ac:dyDescent="0.25">
      <c r="A977">
        <v>53.356492982578501</v>
      </c>
      <c r="B977">
        <v>99.814783863346804</v>
      </c>
      <c r="C977">
        <v>2000</v>
      </c>
    </row>
    <row r="978" spans="1:11" x14ac:dyDescent="0.25">
      <c r="A978">
        <v>51.619626659713902</v>
      </c>
      <c r="B978">
        <v>98.077917540482204</v>
      </c>
      <c r="C978">
        <v>2000</v>
      </c>
    </row>
    <row r="979" spans="1:11" x14ac:dyDescent="0.25">
      <c r="A979">
        <v>50.745594610816198</v>
      </c>
      <c r="B979">
        <v>98.077917540482204</v>
      </c>
      <c r="C979">
        <v>2001</v>
      </c>
    </row>
    <row r="980" spans="1:11" x14ac:dyDescent="0.25">
      <c r="A980">
        <v>52.852893206987197</v>
      </c>
      <c r="B980">
        <v>100.185216136653</v>
      </c>
      <c r="C980">
        <v>2001</v>
      </c>
    </row>
    <row r="981" spans="1:11" x14ac:dyDescent="0.25">
      <c r="A981">
        <v>53.193229052698101</v>
      </c>
      <c r="B981">
        <v>100.52555198236399</v>
      </c>
      <c r="C981">
        <v>2001</v>
      </c>
    </row>
    <row r="982" spans="1:11" x14ac:dyDescent="0.25">
      <c r="A982">
        <v>65.090569085026999</v>
      </c>
      <c r="B982">
        <v>112.42289201469301</v>
      </c>
      <c r="C982">
        <v>2001</v>
      </c>
    </row>
    <row r="983" spans="1:11" x14ac:dyDescent="0.25">
      <c r="A983">
        <v>65.964601133924603</v>
      </c>
      <c r="B983">
        <v>112.42289201469301</v>
      </c>
      <c r="C983">
        <v>2000</v>
      </c>
    </row>
    <row r="984" spans="1:11" x14ac:dyDescent="0.25">
      <c r="A984" t="s">
        <v>87</v>
      </c>
    </row>
    <row r="985" spans="1:11" x14ac:dyDescent="0.25">
      <c r="A985">
        <v>1222</v>
      </c>
      <c r="B985">
        <v>0</v>
      </c>
      <c r="C985">
        <v>7.49513286572697</v>
      </c>
      <c r="D985">
        <v>12.791724587597701</v>
      </c>
      <c r="E985">
        <v>8</v>
      </c>
      <c r="F985">
        <v>1.01722196789785</v>
      </c>
      <c r="G985" t="s">
        <v>85</v>
      </c>
      <c r="H985" t="s">
        <v>85</v>
      </c>
      <c r="I985">
        <v>711</v>
      </c>
      <c r="J985">
        <v>230</v>
      </c>
      <c r="K985">
        <v>9.6277099271545E-2</v>
      </c>
    </row>
    <row r="986" spans="1:11" x14ac:dyDescent="0.25">
      <c r="A986" t="s">
        <v>86</v>
      </c>
    </row>
    <row r="987" spans="1:11" x14ac:dyDescent="0.25">
      <c r="A987">
        <v>57.610196931563401</v>
      </c>
      <c r="B987">
        <v>102.476780502796</v>
      </c>
      <c r="C987">
        <v>2000</v>
      </c>
    </row>
    <row r="988" spans="1:11" x14ac:dyDescent="0.25">
      <c r="A988">
        <v>55.440356863527001</v>
      </c>
      <c r="B988">
        <v>100.30694043475999</v>
      </c>
      <c r="C988">
        <v>2000</v>
      </c>
    </row>
    <row r="989" spans="1:11" x14ac:dyDescent="0.25">
      <c r="A989">
        <v>52.415480314481798</v>
      </c>
      <c r="B989">
        <v>97.282063885714294</v>
      </c>
      <c r="C989">
        <v>2000</v>
      </c>
    </row>
    <row r="990" spans="1:11" x14ac:dyDescent="0.25">
      <c r="A990">
        <v>52.415480314481798</v>
      </c>
      <c r="B990">
        <v>96.408031836816704</v>
      </c>
      <c r="C990">
        <v>2001</v>
      </c>
    </row>
    <row r="991" spans="1:11" x14ac:dyDescent="0.25">
      <c r="A991">
        <v>55.700508042905497</v>
      </c>
      <c r="B991">
        <v>99.693059565240404</v>
      </c>
      <c r="C991">
        <v>2001</v>
      </c>
    </row>
    <row r="992" spans="1:11" x14ac:dyDescent="0.25">
      <c r="A992">
        <v>57.820482247899498</v>
      </c>
      <c r="B992">
        <v>101.813033770234</v>
      </c>
      <c r="C992">
        <v>2001</v>
      </c>
    </row>
    <row r="993" spans="1:11" x14ac:dyDescent="0.25">
      <c r="A993">
        <v>66.760454788692499</v>
      </c>
      <c r="B993">
        <v>110.75300631102699</v>
      </c>
      <c r="C993">
        <v>2001</v>
      </c>
    </row>
    <row r="994" spans="1:11" x14ac:dyDescent="0.25">
      <c r="A994">
        <v>66.760454788692499</v>
      </c>
      <c r="B994">
        <v>111.627038359925</v>
      </c>
      <c r="C994">
        <v>2000</v>
      </c>
    </row>
    <row r="995" spans="1:11" x14ac:dyDescent="0.25">
      <c r="A995" t="s">
        <v>87</v>
      </c>
    </row>
    <row r="996" spans="1:11" x14ac:dyDescent="0.25">
      <c r="A996">
        <v>142</v>
      </c>
      <c r="B996">
        <v>1</v>
      </c>
      <c r="C996">
        <v>10.7678801881942</v>
      </c>
      <c r="D996">
        <v>9.5008339194095708</v>
      </c>
      <c r="E996">
        <v>8</v>
      </c>
      <c r="F996">
        <v>1.01722196789785</v>
      </c>
      <c r="G996" t="s">
        <v>85</v>
      </c>
      <c r="H996" t="s">
        <v>85</v>
      </c>
      <c r="I996">
        <v>435</v>
      </c>
      <c r="J996">
        <v>118</v>
      </c>
      <c r="K996">
        <v>0</v>
      </c>
    </row>
    <row r="997" spans="1:11" x14ac:dyDescent="0.25">
      <c r="A997" t="s">
        <v>86</v>
      </c>
    </row>
    <row r="998" spans="1:11" x14ac:dyDescent="0.25">
      <c r="A998">
        <v>103.486999487045</v>
      </c>
      <c r="B998">
        <v>32.078709137874597</v>
      </c>
      <c r="C998">
        <v>2000</v>
      </c>
    </row>
    <row r="999" spans="1:11" x14ac:dyDescent="0.25">
      <c r="A999">
        <v>100.120737011269</v>
      </c>
      <c r="B999">
        <v>35.444971613649997</v>
      </c>
      <c r="C999">
        <v>2000</v>
      </c>
    </row>
    <row r="1000" spans="1:11" x14ac:dyDescent="0.25">
      <c r="A1000">
        <v>95.792847334310807</v>
      </c>
      <c r="B1000">
        <v>39.772861290608397</v>
      </c>
      <c r="C1000">
        <v>2000</v>
      </c>
    </row>
    <row r="1001" spans="1:11" x14ac:dyDescent="0.25">
      <c r="A1001">
        <v>95.792847334310807</v>
      </c>
      <c r="B1001">
        <v>38.8988292417108</v>
      </c>
      <c r="C1001">
        <v>2001</v>
      </c>
    </row>
    <row r="1002" spans="1:11" x14ac:dyDescent="0.25">
      <c r="A1002">
        <v>99.879262988730702</v>
      </c>
      <c r="B1002">
        <v>34.812413587290798</v>
      </c>
      <c r="C1002">
        <v>2001</v>
      </c>
    </row>
    <row r="1003" spans="1:11" x14ac:dyDescent="0.25">
      <c r="A1003">
        <v>103.32677738173</v>
      </c>
      <c r="B1003">
        <v>31.364899194291699</v>
      </c>
      <c r="C1003">
        <v>2001</v>
      </c>
    </row>
    <row r="1004" spans="1:11" x14ac:dyDescent="0.25">
      <c r="A1004">
        <v>110.124992525729</v>
      </c>
      <c r="B1004">
        <v>24.5666840502927</v>
      </c>
      <c r="C1004">
        <v>2001</v>
      </c>
    </row>
    <row r="1005" spans="1:11" x14ac:dyDescent="0.25">
      <c r="A1005">
        <v>110.124992525729</v>
      </c>
      <c r="B1005">
        <v>25.440716099190301</v>
      </c>
      <c r="C1005">
        <v>2000</v>
      </c>
    </row>
    <row r="1006" spans="1:11" x14ac:dyDescent="0.25">
      <c r="A1006" t="s">
        <v>87</v>
      </c>
    </row>
    <row r="1007" spans="1:11" x14ac:dyDescent="0.25">
      <c r="A1007">
        <v>107</v>
      </c>
      <c r="B1007">
        <v>0</v>
      </c>
      <c r="C1007">
        <v>13.8430912408176</v>
      </c>
      <c r="D1007">
        <v>6.3901368172939197</v>
      </c>
      <c r="E1007">
        <v>6</v>
      </c>
      <c r="F1007">
        <v>1.01722196789785</v>
      </c>
      <c r="G1007" t="s">
        <v>85</v>
      </c>
      <c r="H1007" t="s">
        <v>88</v>
      </c>
      <c r="I1007">
        <v>806</v>
      </c>
      <c r="J1007">
        <v>0</v>
      </c>
      <c r="K1007">
        <v>0</v>
      </c>
    </row>
    <row r="1008" spans="1:11" x14ac:dyDescent="0.25">
      <c r="A1008" t="s">
        <v>86</v>
      </c>
    </row>
    <row r="1009" spans="1:11" x14ac:dyDescent="0.25">
      <c r="A1009">
        <v>145.34347082241399</v>
      </c>
      <c r="B1009">
        <v>40.995893928377001</v>
      </c>
      <c r="C1009">
        <v>2000</v>
      </c>
    </row>
    <row r="1010" spans="1:11" x14ac:dyDescent="0.25">
      <c r="A1010">
        <v>135.25593121036701</v>
      </c>
      <c r="B1010">
        <v>30.908354316329799</v>
      </c>
      <c r="C1010">
        <v>2000</v>
      </c>
    </row>
    <row r="1011" spans="1:11" x14ac:dyDescent="0.25">
      <c r="A1011">
        <v>136.129963259264</v>
      </c>
      <c r="B1011">
        <v>30.908354316329799</v>
      </c>
      <c r="C1011">
        <v>2001</v>
      </c>
    </row>
    <row r="1012" spans="1:11" x14ac:dyDescent="0.25">
      <c r="A1012">
        <v>145.619511025149</v>
      </c>
      <c r="B1012">
        <v>40.397902082214898</v>
      </c>
      <c r="C1012">
        <v>2001</v>
      </c>
    </row>
    <row r="1013" spans="1:11" x14ac:dyDescent="0.25">
      <c r="A1013">
        <v>150</v>
      </c>
      <c r="B1013">
        <v>44.778391057065498</v>
      </c>
      <c r="C1013">
        <v>2001</v>
      </c>
    </row>
    <row r="1014" spans="1:11" x14ac:dyDescent="0.25">
      <c r="A1014">
        <v>150</v>
      </c>
      <c r="B1014">
        <v>45.652423105963102</v>
      </c>
      <c r="C1014">
        <v>2000</v>
      </c>
    </row>
    <row r="1015" spans="1:11" x14ac:dyDescent="0.25">
      <c r="A1015" t="s">
        <v>87</v>
      </c>
    </row>
    <row r="1016" spans="1:11" x14ac:dyDescent="0.25">
      <c r="A1016">
        <v>675</v>
      </c>
      <c r="B1016">
        <v>0</v>
      </c>
      <c r="C1016">
        <v>17.0111468945971</v>
      </c>
      <c r="D1016">
        <v>3.1659926149347699</v>
      </c>
      <c r="E1016">
        <v>6</v>
      </c>
      <c r="F1016">
        <v>1.01722196789785</v>
      </c>
      <c r="G1016" t="s">
        <v>85</v>
      </c>
      <c r="H1016" t="s">
        <v>85</v>
      </c>
      <c r="I1016">
        <v>702</v>
      </c>
      <c r="J1016">
        <v>707</v>
      </c>
      <c r="K1016">
        <v>0</v>
      </c>
    </row>
    <row r="1017" spans="1:11" x14ac:dyDescent="0.25">
      <c r="A1017" t="s">
        <v>86</v>
      </c>
    </row>
    <row r="1018" spans="1:11" x14ac:dyDescent="0.25">
      <c r="A1018">
        <v>95.676589995463104</v>
      </c>
      <c r="B1018">
        <v>92.841877621990605</v>
      </c>
      <c r="C1018">
        <v>2000</v>
      </c>
    </row>
    <row r="1019" spans="1:11" x14ac:dyDescent="0.25">
      <c r="A1019">
        <v>83.647892670532997</v>
      </c>
      <c r="B1019">
        <v>80.813180297060498</v>
      </c>
      <c r="C1019">
        <v>2000</v>
      </c>
    </row>
    <row r="1020" spans="1:11" x14ac:dyDescent="0.25">
      <c r="A1020">
        <v>82.773860621635393</v>
      </c>
      <c r="B1020">
        <v>80.813180297060498</v>
      </c>
      <c r="C1020">
        <v>2001</v>
      </c>
    </row>
    <row r="1021" spans="1:11" x14ac:dyDescent="0.25">
      <c r="A1021">
        <v>94.8025579465655</v>
      </c>
      <c r="B1021">
        <v>92.841877621990605</v>
      </c>
      <c r="C1021">
        <v>2001</v>
      </c>
    </row>
    <row r="1022" spans="1:11" x14ac:dyDescent="0.25">
      <c r="A1022">
        <v>97.041252793772401</v>
      </c>
      <c r="B1022">
        <v>95.080572469197506</v>
      </c>
      <c r="C1022">
        <v>2001</v>
      </c>
    </row>
    <row r="1023" spans="1:11" x14ac:dyDescent="0.25">
      <c r="A1023">
        <v>97.915284842670005</v>
      </c>
      <c r="B1023">
        <v>95.080572469197506</v>
      </c>
      <c r="C1023">
        <v>2000</v>
      </c>
    </row>
    <row r="1024" spans="1:11" x14ac:dyDescent="0.25">
      <c r="A1024" t="s">
        <v>87</v>
      </c>
    </row>
    <row r="1025" spans="1:11" x14ac:dyDescent="0.25">
      <c r="A1025">
        <v>816</v>
      </c>
      <c r="B1025">
        <v>1</v>
      </c>
      <c r="C1025">
        <v>7.6976588994224597</v>
      </c>
      <c r="D1025">
        <v>12.4222387411083</v>
      </c>
      <c r="E1025">
        <v>6</v>
      </c>
      <c r="F1025">
        <v>1.01722196789785</v>
      </c>
      <c r="G1025" t="s">
        <v>89</v>
      </c>
      <c r="H1025" t="s">
        <v>85</v>
      </c>
      <c r="I1025">
        <v>146</v>
      </c>
      <c r="J1025">
        <v>102</v>
      </c>
      <c r="K1025">
        <v>9.0097089164053304E-2</v>
      </c>
    </row>
    <row r="1026" spans="1:11" x14ac:dyDescent="0.25">
      <c r="A1026" t="s">
        <v>86</v>
      </c>
    </row>
    <row r="1027" spans="1:11" x14ac:dyDescent="0.25">
      <c r="A1027">
        <v>131.884465790858</v>
      </c>
      <c r="B1027">
        <v>24.353530193276399</v>
      </c>
      <c r="C1027">
        <v>2000</v>
      </c>
    </row>
    <row r="1028" spans="1:11" x14ac:dyDescent="0.25">
      <c r="A1028">
        <v>126.357800141767</v>
      </c>
      <c r="B1028">
        <v>29.880195842368099</v>
      </c>
      <c r="C1028">
        <v>2000</v>
      </c>
    </row>
    <row r="1029" spans="1:11" x14ac:dyDescent="0.25">
      <c r="A1029">
        <v>125.92078411731799</v>
      </c>
      <c r="B1029">
        <v>29.443179817919301</v>
      </c>
      <c r="C1029">
        <v>2001</v>
      </c>
    </row>
    <row r="1030" spans="1:11" x14ac:dyDescent="0.25">
      <c r="A1030">
        <v>131.28025208231099</v>
      </c>
      <c r="B1030">
        <v>24.083711852925799</v>
      </c>
      <c r="C1030">
        <v>2001</v>
      </c>
    </row>
    <row r="1031" spans="1:11" x14ac:dyDescent="0.25">
      <c r="A1031">
        <v>139.92919216349199</v>
      </c>
      <c r="B1031">
        <v>15.434771771745201</v>
      </c>
      <c r="C1031">
        <v>2001</v>
      </c>
    </row>
    <row r="1032" spans="1:11" x14ac:dyDescent="0.25">
      <c r="A1032">
        <v>140.80322421238901</v>
      </c>
      <c r="B1032">
        <v>15.434771771745201</v>
      </c>
      <c r="C1032">
        <v>2000</v>
      </c>
    </row>
    <row r="1033" spans="1:11" x14ac:dyDescent="0.25">
      <c r="A1033" t="s">
        <v>87</v>
      </c>
    </row>
    <row r="1034" spans="1:11" x14ac:dyDescent="0.25">
      <c r="A1034">
        <v>831</v>
      </c>
      <c r="B1034">
        <v>1</v>
      </c>
      <c r="C1034">
        <v>10.0927459065334</v>
      </c>
      <c r="D1034">
        <v>9.9846707843346305</v>
      </c>
      <c r="E1034">
        <v>6</v>
      </c>
      <c r="F1034">
        <v>1.01722196789785</v>
      </c>
      <c r="G1034" t="s">
        <v>85</v>
      </c>
      <c r="H1034" t="s">
        <v>85</v>
      </c>
      <c r="I1034">
        <v>359</v>
      </c>
      <c r="J1034">
        <v>349</v>
      </c>
      <c r="K1034">
        <v>9.0374042336346896E-2</v>
      </c>
    </row>
    <row r="1035" spans="1:11" x14ac:dyDescent="0.25">
      <c r="A1035" t="s">
        <v>86</v>
      </c>
    </row>
    <row r="1036" spans="1:11" x14ac:dyDescent="0.25">
      <c r="A1036">
        <v>14.2001428423051</v>
      </c>
      <c r="B1036">
        <v>74.795978796604302</v>
      </c>
      <c r="C1036">
        <v>2000</v>
      </c>
    </row>
    <row r="1037" spans="1:11" x14ac:dyDescent="0.25">
      <c r="A1037">
        <v>7.2831779943145598</v>
      </c>
      <c r="B1037">
        <v>81.712943644594802</v>
      </c>
      <c r="C1037">
        <v>2000</v>
      </c>
    </row>
    <row r="1038" spans="1:11" x14ac:dyDescent="0.25">
      <c r="A1038">
        <v>6.4091459454169302</v>
      </c>
      <c r="B1038">
        <v>81.712943644594802</v>
      </c>
      <c r="C1038">
        <v>2001</v>
      </c>
    </row>
    <row r="1039" spans="1:11" x14ac:dyDescent="0.25">
      <c r="A1039">
        <v>13.7654792400315</v>
      </c>
      <c r="B1039">
        <v>74.356610349980301</v>
      </c>
      <c r="C1039">
        <v>2001</v>
      </c>
    </row>
    <row r="1040" spans="1:11" x14ac:dyDescent="0.25">
      <c r="A1040">
        <v>21.043039460686501</v>
      </c>
      <c r="B1040">
        <v>67.079050129325296</v>
      </c>
      <c r="C1040">
        <v>2001</v>
      </c>
    </row>
    <row r="1041" spans="1:11" x14ac:dyDescent="0.25">
      <c r="A1041">
        <v>21.043039460686501</v>
      </c>
      <c r="B1041">
        <v>67.9530821782229</v>
      </c>
      <c r="C1041">
        <v>2000</v>
      </c>
    </row>
    <row r="1042" spans="1:11" x14ac:dyDescent="0.25">
      <c r="A1042" t="s">
        <v>87</v>
      </c>
    </row>
    <row r="1043" spans="1:11" x14ac:dyDescent="0.25">
      <c r="A1043">
        <v>590</v>
      </c>
      <c r="B1043">
        <v>0</v>
      </c>
      <c r="C1043">
        <v>9.5255825159394298</v>
      </c>
      <c r="D1043">
        <v>10.400387690077</v>
      </c>
      <c r="E1043">
        <v>6</v>
      </c>
      <c r="F1043">
        <v>1.01722196789785</v>
      </c>
      <c r="G1043" t="s">
        <v>85</v>
      </c>
      <c r="H1043" t="s">
        <v>85</v>
      </c>
      <c r="I1043">
        <v>871</v>
      </c>
      <c r="J1043">
        <v>639</v>
      </c>
      <c r="K1043">
        <v>0</v>
      </c>
    </row>
    <row r="1044" spans="1:11" x14ac:dyDescent="0.25">
      <c r="A1044" t="s">
        <v>86</v>
      </c>
    </row>
    <row r="1045" spans="1:11" x14ac:dyDescent="0.25">
      <c r="A1045">
        <v>108.532933685245</v>
      </c>
      <c r="B1045">
        <v>57.942128573526297</v>
      </c>
      <c r="C1045">
        <v>2000</v>
      </c>
    </row>
    <row r="1046" spans="1:11" x14ac:dyDescent="0.25">
      <c r="A1046">
        <v>101.797329693473</v>
      </c>
      <c r="B1046">
        <v>51.206524581753499</v>
      </c>
      <c r="C1046">
        <v>2000</v>
      </c>
    </row>
    <row r="1047" spans="1:11" x14ac:dyDescent="0.25">
      <c r="A1047">
        <v>101.797329693473</v>
      </c>
      <c r="B1047">
        <v>52.080556630651202</v>
      </c>
      <c r="C1047">
        <v>2001</v>
      </c>
    </row>
    <row r="1048" spans="1:11" x14ac:dyDescent="0.25">
      <c r="A1048">
        <v>108.532933685245</v>
      </c>
      <c r="B1048">
        <v>58.816160622423901</v>
      </c>
      <c r="C1048">
        <v>2001</v>
      </c>
    </row>
    <row r="1049" spans="1:11" x14ac:dyDescent="0.25">
      <c r="A1049">
        <v>115.887118347868</v>
      </c>
      <c r="B1049">
        <v>66.170345285046494</v>
      </c>
      <c r="C1049">
        <v>2001</v>
      </c>
    </row>
    <row r="1050" spans="1:11" x14ac:dyDescent="0.25">
      <c r="A1050">
        <v>115.887118347868</v>
      </c>
      <c r="B1050">
        <v>65.296313236148805</v>
      </c>
      <c r="C1050">
        <v>2000</v>
      </c>
    </row>
    <row r="1051" spans="1:11" x14ac:dyDescent="0.25">
      <c r="A1051" t="s">
        <v>87</v>
      </c>
    </row>
    <row r="1052" spans="1:11" x14ac:dyDescent="0.25">
      <c r="A1052">
        <v>117</v>
      </c>
      <c r="B1052">
        <v>0</v>
      </c>
      <c r="C1052">
        <v>11.7550046063231</v>
      </c>
      <c r="D1052">
        <v>8.1208959832832797</v>
      </c>
      <c r="E1052">
        <v>6</v>
      </c>
      <c r="F1052">
        <v>1.01722196789785</v>
      </c>
      <c r="G1052" t="s">
        <v>85</v>
      </c>
      <c r="H1052" t="s">
        <v>85</v>
      </c>
      <c r="I1052">
        <v>147</v>
      </c>
      <c r="J1052">
        <v>150</v>
      </c>
      <c r="K1052">
        <v>0</v>
      </c>
    </row>
    <row r="1053" spans="1:11" x14ac:dyDescent="0.25">
      <c r="A1053" t="s">
        <v>86</v>
      </c>
    </row>
    <row r="1054" spans="1:11" x14ac:dyDescent="0.25">
      <c r="A1054">
        <v>137.837668805307</v>
      </c>
      <c r="B1054">
        <v>36.757023106690603</v>
      </c>
      <c r="C1054">
        <v>2000</v>
      </c>
    </row>
    <row r="1055" spans="1:11" x14ac:dyDescent="0.25">
      <c r="A1055">
        <v>129.52562533529701</v>
      </c>
      <c r="B1055">
        <v>28.4449796366805</v>
      </c>
      <c r="C1055">
        <v>2000</v>
      </c>
    </row>
    <row r="1056" spans="1:11" x14ac:dyDescent="0.25">
      <c r="A1056">
        <v>129.52562533529701</v>
      </c>
      <c r="B1056">
        <v>29.319011685578101</v>
      </c>
      <c r="C1056">
        <v>2001</v>
      </c>
    </row>
    <row r="1057" spans="1:11" x14ac:dyDescent="0.25">
      <c r="A1057">
        <v>137.837668805307</v>
      </c>
      <c r="B1057">
        <v>37.6310551555882</v>
      </c>
      <c r="C1057">
        <v>2001</v>
      </c>
    </row>
    <row r="1058" spans="1:11" x14ac:dyDescent="0.25">
      <c r="A1058">
        <v>143.58000942439801</v>
      </c>
      <c r="B1058">
        <v>43.3733957746784</v>
      </c>
      <c r="C1058">
        <v>2001</v>
      </c>
    </row>
    <row r="1059" spans="1:11" x14ac:dyDescent="0.25">
      <c r="A1059">
        <v>143.58000942439801</v>
      </c>
      <c r="B1059">
        <v>42.499363725780803</v>
      </c>
      <c r="C1059">
        <v>2000</v>
      </c>
    </row>
    <row r="1060" spans="1:11" x14ac:dyDescent="0.25">
      <c r="A1060" t="s">
        <v>87</v>
      </c>
    </row>
    <row r="1061" spans="1:11" x14ac:dyDescent="0.25">
      <c r="A1061">
        <v>422</v>
      </c>
      <c r="B1061">
        <v>0</v>
      </c>
      <c r="C1061">
        <v>9.8220606035875608</v>
      </c>
      <c r="D1061">
        <v>10.0411663628112</v>
      </c>
      <c r="E1061">
        <v>8</v>
      </c>
      <c r="F1061">
        <v>1.01722196789785</v>
      </c>
      <c r="G1061" t="s">
        <v>85</v>
      </c>
      <c r="H1061" t="s">
        <v>85</v>
      </c>
      <c r="I1061">
        <v>471</v>
      </c>
      <c r="J1061">
        <v>708</v>
      </c>
      <c r="K1061">
        <v>0</v>
      </c>
    </row>
    <row r="1062" spans="1:11" x14ac:dyDescent="0.25">
      <c r="A1062" t="s">
        <v>86</v>
      </c>
    </row>
    <row r="1063" spans="1:11" x14ac:dyDescent="0.25">
      <c r="A1063">
        <v>78.832439120952898</v>
      </c>
      <c r="B1063">
        <v>44.224827989755902</v>
      </c>
      <c r="C1063">
        <v>2000</v>
      </c>
    </row>
    <row r="1064" spans="1:11" x14ac:dyDescent="0.25">
      <c r="A1064">
        <v>71.909879037593797</v>
      </c>
      <c r="B1064">
        <v>37.3022679063968</v>
      </c>
      <c r="C1064">
        <v>2000</v>
      </c>
    </row>
    <row r="1065" spans="1:11" x14ac:dyDescent="0.25">
      <c r="A1065">
        <v>71.035846988696207</v>
      </c>
      <c r="B1065">
        <v>37.3022679063968</v>
      </c>
      <c r="C1065">
        <v>2001</v>
      </c>
    </row>
    <row r="1066" spans="1:11" x14ac:dyDescent="0.25">
      <c r="A1066">
        <v>78.003778221381097</v>
      </c>
      <c r="B1066">
        <v>44.270199139081697</v>
      </c>
      <c r="C1066">
        <v>2001</v>
      </c>
    </row>
    <row r="1067" spans="1:11" x14ac:dyDescent="0.25">
      <c r="A1067">
        <v>83.775054267432196</v>
      </c>
      <c r="B1067">
        <v>50.041475185132803</v>
      </c>
      <c r="C1067">
        <v>2001</v>
      </c>
    </row>
    <row r="1068" spans="1:11" x14ac:dyDescent="0.25">
      <c r="A1068">
        <v>85.081269472884202</v>
      </c>
      <c r="B1068">
        <v>51.347690390584802</v>
      </c>
      <c r="C1068">
        <v>2001</v>
      </c>
    </row>
    <row r="1069" spans="1:11" x14ac:dyDescent="0.25">
      <c r="A1069">
        <v>85.955301521781905</v>
      </c>
      <c r="B1069">
        <v>51.347690390584802</v>
      </c>
      <c r="C1069">
        <v>2000</v>
      </c>
    </row>
    <row r="1070" spans="1:11" x14ac:dyDescent="0.25">
      <c r="A1070">
        <v>84.566135946064307</v>
      </c>
      <c r="B1070">
        <v>49.958524814867197</v>
      </c>
      <c r="C1070">
        <v>2000</v>
      </c>
    </row>
    <row r="1071" spans="1:11" x14ac:dyDescent="0.25">
      <c r="A1071" t="s">
        <v>87</v>
      </c>
    </row>
    <row r="1072" spans="1:11" x14ac:dyDescent="0.25">
      <c r="A1072">
        <v>227</v>
      </c>
      <c r="B1072">
        <v>1</v>
      </c>
      <c r="C1072">
        <v>9.9810363924386003</v>
      </c>
      <c r="D1072">
        <v>9.7737841380192698</v>
      </c>
      <c r="E1072">
        <v>6</v>
      </c>
      <c r="F1072">
        <v>1.01722196789785</v>
      </c>
      <c r="G1072" t="s">
        <v>88</v>
      </c>
      <c r="H1072" t="s">
        <v>85</v>
      </c>
      <c r="I1072">
        <v>0</v>
      </c>
      <c r="J1072">
        <v>190</v>
      </c>
      <c r="K1072">
        <v>0</v>
      </c>
    </row>
    <row r="1073" spans="1:11" x14ac:dyDescent="0.25">
      <c r="A1073" t="s">
        <v>86</v>
      </c>
    </row>
    <row r="1074" spans="1:11" x14ac:dyDescent="0.25">
      <c r="A1074">
        <v>75.0069629908661</v>
      </c>
      <c r="B1074">
        <v>142.94234148363699</v>
      </c>
      <c r="C1074">
        <v>2000</v>
      </c>
    </row>
    <row r="1075" spans="1:11" x14ac:dyDescent="0.25">
      <c r="A1075">
        <v>67.949304474503094</v>
      </c>
      <c r="B1075">
        <v>150</v>
      </c>
      <c r="C1075">
        <v>2000</v>
      </c>
    </row>
    <row r="1076" spans="1:11" x14ac:dyDescent="0.25">
      <c r="A1076">
        <v>68.823336523400698</v>
      </c>
      <c r="B1076">
        <v>150</v>
      </c>
      <c r="C1076">
        <v>2001</v>
      </c>
    </row>
    <row r="1077" spans="1:11" x14ac:dyDescent="0.25">
      <c r="A1077">
        <v>75.880995039763704</v>
      </c>
      <c r="B1077">
        <v>142.94234148363699</v>
      </c>
      <c r="C1077">
        <v>2001</v>
      </c>
    </row>
    <row r="1078" spans="1:11" x14ac:dyDescent="0.25">
      <c r="A1078">
        <v>82.792104081610702</v>
      </c>
      <c r="B1078">
        <v>136.03123244179</v>
      </c>
      <c r="C1078">
        <v>2001</v>
      </c>
    </row>
    <row r="1079" spans="1:11" x14ac:dyDescent="0.25">
      <c r="A1079">
        <v>81.918072032712999</v>
      </c>
      <c r="B1079">
        <v>136.03123244179</v>
      </c>
      <c r="C1079">
        <v>2000</v>
      </c>
    </row>
    <row r="1080" spans="1:11" x14ac:dyDescent="0.25">
      <c r="A1080" t="s">
        <v>87</v>
      </c>
    </row>
    <row r="1081" spans="1:11" x14ac:dyDescent="0.25">
      <c r="A1081">
        <v>822</v>
      </c>
      <c r="B1081">
        <v>1</v>
      </c>
      <c r="C1081">
        <v>3.2790335743164301</v>
      </c>
      <c r="D1081">
        <v>16.4522116718984</v>
      </c>
      <c r="E1081">
        <v>6</v>
      </c>
      <c r="F1081">
        <v>1.01722196789785</v>
      </c>
      <c r="G1081" t="s">
        <v>88</v>
      </c>
      <c r="H1081" t="s">
        <v>85</v>
      </c>
      <c r="I1081">
        <v>0</v>
      </c>
      <c r="J1081">
        <v>875</v>
      </c>
      <c r="K1081">
        <v>9.0097089164053304E-2</v>
      </c>
    </row>
    <row r="1082" spans="1:11" x14ac:dyDescent="0.25">
      <c r="A1082" t="s">
        <v>86</v>
      </c>
    </row>
    <row r="1083" spans="1:11" x14ac:dyDescent="0.25">
      <c r="A1083">
        <v>83.011652771699502</v>
      </c>
      <c r="B1083">
        <v>147.753998556206</v>
      </c>
      <c r="C1083">
        <v>2000</v>
      </c>
    </row>
    <row r="1084" spans="1:11" x14ac:dyDescent="0.25">
      <c r="A1084">
        <v>80.765651327905502</v>
      </c>
      <c r="B1084">
        <v>150</v>
      </c>
      <c r="C1084">
        <v>2000</v>
      </c>
    </row>
    <row r="1085" spans="1:11" x14ac:dyDescent="0.25">
      <c r="A1085">
        <v>79.891619279007799</v>
      </c>
      <c r="B1085">
        <v>150</v>
      </c>
      <c r="C1085">
        <v>2001</v>
      </c>
    </row>
    <row r="1086" spans="1:11" x14ac:dyDescent="0.25">
      <c r="A1086">
        <v>82.282871587488799</v>
      </c>
      <c r="B1086">
        <v>147.608747691519</v>
      </c>
      <c r="C1086">
        <v>2001</v>
      </c>
    </row>
    <row r="1087" spans="1:11" x14ac:dyDescent="0.25">
      <c r="A1087">
        <v>94.280732618309898</v>
      </c>
      <c r="B1087">
        <v>135.61088666069799</v>
      </c>
      <c r="C1087">
        <v>2001</v>
      </c>
    </row>
    <row r="1088" spans="1:11" x14ac:dyDescent="0.25">
      <c r="A1088">
        <v>94.280732618309898</v>
      </c>
      <c r="B1088">
        <v>136.484918709596</v>
      </c>
      <c r="C1088">
        <v>2000</v>
      </c>
    </row>
    <row r="1089" spans="1:11" x14ac:dyDescent="0.25">
      <c r="A1089" t="s">
        <v>87</v>
      </c>
    </row>
    <row r="1090" spans="1:11" x14ac:dyDescent="0.25">
      <c r="A1090">
        <v>515</v>
      </c>
      <c r="B1090">
        <v>0</v>
      </c>
      <c r="C1090">
        <v>16.197050485600499</v>
      </c>
      <c r="D1090">
        <v>3.4942348725412602</v>
      </c>
      <c r="E1090">
        <v>6</v>
      </c>
      <c r="F1090">
        <v>1.01722196789785</v>
      </c>
      <c r="G1090" t="s">
        <v>85</v>
      </c>
      <c r="H1090" t="s">
        <v>89</v>
      </c>
      <c r="I1090">
        <v>824</v>
      </c>
      <c r="J1090">
        <v>498</v>
      </c>
      <c r="K1090">
        <v>0</v>
      </c>
    </row>
    <row r="1091" spans="1:11" x14ac:dyDescent="0.25">
      <c r="A1091" t="s">
        <v>86</v>
      </c>
    </row>
    <row r="1092" spans="1:11" x14ac:dyDescent="0.25">
      <c r="A1092">
        <v>140.47009054218</v>
      </c>
      <c r="B1092">
        <v>143.870560061107</v>
      </c>
      <c r="C1092">
        <v>2000</v>
      </c>
    </row>
    <row r="1093" spans="1:11" x14ac:dyDescent="0.25">
      <c r="A1093">
        <v>129.196779893328</v>
      </c>
      <c r="B1093">
        <v>132.59724941225599</v>
      </c>
      <c r="C1093">
        <v>2000</v>
      </c>
    </row>
    <row r="1094" spans="1:11" x14ac:dyDescent="0.25">
      <c r="A1094">
        <v>128.32274784443101</v>
      </c>
      <c r="B1094">
        <v>132.59724941225599</v>
      </c>
      <c r="C1094">
        <v>2001</v>
      </c>
    </row>
    <row r="1095" spans="1:11" x14ac:dyDescent="0.25">
      <c r="A1095">
        <v>139.955525662757</v>
      </c>
      <c r="B1095">
        <v>144.23002723058201</v>
      </c>
      <c r="C1095">
        <v>2001</v>
      </c>
    </row>
    <row r="1096" spans="1:11" x14ac:dyDescent="0.25">
      <c r="A1096">
        <v>142.465097263676</v>
      </c>
      <c r="B1096">
        <v>146.73959883150201</v>
      </c>
      <c r="C1096">
        <v>2001</v>
      </c>
    </row>
    <row r="1097" spans="1:11" x14ac:dyDescent="0.25">
      <c r="A1097">
        <v>142.90211328812501</v>
      </c>
      <c r="B1097">
        <v>146.302582807053</v>
      </c>
      <c r="C1097">
        <v>2000</v>
      </c>
    </row>
    <row r="1098" spans="1:11" x14ac:dyDescent="0.25">
      <c r="A1098" t="s">
        <v>87</v>
      </c>
    </row>
    <row r="1099" spans="1:11" x14ac:dyDescent="0.25">
      <c r="A1099">
        <v>461</v>
      </c>
      <c r="B1099">
        <v>1</v>
      </c>
      <c r="C1099">
        <v>9.6221669419672899</v>
      </c>
      <c r="D1099">
        <v>9.9434739356481803</v>
      </c>
      <c r="E1099">
        <v>10</v>
      </c>
      <c r="F1099">
        <v>1.01722196789785</v>
      </c>
      <c r="G1099" t="s">
        <v>85</v>
      </c>
      <c r="H1099" t="s">
        <v>85</v>
      </c>
      <c r="I1099">
        <v>665</v>
      </c>
      <c r="J1099">
        <v>721</v>
      </c>
      <c r="K1099">
        <v>0</v>
      </c>
    </row>
    <row r="1100" spans="1:11" x14ac:dyDescent="0.25">
      <c r="A1100" t="s">
        <v>86</v>
      </c>
    </row>
    <row r="1101" spans="1:11" x14ac:dyDescent="0.25">
      <c r="A1101">
        <v>95.453130697265905</v>
      </c>
      <c r="B1101">
        <v>49.892585486425602</v>
      </c>
      <c r="C1101">
        <v>2000</v>
      </c>
    </row>
    <row r="1102" spans="1:11" x14ac:dyDescent="0.25">
      <c r="A1102">
        <v>95.137088572761002</v>
      </c>
      <c r="B1102">
        <v>50.208627610930499</v>
      </c>
      <c r="C1102">
        <v>2000</v>
      </c>
    </row>
    <row r="1103" spans="1:11" x14ac:dyDescent="0.25">
      <c r="A1103">
        <v>88.849472489594604</v>
      </c>
      <c r="B1103">
        <v>56.496243694096897</v>
      </c>
      <c r="C1103">
        <v>2000</v>
      </c>
    </row>
    <row r="1104" spans="1:11" x14ac:dyDescent="0.25">
      <c r="A1104">
        <v>87.975440440697</v>
      </c>
      <c r="B1104">
        <v>56.496243694096897</v>
      </c>
      <c r="C1104">
        <v>2001</v>
      </c>
    </row>
    <row r="1105" spans="1:11" x14ac:dyDescent="0.25">
      <c r="A1105">
        <v>94.680311745724396</v>
      </c>
      <c r="B1105">
        <v>49.791372389069501</v>
      </c>
      <c r="C1105">
        <v>2001</v>
      </c>
    </row>
    <row r="1106" spans="1:11" x14ac:dyDescent="0.25">
      <c r="A1106">
        <v>94.979581221773898</v>
      </c>
      <c r="B1106">
        <v>49.492102913019998</v>
      </c>
      <c r="C1106">
        <v>2001</v>
      </c>
    </row>
    <row r="1107" spans="1:11" x14ac:dyDescent="0.25">
      <c r="A1107">
        <v>99.632828923627599</v>
      </c>
      <c r="B1107">
        <v>44.838855211166297</v>
      </c>
      <c r="C1107">
        <v>2001</v>
      </c>
    </row>
    <row r="1108" spans="1:11" x14ac:dyDescent="0.25">
      <c r="A1108">
        <v>101.81043778352</v>
      </c>
      <c r="B1108">
        <v>42.661246351274301</v>
      </c>
      <c r="C1108">
        <v>2001</v>
      </c>
    </row>
    <row r="1109" spans="1:11" x14ac:dyDescent="0.25">
      <c r="A1109">
        <v>102.68446983241699</v>
      </c>
      <c r="B1109">
        <v>42.661246351274301</v>
      </c>
      <c r="C1109">
        <v>2000</v>
      </c>
    </row>
    <row r="1110" spans="1:11" x14ac:dyDescent="0.25">
      <c r="A1110">
        <v>100.367171076372</v>
      </c>
      <c r="B1110">
        <v>44.978545107319199</v>
      </c>
      <c r="C1110">
        <v>2000</v>
      </c>
    </row>
    <row r="1111" spans="1:11" x14ac:dyDescent="0.25">
      <c r="A1111" t="s">
        <v>87</v>
      </c>
    </row>
    <row r="1112" spans="1:11" x14ac:dyDescent="0.25">
      <c r="A1112">
        <v>593</v>
      </c>
      <c r="B1112">
        <v>0</v>
      </c>
      <c r="C1112">
        <v>9.8474762069226607</v>
      </c>
      <c r="D1112">
        <v>9.7111520113237493</v>
      </c>
      <c r="E1112">
        <v>6</v>
      </c>
      <c r="F1112">
        <v>1.01722196789785</v>
      </c>
      <c r="G1112" t="s">
        <v>85</v>
      </c>
      <c r="H1112" t="s">
        <v>88</v>
      </c>
      <c r="I1112">
        <v>634</v>
      </c>
      <c r="J1112">
        <v>0</v>
      </c>
      <c r="K1112">
        <v>0</v>
      </c>
    </row>
    <row r="1113" spans="1:11" x14ac:dyDescent="0.25">
      <c r="A1113" t="s">
        <v>86</v>
      </c>
    </row>
    <row r="1114" spans="1:11" x14ac:dyDescent="0.25">
      <c r="A1114">
        <v>143.350163564817</v>
      </c>
      <c r="B1114">
        <v>59.086226831807302</v>
      </c>
      <c r="C1114">
        <v>2000</v>
      </c>
    </row>
    <row r="1115" spans="1:11" x14ac:dyDescent="0.25">
      <c r="A1115">
        <v>136.60697738062001</v>
      </c>
      <c r="B1115">
        <v>52.3430406476106</v>
      </c>
      <c r="C1115">
        <v>2000</v>
      </c>
    </row>
    <row r="1116" spans="1:11" x14ac:dyDescent="0.25">
      <c r="A1116">
        <v>135.73294533172299</v>
      </c>
      <c r="B1116">
        <v>52.3430406476106</v>
      </c>
      <c r="C1116">
        <v>2001</v>
      </c>
    </row>
    <row r="1117" spans="1:11" x14ac:dyDescent="0.25">
      <c r="A1117">
        <v>142.916193554502</v>
      </c>
      <c r="B1117">
        <v>59.526288870390303</v>
      </c>
      <c r="C1117">
        <v>2001</v>
      </c>
    </row>
    <row r="1118" spans="1:11" x14ac:dyDescent="0.25">
      <c r="A1118">
        <v>150</v>
      </c>
      <c r="B1118">
        <v>66.610095315888003</v>
      </c>
      <c r="C1118">
        <v>2001</v>
      </c>
    </row>
    <row r="1119" spans="1:11" x14ac:dyDescent="0.25">
      <c r="A1119">
        <v>150</v>
      </c>
      <c r="B1119">
        <v>65.736063266990399</v>
      </c>
      <c r="C1119">
        <v>2000</v>
      </c>
    </row>
    <row r="1120" spans="1:11" x14ac:dyDescent="0.25">
      <c r="A1120" t="s">
        <v>87</v>
      </c>
    </row>
    <row r="1121" spans="1:11" x14ac:dyDescent="0.25">
      <c r="A1121">
        <v>892</v>
      </c>
      <c r="B1121">
        <v>1</v>
      </c>
      <c r="C1121">
        <v>19.342923314572499</v>
      </c>
      <c r="D1121">
        <v>0.20735668311490199</v>
      </c>
      <c r="E1121">
        <v>6</v>
      </c>
      <c r="F1121">
        <v>1.01722196789785</v>
      </c>
      <c r="G1121" t="s">
        <v>85</v>
      </c>
      <c r="H1121" t="s">
        <v>85</v>
      </c>
      <c r="I1121">
        <v>432</v>
      </c>
      <c r="J1121">
        <v>787</v>
      </c>
      <c r="K1121">
        <v>9.142164214173E-2</v>
      </c>
    </row>
    <row r="1122" spans="1:11" x14ac:dyDescent="0.25">
      <c r="A1122" t="s">
        <v>86</v>
      </c>
    </row>
    <row r="1123" spans="1:11" x14ac:dyDescent="0.25">
      <c r="A1123">
        <v>93.021201688340497</v>
      </c>
      <c r="B1123">
        <v>15.84411365905</v>
      </c>
      <c r="C1123">
        <v>2000</v>
      </c>
    </row>
    <row r="1124" spans="1:11" x14ac:dyDescent="0.25">
      <c r="A1124">
        <v>79.343689444634904</v>
      </c>
      <c r="B1124">
        <v>29.521625902755599</v>
      </c>
      <c r="C1124">
        <v>2000</v>
      </c>
    </row>
    <row r="1125" spans="1:11" x14ac:dyDescent="0.25">
      <c r="A1125">
        <v>79.343689444634904</v>
      </c>
      <c r="B1125">
        <v>30.395657951653199</v>
      </c>
      <c r="C1125">
        <v>2001</v>
      </c>
    </row>
    <row r="1126" spans="1:11" x14ac:dyDescent="0.25">
      <c r="A1126">
        <v>93.021201688340497</v>
      </c>
      <c r="B1126">
        <v>16.718145707947599</v>
      </c>
      <c r="C1126">
        <v>2001</v>
      </c>
    </row>
    <row r="1127" spans="1:11" x14ac:dyDescent="0.25">
      <c r="A1127">
        <v>93.167825005095395</v>
      </c>
      <c r="B1127">
        <v>16.571522391192701</v>
      </c>
      <c r="C1127">
        <v>2001</v>
      </c>
    </row>
    <row r="1128" spans="1:11" x14ac:dyDescent="0.25">
      <c r="A1128">
        <v>93.167825005095395</v>
      </c>
      <c r="B1128">
        <v>15.697490342295101</v>
      </c>
      <c r="C1128">
        <v>2000</v>
      </c>
    </row>
    <row r="1129" spans="1:11" x14ac:dyDescent="0.25">
      <c r="A1129" t="s">
        <v>87</v>
      </c>
    </row>
    <row r="1130" spans="1:11" x14ac:dyDescent="0.25">
      <c r="A1130">
        <v>464</v>
      </c>
      <c r="B1130">
        <v>1</v>
      </c>
      <c r="C1130">
        <v>8.1778441300095306</v>
      </c>
      <c r="D1130">
        <v>11.372435867677799</v>
      </c>
      <c r="E1130">
        <v>6</v>
      </c>
      <c r="F1130">
        <v>1.01722196789785</v>
      </c>
      <c r="G1130" t="s">
        <v>85</v>
      </c>
      <c r="H1130" t="s">
        <v>85</v>
      </c>
      <c r="I1130">
        <v>432</v>
      </c>
      <c r="J1130">
        <v>787</v>
      </c>
      <c r="K1130">
        <v>0</v>
      </c>
    </row>
    <row r="1131" spans="1:11" x14ac:dyDescent="0.25">
      <c r="A1131" t="s">
        <v>86</v>
      </c>
    </row>
    <row r="1132" spans="1:11" x14ac:dyDescent="0.25">
      <c r="A1132">
        <v>83.837995461112797</v>
      </c>
      <c r="B1132">
        <v>22.450713839600802</v>
      </c>
      <c r="C1132">
        <v>2000</v>
      </c>
    </row>
    <row r="1133" spans="1:11" x14ac:dyDescent="0.25">
      <c r="A1133">
        <v>78.055386421296504</v>
      </c>
      <c r="B1133">
        <v>28.233322879417099</v>
      </c>
      <c r="C1133">
        <v>2000</v>
      </c>
    </row>
    <row r="1134" spans="1:11" x14ac:dyDescent="0.25">
      <c r="A1134">
        <v>78.055386421296504</v>
      </c>
      <c r="B1134">
        <v>29.107354928314798</v>
      </c>
      <c r="C1134">
        <v>2001</v>
      </c>
    </row>
    <row r="1135" spans="1:11" x14ac:dyDescent="0.25">
      <c r="A1135">
        <v>83.837995461112797</v>
      </c>
      <c r="B1135">
        <v>23.324745888498398</v>
      </c>
      <c r="C1135">
        <v>2001</v>
      </c>
    </row>
    <row r="1136" spans="1:11" x14ac:dyDescent="0.25">
      <c r="A1136">
        <v>91.879521981756895</v>
      </c>
      <c r="B1136">
        <v>15.283219367854301</v>
      </c>
      <c r="C1136">
        <v>2001</v>
      </c>
    </row>
    <row r="1137" spans="1:11" x14ac:dyDescent="0.25">
      <c r="A1137">
        <v>91.879521981756895</v>
      </c>
      <c r="B1137">
        <v>14.4091873189567</v>
      </c>
      <c r="C1137">
        <v>2000</v>
      </c>
    </row>
    <row r="1138" spans="1:11" x14ac:dyDescent="0.25">
      <c r="A1138" t="s">
        <v>87</v>
      </c>
    </row>
    <row r="1139" spans="1:11" x14ac:dyDescent="0.25">
      <c r="A1139">
        <v>105</v>
      </c>
      <c r="B1139">
        <v>0</v>
      </c>
      <c r="C1139">
        <v>9.1258620020393106</v>
      </c>
      <c r="D1139">
        <v>10.390283608759001</v>
      </c>
      <c r="E1139">
        <v>6</v>
      </c>
      <c r="F1139">
        <v>1.01722196789785</v>
      </c>
      <c r="G1139" t="s">
        <v>85</v>
      </c>
      <c r="H1139" t="s">
        <v>85</v>
      </c>
      <c r="I1139">
        <v>885</v>
      </c>
      <c r="J1139">
        <v>852</v>
      </c>
      <c r="K1139">
        <v>0</v>
      </c>
    </row>
    <row r="1140" spans="1:11" x14ac:dyDescent="0.25">
      <c r="A1140" t="s">
        <v>86</v>
      </c>
    </row>
    <row r="1141" spans="1:11" x14ac:dyDescent="0.25">
      <c r="A1141">
        <v>113.586963649647</v>
      </c>
      <c r="B1141">
        <v>12.279474329324501</v>
      </c>
      <c r="C1141">
        <v>2000</v>
      </c>
    </row>
    <row r="1142" spans="1:11" x14ac:dyDescent="0.25">
      <c r="A1142">
        <v>107.13400474383199</v>
      </c>
      <c r="B1142">
        <v>5.8265154235098997</v>
      </c>
      <c r="C1142">
        <v>2000</v>
      </c>
    </row>
    <row r="1143" spans="1:11" x14ac:dyDescent="0.25">
      <c r="A1143">
        <v>107.13400474383199</v>
      </c>
      <c r="B1143">
        <v>4.9524833746122701</v>
      </c>
      <c r="C1143">
        <v>2001</v>
      </c>
    </row>
    <row r="1144" spans="1:11" x14ac:dyDescent="0.25">
      <c r="A1144">
        <v>113.586963649647</v>
      </c>
      <c r="B1144">
        <v>11.4054422804269</v>
      </c>
      <c r="C1144">
        <v>2001</v>
      </c>
    </row>
    <row r="1145" spans="1:11" x14ac:dyDescent="0.25">
      <c r="A1145">
        <v>120.93400364785199</v>
      </c>
      <c r="B1145">
        <v>18.752482278631799</v>
      </c>
      <c r="C1145">
        <v>2001</v>
      </c>
    </row>
    <row r="1146" spans="1:11" x14ac:dyDescent="0.25">
      <c r="A1146">
        <v>120.93400364785199</v>
      </c>
      <c r="B1146">
        <v>19.626514327529499</v>
      </c>
      <c r="C1146">
        <v>2000</v>
      </c>
    </row>
    <row r="1147" spans="1:11" x14ac:dyDescent="0.25">
      <c r="A1147" t="s">
        <v>87</v>
      </c>
    </row>
    <row r="1148" spans="1:11" x14ac:dyDescent="0.25">
      <c r="A1148">
        <v>478</v>
      </c>
      <c r="B1148">
        <v>1</v>
      </c>
      <c r="C1148">
        <v>10.854555330369701</v>
      </c>
      <c r="D1148">
        <v>8.61246796383017</v>
      </c>
      <c r="E1148">
        <v>6</v>
      </c>
      <c r="F1148">
        <v>1.01722196789785</v>
      </c>
      <c r="G1148" t="s">
        <v>85</v>
      </c>
      <c r="H1148" t="s">
        <v>85</v>
      </c>
      <c r="I1148">
        <v>668</v>
      </c>
      <c r="J1148">
        <v>764</v>
      </c>
      <c r="K1148">
        <v>0</v>
      </c>
    </row>
    <row r="1149" spans="1:11" x14ac:dyDescent="0.25">
      <c r="A1149" t="s">
        <v>86</v>
      </c>
    </row>
    <row r="1150" spans="1:11" x14ac:dyDescent="0.25">
      <c r="A1150">
        <v>64.228906711375103</v>
      </c>
      <c r="B1150">
        <v>37.981944505420699</v>
      </c>
      <c r="C1150">
        <v>2000</v>
      </c>
    </row>
    <row r="1151" spans="1:11" x14ac:dyDescent="0.25">
      <c r="A1151">
        <v>56.797251399512</v>
      </c>
      <c r="B1151">
        <v>45.413599817283803</v>
      </c>
      <c r="C1151">
        <v>2000</v>
      </c>
    </row>
    <row r="1152" spans="1:11" x14ac:dyDescent="0.25">
      <c r="A1152">
        <v>56.797251399512</v>
      </c>
      <c r="B1152">
        <v>46.287631866181499</v>
      </c>
      <c r="C1152">
        <v>2001</v>
      </c>
    </row>
    <row r="1153" spans="1:11" x14ac:dyDescent="0.25">
      <c r="A1153">
        <v>64.716255449387006</v>
      </c>
      <c r="B1153">
        <v>38.3686278163065</v>
      </c>
      <c r="C1153">
        <v>2001</v>
      </c>
    </row>
    <row r="1154" spans="1:11" x14ac:dyDescent="0.25">
      <c r="A1154">
        <v>70.999531604806094</v>
      </c>
      <c r="B1154">
        <v>32.085351660887397</v>
      </c>
      <c r="C1154">
        <v>2001</v>
      </c>
    </row>
    <row r="1155" spans="1:11" x14ac:dyDescent="0.25">
      <c r="A1155">
        <v>70.125499555908505</v>
      </c>
      <c r="B1155">
        <v>32.085351660887397</v>
      </c>
      <c r="C1155">
        <v>2000</v>
      </c>
    </row>
    <row r="1156" spans="1:11" x14ac:dyDescent="0.25">
      <c r="A1156" t="s">
        <v>87</v>
      </c>
    </row>
    <row r="1157" spans="1:11" x14ac:dyDescent="0.25">
      <c r="A1157">
        <v>68</v>
      </c>
      <c r="B1157">
        <v>1</v>
      </c>
      <c r="C1157">
        <v>8.8700902955915204</v>
      </c>
      <c r="D1157">
        <v>10.465646240444</v>
      </c>
      <c r="E1157">
        <v>8</v>
      </c>
      <c r="F1157">
        <v>1.01722196789785</v>
      </c>
      <c r="G1157" t="s">
        <v>85</v>
      </c>
      <c r="H1157" t="s">
        <v>85</v>
      </c>
      <c r="I1157">
        <v>35</v>
      </c>
      <c r="J1157">
        <v>439</v>
      </c>
      <c r="K1157">
        <v>0</v>
      </c>
    </row>
    <row r="1158" spans="1:11" x14ac:dyDescent="0.25">
      <c r="A1158" t="s">
        <v>86</v>
      </c>
    </row>
    <row r="1159" spans="1:11" x14ac:dyDescent="0.25">
      <c r="A1159">
        <v>47.341531936064499</v>
      </c>
      <c r="B1159">
        <v>31.7681389903466</v>
      </c>
      <c r="C1159">
        <v>2000</v>
      </c>
    </row>
    <row r="1160" spans="1:11" x14ac:dyDescent="0.25">
      <c r="A1160">
        <v>40.860227146129802</v>
      </c>
      <c r="B1160">
        <v>38.249443780281297</v>
      </c>
      <c r="C1160">
        <v>2000</v>
      </c>
    </row>
    <row r="1161" spans="1:11" x14ac:dyDescent="0.25">
      <c r="A1161">
        <v>41.734259195027398</v>
      </c>
      <c r="B1161">
        <v>38.249443780281297</v>
      </c>
      <c r="C1161">
        <v>2001</v>
      </c>
    </row>
    <row r="1162" spans="1:11" x14ac:dyDescent="0.25">
      <c r="A1162">
        <v>47.7971564005922</v>
      </c>
      <c r="B1162">
        <v>32.186546574716601</v>
      </c>
      <c r="C1162">
        <v>2001</v>
      </c>
    </row>
    <row r="1163" spans="1:11" x14ac:dyDescent="0.25">
      <c r="A1163">
        <v>50.146738535002797</v>
      </c>
      <c r="B1163">
        <v>29.836964440306001</v>
      </c>
      <c r="C1163">
        <v>2001</v>
      </c>
    </row>
    <row r="1164" spans="1:11" x14ac:dyDescent="0.25">
      <c r="A1164">
        <v>54.969673594445801</v>
      </c>
      <c r="B1164">
        <v>25.014029380863001</v>
      </c>
      <c r="C1164">
        <v>2001</v>
      </c>
    </row>
    <row r="1165" spans="1:11" x14ac:dyDescent="0.25">
      <c r="A1165">
        <v>54.969673594445801</v>
      </c>
      <c r="B1165">
        <v>24.139997331965301</v>
      </c>
      <c r="C1165">
        <v>2000</v>
      </c>
    </row>
    <row r="1166" spans="1:11" x14ac:dyDescent="0.25">
      <c r="A1166">
        <v>49.853261464997203</v>
      </c>
      <c r="B1166">
        <v>29.256409461413899</v>
      </c>
      <c r="C1166">
        <v>2000</v>
      </c>
    </row>
    <row r="1167" spans="1:11" x14ac:dyDescent="0.25">
      <c r="A1167" t="s">
        <v>87</v>
      </c>
    </row>
    <row r="1168" spans="1:11" x14ac:dyDescent="0.25">
      <c r="A1168">
        <v>846</v>
      </c>
      <c r="B1168">
        <v>1</v>
      </c>
      <c r="C1168">
        <v>7.2910645258325202</v>
      </c>
      <c r="D1168">
        <v>12.0438072638101</v>
      </c>
      <c r="E1168">
        <v>6</v>
      </c>
      <c r="F1168">
        <v>1.01722196789785</v>
      </c>
      <c r="G1168" t="s">
        <v>85</v>
      </c>
      <c r="H1168" t="s">
        <v>89</v>
      </c>
      <c r="I1168">
        <v>763</v>
      </c>
      <c r="J1168">
        <v>143</v>
      </c>
      <c r="K1168">
        <v>9.0645505931922193E-2</v>
      </c>
    </row>
    <row r="1169" spans="1:11" x14ac:dyDescent="0.25">
      <c r="A1169" t="s">
        <v>86</v>
      </c>
    </row>
    <row r="1170" spans="1:11" x14ac:dyDescent="0.25">
      <c r="A1170">
        <v>82.297874701128706</v>
      </c>
      <c r="B1170">
        <v>33.504140895788801</v>
      </c>
      <c r="C1170">
        <v>2000</v>
      </c>
    </row>
    <row r="1171" spans="1:11" x14ac:dyDescent="0.25">
      <c r="A1171">
        <v>77.2247115975361</v>
      </c>
      <c r="B1171">
        <v>38.5773039993814</v>
      </c>
      <c r="C1171">
        <v>2000</v>
      </c>
    </row>
    <row r="1172" spans="1:11" x14ac:dyDescent="0.25">
      <c r="A1172">
        <v>77.2247115975361</v>
      </c>
      <c r="B1172">
        <v>39.451336048279003</v>
      </c>
      <c r="C1172">
        <v>2001</v>
      </c>
    </row>
    <row r="1173" spans="1:11" x14ac:dyDescent="0.25">
      <c r="A1173">
        <v>82.462670830513204</v>
      </c>
      <c r="B1173">
        <v>34.213376815301899</v>
      </c>
      <c r="C1173">
        <v>2001</v>
      </c>
    </row>
    <row r="1174" spans="1:11" x14ac:dyDescent="0.25">
      <c r="A1174">
        <v>91.115038565589302</v>
      </c>
      <c r="B1174">
        <v>25.561009080225801</v>
      </c>
      <c r="C1174">
        <v>2001</v>
      </c>
    </row>
    <row r="1175" spans="1:11" x14ac:dyDescent="0.25">
      <c r="A1175">
        <v>90.678022541140507</v>
      </c>
      <c r="B1175">
        <v>25.123993055776999</v>
      </c>
      <c r="C1175">
        <v>2000</v>
      </c>
    </row>
    <row r="1176" spans="1:11" x14ac:dyDescent="0.25">
      <c r="A1176" t="s">
        <v>87</v>
      </c>
    </row>
    <row r="1177" spans="1:11" x14ac:dyDescent="0.25">
      <c r="A1177">
        <v>679</v>
      </c>
      <c r="B1177">
        <v>0</v>
      </c>
      <c r="C1177">
        <v>10.7314198221019</v>
      </c>
      <c r="D1177">
        <v>8.5990110348571793</v>
      </c>
      <c r="E1177">
        <v>6</v>
      </c>
      <c r="F1177">
        <v>1.01722196789785</v>
      </c>
      <c r="G1177" t="s">
        <v>85</v>
      </c>
      <c r="H1177" t="s">
        <v>85</v>
      </c>
      <c r="I1177">
        <v>701</v>
      </c>
      <c r="J1177">
        <v>716</v>
      </c>
      <c r="K1177">
        <v>0</v>
      </c>
    </row>
    <row r="1178" spans="1:11" x14ac:dyDescent="0.25">
      <c r="A1178" t="s">
        <v>86</v>
      </c>
    </row>
    <row r="1179" spans="1:11" x14ac:dyDescent="0.25">
      <c r="A1179">
        <v>69.149965723462699</v>
      </c>
      <c r="B1179">
        <v>67.040640573392807</v>
      </c>
      <c r="C1179">
        <v>2000</v>
      </c>
    </row>
    <row r="1180" spans="1:11" x14ac:dyDescent="0.25">
      <c r="A1180">
        <v>61.804318406053397</v>
      </c>
      <c r="B1180">
        <v>59.694993255983597</v>
      </c>
      <c r="C1180">
        <v>2000</v>
      </c>
    </row>
    <row r="1181" spans="1:11" x14ac:dyDescent="0.25">
      <c r="A1181">
        <v>60.930286357155801</v>
      </c>
      <c r="B1181">
        <v>59.694993255983597</v>
      </c>
      <c r="C1181">
        <v>2001</v>
      </c>
    </row>
    <row r="1182" spans="1:11" x14ac:dyDescent="0.25">
      <c r="A1182">
        <v>68.761158495682594</v>
      </c>
      <c r="B1182">
        <v>67.525865394510305</v>
      </c>
      <c r="C1182">
        <v>2001</v>
      </c>
    </row>
    <row r="1183" spans="1:11" x14ac:dyDescent="0.25">
      <c r="A1183">
        <v>75.035981123818104</v>
      </c>
      <c r="B1183">
        <v>73.8006880226459</v>
      </c>
      <c r="C1183">
        <v>2001</v>
      </c>
    </row>
    <row r="1184" spans="1:11" x14ac:dyDescent="0.25">
      <c r="A1184">
        <v>75.035981123818104</v>
      </c>
      <c r="B1184">
        <v>72.926655973748296</v>
      </c>
      <c r="C1184">
        <v>2000</v>
      </c>
    </row>
    <row r="1185" spans="1:11" x14ac:dyDescent="0.25">
      <c r="A1185" t="s">
        <v>87</v>
      </c>
    </row>
    <row r="1186" spans="1:11" x14ac:dyDescent="0.25">
      <c r="A1186">
        <v>741</v>
      </c>
      <c r="B1186">
        <v>0</v>
      </c>
      <c r="C1186">
        <v>14.6705455830839</v>
      </c>
      <c r="D1186">
        <v>4.6441246525473598</v>
      </c>
      <c r="E1186">
        <v>6</v>
      </c>
      <c r="F1186">
        <v>1.01722196789785</v>
      </c>
      <c r="G1186" t="s">
        <v>85</v>
      </c>
      <c r="H1186" t="s">
        <v>89</v>
      </c>
      <c r="I1186">
        <v>742</v>
      </c>
      <c r="J1186">
        <v>344</v>
      </c>
      <c r="K1186">
        <v>8.9259099568316694E-2</v>
      </c>
    </row>
    <row r="1187" spans="1:11" x14ac:dyDescent="0.25">
      <c r="A1187" t="s">
        <v>86</v>
      </c>
    </row>
    <row r="1188" spans="1:11" x14ac:dyDescent="0.25">
      <c r="A1188">
        <v>27.569869608978401</v>
      </c>
      <c r="B1188">
        <v>69.915917976358202</v>
      </c>
      <c r="C1188">
        <v>2000</v>
      </c>
    </row>
    <row r="1189" spans="1:11" x14ac:dyDescent="0.25">
      <c r="A1189">
        <v>17.030258589438301</v>
      </c>
      <c r="B1189">
        <v>59.376306956818098</v>
      </c>
      <c r="C1189">
        <v>2000</v>
      </c>
    </row>
    <row r="1190" spans="1:11" x14ac:dyDescent="0.25">
      <c r="A1190">
        <v>17.030258589438301</v>
      </c>
      <c r="B1190">
        <v>60.250339005715702</v>
      </c>
      <c r="C1190">
        <v>2001</v>
      </c>
    </row>
    <row r="1191" spans="1:11" x14ac:dyDescent="0.25">
      <c r="A1191">
        <v>27.2379321009081</v>
      </c>
      <c r="B1191">
        <v>70.458012517185594</v>
      </c>
      <c r="C1191">
        <v>2001</v>
      </c>
    </row>
    <row r="1192" spans="1:11" x14ac:dyDescent="0.25">
      <c r="A1192">
        <v>30.469284877210701</v>
      </c>
      <c r="B1192">
        <v>73.689365293488194</v>
      </c>
      <c r="C1192">
        <v>2001</v>
      </c>
    </row>
    <row r="1193" spans="1:11" x14ac:dyDescent="0.25">
      <c r="A1193">
        <v>30.906300901659499</v>
      </c>
      <c r="B1193">
        <v>73.252349269039399</v>
      </c>
      <c r="C1193">
        <v>2000</v>
      </c>
    </row>
    <row r="1194" spans="1:11" x14ac:dyDescent="0.25">
      <c r="A1194" t="s">
        <v>87</v>
      </c>
    </row>
    <row r="1195" spans="1:11" x14ac:dyDescent="0.25">
      <c r="A1195">
        <v>233</v>
      </c>
      <c r="B1195">
        <v>1</v>
      </c>
      <c r="C1195">
        <v>7.3350919469881104</v>
      </c>
      <c r="D1195">
        <v>11.8859621086971</v>
      </c>
      <c r="E1195">
        <v>6</v>
      </c>
      <c r="F1195">
        <v>1.01722196789785</v>
      </c>
      <c r="G1195" t="s">
        <v>85</v>
      </c>
      <c r="H1195" t="s">
        <v>85</v>
      </c>
      <c r="I1195">
        <v>181</v>
      </c>
      <c r="J1195">
        <v>196</v>
      </c>
      <c r="K1195">
        <v>0</v>
      </c>
    </row>
    <row r="1196" spans="1:11" x14ac:dyDescent="0.25">
      <c r="A1196" t="s">
        <v>86</v>
      </c>
    </row>
    <row r="1197" spans="1:11" x14ac:dyDescent="0.25">
      <c r="A1197">
        <v>72.5191015807724</v>
      </c>
      <c r="B1197">
        <v>128.78521848699299</v>
      </c>
      <c r="C1197">
        <v>2000</v>
      </c>
    </row>
    <row r="1198" spans="1:11" x14ac:dyDescent="0.25">
      <c r="A1198">
        <v>67.499181317854706</v>
      </c>
      <c r="B1198">
        <v>133.80513874991101</v>
      </c>
      <c r="C1198">
        <v>2000</v>
      </c>
    </row>
    <row r="1199" spans="1:11" x14ac:dyDescent="0.25">
      <c r="A1199">
        <v>66.625149268957003</v>
      </c>
      <c r="B1199">
        <v>133.80513874991101</v>
      </c>
      <c r="C1199">
        <v>2001</v>
      </c>
    </row>
    <row r="1200" spans="1:11" x14ac:dyDescent="0.25">
      <c r="A1200">
        <v>71.978615518723601</v>
      </c>
      <c r="B1200">
        <v>128.45167250014501</v>
      </c>
      <c r="C1200">
        <v>2001</v>
      </c>
    </row>
    <row r="1201" spans="1:11" x14ac:dyDescent="0.25">
      <c r="A1201">
        <v>80.653502957734105</v>
      </c>
      <c r="B1201">
        <v>119.77678506113401</v>
      </c>
      <c r="C1201">
        <v>2001</v>
      </c>
    </row>
    <row r="1202" spans="1:11" x14ac:dyDescent="0.25">
      <c r="A1202">
        <v>80.653502957734105</v>
      </c>
      <c r="B1202">
        <v>120.65081711003199</v>
      </c>
      <c r="C1202">
        <v>2000</v>
      </c>
    </row>
    <row r="1203" spans="1:11" x14ac:dyDescent="0.25">
      <c r="A1203" t="s">
        <v>87</v>
      </c>
    </row>
    <row r="1204" spans="1:11" x14ac:dyDescent="0.25">
      <c r="A1204">
        <v>27</v>
      </c>
      <c r="B1204">
        <v>0</v>
      </c>
      <c r="C1204">
        <v>12.9358702504672</v>
      </c>
      <c r="D1204">
        <v>6.2681218883614198</v>
      </c>
      <c r="E1204">
        <v>6</v>
      </c>
      <c r="F1204">
        <v>1.01722196789785</v>
      </c>
      <c r="G1204" t="s">
        <v>85</v>
      </c>
      <c r="H1204" t="s">
        <v>85</v>
      </c>
      <c r="I1204">
        <v>72</v>
      </c>
      <c r="J1204">
        <v>65</v>
      </c>
      <c r="K1204">
        <v>0</v>
      </c>
    </row>
    <row r="1205" spans="1:11" x14ac:dyDescent="0.25">
      <c r="A1205" t="s">
        <v>86</v>
      </c>
    </row>
    <row r="1206" spans="1:11" x14ac:dyDescent="0.25">
      <c r="A1206">
        <v>33.6419359239014</v>
      </c>
      <c r="B1206">
        <v>20.067417297552598</v>
      </c>
      <c r="C1206">
        <v>2000</v>
      </c>
    </row>
    <row r="1207" spans="1:11" x14ac:dyDescent="0.25">
      <c r="A1207">
        <v>24.4948943492467</v>
      </c>
      <c r="B1207">
        <v>10.920375722897999</v>
      </c>
      <c r="C1207">
        <v>2000</v>
      </c>
    </row>
    <row r="1208" spans="1:11" x14ac:dyDescent="0.25">
      <c r="A1208">
        <v>24.4948943492467</v>
      </c>
      <c r="B1208">
        <v>11.7944077717956</v>
      </c>
      <c r="C1208">
        <v>2001</v>
      </c>
    </row>
    <row r="1209" spans="1:11" x14ac:dyDescent="0.25">
      <c r="A1209">
        <v>33.6419359239014</v>
      </c>
      <c r="B1209">
        <v>20.941449346450302</v>
      </c>
      <c r="C1209">
        <v>2001</v>
      </c>
    </row>
    <row r="1210" spans="1:11" x14ac:dyDescent="0.25">
      <c r="A1210">
        <v>38.0741674164655</v>
      </c>
      <c r="B1210">
        <v>25.373680839014501</v>
      </c>
      <c r="C1210">
        <v>2001</v>
      </c>
    </row>
    <row r="1211" spans="1:11" x14ac:dyDescent="0.25">
      <c r="A1211">
        <v>38.0741674164655</v>
      </c>
      <c r="B1211">
        <v>24.499648790116801</v>
      </c>
      <c r="C1211">
        <v>2000</v>
      </c>
    </row>
    <row r="1212" spans="1:11" x14ac:dyDescent="0.25">
      <c r="A1212" t="s">
        <v>87</v>
      </c>
    </row>
    <row r="1213" spans="1:11" x14ac:dyDescent="0.25">
      <c r="A1213">
        <v>834</v>
      </c>
      <c r="B1213">
        <v>1</v>
      </c>
      <c r="C1213">
        <v>6.9571211331724898</v>
      </c>
      <c r="D1213">
        <v>12.2362179616361</v>
      </c>
      <c r="E1213">
        <v>6</v>
      </c>
      <c r="F1213">
        <v>1.01722196789785</v>
      </c>
      <c r="G1213" t="s">
        <v>85</v>
      </c>
      <c r="H1213" t="s">
        <v>85</v>
      </c>
      <c r="I1213">
        <v>868</v>
      </c>
      <c r="J1213">
        <v>819</v>
      </c>
      <c r="K1213">
        <v>9.0374042336346896E-2</v>
      </c>
    </row>
    <row r="1214" spans="1:11" x14ac:dyDescent="0.25">
      <c r="A1214" t="s">
        <v>86</v>
      </c>
    </row>
    <row r="1215" spans="1:11" x14ac:dyDescent="0.25">
      <c r="A1215">
        <v>15.4906411846741</v>
      </c>
      <c r="B1215">
        <v>41.592078973511498</v>
      </c>
      <c r="C1215">
        <v>2000</v>
      </c>
    </row>
    <row r="1216" spans="1:11" x14ac:dyDescent="0.25">
      <c r="A1216">
        <v>10.4128059164681</v>
      </c>
      <c r="B1216">
        <v>46.6699142417175</v>
      </c>
      <c r="C1216">
        <v>2000</v>
      </c>
    </row>
    <row r="1217" spans="1:11" x14ac:dyDescent="0.25">
      <c r="A1217">
        <v>10.4128059164681</v>
      </c>
      <c r="B1217">
        <v>45.795882192819903</v>
      </c>
      <c r="C1217">
        <v>2001</v>
      </c>
    </row>
    <row r="1218" spans="1:11" x14ac:dyDescent="0.25">
      <c r="A1218">
        <v>15.173825709867</v>
      </c>
      <c r="B1218">
        <v>41.034862399420902</v>
      </c>
      <c r="C1218">
        <v>2001</v>
      </c>
    </row>
    <row r="1219" spans="1:11" x14ac:dyDescent="0.25">
      <c r="A1219">
        <v>23.547530119571199</v>
      </c>
      <c r="B1219">
        <v>32.661157989716699</v>
      </c>
      <c r="C1219">
        <v>2001</v>
      </c>
    </row>
    <row r="1220" spans="1:11" x14ac:dyDescent="0.25">
      <c r="A1220">
        <v>24.421562168468899</v>
      </c>
      <c r="B1220">
        <v>32.661157989716699</v>
      </c>
      <c r="C1220">
        <v>2000</v>
      </c>
    </row>
    <row r="1221" spans="1:11" x14ac:dyDescent="0.25">
      <c r="A1221" t="s">
        <v>87</v>
      </c>
    </row>
    <row r="1222" spans="1:11" x14ac:dyDescent="0.25">
      <c r="A1222">
        <v>1083</v>
      </c>
      <c r="B1222">
        <v>1</v>
      </c>
      <c r="C1222">
        <v>9.0096044149341594</v>
      </c>
      <c r="D1222">
        <v>10.1837346798744</v>
      </c>
      <c r="E1222">
        <v>6</v>
      </c>
      <c r="F1222">
        <v>1.01722196789785</v>
      </c>
      <c r="G1222" t="s">
        <v>85</v>
      </c>
      <c r="H1222" t="s">
        <v>85</v>
      </c>
      <c r="I1222">
        <v>868</v>
      </c>
      <c r="J1222">
        <v>819</v>
      </c>
      <c r="K1222">
        <v>9.4413370804653396E-2</v>
      </c>
    </row>
    <row r="1223" spans="1:11" x14ac:dyDescent="0.25">
      <c r="A1223" t="s">
        <v>86</v>
      </c>
    </row>
    <row r="1224" spans="1:11" x14ac:dyDescent="0.25">
      <c r="A1224">
        <v>18.065549981021402</v>
      </c>
      <c r="B1224">
        <v>41.170871475192399</v>
      </c>
      <c r="C1224">
        <v>2000</v>
      </c>
    </row>
    <row r="1225" spans="1:11" x14ac:dyDescent="0.25">
      <c r="A1225">
        <v>11.4896565654822</v>
      </c>
      <c r="B1225">
        <v>47.746764890731697</v>
      </c>
      <c r="C1225">
        <v>2000</v>
      </c>
    </row>
    <row r="1226" spans="1:11" x14ac:dyDescent="0.25">
      <c r="A1226">
        <v>12.3636886143798</v>
      </c>
      <c r="B1226">
        <v>47.746764890731697</v>
      </c>
      <c r="C1226">
        <v>2001</v>
      </c>
    </row>
    <row r="1227" spans="1:11" x14ac:dyDescent="0.25">
      <c r="A1227">
        <v>18.529299954056999</v>
      </c>
      <c r="B1227">
        <v>41.581153551054499</v>
      </c>
      <c r="C1227">
        <v>2001</v>
      </c>
    </row>
    <row r="1228" spans="1:11" x14ac:dyDescent="0.25">
      <c r="A1228">
        <v>25.498412817483</v>
      </c>
      <c r="B1228">
        <v>34.6120406876285</v>
      </c>
      <c r="C1228">
        <v>2001</v>
      </c>
    </row>
    <row r="1229" spans="1:11" x14ac:dyDescent="0.25">
      <c r="A1229">
        <v>25.498412817483</v>
      </c>
      <c r="B1229">
        <v>33.738008638730797</v>
      </c>
      <c r="C1229">
        <v>2000</v>
      </c>
    </row>
    <row r="1230" spans="1:11" x14ac:dyDescent="0.25">
      <c r="A1230" t="s">
        <v>87</v>
      </c>
    </row>
    <row r="1231" spans="1:11" x14ac:dyDescent="0.25">
      <c r="A1231">
        <v>66</v>
      </c>
      <c r="B1231">
        <v>1</v>
      </c>
      <c r="C1231">
        <v>13.5303800968946</v>
      </c>
      <c r="D1231">
        <v>5.6629589979139903</v>
      </c>
      <c r="E1231">
        <v>6</v>
      </c>
      <c r="F1231">
        <v>1.01722196789785</v>
      </c>
      <c r="G1231" t="s">
        <v>85</v>
      </c>
      <c r="H1231" t="s">
        <v>85</v>
      </c>
      <c r="I1231">
        <v>868</v>
      </c>
      <c r="J1231">
        <v>819</v>
      </c>
      <c r="K1231">
        <v>0</v>
      </c>
    </row>
    <row r="1232" spans="1:11" x14ac:dyDescent="0.25">
      <c r="A1232" t="s">
        <v>86</v>
      </c>
    </row>
    <row r="1233" spans="1:11" x14ac:dyDescent="0.25">
      <c r="A1233">
        <v>19.483237527758</v>
      </c>
      <c r="B1233">
        <v>35.989348297237001</v>
      </c>
      <c r="C1233">
        <v>2000</v>
      </c>
    </row>
    <row r="1234" spans="1:11" x14ac:dyDescent="0.25">
      <c r="A1234">
        <v>9.6077387498727802</v>
      </c>
      <c r="B1234">
        <v>45.864847075122299</v>
      </c>
      <c r="C1234">
        <v>2000</v>
      </c>
    </row>
    <row r="1235" spans="1:11" x14ac:dyDescent="0.25">
      <c r="A1235">
        <v>9.6077387498727802</v>
      </c>
      <c r="B1235">
        <v>44.990815026224602</v>
      </c>
      <c r="C1235">
        <v>2001</v>
      </c>
    </row>
    <row r="1236" spans="1:11" x14ac:dyDescent="0.25">
      <c r="A1236">
        <v>18.867087009078801</v>
      </c>
      <c r="B1236">
        <v>35.731466767018603</v>
      </c>
      <c r="C1236">
        <v>2001</v>
      </c>
    </row>
    <row r="1237" spans="1:11" x14ac:dyDescent="0.25">
      <c r="A1237">
        <v>22.742462952975998</v>
      </c>
      <c r="B1237">
        <v>31.856090823121399</v>
      </c>
      <c r="C1237">
        <v>2001</v>
      </c>
    </row>
    <row r="1238" spans="1:11" x14ac:dyDescent="0.25">
      <c r="A1238">
        <v>23.616495001873599</v>
      </c>
      <c r="B1238">
        <v>31.856090823121399</v>
      </c>
      <c r="C1238">
        <v>2000</v>
      </c>
    </row>
    <row r="1239" spans="1:11" x14ac:dyDescent="0.25">
      <c r="A1239" t="s">
        <v>87</v>
      </c>
    </row>
    <row r="1240" spans="1:11" x14ac:dyDescent="0.25">
      <c r="A1240">
        <v>863</v>
      </c>
      <c r="B1240">
        <v>0</v>
      </c>
      <c r="C1240">
        <v>2.76437460381567</v>
      </c>
      <c r="D1240">
        <v>16.406876661230701</v>
      </c>
      <c r="E1240">
        <v>6</v>
      </c>
      <c r="F1240">
        <v>1.01722196789785</v>
      </c>
      <c r="G1240" t="s">
        <v>85</v>
      </c>
      <c r="H1240" t="s">
        <v>88</v>
      </c>
      <c r="I1240">
        <v>806</v>
      </c>
      <c r="J1240">
        <v>0</v>
      </c>
      <c r="K1240">
        <v>9.0910684189608806E-2</v>
      </c>
    </row>
    <row r="1241" spans="1:11" x14ac:dyDescent="0.25">
      <c r="A1241" t="s">
        <v>86</v>
      </c>
    </row>
    <row r="1242" spans="1:11" x14ac:dyDescent="0.25">
      <c r="A1242">
        <v>138.39858625475301</v>
      </c>
      <c r="B1242">
        <v>31.6751153281398</v>
      </c>
      <c r="C1242">
        <v>2000</v>
      </c>
    </row>
    <row r="1243" spans="1:11" x14ac:dyDescent="0.25">
      <c r="A1243">
        <v>136.44387822665499</v>
      </c>
      <c r="B1243">
        <v>29.720407300041799</v>
      </c>
      <c r="C1243">
        <v>2000</v>
      </c>
    </row>
    <row r="1244" spans="1:11" x14ac:dyDescent="0.25">
      <c r="A1244">
        <v>136.44387822665499</v>
      </c>
      <c r="B1244">
        <v>30.594439348939499</v>
      </c>
      <c r="C1244">
        <v>2001</v>
      </c>
    </row>
    <row r="1245" spans="1:11" x14ac:dyDescent="0.25">
      <c r="A1245">
        <v>138.39858625475301</v>
      </c>
      <c r="B1245">
        <v>32.5491473770374</v>
      </c>
      <c r="C1245">
        <v>2001</v>
      </c>
    </row>
    <row r="1246" spans="1:11" x14ac:dyDescent="0.25">
      <c r="A1246">
        <v>150</v>
      </c>
      <c r="B1246">
        <v>44.150561122284898</v>
      </c>
      <c r="C1246">
        <v>2001</v>
      </c>
    </row>
    <row r="1247" spans="1:11" x14ac:dyDescent="0.25">
      <c r="A1247">
        <v>150</v>
      </c>
      <c r="B1247">
        <v>43.276529073387302</v>
      </c>
      <c r="C1247">
        <v>2000</v>
      </c>
    </row>
    <row r="1248" spans="1:11" x14ac:dyDescent="0.25">
      <c r="A1248" t="s">
        <v>87</v>
      </c>
    </row>
    <row r="1249" spans="1:11" x14ac:dyDescent="0.25">
      <c r="A1249">
        <v>752</v>
      </c>
      <c r="B1249">
        <v>0</v>
      </c>
      <c r="C1249">
        <v>11.1352991762808</v>
      </c>
      <c r="D1249">
        <v>8.0214894800103895</v>
      </c>
      <c r="E1249">
        <v>6</v>
      </c>
      <c r="F1249">
        <v>1.01722196789785</v>
      </c>
      <c r="G1249" t="s">
        <v>85</v>
      </c>
      <c r="H1249" t="s">
        <v>85</v>
      </c>
      <c r="I1249">
        <v>622</v>
      </c>
      <c r="J1249">
        <v>623</v>
      </c>
      <c r="K1249">
        <v>8.8948032773117705E-2</v>
      </c>
    </row>
    <row r="1250" spans="1:11" x14ac:dyDescent="0.25">
      <c r="A1250" t="s">
        <v>86</v>
      </c>
    </row>
    <row r="1251" spans="1:11" x14ac:dyDescent="0.25">
      <c r="A1251">
        <v>130.60645322809299</v>
      </c>
      <c r="B1251">
        <v>59.8242987849952</v>
      </c>
      <c r="C1251">
        <v>2000</v>
      </c>
    </row>
    <row r="1252" spans="1:11" x14ac:dyDescent="0.25">
      <c r="A1252">
        <v>122.732607670004</v>
      </c>
      <c r="B1252">
        <v>51.950453226906099</v>
      </c>
      <c r="C1252">
        <v>2000</v>
      </c>
    </row>
    <row r="1253" spans="1:11" x14ac:dyDescent="0.25">
      <c r="A1253">
        <v>122.732607670004</v>
      </c>
      <c r="B1253">
        <v>52.824485275803703</v>
      </c>
      <c r="C1253">
        <v>2001</v>
      </c>
    </row>
    <row r="1254" spans="1:11" x14ac:dyDescent="0.25">
      <c r="A1254">
        <v>130.60645322809299</v>
      </c>
      <c r="B1254">
        <v>60.698330833892797</v>
      </c>
      <c r="C1254">
        <v>2001</v>
      </c>
    </row>
    <row r="1255" spans="1:11" x14ac:dyDescent="0.25">
      <c r="A1255">
        <v>136.27850283462499</v>
      </c>
      <c r="B1255">
        <v>66.370380440424697</v>
      </c>
      <c r="C1255">
        <v>2001</v>
      </c>
    </row>
    <row r="1256" spans="1:11" x14ac:dyDescent="0.25">
      <c r="A1256">
        <v>136.27850283462499</v>
      </c>
      <c r="B1256">
        <v>65.496348391527107</v>
      </c>
      <c r="C1256">
        <v>2000</v>
      </c>
    </row>
    <row r="1257" spans="1:11" x14ac:dyDescent="0.25">
      <c r="A1257" t="s">
        <v>87</v>
      </c>
    </row>
    <row r="1258" spans="1:11" x14ac:dyDescent="0.25">
      <c r="A1258">
        <v>678</v>
      </c>
      <c r="B1258">
        <v>0</v>
      </c>
      <c r="C1258">
        <v>15.8364502319889</v>
      </c>
      <c r="D1258">
        <v>3.3079532765165398</v>
      </c>
      <c r="E1258">
        <v>6</v>
      </c>
      <c r="F1258">
        <v>1.01722196789785</v>
      </c>
      <c r="G1258" t="s">
        <v>85</v>
      </c>
      <c r="H1258" t="s">
        <v>89</v>
      </c>
      <c r="I1258">
        <v>701</v>
      </c>
      <c r="J1258">
        <v>643</v>
      </c>
      <c r="K1258">
        <v>0</v>
      </c>
    </row>
    <row r="1259" spans="1:11" x14ac:dyDescent="0.25">
      <c r="A1259" t="s">
        <v>86</v>
      </c>
    </row>
    <row r="1260" spans="1:11" x14ac:dyDescent="0.25">
      <c r="A1260">
        <v>70.630641721119304</v>
      </c>
      <c r="B1260">
        <v>72.903288425943899</v>
      </c>
      <c r="C1260">
        <v>2000</v>
      </c>
    </row>
    <row r="1261" spans="1:11" x14ac:dyDescent="0.25">
      <c r="A1261">
        <v>59.613332478606203</v>
      </c>
      <c r="B1261">
        <v>61.885979183430798</v>
      </c>
      <c r="C1261">
        <v>2000</v>
      </c>
    </row>
    <row r="1262" spans="1:11" x14ac:dyDescent="0.25">
      <c r="A1262">
        <v>58.739300429708599</v>
      </c>
      <c r="B1262">
        <v>61.885979183430798</v>
      </c>
      <c r="C1262">
        <v>2001</v>
      </c>
    </row>
    <row r="1263" spans="1:11" x14ac:dyDescent="0.25">
      <c r="A1263">
        <v>70.118113885120707</v>
      </c>
      <c r="B1263">
        <v>73.264792638843005</v>
      </c>
      <c r="C1263">
        <v>2001</v>
      </c>
    </row>
    <row r="1264" spans="1:11" x14ac:dyDescent="0.25">
      <c r="A1264">
        <v>72.494945984568702</v>
      </c>
      <c r="B1264">
        <v>75.641624738290901</v>
      </c>
      <c r="C1264">
        <v>2001</v>
      </c>
    </row>
    <row r="1265" spans="1:11" x14ac:dyDescent="0.25">
      <c r="A1265">
        <v>72.931962009017496</v>
      </c>
      <c r="B1265">
        <v>75.204608713842106</v>
      </c>
      <c r="C1265">
        <v>2000</v>
      </c>
    </row>
    <row r="1266" spans="1:11" x14ac:dyDescent="0.25">
      <c r="A1266" t="s">
        <v>87</v>
      </c>
    </row>
    <row r="1267" spans="1:11" x14ac:dyDescent="0.25">
      <c r="A1267">
        <v>231</v>
      </c>
      <c r="B1267">
        <v>1</v>
      </c>
      <c r="C1267">
        <v>7.5390609619070599</v>
      </c>
      <c r="D1267">
        <v>11.5985988203429</v>
      </c>
      <c r="E1267">
        <v>8</v>
      </c>
      <c r="F1267">
        <v>1.01722196789785</v>
      </c>
      <c r="G1267" t="s">
        <v>85</v>
      </c>
      <c r="H1267" t="s">
        <v>85</v>
      </c>
      <c r="I1267">
        <v>182</v>
      </c>
      <c r="J1267">
        <v>600</v>
      </c>
      <c r="K1267">
        <v>0</v>
      </c>
    </row>
    <row r="1268" spans="1:11" x14ac:dyDescent="0.25">
      <c r="A1268" t="s">
        <v>86</v>
      </c>
    </row>
    <row r="1269" spans="1:11" x14ac:dyDescent="0.25">
      <c r="A1269">
        <v>97.930814401126099</v>
      </c>
      <c r="B1269">
        <v>109.194914862218</v>
      </c>
      <c r="C1269">
        <v>2000</v>
      </c>
    </row>
    <row r="1270" spans="1:11" x14ac:dyDescent="0.25">
      <c r="A1270">
        <v>92.706488007068302</v>
      </c>
      <c r="B1270">
        <v>114.419241256276</v>
      </c>
      <c r="C1270">
        <v>2000</v>
      </c>
    </row>
    <row r="1271" spans="1:11" x14ac:dyDescent="0.25">
      <c r="A1271">
        <v>91.832455958170698</v>
      </c>
      <c r="B1271">
        <v>114.419241256276</v>
      </c>
      <c r="C1271">
        <v>2001</v>
      </c>
    </row>
    <row r="1272" spans="1:11" x14ac:dyDescent="0.25">
      <c r="A1272">
        <v>97.269971823999498</v>
      </c>
      <c r="B1272">
        <v>108.981725390447</v>
      </c>
      <c r="C1272">
        <v>2001</v>
      </c>
    </row>
    <row r="1273" spans="1:11" x14ac:dyDescent="0.25">
      <c r="A1273">
        <v>99.717560187087997</v>
      </c>
      <c r="B1273">
        <v>106.534137027358</v>
      </c>
      <c r="C1273">
        <v>2001</v>
      </c>
    </row>
    <row r="1274" spans="1:11" x14ac:dyDescent="0.25">
      <c r="A1274">
        <v>105.364824966241</v>
      </c>
      <c r="B1274">
        <v>100.886872248206</v>
      </c>
      <c r="C1274">
        <v>2001</v>
      </c>
    </row>
    <row r="1275" spans="1:11" x14ac:dyDescent="0.25">
      <c r="A1275">
        <v>106.238857015138</v>
      </c>
      <c r="B1275">
        <v>100.886872248206</v>
      </c>
      <c r="C1275">
        <v>2000</v>
      </c>
    </row>
    <row r="1276" spans="1:11" x14ac:dyDescent="0.25">
      <c r="A1276">
        <v>100.282439812912</v>
      </c>
      <c r="B1276">
        <v>106.843289450432</v>
      </c>
      <c r="C1276">
        <v>2000</v>
      </c>
    </row>
    <row r="1277" spans="1:11" x14ac:dyDescent="0.25">
      <c r="A1277" t="s">
        <v>87</v>
      </c>
    </row>
    <row r="1278" spans="1:11" x14ac:dyDescent="0.25">
      <c r="A1278">
        <v>480</v>
      </c>
      <c r="B1278">
        <v>1</v>
      </c>
      <c r="C1278">
        <v>8.4834005665130796</v>
      </c>
      <c r="D1278">
        <v>10.5311693610671</v>
      </c>
      <c r="E1278">
        <v>6</v>
      </c>
      <c r="F1278">
        <v>1.01722196789785</v>
      </c>
      <c r="G1278" t="s">
        <v>85</v>
      </c>
      <c r="H1278" t="s">
        <v>88</v>
      </c>
      <c r="I1278">
        <v>436</v>
      </c>
      <c r="J1278">
        <v>0</v>
      </c>
      <c r="K1278">
        <v>0</v>
      </c>
    </row>
    <row r="1279" spans="1:11" x14ac:dyDescent="0.25">
      <c r="A1279" t="s">
        <v>86</v>
      </c>
    </row>
    <row r="1280" spans="1:11" x14ac:dyDescent="0.25">
      <c r="A1280">
        <v>68.564741920020396</v>
      </c>
      <c r="B1280">
        <v>7.4466612690345704</v>
      </c>
      <c r="C1280">
        <v>2000</v>
      </c>
    </row>
    <row r="1281" spans="1:11" x14ac:dyDescent="0.25">
      <c r="A1281">
        <v>62.566071851917201</v>
      </c>
      <c r="B1281">
        <v>13.4453313371378</v>
      </c>
      <c r="C1281">
        <v>2000</v>
      </c>
    </row>
    <row r="1282" spans="1:11" x14ac:dyDescent="0.25">
      <c r="A1282">
        <v>63.440103900814798</v>
      </c>
      <c r="B1282">
        <v>13.4453313371378</v>
      </c>
      <c r="C1282">
        <v>2001</v>
      </c>
    </row>
    <row r="1283" spans="1:11" x14ac:dyDescent="0.25">
      <c r="A1283">
        <v>69.438773968917999</v>
      </c>
      <c r="B1283">
        <v>7.4466612690345704</v>
      </c>
      <c r="C1283">
        <v>2001</v>
      </c>
    </row>
    <row r="1284" spans="1:11" x14ac:dyDescent="0.25">
      <c r="A1284">
        <v>76.885435237952606</v>
      </c>
      <c r="B1284">
        <v>0</v>
      </c>
      <c r="C1284">
        <v>2001</v>
      </c>
    </row>
    <row r="1285" spans="1:11" x14ac:dyDescent="0.25">
      <c r="A1285">
        <v>76.011403189055002</v>
      </c>
      <c r="B1285">
        <v>0</v>
      </c>
      <c r="C1285">
        <v>2000</v>
      </c>
    </row>
    <row r="1286" spans="1:11" x14ac:dyDescent="0.25">
      <c r="A1286" t="s">
        <v>87</v>
      </c>
    </row>
    <row r="1287" spans="1:11" x14ac:dyDescent="0.25">
      <c r="A1287">
        <v>468</v>
      </c>
      <c r="B1287">
        <v>1</v>
      </c>
      <c r="C1287">
        <v>10.814998142263599</v>
      </c>
      <c r="D1287">
        <v>8.1647678397623995</v>
      </c>
      <c r="E1287">
        <v>6</v>
      </c>
      <c r="F1287">
        <v>1.01722196789785</v>
      </c>
      <c r="G1287" t="s">
        <v>85</v>
      </c>
      <c r="H1287" t="s">
        <v>85</v>
      </c>
      <c r="I1287">
        <v>436</v>
      </c>
      <c r="J1287">
        <v>434</v>
      </c>
      <c r="K1287">
        <v>0</v>
      </c>
    </row>
    <row r="1288" spans="1:11" x14ac:dyDescent="0.25">
      <c r="A1288" t="s">
        <v>86</v>
      </c>
    </row>
    <row r="1289" spans="1:11" x14ac:dyDescent="0.25">
      <c r="A1289">
        <v>76.138205627382604</v>
      </c>
      <c r="B1289">
        <v>11.224709520357001</v>
      </c>
      <c r="C1289">
        <v>2000</v>
      </c>
    </row>
    <row r="1290" spans="1:11" x14ac:dyDescent="0.25">
      <c r="A1290">
        <v>68.241827831259499</v>
      </c>
      <c r="B1290">
        <v>19.1210873164801</v>
      </c>
      <c r="C1290">
        <v>2000</v>
      </c>
    </row>
    <row r="1291" spans="1:11" x14ac:dyDescent="0.25">
      <c r="A1291">
        <v>69.115859880157103</v>
      </c>
      <c r="B1291">
        <v>19.1210873164801</v>
      </c>
      <c r="C1291">
        <v>2001</v>
      </c>
    </row>
    <row r="1292" spans="1:11" x14ac:dyDescent="0.25">
      <c r="A1292">
        <v>76.514199133863102</v>
      </c>
      <c r="B1292">
        <v>11.7227480627741</v>
      </c>
      <c r="C1292">
        <v>2001</v>
      </c>
    </row>
    <row r="1293" spans="1:11" x14ac:dyDescent="0.25">
      <c r="A1293">
        <v>82.099565086932699</v>
      </c>
      <c r="B1293">
        <v>6.13738210970451</v>
      </c>
      <c r="C1293">
        <v>2001</v>
      </c>
    </row>
    <row r="1294" spans="1:11" x14ac:dyDescent="0.25">
      <c r="A1294">
        <v>82.0995650869326</v>
      </c>
      <c r="B1294">
        <v>5.2633500608068804</v>
      </c>
      <c r="C1294">
        <v>2000</v>
      </c>
    </row>
    <row r="1295" spans="1:11" x14ac:dyDescent="0.25">
      <c r="A1295" t="s">
        <v>87</v>
      </c>
    </row>
    <row r="1296" spans="1:11" x14ac:dyDescent="0.25">
      <c r="A1296">
        <v>392</v>
      </c>
      <c r="B1296">
        <v>1</v>
      </c>
      <c r="C1296">
        <v>5.7842830807300301</v>
      </c>
      <c r="D1296">
        <v>13.1837151225232</v>
      </c>
      <c r="E1296">
        <v>8</v>
      </c>
      <c r="F1296">
        <v>1.01722196789785</v>
      </c>
      <c r="G1296" t="s">
        <v>85</v>
      </c>
      <c r="H1296" t="s">
        <v>85</v>
      </c>
      <c r="I1296">
        <v>261</v>
      </c>
      <c r="J1296">
        <v>795</v>
      </c>
      <c r="K1296">
        <v>0</v>
      </c>
    </row>
    <row r="1297" spans="1:11" x14ac:dyDescent="0.25">
      <c r="A1297" t="s">
        <v>86</v>
      </c>
    </row>
    <row r="1298" spans="1:11" x14ac:dyDescent="0.25">
      <c r="A1298">
        <v>25.035444450372299</v>
      </c>
      <c r="B1298">
        <v>99.078328796898802</v>
      </c>
      <c r="C1298">
        <v>2000</v>
      </c>
    </row>
    <row r="1299" spans="1:11" x14ac:dyDescent="0.25">
      <c r="A1299">
        <v>23.8326858630688</v>
      </c>
      <c r="B1299">
        <v>100.281087384202</v>
      </c>
      <c r="C1299">
        <v>2000</v>
      </c>
    </row>
    <row r="1300" spans="1:11" x14ac:dyDescent="0.25">
      <c r="A1300">
        <v>20.758032971414799</v>
      </c>
      <c r="B1300">
        <v>103.35574027585599</v>
      </c>
      <c r="C1300">
        <v>2000</v>
      </c>
    </row>
    <row r="1301" spans="1:11" x14ac:dyDescent="0.25">
      <c r="A1301">
        <v>20.758032971414799</v>
      </c>
      <c r="B1301">
        <v>102.481708226959</v>
      </c>
      <c r="C1301">
        <v>2001</v>
      </c>
    </row>
    <row r="1302" spans="1:11" x14ac:dyDescent="0.25">
      <c r="A1302">
        <v>23.520828582575799</v>
      </c>
      <c r="B1302">
        <v>99.718912615797706</v>
      </c>
      <c r="C1302">
        <v>2001</v>
      </c>
    </row>
    <row r="1303" spans="1:11" x14ac:dyDescent="0.25">
      <c r="A1303">
        <v>24.660833073830901</v>
      </c>
      <c r="B1303">
        <v>98.578908124542593</v>
      </c>
      <c r="C1303">
        <v>2001</v>
      </c>
    </row>
    <row r="1304" spans="1:11" x14ac:dyDescent="0.25">
      <c r="A1304">
        <v>33.733417102020503</v>
      </c>
      <c r="B1304">
        <v>89.506324096352898</v>
      </c>
      <c r="C1304">
        <v>2001</v>
      </c>
    </row>
    <row r="1305" spans="1:11" x14ac:dyDescent="0.25">
      <c r="A1305">
        <v>34.6074491509182</v>
      </c>
      <c r="B1305">
        <v>89.506324096352898</v>
      </c>
      <c r="C1305">
        <v>2000</v>
      </c>
    </row>
    <row r="1306" spans="1:11" x14ac:dyDescent="0.25">
      <c r="A1306" t="s">
        <v>87</v>
      </c>
    </row>
    <row r="1307" spans="1:11" x14ac:dyDescent="0.25">
      <c r="A1307">
        <v>889</v>
      </c>
      <c r="B1307">
        <v>0</v>
      </c>
      <c r="C1307">
        <v>5.8066648518335997</v>
      </c>
      <c r="D1307">
        <v>12.998101422338699</v>
      </c>
      <c r="E1307">
        <v>8</v>
      </c>
      <c r="F1307">
        <v>1.01722196789785</v>
      </c>
      <c r="G1307" t="s">
        <v>85</v>
      </c>
      <c r="H1307" t="s">
        <v>85</v>
      </c>
      <c r="I1307">
        <v>319</v>
      </c>
      <c r="J1307">
        <v>234</v>
      </c>
      <c r="K1307">
        <v>9.142164214173E-2</v>
      </c>
    </row>
    <row r="1308" spans="1:11" x14ac:dyDescent="0.25">
      <c r="A1308" t="s">
        <v>86</v>
      </c>
    </row>
    <row r="1309" spans="1:11" x14ac:dyDescent="0.25">
      <c r="A1309">
        <v>47.102946912859302</v>
      </c>
      <c r="B1309">
        <v>138.99976160649899</v>
      </c>
      <c r="C1309">
        <v>2000</v>
      </c>
    </row>
    <row r="1310" spans="1:11" x14ac:dyDescent="0.25">
      <c r="A1310">
        <v>43.1672768519107</v>
      </c>
      <c r="B1310">
        <v>135.06409154555101</v>
      </c>
      <c r="C1310">
        <v>2000</v>
      </c>
    </row>
    <row r="1311" spans="1:11" x14ac:dyDescent="0.25">
      <c r="A1311">
        <v>43.1672768519107</v>
      </c>
      <c r="B1311">
        <v>134.19005949665299</v>
      </c>
      <c r="C1311">
        <v>2001</v>
      </c>
    </row>
    <row r="1312" spans="1:11" x14ac:dyDescent="0.25">
      <c r="A1312">
        <v>47.4434709765804</v>
      </c>
      <c r="B1312">
        <v>138.46625362132301</v>
      </c>
      <c r="C1312">
        <v>2001</v>
      </c>
    </row>
    <row r="1313" spans="1:11" x14ac:dyDescent="0.25">
      <c r="A1313">
        <v>50.283334770287901</v>
      </c>
      <c r="B1313">
        <v>141.30611741503</v>
      </c>
      <c r="C1313">
        <v>2001</v>
      </c>
    </row>
    <row r="1314" spans="1:11" x14ac:dyDescent="0.25">
      <c r="A1314">
        <v>56.901270627454899</v>
      </c>
      <c r="B1314">
        <v>147.924053272197</v>
      </c>
      <c r="C1314">
        <v>2001</v>
      </c>
    </row>
    <row r="1315" spans="1:11" x14ac:dyDescent="0.25">
      <c r="A1315">
        <v>56.027238578557203</v>
      </c>
      <c r="B1315">
        <v>147.924053272197</v>
      </c>
      <c r="C1315">
        <v>2000</v>
      </c>
    </row>
    <row r="1316" spans="1:11" x14ac:dyDescent="0.25">
      <c r="A1316">
        <v>49.716665229712</v>
      </c>
      <c r="B1316">
        <v>141.613479923352</v>
      </c>
      <c r="C1316">
        <v>2000</v>
      </c>
    </row>
    <row r="1317" spans="1:11" x14ac:dyDescent="0.25">
      <c r="A1317" t="s">
        <v>87</v>
      </c>
    </row>
    <row r="1318" spans="1:11" x14ac:dyDescent="0.25">
      <c r="A1318">
        <v>707</v>
      </c>
      <c r="B1318">
        <v>1</v>
      </c>
      <c r="C1318">
        <v>11.8952953801316</v>
      </c>
      <c r="D1318">
        <v>6.8864789155958404</v>
      </c>
      <c r="E1318">
        <v>10</v>
      </c>
      <c r="F1318">
        <v>1.01722196789785</v>
      </c>
      <c r="G1318" t="s">
        <v>85</v>
      </c>
      <c r="H1318" t="s">
        <v>85</v>
      </c>
      <c r="I1318">
        <v>666</v>
      </c>
      <c r="J1318">
        <v>585</v>
      </c>
      <c r="K1318">
        <v>0</v>
      </c>
    </row>
    <row r="1319" spans="1:11" x14ac:dyDescent="0.25">
      <c r="A1319" t="s">
        <v>86</v>
      </c>
    </row>
    <row r="1320" spans="1:11" x14ac:dyDescent="0.25">
      <c r="A1320">
        <v>98.1058474743799</v>
      </c>
      <c r="B1320">
        <v>94.890009837487497</v>
      </c>
      <c r="C1320">
        <v>2000</v>
      </c>
    </row>
    <row r="1321" spans="1:11" x14ac:dyDescent="0.25">
      <c r="A1321">
        <v>92.912904134806396</v>
      </c>
      <c r="B1321">
        <v>100.082953177061</v>
      </c>
      <c r="C1321">
        <v>2000</v>
      </c>
    </row>
    <row r="1322" spans="1:11" x14ac:dyDescent="0.25">
      <c r="A1322">
        <v>89.802659002963196</v>
      </c>
      <c r="B1322">
        <v>103.193198308904</v>
      </c>
      <c r="C1322">
        <v>2000</v>
      </c>
    </row>
    <row r="1323" spans="1:11" x14ac:dyDescent="0.25">
      <c r="A1323">
        <v>88.928626954065606</v>
      </c>
      <c r="B1323">
        <v>103.193198308904</v>
      </c>
      <c r="C1323">
        <v>2001</v>
      </c>
    </row>
    <row r="1324" spans="1:11" x14ac:dyDescent="0.25">
      <c r="A1324">
        <v>92.204778440030793</v>
      </c>
      <c r="B1324">
        <v>99.917046822939</v>
      </c>
      <c r="C1324">
        <v>2001</v>
      </c>
    </row>
    <row r="1325" spans="1:11" x14ac:dyDescent="0.25">
      <c r="A1325">
        <v>97.447926537664898</v>
      </c>
      <c r="B1325">
        <v>94.673898725304895</v>
      </c>
      <c r="C1325">
        <v>2001</v>
      </c>
    </row>
    <row r="1326" spans="1:11" x14ac:dyDescent="0.25">
      <c r="A1326">
        <v>99.681734230004906</v>
      </c>
      <c r="B1326">
        <v>92.440091032964901</v>
      </c>
      <c r="C1326">
        <v>2001</v>
      </c>
    </row>
    <row r="1327" spans="1:11" x14ac:dyDescent="0.25">
      <c r="A1327">
        <v>102.20934692129001</v>
      </c>
      <c r="B1327">
        <v>89.912478341680199</v>
      </c>
      <c r="C1327">
        <v>2001</v>
      </c>
    </row>
    <row r="1328" spans="1:11" x14ac:dyDescent="0.25">
      <c r="A1328">
        <v>103.083378970187</v>
      </c>
      <c r="B1328">
        <v>89.912478341680199</v>
      </c>
      <c r="C1328">
        <v>2000</v>
      </c>
    </row>
    <row r="1329" spans="1:11" x14ac:dyDescent="0.25">
      <c r="A1329">
        <v>100.31826576999499</v>
      </c>
      <c r="B1329">
        <v>92.677591541872403</v>
      </c>
      <c r="C1329">
        <v>2000</v>
      </c>
    </row>
    <row r="1330" spans="1:11" x14ac:dyDescent="0.25">
      <c r="A1330" t="s">
        <v>87</v>
      </c>
    </row>
    <row r="1331" spans="1:11" x14ac:dyDescent="0.25">
      <c r="A1331">
        <v>1140</v>
      </c>
      <c r="B1331">
        <v>0</v>
      </c>
      <c r="C1331">
        <v>1.1584109556998801</v>
      </c>
      <c r="D1331">
        <v>17.595285685762899</v>
      </c>
      <c r="E1331">
        <v>6</v>
      </c>
      <c r="F1331">
        <v>1.01722196789785</v>
      </c>
      <c r="G1331" t="s">
        <v>85</v>
      </c>
      <c r="H1331" t="s">
        <v>89</v>
      </c>
      <c r="I1331">
        <v>702</v>
      </c>
      <c r="J1331">
        <v>652</v>
      </c>
      <c r="K1331">
        <v>9.5129269803373898E-2</v>
      </c>
    </row>
    <row r="1332" spans="1:11" x14ac:dyDescent="0.25">
      <c r="A1332" t="s">
        <v>86</v>
      </c>
    </row>
    <row r="1333" spans="1:11" x14ac:dyDescent="0.25">
      <c r="A1333">
        <v>83.307063635224907</v>
      </c>
      <c r="B1333">
        <v>82.765255450745201</v>
      </c>
      <c r="C1333">
        <v>2000</v>
      </c>
    </row>
    <row r="1334" spans="1:11" x14ac:dyDescent="0.25">
      <c r="A1334">
        <v>82.5014405760366</v>
      </c>
      <c r="B1334">
        <v>81.959632391556895</v>
      </c>
      <c r="C1334">
        <v>2000</v>
      </c>
    </row>
    <row r="1335" spans="1:11" x14ac:dyDescent="0.25">
      <c r="A1335">
        <v>81.627408527138897</v>
      </c>
      <c r="B1335">
        <v>81.959632391556895</v>
      </c>
      <c r="C1335">
        <v>2001</v>
      </c>
    </row>
    <row r="1336" spans="1:11" x14ac:dyDescent="0.25">
      <c r="A1336">
        <v>82.460025952302999</v>
      </c>
      <c r="B1336">
        <v>82.792249816720997</v>
      </c>
      <c r="C1336">
        <v>2001</v>
      </c>
    </row>
    <row r="1337" spans="1:11" x14ac:dyDescent="0.25">
      <c r="A1337">
        <v>95.106782606857095</v>
      </c>
      <c r="B1337">
        <v>95.439006471275107</v>
      </c>
      <c r="C1337">
        <v>2001</v>
      </c>
    </row>
    <row r="1338" spans="1:11" x14ac:dyDescent="0.25">
      <c r="A1338">
        <v>95.543798631305904</v>
      </c>
      <c r="B1338">
        <v>95.001990446826298</v>
      </c>
      <c r="C1338">
        <v>2000</v>
      </c>
    </row>
    <row r="1339" spans="1:11" x14ac:dyDescent="0.25">
      <c r="A1339" t="s">
        <v>87</v>
      </c>
    </row>
    <row r="1340" spans="1:11" x14ac:dyDescent="0.25">
      <c r="A1340">
        <v>708</v>
      </c>
      <c r="B1340">
        <v>1</v>
      </c>
      <c r="C1340">
        <v>13.929793976008</v>
      </c>
      <c r="D1340">
        <v>4.7826082863266803</v>
      </c>
      <c r="E1340">
        <v>6</v>
      </c>
      <c r="F1340">
        <v>1.01722196789785</v>
      </c>
      <c r="G1340" t="s">
        <v>85</v>
      </c>
      <c r="H1340" t="s">
        <v>85</v>
      </c>
      <c r="I1340">
        <v>662</v>
      </c>
      <c r="J1340">
        <v>428</v>
      </c>
      <c r="K1340">
        <v>0</v>
      </c>
    </row>
    <row r="1341" spans="1:11" x14ac:dyDescent="0.25">
      <c r="A1341" t="s">
        <v>86</v>
      </c>
    </row>
    <row r="1342" spans="1:11" x14ac:dyDescent="0.25">
      <c r="A1342">
        <v>83.128009705398199</v>
      </c>
      <c r="B1342">
        <v>54.174982206968501</v>
      </c>
      <c r="C1342">
        <v>2000</v>
      </c>
    </row>
    <row r="1343" spans="1:11" x14ac:dyDescent="0.25">
      <c r="A1343">
        <v>73.278157924431497</v>
      </c>
      <c r="B1343">
        <v>64.024833987935295</v>
      </c>
      <c r="C1343">
        <v>2000</v>
      </c>
    </row>
    <row r="1344" spans="1:11" x14ac:dyDescent="0.25">
      <c r="A1344">
        <v>73.278157924431497</v>
      </c>
      <c r="B1344">
        <v>63.150801939037599</v>
      </c>
      <c r="C1344">
        <v>2001</v>
      </c>
    </row>
    <row r="1345" spans="1:11" x14ac:dyDescent="0.25">
      <c r="A1345">
        <v>83.128009705398199</v>
      </c>
      <c r="B1345">
        <v>53.300950158070897</v>
      </c>
      <c r="C1345">
        <v>2001</v>
      </c>
    </row>
    <row r="1346" spans="1:11" x14ac:dyDescent="0.25">
      <c r="A1346">
        <v>86.509824456418798</v>
      </c>
      <c r="B1346">
        <v>49.919135407050298</v>
      </c>
      <c r="C1346">
        <v>2001</v>
      </c>
    </row>
    <row r="1347" spans="1:11" x14ac:dyDescent="0.25">
      <c r="A1347">
        <v>86.509824456418798</v>
      </c>
      <c r="B1347">
        <v>50.793167455947902</v>
      </c>
      <c r="C1347">
        <v>2000</v>
      </c>
    </row>
    <row r="1348" spans="1:11" x14ac:dyDescent="0.25">
      <c r="A1348" t="s">
        <v>87</v>
      </c>
    </row>
    <row r="1349" spans="1:11" x14ac:dyDescent="0.25">
      <c r="A1349">
        <v>818</v>
      </c>
      <c r="B1349">
        <v>1</v>
      </c>
      <c r="C1349">
        <v>17.1528095318616</v>
      </c>
      <c r="D1349">
        <v>1.5595927304730599</v>
      </c>
      <c r="E1349">
        <v>6</v>
      </c>
      <c r="F1349">
        <v>1.01722196789785</v>
      </c>
      <c r="G1349" t="s">
        <v>85</v>
      </c>
      <c r="H1349" t="s">
        <v>85</v>
      </c>
      <c r="I1349">
        <v>662</v>
      </c>
      <c r="J1349">
        <v>428</v>
      </c>
      <c r="K1349">
        <v>9.0097089164053304E-2</v>
      </c>
    </row>
    <row r="1350" spans="1:11" x14ac:dyDescent="0.25">
      <c r="A1350" t="s">
        <v>86</v>
      </c>
    </row>
    <row r="1351" spans="1:11" x14ac:dyDescent="0.25">
      <c r="A1351">
        <v>85.456390059308902</v>
      </c>
      <c r="B1351">
        <v>51.945330250051498</v>
      </c>
      <c r="C1351">
        <v>2000</v>
      </c>
    </row>
    <row r="1352" spans="1:11" x14ac:dyDescent="0.25">
      <c r="A1352">
        <v>73.327522122928301</v>
      </c>
      <c r="B1352">
        <v>64.074198186432099</v>
      </c>
      <c r="C1352">
        <v>2000</v>
      </c>
    </row>
    <row r="1353" spans="1:11" x14ac:dyDescent="0.25">
      <c r="A1353">
        <v>74.201554171825904</v>
      </c>
      <c r="B1353">
        <v>64.074198186432099</v>
      </c>
      <c r="C1353">
        <v>2001</v>
      </c>
    </row>
    <row r="1354" spans="1:11" x14ac:dyDescent="0.25">
      <c r="A1354">
        <v>86.330422108206506</v>
      </c>
      <c r="B1354">
        <v>51.945330250051498</v>
      </c>
      <c r="C1354">
        <v>2001</v>
      </c>
    </row>
    <row r="1355" spans="1:11" x14ac:dyDescent="0.25">
      <c r="A1355">
        <v>87.433220703813205</v>
      </c>
      <c r="B1355">
        <v>50.842531654444798</v>
      </c>
      <c r="C1355">
        <v>2001</v>
      </c>
    </row>
    <row r="1356" spans="1:11" x14ac:dyDescent="0.25">
      <c r="A1356">
        <v>86.559188654915602</v>
      </c>
      <c r="B1356">
        <v>50.842531654444798</v>
      </c>
      <c r="C1356">
        <v>2000</v>
      </c>
    </row>
    <row r="1357" spans="1:11" x14ac:dyDescent="0.25">
      <c r="A1357" t="s">
        <v>87</v>
      </c>
    </row>
    <row r="1358" spans="1:11" x14ac:dyDescent="0.25">
      <c r="A1358">
        <v>788</v>
      </c>
      <c r="B1358">
        <v>1</v>
      </c>
      <c r="C1358">
        <v>2.80238655016035</v>
      </c>
      <c r="D1358">
        <v>15.8601273436766</v>
      </c>
      <c r="E1358">
        <v>8</v>
      </c>
      <c r="F1358">
        <v>1.01722196789785</v>
      </c>
      <c r="G1358" t="s">
        <v>89</v>
      </c>
      <c r="H1358" t="s">
        <v>85</v>
      </c>
      <c r="I1358">
        <v>448</v>
      </c>
      <c r="J1358">
        <v>118</v>
      </c>
      <c r="K1358">
        <v>8.9537010595109504E-2</v>
      </c>
    </row>
    <row r="1359" spans="1:11" x14ac:dyDescent="0.25">
      <c r="A1359" t="s">
        <v>86</v>
      </c>
    </row>
    <row r="1360" spans="1:11" x14ac:dyDescent="0.25">
      <c r="A1360">
        <v>90.554438982949705</v>
      </c>
      <c r="B1360">
        <v>27.926281505637601</v>
      </c>
      <c r="C1360">
        <v>2000</v>
      </c>
    </row>
    <row r="1361" spans="1:11" x14ac:dyDescent="0.25">
      <c r="A1361">
        <v>88.604616341467107</v>
      </c>
      <c r="B1361">
        <v>29.876104147120198</v>
      </c>
      <c r="C1361">
        <v>2000</v>
      </c>
    </row>
    <row r="1362" spans="1:11" x14ac:dyDescent="0.25">
      <c r="A1362">
        <v>89.041632365915902</v>
      </c>
      <c r="B1362">
        <v>30.3131201715691</v>
      </c>
      <c r="C1362">
        <v>2001</v>
      </c>
    </row>
    <row r="1363" spans="1:11" x14ac:dyDescent="0.25">
      <c r="A1363">
        <v>91.054982790682004</v>
      </c>
      <c r="B1363">
        <v>28.299769746803001</v>
      </c>
      <c r="C1363">
        <v>2001</v>
      </c>
    </row>
    <row r="1364" spans="1:11" x14ac:dyDescent="0.25">
      <c r="A1364">
        <v>100.39766802415799</v>
      </c>
      <c r="B1364">
        <v>18.957084513326802</v>
      </c>
      <c r="C1364">
        <v>2001</v>
      </c>
    </row>
    <row r="1365" spans="1:11" x14ac:dyDescent="0.25">
      <c r="A1365">
        <v>102.45653050646099</v>
      </c>
      <c r="B1365">
        <v>16.8982220310244</v>
      </c>
      <c r="C1365">
        <v>2001</v>
      </c>
    </row>
    <row r="1366" spans="1:11" x14ac:dyDescent="0.25">
      <c r="A1366">
        <v>101.58249845756301</v>
      </c>
      <c r="B1366">
        <v>16.8982220310244</v>
      </c>
      <c r="C1366">
        <v>2000</v>
      </c>
    </row>
    <row r="1367" spans="1:11" x14ac:dyDescent="0.25">
      <c r="A1367">
        <v>99.602331975841807</v>
      </c>
      <c r="B1367">
        <v>18.878388512745602</v>
      </c>
      <c r="C1367">
        <v>2000</v>
      </c>
    </row>
    <row r="1368" spans="1:11" x14ac:dyDescent="0.25">
      <c r="A1368" t="s">
        <v>87</v>
      </c>
    </row>
    <row r="1369" spans="1:11" x14ac:dyDescent="0.25">
      <c r="A1369">
        <v>357</v>
      </c>
      <c r="B1369">
        <v>0</v>
      </c>
      <c r="C1369">
        <v>2.6384619968928602</v>
      </c>
      <c r="D1369">
        <v>15.994377749691701</v>
      </c>
      <c r="E1369">
        <v>6</v>
      </c>
      <c r="F1369">
        <v>1.01722196789785</v>
      </c>
      <c r="G1369" t="s">
        <v>85</v>
      </c>
      <c r="H1369" t="s">
        <v>85</v>
      </c>
      <c r="I1369">
        <v>831</v>
      </c>
      <c r="J1369">
        <v>796</v>
      </c>
      <c r="K1369">
        <v>0</v>
      </c>
    </row>
    <row r="1370" spans="1:11" x14ac:dyDescent="0.25">
      <c r="A1370" t="s">
        <v>86</v>
      </c>
    </row>
    <row r="1371" spans="1:11" x14ac:dyDescent="0.25">
      <c r="A1371">
        <v>15.5725223392031</v>
      </c>
      <c r="B1371">
        <v>77.154948039518203</v>
      </c>
      <c r="C1371">
        <v>2000</v>
      </c>
    </row>
    <row r="1372" spans="1:11" x14ac:dyDescent="0.25">
      <c r="A1372">
        <v>13.706847969297099</v>
      </c>
      <c r="B1372">
        <v>75.289273669612299</v>
      </c>
      <c r="C1372">
        <v>2000</v>
      </c>
    </row>
    <row r="1373" spans="1:11" x14ac:dyDescent="0.25">
      <c r="A1373">
        <v>12.832815920399501</v>
      </c>
      <c r="B1373">
        <v>75.289273669612299</v>
      </c>
      <c r="C1373">
        <v>2001</v>
      </c>
    </row>
    <row r="1374" spans="1:11" x14ac:dyDescent="0.25">
      <c r="A1374">
        <v>14.6984902903055</v>
      </c>
      <c r="B1374">
        <v>77.154948039518203</v>
      </c>
      <c r="C1374">
        <v>2001</v>
      </c>
    </row>
    <row r="1375" spans="1:11" x14ac:dyDescent="0.25">
      <c r="A1375">
        <v>26.0082232579717</v>
      </c>
      <c r="B1375">
        <v>88.464681007184396</v>
      </c>
      <c r="C1375">
        <v>2001</v>
      </c>
    </row>
    <row r="1376" spans="1:11" x14ac:dyDescent="0.25">
      <c r="A1376">
        <v>26.8822553068693</v>
      </c>
      <c r="B1376">
        <v>88.464681007184396</v>
      </c>
      <c r="C1376">
        <v>2000</v>
      </c>
    </row>
    <row r="1377" spans="1:11" x14ac:dyDescent="0.25">
      <c r="A1377" t="s">
        <v>87</v>
      </c>
    </row>
    <row r="1378" spans="1:11" x14ac:dyDescent="0.25">
      <c r="A1378">
        <v>313</v>
      </c>
      <c r="B1378">
        <v>1</v>
      </c>
      <c r="C1378">
        <v>10.0039635536403</v>
      </c>
      <c r="D1378">
        <v>8.6132694124967806</v>
      </c>
      <c r="E1378">
        <v>6</v>
      </c>
      <c r="F1378">
        <v>1.01722196789785</v>
      </c>
      <c r="G1378" t="s">
        <v>88</v>
      </c>
      <c r="H1378" t="s">
        <v>85</v>
      </c>
      <c r="I1378">
        <v>0</v>
      </c>
      <c r="J1378">
        <v>264</v>
      </c>
      <c r="K1378">
        <v>0</v>
      </c>
    </row>
    <row r="1379" spans="1:11" x14ac:dyDescent="0.25">
      <c r="A1379" t="s">
        <v>86</v>
      </c>
    </row>
    <row r="1380" spans="1:11" x14ac:dyDescent="0.25">
      <c r="A1380">
        <v>9.60146182942308</v>
      </c>
      <c r="B1380">
        <v>142.926129532478</v>
      </c>
      <c r="C1380">
        <v>2000</v>
      </c>
    </row>
    <row r="1381" spans="1:11" x14ac:dyDescent="0.25">
      <c r="A1381">
        <v>2.52759136190098</v>
      </c>
      <c r="B1381">
        <v>150</v>
      </c>
      <c r="C1381">
        <v>2000</v>
      </c>
    </row>
    <row r="1382" spans="1:11" x14ac:dyDescent="0.25">
      <c r="A1382">
        <v>1.6535593130033199</v>
      </c>
      <c r="B1382">
        <v>150</v>
      </c>
      <c r="C1382">
        <v>2001</v>
      </c>
    </row>
    <row r="1383" spans="1:11" x14ac:dyDescent="0.25">
      <c r="A1383">
        <v>8.7274297805254193</v>
      </c>
      <c r="B1383">
        <v>142.926129532478</v>
      </c>
      <c r="C1383">
        <v>2001</v>
      </c>
    </row>
    <row r="1384" spans="1:11" x14ac:dyDescent="0.25">
      <c r="A1384">
        <v>14.817930990288501</v>
      </c>
      <c r="B1384">
        <v>136.835628322715</v>
      </c>
      <c r="C1384">
        <v>2001</v>
      </c>
    </row>
    <row r="1385" spans="1:11" x14ac:dyDescent="0.25">
      <c r="A1385">
        <v>15.6919630391862</v>
      </c>
      <c r="B1385">
        <v>136.835628322715</v>
      </c>
      <c r="C1385">
        <v>2000</v>
      </c>
    </row>
    <row r="1386" spans="1:11" x14ac:dyDescent="0.25">
      <c r="A1386" t="s">
        <v>87</v>
      </c>
    </row>
    <row r="1387" spans="1:11" x14ac:dyDescent="0.25">
      <c r="A1387">
        <v>159</v>
      </c>
      <c r="B1387">
        <v>1</v>
      </c>
      <c r="C1387">
        <v>8.0525428005628505</v>
      </c>
      <c r="D1387">
        <v>10.536296311164</v>
      </c>
      <c r="E1387">
        <v>6</v>
      </c>
      <c r="F1387">
        <v>1.01722196789785</v>
      </c>
      <c r="G1387" t="s">
        <v>85</v>
      </c>
      <c r="H1387" t="s">
        <v>85</v>
      </c>
      <c r="I1387">
        <v>101</v>
      </c>
      <c r="J1387">
        <v>108</v>
      </c>
      <c r="K1387">
        <v>0</v>
      </c>
    </row>
    <row r="1388" spans="1:11" x14ac:dyDescent="0.25">
      <c r="A1388" t="s">
        <v>86</v>
      </c>
    </row>
    <row r="1389" spans="1:11" x14ac:dyDescent="0.25">
      <c r="A1389">
        <v>127.55064795611</v>
      </c>
      <c r="B1389">
        <v>44.443324329528998</v>
      </c>
      <c r="C1389">
        <v>2000</v>
      </c>
    </row>
    <row r="1390" spans="1:11" x14ac:dyDescent="0.25">
      <c r="A1390">
        <v>121.856640336037</v>
      </c>
      <c r="B1390">
        <v>50.137331949602</v>
      </c>
      <c r="C1390">
        <v>2000</v>
      </c>
    </row>
    <row r="1391" spans="1:11" x14ac:dyDescent="0.25">
      <c r="A1391">
        <v>121.856640336037</v>
      </c>
      <c r="B1391">
        <v>49.263299900704297</v>
      </c>
      <c r="C1391">
        <v>2001</v>
      </c>
    </row>
    <row r="1392" spans="1:11" x14ac:dyDescent="0.25">
      <c r="A1392">
        <v>127.55064795611</v>
      </c>
      <c r="B1392">
        <v>43.569292280631402</v>
      </c>
      <c r="C1392">
        <v>2001</v>
      </c>
    </row>
    <row r="1393" spans="1:11" x14ac:dyDescent="0.25">
      <c r="A1393">
        <v>135.00093452632501</v>
      </c>
      <c r="B1393">
        <v>36.119005710416602</v>
      </c>
      <c r="C1393">
        <v>2001</v>
      </c>
    </row>
    <row r="1394" spans="1:11" x14ac:dyDescent="0.25">
      <c r="A1394">
        <v>135.00093452632501</v>
      </c>
      <c r="B1394">
        <v>36.993037759314198</v>
      </c>
      <c r="C1394">
        <v>2000</v>
      </c>
    </row>
    <row r="1395" spans="1:11" x14ac:dyDescent="0.25">
      <c r="A1395" t="s">
        <v>87</v>
      </c>
    </row>
    <row r="1396" spans="1:11" x14ac:dyDescent="0.25">
      <c r="A1396">
        <v>586</v>
      </c>
      <c r="B1396">
        <v>0</v>
      </c>
      <c r="C1396">
        <v>7.0134110152719398</v>
      </c>
      <c r="D1396">
        <v>11.408199427825901</v>
      </c>
      <c r="E1396">
        <v>10</v>
      </c>
      <c r="F1396">
        <v>1.01722196789785</v>
      </c>
      <c r="G1396" t="s">
        <v>85</v>
      </c>
      <c r="H1396" t="s">
        <v>85</v>
      </c>
      <c r="I1396">
        <v>461</v>
      </c>
      <c r="J1396">
        <v>756</v>
      </c>
      <c r="K1396">
        <v>0</v>
      </c>
    </row>
    <row r="1397" spans="1:11" x14ac:dyDescent="0.25">
      <c r="A1397" t="s">
        <v>86</v>
      </c>
    </row>
    <row r="1398" spans="1:11" x14ac:dyDescent="0.25">
      <c r="A1398">
        <v>100.76416447907</v>
      </c>
      <c r="B1398">
        <v>54.109449262038098</v>
      </c>
      <c r="C1398">
        <v>2000</v>
      </c>
    </row>
    <row r="1399" spans="1:11" x14ac:dyDescent="0.25">
      <c r="A1399">
        <v>99.781491987775595</v>
      </c>
      <c r="B1399">
        <v>53.126776770743199</v>
      </c>
      <c r="C1399">
        <v>2000</v>
      </c>
    </row>
    <row r="1400" spans="1:11" x14ac:dyDescent="0.25">
      <c r="A1400">
        <v>97.032101803157801</v>
      </c>
      <c r="B1400">
        <v>50.377386586125397</v>
      </c>
      <c r="C1400">
        <v>2000</v>
      </c>
    </row>
    <row r="1401" spans="1:11" x14ac:dyDescent="0.25">
      <c r="A1401">
        <v>96.000215700362006</v>
      </c>
      <c r="B1401">
        <v>49.345500483329602</v>
      </c>
      <c r="C1401">
        <v>2000</v>
      </c>
    </row>
    <row r="1402" spans="1:11" x14ac:dyDescent="0.25">
      <c r="A1402">
        <v>96.000215700362006</v>
      </c>
      <c r="B1402">
        <v>48.471468434431898</v>
      </c>
      <c r="C1402">
        <v>2001</v>
      </c>
    </row>
    <row r="1403" spans="1:11" x14ac:dyDescent="0.25">
      <c r="A1403">
        <v>97.151360679804597</v>
      </c>
      <c r="B1403">
        <v>49.622613413874497</v>
      </c>
      <c r="C1403">
        <v>2001</v>
      </c>
    </row>
    <row r="1404" spans="1:11" x14ac:dyDescent="0.25">
      <c r="A1404">
        <v>100.21850801222401</v>
      </c>
      <c r="B1404">
        <v>52.689760746294297</v>
      </c>
      <c r="C1404">
        <v>2001</v>
      </c>
    </row>
    <row r="1405" spans="1:11" x14ac:dyDescent="0.25">
      <c r="A1405">
        <v>101.15472789794801</v>
      </c>
      <c r="B1405">
        <v>53.6259806320179</v>
      </c>
      <c r="C1405">
        <v>2001</v>
      </c>
    </row>
    <row r="1406" spans="1:11" x14ac:dyDescent="0.25">
      <c r="A1406">
        <v>109.026261365053</v>
      </c>
      <c r="B1406">
        <v>61.4975140991233</v>
      </c>
      <c r="C1406">
        <v>2001</v>
      </c>
    </row>
    <row r="1407" spans="1:11" x14ac:dyDescent="0.25">
      <c r="A1407">
        <v>109.026261365053</v>
      </c>
      <c r="B1407">
        <v>62.371546148020897</v>
      </c>
      <c r="C1407">
        <v>2000</v>
      </c>
    </row>
    <row r="1408" spans="1:11" x14ac:dyDescent="0.25">
      <c r="A1408" t="s">
        <v>87</v>
      </c>
    </row>
    <row r="1409" spans="1:11" x14ac:dyDescent="0.25">
      <c r="A1409">
        <v>584</v>
      </c>
      <c r="B1409">
        <v>0</v>
      </c>
      <c r="C1409">
        <v>14.202564724775501</v>
      </c>
      <c r="D1409">
        <v>4.21904571832229</v>
      </c>
      <c r="E1409">
        <v>8</v>
      </c>
      <c r="F1409">
        <v>1.01722196789785</v>
      </c>
      <c r="G1409" t="s">
        <v>85</v>
      </c>
      <c r="H1409" t="s">
        <v>85</v>
      </c>
      <c r="I1409">
        <v>461</v>
      </c>
      <c r="J1409">
        <v>756</v>
      </c>
      <c r="K1409">
        <v>0</v>
      </c>
    </row>
    <row r="1410" spans="1:11" x14ac:dyDescent="0.25">
      <c r="A1410" t="s">
        <v>86</v>
      </c>
    </row>
    <row r="1411" spans="1:11" x14ac:dyDescent="0.25">
      <c r="A1411">
        <v>105.260192700904</v>
      </c>
      <c r="B1411">
        <v>60.085364081601398</v>
      </c>
      <c r="C1411">
        <v>2000</v>
      </c>
    </row>
    <row r="1412" spans="1:11" x14ac:dyDescent="0.25">
      <c r="A1412">
        <v>100.32438131473199</v>
      </c>
      <c r="B1412">
        <v>55.149552695428603</v>
      </c>
      <c r="C1412">
        <v>2000</v>
      </c>
    </row>
    <row r="1413" spans="1:11" x14ac:dyDescent="0.25">
      <c r="A1413">
        <v>95.260272401497303</v>
      </c>
      <c r="B1413">
        <v>50.085443782194297</v>
      </c>
      <c r="C1413">
        <v>2000</v>
      </c>
    </row>
    <row r="1414" spans="1:11" x14ac:dyDescent="0.25">
      <c r="A1414">
        <v>94.3862403525996</v>
      </c>
      <c r="B1414">
        <v>50.085443782194297</v>
      </c>
      <c r="C1414">
        <v>2001</v>
      </c>
    </row>
    <row r="1415" spans="1:11" x14ac:dyDescent="0.25">
      <c r="A1415">
        <v>99.675618685268304</v>
      </c>
      <c r="B1415">
        <v>55.374822114863001</v>
      </c>
      <c r="C1415">
        <v>2001</v>
      </c>
    </row>
    <row r="1416" spans="1:11" x14ac:dyDescent="0.25">
      <c r="A1416">
        <v>104.471779707452</v>
      </c>
      <c r="B1416">
        <v>60.170983137046399</v>
      </c>
      <c r="C1416">
        <v>2001</v>
      </c>
    </row>
    <row r="1417" spans="1:11" x14ac:dyDescent="0.25">
      <c r="A1417">
        <v>107.412286017291</v>
      </c>
      <c r="B1417">
        <v>63.111489446885599</v>
      </c>
      <c r="C1417">
        <v>2001</v>
      </c>
    </row>
    <row r="1418" spans="1:11" x14ac:dyDescent="0.25">
      <c r="A1418">
        <v>108.286318066189</v>
      </c>
      <c r="B1418">
        <v>63.111489446885599</v>
      </c>
      <c r="C1418">
        <v>2000</v>
      </c>
    </row>
    <row r="1419" spans="1:11" x14ac:dyDescent="0.25">
      <c r="A1419" t="s">
        <v>87</v>
      </c>
    </row>
    <row r="1420" spans="1:11" x14ac:dyDescent="0.25">
      <c r="A1420">
        <v>592</v>
      </c>
      <c r="B1420">
        <v>0</v>
      </c>
      <c r="C1420">
        <v>5.6809349745480899</v>
      </c>
      <c r="D1420">
        <v>12.7406754685497</v>
      </c>
      <c r="E1420">
        <v>10</v>
      </c>
      <c r="F1420">
        <v>1.01722196789785</v>
      </c>
      <c r="G1420" t="s">
        <v>85</v>
      </c>
      <c r="H1420" t="s">
        <v>85</v>
      </c>
      <c r="I1420">
        <v>461</v>
      </c>
      <c r="J1420">
        <v>756</v>
      </c>
      <c r="K1420">
        <v>0</v>
      </c>
    </row>
    <row r="1421" spans="1:11" x14ac:dyDescent="0.25">
      <c r="A1421" t="s">
        <v>86</v>
      </c>
    </row>
    <row r="1422" spans="1:11" x14ac:dyDescent="0.25">
      <c r="A1422">
        <v>100.780667014423</v>
      </c>
      <c r="B1422">
        <v>52.187215715382401</v>
      </c>
      <c r="C1422">
        <v>2000</v>
      </c>
    </row>
    <row r="1423" spans="1:11" x14ac:dyDescent="0.25">
      <c r="A1423">
        <v>100.21850801222401</v>
      </c>
      <c r="B1423">
        <v>51.625056713183703</v>
      </c>
      <c r="C1423">
        <v>2000</v>
      </c>
    </row>
    <row r="1424" spans="1:11" x14ac:dyDescent="0.25">
      <c r="A1424">
        <v>98.4911196474972</v>
      </c>
      <c r="B1424">
        <v>49.897668348456499</v>
      </c>
      <c r="C1424">
        <v>2000</v>
      </c>
    </row>
    <row r="1425" spans="1:11" x14ac:dyDescent="0.25">
      <c r="A1425">
        <v>96.969583741366094</v>
      </c>
      <c r="B1425">
        <v>48.3761324423254</v>
      </c>
      <c r="C1425">
        <v>2000</v>
      </c>
    </row>
    <row r="1426" spans="1:11" x14ac:dyDescent="0.25">
      <c r="A1426">
        <v>96.095551692468504</v>
      </c>
      <c r="B1426">
        <v>48.3761324423254</v>
      </c>
      <c r="C1426">
        <v>2001</v>
      </c>
    </row>
    <row r="1427" spans="1:11" x14ac:dyDescent="0.25">
      <c r="A1427">
        <v>97.821750901686599</v>
      </c>
      <c r="B1427">
        <v>50.102331651543501</v>
      </c>
      <c r="C1427">
        <v>2001</v>
      </c>
    </row>
    <row r="1428" spans="1:11" x14ac:dyDescent="0.25">
      <c r="A1428">
        <v>99.781491987775595</v>
      </c>
      <c r="B1428">
        <v>52.062072737632498</v>
      </c>
      <c r="C1428">
        <v>2001</v>
      </c>
    </row>
    <row r="1429" spans="1:11" x14ac:dyDescent="0.25">
      <c r="A1429">
        <v>100.318523707377</v>
      </c>
      <c r="B1429">
        <v>52.599104457234098</v>
      </c>
      <c r="C1429">
        <v>2001</v>
      </c>
    </row>
    <row r="1430" spans="1:11" x14ac:dyDescent="0.25">
      <c r="A1430">
        <v>109.12159735716</v>
      </c>
      <c r="B1430">
        <v>61.402178107016802</v>
      </c>
      <c r="C1430">
        <v>2001</v>
      </c>
    </row>
    <row r="1431" spans="1:11" x14ac:dyDescent="0.25">
      <c r="A1431">
        <v>109.99562940605701</v>
      </c>
      <c r="B1431">
        <v>61.402178107016802</v>
      </c>
      <c r="C1431">
        <v>2000</v>
      </c>
    </row>
    <row r="1432" spans="1:11" x14ac:dyDescent="0.25">
      <c r="A1432" t="s">
        <v>87</v>
      </c>
    </row>
    <row r="1433" spans="1:11" x14ac:dyDescent="0.25">
      <c r="A1433">
        <v>721</v>
      </c>
      <c r="B1433">
        <v>0</v>
      </c>
      <c r="C1433">
        <v>8.5449669870943303</v>
      </c>
      <c r="D1433">
        <v>9.8696614024904807</v>
      </c>
      <c r="E1433">
        <v>10</v>
      </c>
      <c r="F1433">
        <v>1.01722196789785</v>
      </c>
      <c r="G1433" t="s">
        <v>85</v>
      </c>
      <c r="H1433" t="s">
        <v>85</v>
      </c>
      <c r="I1433">
        <v>142</v>
      </c>
      <c r="J1433">
        <v>157</v>
      </c>
      <c r="K1433">
        <v>8.8543832116719706E-2</v>
      </c>
    </row>
    <row r="1434" spans="1:11" x14ac:dyDescent="0.25">
      <c r="A1434" t="s">
        <v>86</v>
      </c>
    </row>
    <row r="1435" spans="1:11" x14ac:dyDescent="0.25">
      <c r="A1435">
        <v>103.628811467849</v>
      </c>
      <c r="B1435">
        <v>43.605587986706098</v>
      </c>
      <c r="C1435">
        <v>2000</v>
      </c>
    </row>
    <row r="1436" spans="1:11" x14ac:dyDescent="0.25">
      <c r="A1436">
        <v>100.34145183433699</v>
      </c>
      <c r="B1436">
        <v>40.318228353194201</v>
      </c>
      <c r="C1436">
        <v>2000</v>
      </c>
    </row>
    <row r="1437" spans="1:11" x14ac:dyDescent="0.25">
      <c r="A1437">
        <v>97.794466053031002</v>
      </c>
      <c r="B1437">
        <v>37.771242571888102</v>
      </c>
      <c r="C1437">
        <v>2000</v>
      </c>
    </row>
    <row r="1438" spans="1:11" x14ac:dyDescent="0.25">
      <c r="A1438">
        <v>96.920434004133398</v>
      </c>
      <c r="B1438">
        <v>37.771242571888102</v>
      </c>
      <c r="C1438">
        <v>2001</v>
      </c>
    </row>
    <row r="1439" spans="1:11" x14ac:dyDescent="0.25">
      <c r="A1439">
        <v>99.658548165662907</v>
      </c>
      <c r="B1439">
        <v>40.509356733417597</v>
      </c>
      <c r="C1439">
        <v>2001</v>
      </c>
    </row>
    <row r="1440" spans="1:11" x14ac:dyDescent="0.25">
      <c r="A1440">
        <v>103.170496792495</v>
      </c>
      <c r="B1440">
        <v>44.021305360249301</v>
      </c>
      <c r="C1440">
        <v>2001</v>
      </c>
    </row>
    <row r="1441" spans="1:11" x14ac:dyDescent="0.25">
      <c r="A1441">
        <v>109.561399110197</v>
      </c>
      <c r="B1441">
        <v>50.4122076779515</v>
      </c>
      <c r="C1441">
        <v>2001</v>
      </c>
    </row>
    <row r="1442" spans="1:11" x14ac:dyDescent="0.25">
      <c r="A1442">
        <v>110.378558635888</v>
      </c>
      <c r="B1442">
        <v>51.229367203642703</v>
      </c>
      <c r="C1442">
        <v>2001</v>
      </c>
    </row>
    <row r="1443" spans="1:11" x14ac:dyDescent="0.25">
      <c r="A1443">
        <v>110.378558635888</v>
      </c>
      <c r="B1443">
        <v>50.355335154744999</v>
      </c>
      <c r="C1443">
        <v>2000</v>
      </c>
    </row>
    <row r="1444" spans="1:11" x14ac:dyDescent="0.25">
      <c r="A1444">
        <v>109.61101580319099</v>
      </c>
      <c r="B1444">
        <v>49.5877923220485</v>
      </c>
      <c r="C1444">
        <v>2000</v>
      </c>
    </row>
    <row r="1445" spans="1:11" x14ac:dyDescent="0.25">
      <c r="A1445" t="s">
        <v>87</v>
      </c>
    </row>
    <row r="1446" spans="1:11" x14ac:dyDescent="0.25">
      <c r="A1446">
        <v>118</v>
      </c>
      <c r="B1446">
        <v>0</v>
      </c>
      <c r="C1446">
        <v>15.346067582823901</v>
      </c>
      <c r="D1446">
        <v>3.0663214254623101</v>
      </c>
      <c r="E1446">
        <v>6</v>
      </c>
      <c r="F1446">
        <v>1.01722196789785</v>
      </c>
      <c r="G1446" t="s">
        <v>85</v>
      </c>
      <c r="H1446" t="s">
        <v>89</v>
      </c>
      <c r="I1446">
        <v>143</v>
      </c>
      <c r="J1446">
        <v>120</v>
      </c>
      <c r="K1446">
        <v>0</v>
      </c>
    </row>
    <row r="1447" spans="1:11" x14ac:dyDescent="0.25">
      <c r="A1447" t="s">
        <v>86</v>
      </c>
    </row>
    <row r="1448" spans="1:11" x14ac:dyDescent="0.25">
      <c r="A1448">
        <v>111.42061130876201</v>
      </c>
      <c r="B1448">
        <v>26.7363348822233</v>
      </c>
      <c r="C1448">
        <v>2000</v>
      </c>
    </row>
    <row r="1449" spans="1:11" x14ac:dyDescent="0.25">
      <c r="A1449">
        <v>100.38718424477</v>
      </c>
      <c r="B1449">
        <v>15.7029078182312</v>
      </c>
      <c r="C1449">
        <v>2000</v>
      </c>
    </row>
    <row r="1450" spans="1:11" x14ac:dyDescent="0.25">
      <c r="A1450">
        <v>101.261216293667</v>
      </c>
      <c r="B1450">
        <v>15.7029078182312</v>
      </c>
      <c r="C1450">
        <v>2001</v>
      </c>
    </row>
    <row r="1451" spans="1:11" x14ac:dyDescent="0.25">
      <c r="A1451">
        <v>111.93040613439901</v>
      </c>
      <c r="B1451">
        <v>26.3720976589629</v>
      </c>
      <c r="C1451">
        <v>2001</v>
      </c>
    </row>
    <row r="1452" spans="1:11" x14ac:dyDescent="0.25">
      <c r="A1452">
        <v>114.062233407047</v>
      </c>
      <c r="B1452">
        <v>28.503924931610701</v>
      </c>
      <c r="C1452">
        <v>2001</v>
      </c>
    </row>
    <row r="1453" spans="1:11" x14ac:dyDescent="0.25">
      <c r="A1453">
        <v>113.625217382598</v>
      </c>
      <c r="B1453">
        <v>28.940940956059499</v>
      </c>
      <c r="C1453">
        <v>2000</v>
      </c>
    </row>
    <row r="1454" spans="1:11" x14ac:dyDescent="0.25">
      <c r="A1454" t="s">
        <v>87</v>
      </c>
    </row>
    <row r="1455" spans="1:11" x14ac:dyDescent="0.25">
      <c r="A1455">
        <v>1213</v>
      </c>
      <c r="B1455">
        <v>0</v>
      </c>
      <c r="C1455">
        <v>0.57197644545087201</v>
      </c>
      <c r="D1455">
        <v>17.8404125628354</v>
      </c>
      <c r="E1455">
        <v>6</v>
      </c>
      <c r="F1455">
        <v>1.01722196789785</v>
      </c>
      <c r="G1455" t="s">
        <v>85</v>
      </c>
      <c r="H1455" t="s">
        <v>89</v>
      </c>
      <c r="I1455">
        <v>143</v>
      </c>
      <c r="J1455">
        <v>120</v>
      </c>
      <c r="K1455">
        <v>9.6120382487224904E-2</v>
      </c>
    </row>
    <row r="1456" spans="1:11" x14ac:dyDescent="0.25">
      <c r="A1456" t="s">
        <v>86</v>
      </c>
    </row>
    <row r="1457" spans="1:11" x14ac:dyDescent="0.25">
      <c r="A1457">
        <v>101.717815270519</v>
      </c>
      <c r="B1457">
        <v>15.1947494369095</v>
      </c>
      <c r="C1457">
        <v>2000</v>
      </c>
    </row>
    <row r="1458" spans="1:11" x14ac:dyDescent="0.25">
      <c r="A1458">
        <v>101.306578948305</v>
      </c>
      <c r="B1458">
        <v>14.783513114695801</v>
      </c>
      <c r="C1458">
        <v>2000</v>
      </c>
    </row>
    <row r="1459" spans="1:11" x14ac:dyDescent="0.25">
      <c r="A1459">
        <v>101.306578948305</v>
      </c>
      <c r="B1459">
        <v>15.657545163593401</v>
      </c>
      <c r="C1459">
        <v>2001</v>
      </c>
    </row>
    <row r="1460" spans="1:11" x14ac:dyDescent="0.25">
      <c r="A1460">
        <v>101.70423947260601</v>
      </c>
      <c r="B1460">
        <v>16.055205687894301</v>
      </c>
      <c r="C1460">
        <v>2001</v>
      </c>
    </row>
    <row r="1461" spans="1:11" x14ac:dyDescent="0.25">
      <c r="A1461">
        <v>114.107596061685</v>
      </c>
      <c r="B1461">
        <v>28.458562276972899</v>
      </c>
      <c r="C1461">
        <v>2001</v>
      </c>
    </row>
    <row r="1462" spans="1:11" x14ac:dyDescent="0.25">
      <c r="A1462">
        <v>114.54461208613399</v>
      </c>
      <c r="B1462">
        <v>28.021546252524001</v>
      </c>
      <c r="C1462">
        <v>2000</v>
      </c>
    </row>
    <row r="1463" spans="1:11" x14ac:dyDescent="0.25">
      <c r="A1463" t="s">
        <v>87</v>
      </c>
    </row>
    <row r="1464" spans="1:11" x14ac:dyDescent="0.25">
      <c r="A1464">
        <v>221</v>
      </c>
      <c r="B1464">
        <v>1</v>
      </c>
      <c r="C1464">
        <v>9.7356471834631702</v>
      </c>
      <c r="D1464">
        <v>8.6501523172091996</v>
      </c>
      <c r="E1464">
        <v>8</v>
      </c>
      <c r="F1464">
        <v>1.01722196789785</v>
      </c>
      <c r="G1464" t="s">
        <v>85</v>
      </c>
      <c r="H1464" t="s">
        <v>85</v>
      </c>
      <c r="I1464">
        <v>280</v>
      </c>
      <c r="J1464">
        <v>184</v>
      </c>
      <c r="K1464">
        <v>0</v>
      </c>
    </row>
    <row r="1465" spans="1:11" x14ac:dyDescent="0.25">
      <c r="A1465" t="s">
        <v>86</v>
      </c>
    </row>
    <row r="1466" spans="1:11" x14ac:dyDescent="0.25">
      <c r="A1466">
        <v>53.924875873406499</v>
      </c>
      <c r="B1466">
        <v>121.65200498468499</v>
      </c>
      <c r="C1466">
        <v>2000</v>
      </c>
    </row>
    <row r="1467" spans="1:11" x14ac:dyDescent="0.25">
      <c r="A1467">
        <v>49.913318938287802</v>
      </c>
      <c r="B1467">
        <v>125.663561919804</v>
      </c>
      <c r="C1467">
        <v>2000</v>
      </c>
    </row>
    <row r="1468" spans="1:11" x14ac:dyDescent="0.25">
      <c r="A1468">
        <v>47.269094419791003</v>
      </c>
      <c r="B1468">
        <v>128.30778643830101</v>
      </c>
      <c r="C1468">
        <v>2000</v>
      </c>
    </row>
    <row r="1469" spans="1:11" x14ac:dyDescent="0.25">
      <c r="A1469">
        <v>47.269094419791003</v>
      </c>
      <c r="B1469">
        <v>129.181818487198</v>
      </c>
      <c r="C1469">
        <v>2001</v>
      </c>
    </row>
    <row r="1470" spans="1:11" x14ac:dyDescent="0.25">
      <c r="A1470">
        <v>50.086681061712198</v>
      </c>
      <c r="B1470">
        <v>126.364231845277</v>
      </c>
      <c r="C1470">
        <v>2001</v>
      </c>
    </row>
    <row r="1471" spans="1:11" x14ac:dyDescent="0.25">
      <c r="A1471">
        <v>54.381597251508403</v>
      </c>
      <c r="B1471">
        <v>122.06931565548101</v>
      </c>
      <c r="C1471">
        <v>2001</v>
      </c>
    </row>
    <row r="1472" spans="1:11" x14ac:dyDescent="0.25">
      <c r="A1472">
        <v>60.706833948701401</v>
      </c>
      <c r="B1472">
        <v>115.744078958288</v>
      </c>
      <c r="C1472">
        <v>2001</v>
      </c>
    </row>
    <row r="1473" spans="1:11" x14ac:dyDescent="0.25">
      <c r="A1473">
        <v>59.832801899803798</v>
      </c>
      <c r="B1473">
        <v>115.744078958288</v>
      </c>
      <c r="C1473">
        <v>2000</v>
      </c>
    </row>
    <row r="1474" spans="1:11" x14ac:dyDescent="0.25">
      <c r="A1474" t="s">
        <v>87</v>
      </c>
    </row>
    <row r="1475" spans="1:11" x14ac:dyDescent="0.25">
      <c r="A1475">
        <v>439</v>
      </c>
      <c r="B1475">
        <v>0</v>
      </c>
      <c r="C1475">
        <v>8.4569736528401993</v>
      </c>
      <c r="D1475">
        <v>9.8188005283901294</v>
      </c>
      <c r="E1475">
        <v>8</v>
      </c>
      <c r="F1475">
        <v>1.01722196789785</v>
      </c>
      <c r="G1475" t="s">
        <v>85</v>
      </c>
      <c r="H1475" t="s">
        <v>85</v>
      </c>
      <c r="I1475">
        <v>76</v>
      </c>
      <c r="J1475">
        <v>462</v>
      </c>
      <c r="K1475">
        <v>0</v>
      </c>
    </row>
    <row r="1476" spans="1:11" x14ac:dyDescent="0.25">
      <c r="A1476" t="s">
        <v>86</v>
      </c>
    </row>
    <row r="1477" spans="1:11" x14ac:dyDescent="0.25">
      <c r="A1477">
        <v>54.399930258325099</v>
      </c>
      <c r="B1477">
        <v>23.570253995844698</v>
      </c>
      <c r="C1477">
        <v>2000</v>
      </c>
    </row>
    <row r="1478" spans="1:11" x14ac:dyDescent="0.25">
      <c r="A1478">
        <v>50.3708144566897</v>
      </c>
      <c r="B1478">
        <v>19.5411381942092</v>
      </c>
      <c r="C1478">
        <v>2000</v>
      </c>
    </row>
    <row r="1479" spans="1:11" x14ac:dyDescent="0.25">
      <c r="A1479">
        <v>48.625255103505197</v>
      </c>
      <c r="B1479">
        <v>17.795578841024799</v>
      </c>
      <c r="C1479">
        <v>2000</v>
      </c>
    </row>
    <row r="1480" spans="1:11" x14ac:dyDescent="0.25">
      <c r="A1480">
        <v>47.7512230546076</v>
      </c>
      <c r="B1480">
        <v>17.795578841024799</v>
      </c>
      <c r="C1480">
        <v>2001</v>
      </c>
    </row>
    <row r="1481" spans="1:11" x14ac:dyDescent="0.25">
      <c r="A1481">
        <v>49.6291855433103</v>
      </c>
      <c r="B1481">
        <v>19.673541329727499</v>
      </c>
      <c r="C1481">
        <v>2001</v>
      </c>
    </row>
    <row r="1482" spans="1:11" x14ac:dyDescent="0.25">
      <c r="A1482">
        <v>53.936514736266197</v>
      </c>
      <c r="B1482">
        <v>23.9808705226835</v>
      </c>
      <c r="C1482">
        <v>2001</v>
      </c>
    </row>
    <row r="1483" spans="1:11" x14ac:dyDescent="0.25">
      <c r="A1483">
        <v>61.111162934038397</v>
      </c>
      <c r="B1483">
        <v>31.1555187204556</v>
      </c>
      <c r="C1483">
        <v>2001</v>
      </c>
    </row>
    <row r="1484" spans="1:11" x14ac:dyDescent="0.25">
      <c r="A1484">
        <v>61.111162934038397</v>
      </c>
      <c r="B1484">
        <v>30.281486671558</v>
      </c>
      <c r="C1484">
        <v>2000</v>
      </c>
    </row>
    <row r="1485" spans="1:11" x14ac:dyDescent="0.25">
      <c r="A1485" t="s">
        <v>87</v>
      </c>
    </row>
    <row r="1486" spans="1:11" x14ac:dyDescent="0.25">
      <c r="A1486">
        <v>430</v>
      </c>
      <c r="B1486">
        <v>0</v>
      </c>
      <c r="C1486">
        <v>7.1289572096720404</v>
      </c>
      <c r="D1486">
        <v>11.1468169715583</v>
      </c>
      <c r="E1486">
        <v>8</v>
      </c>
      <c r="F1486">
        <v>1.01722196789785</v>
      </c>
      <c r="G1486" t="s">
        <v>85</v>
      </c>
      <c r="H1486" t="s">
        <v>85</v>
      </c>
      <c r="I1486">
        <v>76</v>
      </c>
      <c r="J1486">
        <v>462</v>
      </c>
      <c r="K1486">
        <v>0</v>
      </c>
    </row>
    <row r="1487" spans="1:11" x14ac:dyDescent="0.25">
      <c r="A1487" t="s">
        <v>86</v>
      </c>
    </row>
    <row r="1488" spans="1:11" x14ac:dyDescent="0.25">
      <c r="A1488">
        <v>53.823537743154098</v>
      </c>
      <c r="B1488">
        <v>22.325071909193198</v>
      </c>
      <c r="C1488">
        <v>2000</v>
      </c>
    </row>
    <row r="1489" spans="1:11" x14ac:dyDescent="0.25">
      <c r="A1489">
        <v>49.954904223034603</v>
      </c>
      <c r="B1489">
        <v>18.456438389073799</v>
      </c>
      <c r="C1489">
        <v>2000</v>
      </c>
    </row>
    <row r="1490" spans="1:11" x14ac:dyDescent="0.25">
      <c r="A1490">
        <v>48.959649889245497</v>
      </c>
      <c r="B1490">
        <v>17.461184055284601</v>
      </c>
      <c r="C1490">
        <v>2000</v>
      </c>
    </row>
    <row r="1491" spans="1:11" x14ac:dyDescent="0.25">
      <c r="A1491">
        <v>48.959649889245497</v>
      </c>
      <c r="B1491">
        <v>16.587152006386901</v>
      </c>
      <c r="C1491">
        <v>2001</v>
      </c>
    </row>
    <row r="1492" spans="1:11" x14ac:dyDescent="0.25">
      <c r="A1492">
        <v>50.045095776965397</v>
      </c>
      <c r="B1492">
        <v>17.672597894106801</v>
      </c>
      <c r="C1492">
        <v>2001</v>
      </c>
    </row>
    <row r="1493" spans="1:11" x14ac:dyDescent="0.25">
      <c r="A1493">
        <v>54.177630006832501</v>
      </c>
      <c r="B1493">
        <v>21.805132123974001</v>
      </c>
      <c r="C1493">
        <v>2001</v>
      </c>
    </row>
    <row r="1494" spans="1:11" x14ac:dyDescent="0.25">
      <c r="A1494">
        <v>62.319589768676302</v>
      </c>
      <c r="B1494">
        <v>29.947091885817699</v>
      </c>
      <c r="C1494">
        <v>2001</v>
      </c>
    </row>
    <row r="1495" spans="1:11" x14ac:dyDescent="0.25">
      <c r="A1495">
        <v>61.445557719778598</v>
      </c>
      <c r="B1495">
        <v>29.947091885817699</v>
      </c>
      <c r="C1495">
        <v>2000</v>
      </c>
    </row>
    <row r="1496" spans="1:11" x14ac:dyDescent="0.25">
      <c r="A1496" t="s">
        <v>87</v>
      </c>
    </row>
    <row r="1497" spans="1:11" x14ac:dyDescent="0.25">
      <c r="A1497">
        <v>154</v>
      </c>
      <c r="B1497">
        <v>1</v>
      </c>
      <c r="C1497">
        <v>12.370626747605399</v>
      </c>
      <c r="D1497">
        <v>5.8974406189533299</v>
      </c>
      <c r="E1497">
        <v>8</v>
      </c>
      <c r="F1497">
        <v>1.01722196789785</v>
      </c>
      <c r="G1497" t="s">
        <v>85</v>
      </c>
      <c r="H1497" t="s">
        <v>85</v>
      </c>
      <c r="I1497">
        <v>597</v>
      </c>
      <c r="J1497">
        <v>117</v>
      </c>
      <c r="K1497">
        <v>0</v>
      </c>
    </row>
    <row r="1498" spans="1:11" x14ac:dyDescent="0.25">
      <c r="A1498" t="s">
        <v>86</v>
      </c>
    </row>
    <row r="1499" spans="1:11" x14ac:dyDescent="0.25">
      <c r="A1499">
        <v>137.290617506541</v>
      </c>
      <c r="B1499">
        <v>44.859298332134301</v>
      </c>
      <c r="C1499">
        <v>2000</v>
      </c>
    </row>
    <row r="1500" spans="1:11" x14ac:dyDescent="0.25">
      <c r="A1500">
        <v>131.799133154532</v>
      </c>
      <c r="B1500">
        <v>50.3507826841427</v>
      </c>
      <c r="C1500">
        <v>2000</v>
      </c>
    </row>
    <row r="1501" spans="1:11" x14ac:dyDescent="0.25">
      <c r="A1501">
        <v>128.26079043013101</v>
      </c>
      <c r="B1501">
        <v>53.889125408544203</v>
      </c>
      <c r="C1501">
        <v>2000</v>
      </c>
    </row>
    <row r="1502" spans="1:11" x14ac:dyDescent="0.25">
      <c r="A1502">
        <v>128.26079043013101</v>
      </c>
      <c r="B1502">
        <v>53.015093359646499</v>
      </c>
      <c r="C1502">
        <v>2001</v>
      </c>
    </row>
    <row r="1503" spans="1:11" x14ac:dyDescent="0.25">
      <c r="A1503">
        <v>131.62666647392001</v>
      </c>
      <c r="B1503">
        <v>49.649217315857399</v>
      </c>
      <c r="C1503">
        <v>2001</v>
      </c>
    </row>
    <row r="1504" spans="1:11" x14ac:dyDescent="0.25">
      <c r="A1504">
        <v>136.72567147524001</v>
      </c>
      <c r="B1504">
        <v>44.550212314537497</v>
      </c>
      <c r="C1504">
        <v>2001</v>
      </c>
    </row>
    <row r="1505" spans="1:11" x14ac:dyDescent="0.25">
      <c r="A1505">
        <v>140.741248719748</v>
      </c>
      <c r="B1505">
        <v>40.534635070028997</v>
      </c>
      <c r="C1505">
        <v>2001</v>
      </c>
    </row>
    <row r="1506" spans="1:11" x14ac:dyDescent="0.25">
      <c r="A1506">
        <v>141.61528076864599</v>
      </c>
      <c r="B1506">
        <v>40.534635070028997</v>
      </c>
      <c r="C1506">
        <v>2000</v>
      </c>
    </row>
    <row r="1507" spans="1:11" x14ac:dyDescent="0.25">
      <c r="A1507" t="s">
        <v>87</v>
      </c>
    </row>
    <row r="1508" spans="1:11" x14ac:dyDescent="0.25">
      <c r="A1508">
        <v>351</v>
      </c>
      <c r="B1508">
        <v>0</v>
      </c>
      <c r="C1508">
        <v>2.6425561187100302</v>
      </c>
      <c r="D1508">
        <v>15.576571644424</v>
      </c>
      <c r="E1508">
        <v>6</v>
      </c>
      <c r="F1508">
        <v>1.01722196789785</v>
      </c>
      <c r="G1508" t="s">
        <v>85</v>
      </c>
      <c r="H1508" t="s">
        <v>85</v>
      </c>
      <c r="I1508">
        <v>397</v>
      </c>
      <c r="J1508">
        <v>382</v>
      </c>
      <c r="K1508">
        <v>0</v>
      </c>
    </row>
    <row r="1509" spans="1:11" x14ac:dyDescent="0.25">
      <c r="A1509" t="s">
        <v>86</v>
      </c>
    </row>
    <row r="1510" spans="1:11" x14ac:dyDescent="0.25">
      <c r="A1510">
        <v>33.144963198874599</v>
      </c>
      <c r="B1510">
        <v>59.335655133870802</v>
      </c>
      <c r="C1510">
        <v>2000</v>
      </c>
    </row>
    <row r="1511" spans="1:11" x14ac:dyDescent="0.25">
      <c r="A1511">
        <v>31.2763938476687</v>
      </c>
      <c r="B1511">
        <v>57.467085782665002</v>
      </c>
      <c r="C1511">
        <v>2000</v>
      </c>
    </row>
    <row r="1512" spans="1:11" x14ac:dyDescent="0.25">
      <c r="A1512">
        <v>31.2763938476687</v>
      </c>
      <c r="B1512">
        <v>58.341117831562599</v>
      </c>
      <c r="C1512">
        <v>2001</v>
      </c>
    </row>
    <row r="1513" spans="1:11" x14ac:dyDescent="0.25">
      <c r="A1513">
        <v>33.144963198874599</v>
      </c>
      <c r="B1513">
        <v>60.209687182768498</v>
      </c>
      <c r="C1513">
        <v>2001</v>
      </c>
    </row>
    <row r="1514" spans="1:11" x14ac:dyDescent="0.25">
      <c r="A1514">
        <v>44.1592626362849</v>
      </c>
      <c r="B1514">
        <v>71.223986620178806</v>
      </c>
      <c r="C1514">
        <v>2001</v>
      </c>
    </row>
    <row r="1515" spans="1:11" x14ac:dyDescent="0.25">
      <c r="A1515">
        <v>44.1592626362849</v>
      </c>
      <c r="B1515">
        <v>70.349954571281202</v>
      </c>
      <c r="C1515">
        <v>2000</v>
      </c>
    </row>
    <row r="1516" spans="1:11" x14ac:dyDescent="0.25">
      <c r="A1516" t="s">
        <v>87</v>
      </c>
    </row>
    <row r="1517" spans="1:11" x14ac:dyDescent="0.25">
      <c r="A1517">
        <v>639</v>
      </c>
      <c r="B1517">
        <v>1</v>
      </c>
      <c r="C1517">
        <v>10.117094931182899</v>
      </c>
      <c r="D1517">
        <v>8.0720524121115993</v>
      </c>
      <c r="E1517">
        <v>6</v>
      </c>
      <c r="F1517">
        <v>1.01722196789785</v>
      </c>
      <c r="G1517" t="s">
        <v>85</v>
      </c>
      <c r="H1517" t="s">
        <v>85</v>
      </c>
      <c r="I1517">
        <v>594</v>
      </c>
      <c r="J1517">
        <v>587</v>
      </c>
      <c r="K1517">
        <v>0</v>
      </c>
    </row>
    <row r="1518" spans="1:11" x14ac:dyDescent="0.25">
      <c r="A1518" t="s">
        <v>86</v>
      </c>
    </row>
    <row r="1519" spans="1:11" x14ac:dyDescent="0.25">
      <c r="A1519">
        <v>113.342449959993</v>
      </c>
      <c r="B1519">
        <v>67.840981624024096</v>
      </c>
      <c r="C1519">
        <v>2000</v>
      </c>
    </row>
    <row r="1520" spans="1:11" x14ac:dyDescent="0.25">
      <c r="A1520">
        <v>106.188583528245</v>
      </c>
      <c r="B1520">
        <v>74.994848055771598</v>
      </c>
      <c r="C1520">
        <v>2000</v>
      </c>
    </row>
    <row r="1521" spans="1:11" x14ac:dyDescent="0.25">
      <c r="A1521">
        <v>106.188583528245</v>
      </c>
      <c r="B1521">
        <v>75.868880104669202</v>
      </c>
      <c r="C1521">
        <v>2001</v>
      </c>
    </row>
    <row r="1522" spans="1:11" x14ac:dyDescent="0.25">
      <c r="A1522">
        <v>113.342449959993</v>
      </c>
      <c r="B1522">
        <v>68.715013672921799</v>
      </c>
      <c r="C1522">
        <v>2001</v>
      </c>
    </row>
    <row r="1523" spans="1:11" x14ac:dyDescent="0.25">
      <c r="A1523">
        <v>119.05025295869</v>
      </c>
      <c r="B1523">
        <v>63.007210674224403</v>
      </c>
      <c r="C1523">
        <v>2001</v>
      </c>
    </row>
    <row r="1524" spans="1:11" x14ac:dyDescent="0.25">
      <c r="A1524">
        <v>119.05025295869</v>
      </c>
      <c r="B1524">
        <v>62.133178625326799</v>
      </c>
      <c r="C1524">
        <v>2000</v>
      </c>
    </row>
    <row r="1525" spans="1:11" x14ac:dyDescent="0.25">
      <c r="A1525" t="s">
        <v>87</v>
      </c>
    </row>
    <row r="1526" spans="1:11" x14ac:dyDescent="0.25">
      <c r="A1526">
        <v>501</v>
      </c>
      <c r="B1526">
        <v>0</v>
      </c>
      <c r="C1526">
        <v>13.116843780191701</v>
      </c>
      <c r="D1526">
        <v>5.0209756821643596</v>
      </c>
      <c r="E1526">
        <v>6</v>
      </c>
      <c r="F1526">
        <v>1.01722196789785</v>
      </c>
      <c r="G1526" t="s">
        <v>85</v>
      </c>
      <c r="H1526" t="s">
        <v>85</v>
      </c>
      <c r="I1526">
        <v>824</v>
      </c>
      <c r="J1526">
        <v>551</v>
      </c>
      <c r="K1526">
        <v>0</v>
      </c>
    </row>
    <row r="1527" spans="1:11" x14ac:dyDescent="0.25">
      <c r="A1527" t="s">
        <v>86</v>
      </c>
    </row>
    <row r="1528" spans="1:11" x14ac:dyDescent="0.25">
      <c r="A1528">
        <v>139.44771134465199</v>
      </c>
      <c r="B1528">
        <v>140.26425694136901</v>
      </c>
      <c r="C1528">
        <v>2000</v>
      </c>
    </row>
    <row r="1529" spans="1:11" x14ac:dyDescent="0.25">
      <c r="A1529">
        <v>130.48874185443299</v>
      </c>
      <c r="B1529">
        <v>131.305287451151</v>
      </c>
      <c r="C1529">
        <v>2000</v>
      </c>
    </row>
    <row r="1530" spans="1:11" x14ac:dyDescent="0.25">
      <c r="A1530">
        <v>130.48874185443299</v>
      </c>
      <c r="B1530">
        <v>130.43125540225299</v>
      </c>
      <c r="C1530">
        <v>2001</v>
      </c>
    </row>
    <row r="1531" spans="1:11" x14ac:dyDescent="0.25">
      <c r="A1531">
        <v>140.079790733691</v>
      </c>
      <c r="B1531">
        <v>140.022304281511</v>
      </c>
      <c r="C1531">
        <v>2001</v>
      </c>
    </row>
    <row r="1532" spans="1:11" x14ac:dyDescent="0.25">
      <c r="A1532">
        <v>143.75113301665101</v>
      </c>
      <c r="B1532">
        <v>143.69364656447101</v>
      </c>
      <c r="C1532">
        <v>2001</v>
      </c>
    </row>
    <row r="1533" spans="1:11" x14ac:dyDescent="0.25">
      <c r="A1533">
        <v>142.87710096775399</v>
      </c>
      <c r="B1533">
        <v>143.69364656447101</v>
      </c>
      <c r="C1533">
        <v>2000</v>
      </c>
    </row>
    <row r="1534" spans="1:11" x14ac:dyDescent="0.25">
      <c r="A1534" t="s">
        <v>87</v>
      </c>
    </row>
    <row r="1535" spans="1:11" x14ac:dyDescent="0.25">
      <c r="A1535">
        <v>277</v>
      </c>
      <c r="B1535">
        <v>0</v>
      </c>
      <c r="C1535">
        <v>10.1258994901591</v>
      </c>
      <c r="D1535">
        <v>7.9717045688549</v>
      </c>
      <c r="E1535">
        <v>8</v>
      </c>
      <c r="F1535">
        <v>1.01722196789785</v>
      </c>
      <c r="G1535" t="s">
        <v>85</v>
      </c>
      <c r="H1535" t="s">
        <v>89</v>
      </c>
      <c r="I1535">
        <v>780</v>
      </c>
      <c r="J1535">
        <v>171</v>
      </c>
      <c r="K1535">
        <v>0</v>
      </c>
    </row>
    <row r="1536" spans="1:11" x14ac:dyDescent="0.25">
      <c r="A1536" t="s">
        <v>86</v>
      </c>
    </row>
    <row r="1537" spans="1:11" x14ac:dyDescent="0.25">
      <c r="A1537">
        <v>44.976289827912801</v>
      </c>
      <c r="B1537">
        <v>140.00588701209099</v>
      </c>
      <c r="C1537">
        <v>2000</v>
      </c>
    </row>
    <row r="1538" spans="1:11" x14ac:dyDescent="0.25">
      <c r="A1538">
        <v>37.689111958113102</v>
      </c>
      <c r="B1538">
        <v>132.718709142291</v>
      </c>
      <c r="C1538">
        <v>2000</v>
      </c>
    </row>
    <row r="1539" spans="1:11" x14ac:dyDescent="0.25">
      <c r="A1539">
        <v>37.689111958113102</v>
      </c>
      <c r="B1539">
        <v>133.59274119118899</v>
      </c>
      <c r="C1539">
        <v>2001</v>
      </c>
    </row>
    <row r="1540" spans="1:11" x14ac:dyDescent="0.25">
      <c r="A1540">
        <v>44.7221184785231</v>
      </c>
      <c r="B1540">
        <v>140.62574771159899</v>
      </c>
      <c r="C1540">
        <v>2001</v>
      </c>
    </row>
    <row r="1541" spans="1:11" x14ac:dyDescent="0.25">
      <c r="A1541">
        <v>49.781491987775603</v>
      </c>
      <c r="B1541">
        <v>145.68512122085099</v>
      </c>
      <c r="C1541">
        <v>2001</v>
      </c>
    </row>
    <row r="1542" spans="1:11" x14ac:dyDescent="0.25">
      <c r="A1542">
        <v>50.267542499246602</v>
      </c>
      <c r="B1542">
        <v>146.17117173232199</v>
      </c>
      <c r="C1542">
        <v>2001</v>
      </c>
    </row>
    <row r="1543" spans="1:11" x14ac:dyDescent="0.25">
      <c r="A1543">
        <v>50.704558523695397</v>
      </c>
      <c r="B1543">
        <v>145.73415570787299</v>
      </c>
      <c r="C1543">
        <v>2000</v>
      </c>
    </row>
    <row r="1544" spans="1:11" x14ac:dyDescent="0.25">
      <c r="A1544">
        <v>50.218508012224397</v>
      </c>
      <c r="B1544">
        <v>145.24810519640201</v>
      </c>
      <c r="C1544">
        <v>2000</v>
      </c>
    </row>
    <row r="1545" spans="1:11" x14ac:dyDescent="0.25">
      <c r="A1545" t="s">
        <v>87</v>
      </c>
    </row>
    <row r="1546" spans="1:11" x14ac:dyDescent="0.25">
      <c r="A1546">
        <v>857</v>
      </c>
      <c r="B1546">
        <v>0</v>
      </c>
      <c r="C1546">
        <v>6.0156038692293698</v>
      </c>
      <c r="D1546">
        <v>12.082000189784599</v>
      </c>
      <c r="E1546">
        <v>8</v>
      </c>
      <c r="F1546">
        <v>1.01722196789785</v>
      </c>
      <c r="G1546" t="s">
        <v>85</v>
      </c>
      <c r="H1546" t="s">
        <v>89</v>
      </c>
      <c r="I1546">
        <v>780</v>
      </c>
      <c r="J1546">
        <v>195</v>
      </c>
      <c r="K1546">
        <v>9.0645505931922193E-2</v>
      </c>
    </row>
    <row r="1547" spans="1:11" x14ac:dyDescent="0.25">
      <c r="A1547" t="s">
        <v>86</v>
      </c>
    </row>
    <row r="1548" spans="1:11" x14ac:dyDescent="0.25">
      <c r="A1548">
        <v>42.1263015739015</v>
      </c>
      <c r="B1548">
        <v>136.94681454984101</v>
      </c>
      <c r="C1548">
        <v>2000</v>
      </c>
    </row>
    <row r="1549" spans="1:11" x14ac:dyDescent="0.25">
      <c r="A1549">
        <v>37.793654062232399</v>
      </c>
      <c r="B1549">
        <v>132.61416703817201</v>
      </c>
      <c r="C1549">
        <v>2000</v>
      </c>
    </row>
    <row r="1550" spans="1:11" x14ac:dyDescent="0.25">
      <c r="A1550">
        <v>38.667686111130102</v>
      </c>
      <c r="B1550">
        <v>132.61416703817201</v>
      </c>
      <c r="C1550">
        <v>2001</v>
      </c>
    </row>
    <row r="1551" spans="1:11" x14ac:dyDescent="0.25">
      <c r="A1551">
        <v>42.842387177189202</v>
      </c>
      <c r="B1551">
        <v>136.788868104231</v>
      </c>
      <c r="C1551">
        <v>2001</v>
      </c>
    </row>
    <row r="1552" spans="1:11" x14ac:dyDescent="0.25">
      <c r="A1552">
        <v>50.218508012224397</v>
      </c>
      <c r="B1552">
        <v>144.16498893926601</v>
      </c>
      <c r="C1552">
        <v>2001</v>
      </c>
    </row>
    <row r="1553" spans="1:11" x14ac:dyDescent="0.25">
      <c r="A1553">
        <v>51.246116652263602</v>
      </c>
      <c r="B1553">
        <v>145.19259757930499</v>
      </c>
      <c r="C1553">
        <v>2001</v>
      </c>
    </row>
    <row r="1554" spans="1:11" x14ac:dyDescent="0.25">
      <c r="A1554">
        <v>50.8091006278148</v>
      </c>
      <c r="B1554">
        <v>145.629613603754</v>
      </c>
      <c r="C1554">
        <v>2000</v>
      </c>
    </row>
    <row r="1555" spans="1:11" x14ac:dyDescent="0.25">
      <c r="A1555">
        <v>49.781491987775603</v>
      </c>
      <c r="B1555">
        <v>144.60200496371499</v>
      </c>
      <c r="C1555">
        <v>2000</v>
      </c>
    </row>
    <row r="1556" spans="1:11" x14ac:dyDescent="0.25">
      <c r="A1556" t="s">
        <v>87</v>
      </c>
    </row>
    <row r="1557" spans="1:11" x14ac:dyDescent="0.25">
      <c r="A1557">
        <v>594</v>
      </c>
      <c r="B1557">
        <v>0</v>
      </c>
      <c r="C1557">
        <v>14.0400425749656</v>
      </c>
      <c r="D1557">
        <v>4.0570736672038104</v>
      </c>
      <c r="E1557">
        <v>6</v>
      </c>
      <c r="F1557">
        <v>1.01722196789785</v>
      </c>
      <c r="G1557" t="s">
        <v>85</v>
      </c>
      <c r="H1557" t="s">
        <v>85</v>
      </c>
      <c r="I1557">
        <v>638</v>
      </c>
      <c r="J1557">
        <v>833</v>
      </c>
      <c r="K1557">
        <v>0</v>
      </c>
    </row>
    <row r="1558" spans="1:11" x14ac:dyDescent="0.25">
      <c r="A1558" t="s">
        <v>86</v>
      </c>
    </row>
    <row r="1559" spans="1:11" x14ac:dyDescent="0.25">
      <c r="A1559">
        <v>113.15619871061401</v>
      </c>
      <c r="B1559">
        <v>81.962463238140302</v>
      </c>
      <c r="C1559">
        <v>2000</v>
      </c>
    </row>
    <row r="1560" spans="1:11" x14ac:dyDescent="0.25">
      <c r="A1560">
        <v>103.567433669021</v>
      </c>
      <c r="B1560">
        <v>72.373698196547906</v>
      </c>
      <c r="C1560">
        <v>2000</v>
      </c>
    </row>
    <row r="1561" spans="1:11" x14ac:dyDescent="0.25">
      <c r="A1561">
        <v>102.69340162012401</v>
      </c>
      <c r="B1561">
        <v>72.373698196547906</v>
      </c>
      <c r="C1561">
        <v>2001</v>
      </c>
    </row>
    <row r="1562" spans="1:11" x14ac:dyDescent="0.25">
      <c r="A1562">
        <v>112.960255204343</v>
      </c>
      <c r="B1562">
        <v>82.640551780767495</v>
      </c>
      <c r="C1562">
        <v>2001</v>
      </c>
    </row>
    <row r="1563" spans="1:11" x14ac:dyDescent="0.25">
      <c r="A1563">
        <v>115.92701125933201</v>
      </c>
      <c r="B1563">
        <v>85.607307835755904</v>
      </c>
      <c r="C1563">
        <v>2001</v>
      </c>
    </row>
    <row r="1564" spans="1:11" x14ac:dyDescent="0.25">
      <c r="A1564">
        <v>115.92701125933201</v>
      </c>
      <c r="B1564">
        <v>84.7332757868583</v>
      </c>
      <c r="C1564">
        <v>2000</v>
      </c>
    </row>
    <row r="1565" spans="1:11" x14ac:dyDescent="0.25">
      <c r="A1565" t="s">
        <v>87</v>
      </c>
    </row>
    <row r="1566" spans="1:11" x14ac:dyDescent="0.25">
      <c r="A1566">
        <v>723</v>
      </c>
      <c r="B1566">
        <v>0</v>
      </c>
      <c r="C1566">
        <v>1.1598562962594201</v>
      </c>
      <c r="D1566">
        <v>16.833505468375598</v>
      </c>
      <c r="E1566">
        <v>8</v>
      </c>
      <c r="F1566">
        <v>1.01722196789785</v>
      </c>
      <c r="G1566" t="s">
        <v>85</v>
      </c>
      <c r="H1566" t="s">
        <v>88</v>
      </c>
      <c r="I1566">
        <v>154</v>
      </c>
      <c r="J1566">
        <v>0</v>
      </c>
      <c r="K1566">
        <v>8.9259099568316694E-2</v>
      </c>
    </row>
    <row r="1567" spans="1:11" x14ac:dyDescent="0.25">
      <c r="A1567" t="s">
        <v>86</v>
      </c>
    </row>
    <row r="1568" spans="1:11" x14ac:dyDescent="0.25">
      <c r="A1568">
        <v>138.07754126893801</v>
      </c>
      <c r="B1568">
        <v>45.673913347844902</v>
      </c>
      <c r="C1568">
        <v>2000</v>
      </c>
    </row>
    <row r="1569" spans="1:11" x14ac:dyDescent="0.25">
      <c r="A1569">
        <v>137.276771879884</v>
      </c>
      <c r="B1569">
        <v>44.873143958791097</v>
      </c>
      <c r="C1569">
        <v>2000</v>
      </c>
    </row>
    <row r="1570" spans="1:11" x14ac:dyDescent="0.25">
      <c r="A1570">
        <v>137.276771879884</v>
      </c>
      <c r="B1570">
        <v>43.9991119098935</v>
      </c>
      <c r="C1570">
        <v>2001</v>
      </c>
    </row>
    <row r="1571" spans="1:11" x14ac:dyDescent="0.25">
      <c r="A1571">
        <v>138.11628699540401</v>
      </c>
      <c r="B1571">
        <v>44.8386270254137</v>
      </c>
      <c r="C1571">
        <v>2001</v>
      </c>
    </row>
    <row r="1572" spans="1:11" x14ac:dyDescent="0.25">
      <c r="A1572">
        <v>142.97207008811</v>
      </c>
      <c r="B1572">
        <v>49.694410118119301</v>
      </c>
      <c r="C1572">
        <v>2001</v>
      </c>
    </row>
    <row r="1573" spans="1:11" x14ac:dyDescent="0.25">
      <c r="A1573">
        <v>150</v>
      </c>
      <c r="B1573">
        <v>56.722340030009597</v>
      </c>
      <c r="C1573">
        <v>2001</v>
      </c>
    </row>
    <row r="1574" spans="1:11" x14ac:dyDescent="0.25">
      <c r="A1574">
        <v>150</v>
      </c>
      <c r="B1574">
        <v>57.596372078907301</v>
      </c>
      <c r="C1574">
        <v>2000</v>
      </c>
    </row>
    <row r="1575" spans="1:11" x14ac:dyDescent="0.25">
      <c r="A1575">
        <v>142.709217802973</v>
      </c>
      <c r="B1575">
        <v>50.3055898818806</v>
      </c>
      <c r="C1575">
        <v>2000</v>
      </c>
    </row>
    <row r="1576" spans="1:11" x14ac:dyDescent="0.25">
      <c r="A1576" t="s">
        <v>87</v>
      </c>
    </row>
    <row r="1577" spans="1:11" x14ac:dyDescent="0.25">
      <c r="A1577">
        <v>591</v>
      </c>
      <c r="B1577">
        <v>0</v>
      </c>
      <c r="C1577">
        <v>17.305665647696902</v>
      </c>
      <c r="D1577">
        <v>0.67492642855035001</v>
      </c>
      <c r="E1577">
        <v>6</v>
      </c>
      <c r="F1577">
        <v>1.01722196789785</v>
      </c>
      <c r="G1577" t="s">
        <v>85</v>
      </c>
      <c r="H1577" t="s">
        <v>88</v>
      </c>
      <c r="I1577">
        <v>860</v>
      </c>
      <c r="J1577">
        <v>0</v>
      </c>
      <c r="K1577">
        <v>0</v>
      </c>
    </row>
    <row r="1578" spans="1:11" x14ac:dyDescent="0.25">
      <c r="A1578" t="s">
        <v>86</v>
      </c>
    </row>
    <row r="1579" spans="1:11" x14ac:dyDescent="0.25">
      <c r="A1579">
        <v>149.52275494557</v>
      </c>
      <c r="B1579">
        <v>80.167875064606207</v>
      </c>
      <c r="C1579">
        <v>2000</v>
      </c>
    </row>
    <row r="1580" spans="1:11" x14ac:dyDescent="0.25">
      <c r="A1580">
        <v>137.285801413136</v>
      </c>
      <c r="B1580">
        <v>67.930921532172604</v>
      </c>
      <c r="C1580">
        <v>2000</v>
      </c>
    </row>
    <row r="1581" spans="1:11" x14ac:dyDescent="0.25">
      <c r="A1581">
        <v>137.285801413136</v>
      </c>
      <c r="B1581">
        <v>67.056889483275</v>
      </c>
      <c r="C1581">
        <v>2001</v>
      </c>
    </row>
    <row r="1582" spans="1:11" x14ac:dyDescent="0.25">
      <c r="A1582">
        <v>149.52275494557</v>
      </c>
      <c r="B1582">
        <v>79.293843015708504</v>
      </c>
      <c r="C1582">
        <v>2001</v>
      </c>
    </row>
    <row r="1583" spans="1:11" x14ac:dyDescent="0.25">
      <c r="A1583">
        <v>150</v>
      </c>
      <c r="B1583">
        <v>79.771088070138504</v>
      </c>
      <c r="C1583">
        <v>2001</v>
      </c>
    </row>
    <row r="1584" spans="1:11" x14ac:dyDescent="0.25">
      <c r="A1584">
        <v>150</v>
      </c>
      <c r="B1584">
        <v>80.645120119036207</v>
      </c>
      <c r="C1584">
        <v>2000</v>
      </c>
    </row>
    <row r="1585" spans="1:11" x14ac:dyDescent="0.25">
      <c r="A1585" t="s">
        <v>87</v>
      </c>
    </row>
    <row r="1586" spans="1:11" x14ac:dyDescent="0.25">
      <c r="A1586">
        <v>702</v>
      </c>
      <c r="B1586">
        <v>1</v>
      </c>
      <c r="C1586">
        <v>7.7159769025710396</v>
      </c>
      <c r="D1586">
        <v>10.1263414558422</v>
      </c>
      <c r="E1586">
        <v>6</v>
      </c>
      <c r="F1586">
        <v>1.01722196789785</v>
      </c>
      <c r="G1586" t="s">
        <v>85</v>
      </c>
      <c r="H1586" t="s">
        <v>85</v>
      </c>
      <c r="I1586">
        <v>680</v>
      </c>
      <c r="J1586">
        <v>672</v>
      </c>
      <c r="K1586">
        <v>0</v>
      </c>
    </row>
    <row r="1587" spans="1:11" x14ac:dyDescent="0.25">
      <c r="A1587" t="s">
        <v>86</v>
      </c>
    </row>
    <row r="1588" spans="1:11" x14ac:dyDescent="0.25">
      <c r="A1588">
        <v>83.231649854722903</v>
      </c>
      <c r="B1588">
        <v>81.229423112870606</v>
      </c>
      <c r="C1588">
        <v>2000</v>
      </c>
    </row>
    <row r="1589" spans="1:11" x14ac:dyDescent="0.25">
      <c r="A1589">
        <v>77.586641059064604</v>
      </c>
      <c r="B1589">
        <v>86.874431908528905</v>
      </c>
      <c r="C1589">
        <v>2000</v>
      </c>
    </row>
    <row r="1590" spans="1:11" x14ac:dyDescent="0.25">
      <c r="A1590">
        <v>77.586641059064604</v>
      </c>
      <c r="B1590">
        <v>86.000399859631301</v>
      </c>
      <c r="C1590">
        <v>2001</v>
      </c>
    </row>
    <row r="1591" spans="1:11" x14ac:dyDescent="0.25">
      <c r="A1591">
        <v>82.853671445979799</v>
      </c>
      <c r="B1591">
        <v>80.733369472716006</v>
      </c>
      <c r="C1591">
        <v>2001</v>
      </c>
    </row>
    <row r="1592" spans="1:11" x14ac:dyDescent="0.25">
      <c r="A1592">
        <v>89.766049337938995</v>
      </c>
      <c r="B1592">
        <v>73.820991580756797</v>
      </c>
      <c r="C1592">
        <v>2001</v>
      </c>
    </row>
    <row r="1593" spans="1:11" x14ac:dyDescent="0.25">
      <c r="A1593">
        <v>90.640081386836599</v>
      </c>
      <c r="B1593">
        <v>73.820991580756797</v>
      </c>
      <c r="C1593">
        <v>2000</v>
      </c>
    </row>
    <row r="1594" spans="1:11" x14ac:dyDescent="0.25">
      <c r="A1594" t="s">
        <v>87</v>
      </c>
    </row>
    <row r="1595" spans="1:11" x14ac:dyDescent="0.25">
      <c r="A1595">
        <v>808</v>
      </c>
      <c r="B1595">
        <v>1</v>
      </c>
      <c r="C1595">
        <v>9.2258695094940695</v>
      </c>
      <c r="D1595">
        <v>8.3747462873465093</v>
      </c>
      <c r="E1595">
        <v>6</v>
      </c>
      <c r="F1595">
        <v>1.01722196789785</v>
      </c>
      <c r="G1595" t="s">
        <v>88</v>
      </c>
      <c r="H1595" t="s">
        <v>85</v>
      </c>
      <c r="I1595">
        <v>0</v>
      </c>
      <c r="J1595">
        <v>191</v>
      </c>
      <c r="K1595">
        <v>8.9816640118045604E-2</v>
      </c>
    </row>
    <row r="1596" spans="1:11" x14ac:dyDescent="0.25">
      <c r="A1596" t="s">
        <v>86</v>
      </c>
    </row>
    <row r="1597" spans="1:11" x14ac:dyDescent="0.25">
      <c r="A1597">
        <v>92.611827411051394</v>
      </c>
      <c r="B1597">
        <v>143.476325107495</v>
      </c>
      <c r="C1597">
        <v>2000</v>
      </c>
    </row>
    <row r="1598" spans="1:11" x14ac:dyDescent="0.25">
      <c r="A1598">
        <v>86.088152518545897</v>
      </c>
      <c r="B1598">
        <v>150</v>
      </c>
      <c r="C1598">
        <v>2000</v>
      </c>
    </row>
    <row r="1599" spans="1:11" x14ac:dyDescent="0.25">
      <c r="A1599">
        <v>86.9621845674436</v>
      </c>
      <c r="B1599">
        <v>150</v>
      </c>
      <c r="C1599">
        <v>2001</v>
      </c>
    </row>
    <row r="1600" spans="1:11" x14ac:dyDescent="0.25">
      <c r="A1600">
        <v>93.485859459948998</v>
      </c>
      <c r="B1600">
        <v>143.476325107495</v>
      </c>
      <c r="C1600">
        <v>2001</v>
      </c>
    </row>
    <row r="1601" spans="1:11" x14ac:dyDescent="0.25">
      <c r="A1601">
        <v>99.407699350448596</v>
      </c>
      <c r="B1601">
        <v>137.554485216995</v>
      </c>
      <c r="C1601">
        <v>2001</v>
      </c>
    </row>
    <row r="1602" spans="1:11" x14ac:dyDescent="0.25">
      <c r="A1602">
        <v>98.533667301550906</v>
      </c>
      <c r="B1602">
        <v>137.554485216995</v>
      </c>
      <c r="C1602">
        <v>2000</v>
      </c>
    </row>
    <row r="1603" spans="1:11" x14ac:dyDescent="0.25">
      <c r="A1603" t="s">
        <v>87</v>
      </c>
    </row>
    <row r="1604" spans="1:11" x14ac:dyDescent="0.25">
      <c r="A1604">
        <v>711</v>
      </c>
      <c r="B1604">
        <v>1</v>
      </c>
      <c r="C1604">
        <v>10.6647513444063</v>
      </c>
      <c r="D1604">
        <v>6.9323138963566802</v>
      </c>
      <c r="E1604">
        <v>6</v>
      </c>
      <c r="F1604">
        <v>1.01722196789785</v>
      </c>
      <c r="G1604" t="s">
        <v>85</v>
      </c>
      <c r="H1604" t="s">
        <v>89</v>
      </c>
      <c r="I1604">
        <v>183</v>
      </c>
      <c r="J1604">
        <v>704</v>
      </c>
      <c r="K1604">
        <v>0</v>
      </c>
    </row>
    <row r="1605" spans="1:11" x14ac:dyDescent="0.25">
      <c r="A1605" t="s">
        <v>86</v>
      </c>
    </row>
    <row r="1606" spans="1:11" x14ac:dyDescent="0.25">
      <c r="A1606">
        <v>58.343599199321702</v>
      </c>
      <c r="B1606">
        <v>91.353945000874404</v>
      </c>
      <c r="C1606">
        <v>2000</v>
      </c>
    </row>
    <row r="1607" spans="1:11" x14ac:dyDescent="0.25">
      <c r="A1607">
        <v>50.934908605141402</v>
      </c>
      <c r="B1607">
        <v>98.762635595054704</v>
      </c>
      <c r="C1607">
        <v>2000</v>
      </c>
    </row>
    <row r="1608" spans="1:11" x14ac:dyDescent="0.25">
      <c r="A1608">
        <v>50.060876556243798</v>
      </c>
      <c r="B1608">
        <v>98.762635595054704</v>
      </c>
      <c r="C1608">
        <v>2001</v>
      </c>
    </row>
    <row r="1609" spans="1:11" x14ac:dyDescent="0.25">
      <c r="A1609">
        <v>57.734421952659602</v>
      </c>
      <c r="B1609">
        <v>91.0890901986389</v>
      </c>
      <c r="C1609">
        <v>2001</v>
      </c>
    </row>
    <row r="1610" spans="1:11" x14ac:dyDescent="0.25">
      <c r="A1610">
        <v>62.722388729193803</v>
      </c>
      <c r="B1610">
        <v>86.101123422104607</v>
      </c>
      <c r="C1610">
        <v>2001</v>
      </c>
    </row>
    <row r="1611" spans="1:11" x14ac:dyDescent="0.25">
      <c r="A1611">
        <v>63.159404753642598</v>
      </c>
      <c r="B1611">
        <v>86.538139446553501</v>
      </c>
      <c r="C1611">
        <v>2000</v>
      </c>
    </row>
    <row r="1612" spans="1:11" x14ac:dyDescent="0.25">
      <c r="A1612" t="s">
        <v>87</v>
      </c>
    </row>
    <row r="1613" spans="1:11" x14ac:dyDescent="0.25">
      <c r="A1613">
        <v>111</v>
      </c>
      <c r="B1613">
        <v>0</v>
      </c>
      <c r="C1613">
        <v>10.458141286127701</v>
      </c>
      <c r="D1613">
        <v>7.0461598245155104</v>
      </c>
      <c r="E1613">
        <v>6</v>
      </c>
      <c r="F1613">
        <v>1.01722196789785</v>
      </c>
      <c r="G1613" t="s">
        <v>85</v>
      </c>
      <c r="H1613" t="s">
        <v>88</v>
      </c>
      <c r="I1613">
        <v>816</v>
      </c>
      <c r="J1613">
        <v>0</v>
      </c>
      <c r="K1613">
        <v>0</v>
      </c>
    </row>
    <row r="1614" spans="1:11" x14ac:dyDescent="0.25">
      <c r="A1614" t="s">
        <v>86</v>
      </c>
    </row>
    <row r="1615" spans="1:11" x14ac:dyDescent="0.25">
      <c r="A1615">
        <v>145.19352849935601</v>
      </c>
      <c r="B1615">
        <v>25.312312465127501</v>
      </c>
      <c r="C1615">
        <v>2000</v>
      </c>
    </row>
    <row r="1616" spans="1:11" x14ac:dyDescent="0.25">
      <c r="A1616">
        <v>138.059606009182</v>
      </c>
      <c r="B1616">
        <v>18.1783899749528</v>
      </c>
      <c r="C1616">
        <v>2000</v>
      </c>
    </row>
    <row r="1617" spans="1:11" x14ac:dyDescent="0.25">
      <c r="A1617">
        <v>137.18557396028399</v>
      </c>
      <c r="B1617">
        <v>18.1783899749528</v>
      </c>
      <c r="C1617">
        <v>2001</v>
      </c>
    </row>
    <row r="1618" spans="1:11" x14ac:dyDescent="0.25">
      <c r="A1618">
        <v>144.84169671416501</v>
      </c>
      <c r="B1618">
        <v>25.834512728834</v>
      </c>
      <c r="C1618">
        <v>2001</v>
      </c>
    </row>
    <row r="1619" spans="1:11" x14ac:dyDescent="0.25">
      <c r="A1619">
        <v>150</v>
      </c>
      <c r="B1619">
        <v>30.992816014668701</v>
      </c>
      <c r="C1619">
        <v>2001</v>
      </c>
    </row>
    <row r="1620" spans="1:11" x14ac:dyDescent="0.25">
      <c r="A1620">
        <v>150</v>
      </c>
      <c r="B1620">
        <v>30.118783965771101</v>
      </c>
      <c r="C1620">
        <v>2000</v>
      </c>
    </row>
    <row r="1621" spans="1:11" x14ac:dyDescent="0.25">
      <c r="A1621" t="s">
        <v>87</v>
      </c>
    </row>
    <row r="1622" spans="1:11" x14ac:dyDescent="0.25">
      <c r="A1622">
        <v>152</v>
      </c>
      <c r="B1622">
        <v>1</v>
      </c>
      <c r="C1622">
        <v>8.3137785166503892</v>
      </c>
      <c r="D1622">
        <v>9.1596691746258205</v>
      </c>
      <c r="E1622">
        <v>8</v>
      </c>
      <c r="F1622">
        <v>1.01722196789785</v>
      </c>
      <c r="G1622" t="s">
        <v>85</v>
      </c>
      <c r="H1622" t="s">
        <v>85</v>
      </c>
      <c r="I1622">
        <v>787</v>
      </c>
      <c r="J1622">
        <v>105</v>
      </c>
      <c r="K1622">
        <v>0</v>
      </c>
    </row>
    <row r="1623" spans="1:11" x14ac:dyDescent="0.25">
      <c r="A1623" t="s">
        <v>86</v>
      </c>
    </row>
    <row r="1624" spans="1:11" x14ac:dyDescent="0.25">
      <c r="A1624">
        <v>100.95066193167099</v>
      </c>
      <c r="B1624">
        <v>12.153102524617699</v>
      </c>
      <c r="C1624">
        <v>2000</v>
      </c>
    </row>
    <row r="1625" spans="1:11" x14ac:dyDescent="0.25">
      <c r="A1625">
        <v>99.824823120217701</v>
      </c>
      <c r="B1625">
        <v>13.2789413360707</v>
      </c>
      <c r="C1625">
        <v>2000</v>
      </c>
    </row>
    <row r="1626" spans="1:11" x14ac:dyDescent="0.25">
      <c r="A1626">
        <v>95.2870495595443</v>
      </c>
      <c r="B1626">
        <v>17.816714896744099</v>
      </c>
      <c r="C1626">
        <v>2000</v>
      </c>
    </row>
    <row r="1627" spans="1:11" x14ac:dyDescent="0.25">
      <c r="A1627">
        <v>95.2870495595443</v>
      </c>
      <c r="B1627">
        <v>18.690746945641699</v>
      </c>
      <c r="C1627">
        <v>2001</v>
      </c>
    </row>
    <row r="1628" spans="1:11" x14ac:dyDescent="0.25">
      <c r="A1628">
        <v>100.175176879782</v>
      </c>
      <c r="B1628">
        <v>13.8026196254038</v>
      </c>
      <c r="C1628">
        <v>2001</v>
      </c>
    </row>
    <row r="1629" spans="1:11" x14ac:dyDescent="0.25">
      <c r="A1629">
        <v>101.38089552023099</v>
      </c>
      <c r="B1629">
        <v>12.596900984955001</v>
      </c>
      <c r="C1629">
        <v>2001</v>
      </c>
    </row>
    <row r="1630" spans="1:11" x14ac:dyDescent="0.25">
      <c r="A1630">
        <v>108.07965893720301</v>
      </c>
      <c r="B1630">
        <v>5.8981375679830697</v>
      </c>
      <c r="C1630">
        <v>2001</v>
      </c>
    </row>
    <row r="1631" spans="1:11" x14ac:dyDescent="0.25">
      <c r="A1631">
        <v>107.20562688830501</v>
      </c>
      <c r="B1631">
        <v>5.8981375679830697</v>
      </c>
      <c r="C1631">
        <v>2000</v>
      </c>
    </row>
    <row r="1632" spans="1:11" x14ac:dyDescent="0.25">
      <c r="A1632" t="s">
        <v>87</v>
      </c>
    </row>
    <row r="1633" spans="1:11" x14ac:dyDescent="0.25">
      <c r="A1633">
        <v>34</v>
      </c>
      <c r="B1633">
        <v>0</v>
      </c>
      <c r="C1633">
        <v>10.0381957179252</v>
      </c>
      <c r="D1633">
        <v>7.4048825348067702</v>
      </c>
      <c r="E1633">
        <v>6</v>
      </c>
      <c r="F1633">
        <v>1.01722196789785</v>
      </c>
      <c r="G1633" t="s">
        <v>88</v>
      </c>
      <c r="H1633" t="s">
        <v>85</v>
      </c>
      <c r="I1633">
        <v>0</v>
      </c>
      <c r="J1633">
        <v>75</v>
      </c>
      <c r="K1633">
        <v>0</v>
      </c>
    </row>
    <row r="1634" spans="1:11" x14ac:dyDescent="0.25">
      <c r="A1634" t="s">
        <v>86</v>
      </c>
    </row>
    <row r="1635" spans="1:11" x14ac:dyDescent="0.25">
      <c r="A1635">
        <v>43.581452225131102</v>
      </c>
      <c r="B1635">
        <v>7.0980762630226399</v>
      </c>
      <c r="C1635">
        <v>2000</v>
      </c>
    </row>
    <row r="1636" spans="1:11" x14ac:dyDescent="0.25">
      <c r="A1636">
        <v>36.483375962108497</v>
      </c>
      <c r="B1636">
        <v>0</v>
      </c>
      <c r="C1636">
        <v>2000</v>
      </c>
    </row>
    <row r="1637" spans="1:11" x14ac:dyDescent="0.25">
      <c r="A1637">
        <v>35.6093439132108</v>
      </c>
      <c r="B1637">
        <v>0</v>
      </c>
      <c r="C1637">
        <v>2001</v>
      </c>
    </row>
    <row r="1638" spans="1:11" x14ac:dyDescent="0.25">
      <c r="A1638">
        <v>42.707420176233498</v>
      </c>
      <c r="B1638">
        <v>7.0980762630226399</v>
      </c>
      <c r="C1638">
        <v>2001</v>
      </c>
    </row>
    <row r="1639" spans="1:11" x14ac:dyDescent="0.25">
      <c r="A1639">
        <v>47.943462830485203</v>
      </c>
      <c r="B1639">
        <v>12.334118917274299</v>
      </c>
      <c r="C1639">
        <v>2001</v>
      </c>
    </row>
    <row r="1640" spans="1:11" x14ac:dyDescent="0.25">
      <c r="A1640">
        <v>48.817494879382799</v>
      </c>
      <c r="B1640">
        <v>12.334118917274299</v>
      </c>
      <c r="C1640">
        <v>2000</v>
      </c>
    </row>
    <row r="1641" spans="1:11" x14ac:dyDescent="0.25">
      <c r="A1641" t="s">
        <v>87</v>
      </c>
    </row>
    <row r="1642" spans="1:11" x14ac:dyDescent="0.25">
      <c r="A1642">
        <v>668</v>
      </c>
      <c r="B1642">
        <v>0</v>
      </c>
      <c r="C1642">
        <v>12.0287958191971</v>
      </c>
      <c r="D1642">
        <v>5.2956474678275596</v>
      </c>
      <c r="E1642">
        <v>8</v>
      </c>
      <c r="F1642">
        <v>1.01722196789785</v>
      </c>
      <c r="G1642" t="s">
        <v>85</v>
      </c>
      <c r="H1642" t="s">
        <v>85</v>
      </c>
      <c r="I1642">
        <v>67</v>
      </c>
      <c r="J1642">
        <v>701</v>
      </c>
      <c r="K1642">
        <v>0</v>
      </c>
    </row>
    <row r="1643" spans="1:11" x14ac:dyDescent="0.25">
      <c r="A1643" t="s">
        <v>86</v>
      </c>
    </row>
    <row r="1644" spans="1:11" x14ac:dyDescent="0.25">
      <c r="A1644">
        <v>62.560097210578299</v>
      </c>
      <c r="B1644">
        <v>51.176445628350102</v>
      </c>
      <c r="C1644">
        <v>2000</v>
      </c>
    </row>
    <row r="1645" spans="1:11" x14ac:dyDescent="0.25">
      <c r="A1645">
        <v>61.198880449526399</v>
      </c>
      <c r="B1645">
        <v>49.815228867298202</v>
      </c>
      <c r="C1645">
        <v>2000</v>
      </c>
    </row>
    <row r="1646" spans="1:11" x14ac:dyDescent="0.25">
      <c r="A1646">
        <v>54.191250293595701</v>
      </c>
      <c r="B1646">
        <v>42.807598711367497</v>
      </c>
      <c r="C1646">
        <v>2000</v>
      </c>
    </row>
    <row r="1647" spans="1:11" x14ac:dyDescent="0.25">
      <c r="A1647">
        <v>53.317218244698097</v>
      </c>
      <c r="B1647">
        <v>42.807598711367497</v>
      </c>
      <c r="C1647">
        <v>2001</v>
      </c>
    </row>
    <row r="1648" spans="1:11" x14ac:dyDescent="0.25">
      <c r="A1648">
        <v>60.694390666032398</v>
      </c>
      <c r="B1648">
        <v>50.184771132701798</v>
      </c>
      <c r="C1648">
        <v>2001</v>
      </c>
    </row>
    <row r="1649" spans="1:11" x14ac:dyDescent="0.25">
      <c r="A1649">
        <v>61.959657514240803</v>
      </c>
      <c r="B1649">
        <v>51.450037980910203</v>
      </c>
      <c r="C1649">
        <v>2001</v>
      </c>
    </row>
    <row r="1650" spans="1:11" x14ac:dyDescent="0.25">
      <c r="A1650">
        <v>65.567449573234995</v>
      </c>
      <c r="B1650">
        <v>55.057830039904402</v>
      </c>
      <c r="C1650">
        <v>2001</v>
      </c>
    </row>
    <row r="1651" spans="1:11" x14ac:dyDescent="0.25">
      <c r="A1651">
        <v>66.441481622132599</v>
      </c>
      <c r="B1651">
        <v>55.057830039904402</v>
      </c>
      <c r="C1651">
        <v>2000</v>
      </c>
    </row>
    <row r="1652" spans="1:11" x14ac:dyDescent="0.25">
      <c r="A1652" t="s">
        <v>87</v>
      </c>
    </row>
    <row r="1653" spans="1:11" x14ac:dyDescent="0.25">
      <c r="A1653">
        <v>667</v>
      </c>
      <c r="B1653">
        <v>0</v>
      </c>
      <c r="C1653">
        <v>11.190483016415</v>
      </c>
      <c r="D1653">
        <v>6.1339602706096601</v>
      </c>
      <c r="E1653">
        <v>8</v>
      </c>
      <c r="F1653">
        <v>1.01722196789785</v>
      </c>
      <c r="G1653" t="s">
        <v>85</v>
      </c>
      <c r="H1653" t="s">
        <v>85</v>
      </c>
      <c r="I1653">
        <v>67</v>
      </c>
      <c r="J1653">
        <v>701</v>
      </c>
      <c r="K1653">
        <v>0</v>
      </c>
    </row>
    <row r="1654" spans="1:11" x14ac:dyDescent="0.25">
      <c r="A1654" t="s">
        <v>86</v>
      </c>
    </row>
    <row r="1655" spans="1:11" x14ac:dyDescent="0.25">
      <c r="A1655">
        <v>58.364999801632898</v>
      </c>
      <c r="B1655">
        <v>54.345701775276702</v>
      </c>
      <c r="C1655">
        <v>2000</v>
      </c>
    </row>
    <row r="1656" spans="1:11" x14ac:dyDescent="0.25">
      <c r="A1656">
        <v>54.347313893755803</v>
      </c>
      <c r="B1656">
        <v>50.3280158673996</v>
      </c>
      <c r="C1656">
        <v>2000</v>
      </c>
    </row>
    <row r="1657" spans="1:11" x14ac:dyDescent="0.25">
      <c r="A1657">
        <v>50.509073515659701</v>
      </c>
      <c r="B1657">
        <v>46.489775489303597</v>
      </c>
      <c r="C1657">
        <v>2000</v>
      </c>
    </row>
    <row r="1658" spans="1:11" x14ac:dyDescent="0.25">
      <c r="A1658">
        <v>50.509073515659701</v>
      </c>
      <c r="B1658">
        <v>45.6157434404059</v>
      </c>
      <c r="C1658">
        <v>2001</v>
      </c>
    </row>
    <row r="1659" spans="1:11" x14ac:dyDescent="0.25">
      <c r="A1659">
        <v>54.5653142078542</v>
      </c>
      <c r="B1659">
        <v>49.6719841326004</v>
      </c>
      <c r="C1659">
        <v>2001</v>
      </c>
    </row>
    <row r="1660" spans="1:11" x14ac:dyDescent="0.25">
      <c r="A1660">
        <v>58.478880081006302</v>
      </c>
      <c r="B1660">
        <v>53.585550005752502</v>
      </c>
      <c r="C1660">
        <v>2001</v>
      </c>
    </row>
    <row r="1661" spans="1:11" x14ac:dyDescent="0.25">
      <c r="A1661">
        <v>62.759304844196599</v>
      </c>
      <c r="B1661">
        <v>57.865974768942799</v>
      </c>
      <c r="C1661">
        <v>2001</v>
      </c>
    </row>
    <row r="1662" spans="1:11" x14ac:dyDescent="0.25">
      <c r="A1662">
        <v>62.759304844196599</v>
      </c>
      <c r="B1662">
        <v>58.740006817840403</v>
      </c>
      <c r="C1662">
        <v>2000</v>
      </c>
    </row>
    <row r="1663" spans="1:11" x14ac:dyDescent="0.25">
      <c r="A1663" t="s">
        <v>87</v>
      </c>
    </row>
    <row r="1664" spans="1:11" x14ac:dyDescent="0.25">
      <c r="A1664">
        <v>1023</v>
      </c>
      <c r="B1664">
        <v>0</v>
      </c>
      <c r="C1664">
        <v>13.312061133722199</v>
      </c>
      <c r="D1664">
        <v>4.0123821533024104</v>
      </c>
      <c r="E1664">
        <v>10</v>
      </c>
      <c r="F1664">
        <v>1.01722196789785</v>
      </c>
      <c r="G1664" t="s">
        <v>85</v>
      </c>
      <c r="H1664" t="s">
        <v>85</v>
      </c>
      <c r="I1664">
        <v>67</v>
      </c>
      <c r="J1664">
        <v>701</v>
      </c>
      <c r="K1664">
        <v>9.3644784593262795E-2</v>
      </c>
    </row>
    <row r="1665" spans="1:11" x14ac:dyDescent="0.25">
      <c r="A1665" t="s">
        <v>86</v>
      </c>
    </row>
    <row r="1666" spans="1:11" x14ac:dyDescent="0.25">
      <c r="A1666">
        <v>59.260070508776998</v>
      </c>
      <c r="B1666">
        <v>56.432063075768198</v>
      </c>
      <c r="C1666">
        <v>2000</v>
      </c>
    </row>
    <row r="1667" spans="1:11" x14ac:dyDescent="0.25">
      <c r="A1667">
        <v>52.609499420784402</v>
      </c>
      <c r="B1667">
        <v>49.781491987775603</v>
      </c>
      <c r="C1667">
        <v>2000</v>
      </c>
    </row>
    <row r="1668" spans="1:11" x14ac:dyDescent="0.25">
      <c r="A1668">
        <v>50.3977622858487</v>
      </c>
      <c r="B1668">
        <v>47.5697548528399</v>
      </c>
      <c r="C1668">
        <v>2000</v>
      </c>
    </row>
    <row r="1669" spans="1:11" x14ac:dyDescent="0.25">
      <c r="A1669">
        <v>49.913428218985999</v>
      </c>
      <c r="B1669">
        <v>47.085420785977199</v>
      </c>
      <c r="C1669">
        <v>2000</v>
      </c>
    </row>
    <row r="1670" spans="1:11" x14ac:dyDescent="0.25">
      <c r="A1670">
        <v>49.039396170088402</v>
      </c>
      <c r="B1670">
        <v>47.085420785977199</v>
      </c>
      <c r="C1670">
        <v>2001</v>
      </c>
    </row>
    <row r="1671" spans="1:11" x14ac:dyDescent="0.25">
      <c r="A1671">
        <v>49.6022377141513</v>
      </c>
      <c r="B1671">
        <v>47.648262330040197</v>
      </c>
      <c r="C1671">
        <v>2001</v>
      </c>
    </row>
    <row r="1672" spans="1:11" x14ac:dyDescent="0.25">
      <c r="A1672">
        <v>52.172483396335601</v>
      </c>
      <c r="B1672">
        <v>50.218508012224397</v>
      </c>
      <c r="C1672">
        <v>2001</v>
      </c>
    </row>
    <row r="1673" spans="1:11" x14ac:dyDescent="0.25">
      <c r="A1673">
        <v>58.5188512787471</v>
      </c>
      <c r="B1673">
        <v>56.564875894636003</v>
      </c>
      <c r="C1673">
        <v>2001</v>
      </c>
    </row>
    <row r="1674" spans="1:11" x14ac:dyDescent="0.25">
      <c r="A1674">
        <v>61.289627498625201</v>
      </c>
      <c r="B1674">
        <v>59.335652114514097</v>
      </c>
      <c r="C1674">
        <v>2001</v>
      </c>
    </row>
    <row r="1675" spans="1:11" x14ac:dyDescent="0.25">
      <c r="A1675">
        <v>62.163659547522897</v>
      </c>
      <c r="B1675">
        <v>59.335652114514097</v>
      </c>
      <c r="C1675">
        <v>2000</v>
      </c>
    </row>
    <row r="1676" spans="1:11" x14ac:dyDescent="0.25">
      <c r="A1676" t="s">
        <v>87</v>
      </c>
    </row>
    <row r="1677" spans="1:11" x14ac:dyDescent="0.25">
      <c r="A1677">
        <v>1148</v>
      </c>
      <c r="B1677">
        <v>0</v>
      </c>
      <c r="C1677">
        <v>10.023264587679501</v>
      </c>
      <c r="D1677">
        <v>7.3011786993450896</v>
      </c>
      <c r="E1677">
        <v>8</v>
      </c>
      <c r="F1677">
        <v>1.01722196789785</v>
      </c>
      <c r="G1677" t="s">
        <v>85</v>
      </c>
      <c r="H1677" t="s">
        <v>85</v>
      </c>
      <c r="I1677">
        <v>67</v>
      </c>
      <c r="J1677">
        <v>701</v>
      </c>
      <c r="K1677">
        <v>9.5300933138239702E-2</v>
      </c>
    </row>
    <row r="1678" spans="1:11" x14ac:dyDescent="0.25">
      <c r="A1678" t="s">
        <v>86</v>
      </c>
    </row>
    <row r="1679" spans="1:11" x14ac:dyDescent="0.25">
      <c r="A1679">
        <v>60.126140399157201</v>
      </c>
      <c r="B1679">
        <v>50.667640558008301</v>
      </c>
      <c r="C1679">
        <v>2000</v>
      </c>
    </row>
    <row r="1680" spans="1:11" x14ac:dyDescent="0.25">
      <c r="A1680">
        <v>59.689977312112703</v>
      </c>
      <c r="B1680">
        <v>50.231477470963902</v>
      </c>
      <c r="C1680">
        <v>2000</v>
      </c>
    </row>
    <row r="1681" spans="1:11" x14ac:dyDescent="0.25">
      <c r="A1681">
        <v>53.228674423055999</v>
      </c>
      <c r="B1681">
        <v>43.770174581907199</v>
      </c>
      <c r="C1681">
        <v>2000</v>
      </c>
    </row>
    <row r="1682" spans="1:11" x14ac:dyDescent="0.25">
      <c r="A1682">
        <v>53.228674423055999</v>
      </c>
      <c r="B1682">
        <v>42.896142533009602</v>
      </c>
      <c r="C1682">
        <v>2001</v>
      </c>
    </row>
    <row r="1683" spans="1:11" x14ac:dyDescent="0.25">
      <c r="A1683">
        <v>60.101054419082601</v>
      </c>
      <c r="B1683">
        <v>49.768522529036098</v>
      </c>
      <c r="C1683">
        <v>2001</v>
      </c>
    </row>
    <row r="1684" spans="1:11" x14ac:dyDescent="0.25">
      <c r="A1684">
        <v>60.506245166105302</v>
      </c>
      <c r="B1684">
        <v>50.173713276058798</v>
      </c>
      <c r="C1684">
        <v>2001</v>
      </c>
    </row>
    <row r="1685" spans="1:11" x14ac:dyDescent="0.25">
      <c r="A1685">
        <v>65.478905751592904</v>
      </c>
      <c r="B1685">
        <v>55.146373861546401</v>
      </c>
      <c r="C1685">
        <v>2001</v>
      </c>
    </row>
    <row r="1686" spans="1:11" x14ac:dyDescent="0.25">
      <c r="A1686">
        <v>65.478905751592904</v>
      </c>
      <c r="B1686">
        <v>56.020405910444097</v>
      </c>
      <c r="C1686">
        <v>2000</v>
      </c>
    </row>
    <row r="1687" spans="1:11" x14ac:dyDescent="0.25">
      <c r="A1687" t="s">
        <v>87</v>
      </c>
    </row>
    <row r="1688" spans="1:11" x14ac:dyDescent="0.25">
      <c r="A1688">
        <v>663</v>
      </c>
      <c r="B1688">
        <v>0</v>
      </c>
      <c r="C1688">
        <v>6.0973905202745202</v>
      </c>
      <c r="D1688">
        <v>11.2270527667501</v>
      </c>
      <c r="E1688">
        <v>10</v>
      </c>
      <c r="F1688">
        <v>1.01722196789785</v>
      </c>
      <c r="G1688" t="s">
        <v>85</v>
      </c>
      <c r="H1688" t="s">
        <v>85</v>
      </c>
      <c r="I1688">
        <v>67</v>
      </c>
      <c r="J1688">
        <v>701</v>
      </c>
      <c r="K1688">
        <v>0</v>
      </c>
    </row>
    <row r="1689" spans="1:11" x14ac:dyDescent="0.25">
      <c r="A1689" t="s">
        <v>86</v>
      </c>
    </row>
    <row r="1690" spans="1:11" x14ac:dyDescent="0.25">
      <c r="A1690">
        <v>50.909373614001801</v>
      </c>
      <c r="B1690">
        <v>54.328709577858199</v>
      </c>
      <c r="C1690">
        <v>2000</v>
      </c>
    </row>
    <row r="1691" spans="1:11" x14ac:dyDescent="0.25">
      <c r="A1691">
        <v>49.781491987775603</v>
      </c>
      <c r="B1691">
        <v>53.2008279516321</v>
      </c>
      <c r="C1691">
        <v>2000</v>
      </c>
    </row>
    <row r="1692" spans="1:11" x14ac:dyDescent="0.25">
      <c r="A1692">
        <v>47.002166246767302</v>
      </c>
      <c r="B1692">
        <v>50.4215022106238</v>
      </c>
      <c r="C1692">
        <v>2000</v>
      </c>
    </row>
    <row r="1693" spans="1:11" x14ac:dyDescent="0.25">
      <c r="A1693">
        <v>46.789756520553397</v>
      </c>
      <c r="B1693">
        <v>50.209092484409901</v>
      </c>
      <c r="C1693">
        <v>2000</v>
      </c>
    </row>
    <row r="1694" spans="1:11" x14ac:dyDescent="0.25">
      <c r="A1694">
        <v>46.789756520553397</v>
      </c>
      <c r="B1694">
        <v>49.335060435512197</v>
      </c>
      <c r="C1694">
        <v>2001</v>
      </c>
    </row>
    <row r="1695" spans="1:11" x14ac:dyDescent="0.25">
      <c r="A1695">
        <v>47.0331938744173</v>
      </c>
      <c r="B1695">
        <v>49.5784977893762</v>
      </c>
      <c r="C1695">
        <v>2001</v>
      </c>
    </row>
    <row r="1696" spans="1:11" x14ac:dyDescent="0.25">
      <c r="A1696">
        <v>50.218508012224397</v>
      </c>
      <c r="B1696">
        <v>52.763811927183298</v>
      </c>
      <c r="C1696">
        <v>2001</v>
      </c>
    </row>
    <row r="1697" spans="1:11" x14ac:dyDescent="0.25">
      <c r="A1697">
        <v>51.293151795962402</v>
      </c>
      <c r="B1697">
        <v>53.838455710921203</v>
      </c>
      <c r="C1697">
        <v>2001</v>
      </c>
    </row>
    <row r="1698" spans="1:11" x14ac:dyDescent="0.25">
      <c r="A1698">
        <v>59.039987849090302</v>
      </c>
      <c r="B1698">
        <v>61.585291764049103</v>
      </c>
      <c r="C1698">
        <v>2001</v>
      </c>
    </row>
    <row r="1699" spans="1:11" x14ac:dyDescent="0.25">
      <c r="A1699">
        <v>59.039987849090302</v>
      </c>
      <c r="B1699">
        <v>62.4593238129467</v>
      </c>
      <c r="C1699">
        <v>2000</v>
      </c>
    </row>
    <row r="1700" spans="1:11" x14ac:dyDescent="0.25">
      <c r="A1700" t="s">
        <v>87</v>
      </c>
    </row>
    <row r="1701" spans="1:11" x14ac:dyDescent="0.25">
      <c r="A1701">
        <v>517</v>
      </c>
      <c r="B1701">
        <v>0</v>
      </c>
      <c r="C1701">
        <v>6.64443442125076</v>
      </c>
      <c r="D1701">
        <v>10.6452539159311</v>
      </c>
      <c r="E1701">
        <v>6</v>
      </c>
      <c r="F1701">
        <v>1.01722196789785</v>
      </c>
      <c r="G1701" t="s">
        <v>89</v>
      </c>
      <c r="H1701" t="s">
        <v>85</v>
      </c>
      <c r="I1701">
        <v>485</v>
      </c>
      <c r="J1701">
        <v>558</v>
      </c>
      <c r="K1701">
        <v>0</v>
      </c>
    </row>
    <row r="1702" spans="1:11" x14ac:dyDescent="0.25">
      <c r="A1702" t="s">
        <v>86</v>
      </c>
    </row>
    <row r="1703" spans="1:11" x14ac:dyDescent="0.25">
      <c r="A1703">
        <v>111.457009018154</v>
      </c>
      <c r="B1703">
        <v>119.192298383075</v>
      </c>
      <c r="C1703">
        <v>2000</v>
      </c>
    </row>
    <row r="1704" spans="1:11" x14ac:dyDescent="0.25">
      <c r="A1704">
        <v>106.674711661732</v>
      </c>
      <c r="B1704">
        <v>114.41000102665301</v>
      </c>
      <c r="C1704">
        <v>2000</v>
      </c>
    </row>
    <row r="1705" spans="1:11" x14ac:dyDescent="0.25">
      <c r="A1705">
        <v>107.111727686181</v>
      </c>
      <c r="B1705">
        <v>113.972985002204</v>
      </c>
      <c r="C1705">
        <v>2001</v>
      </c>
    </row>
    <row r="1706" spans="1:11" x14ac:dyDescent="0.25">
      <c r="A1706">
        <v>111.72607960259</v>
      </c>
      <c r="B1706">
        <v>118.587336918613</v>
      </c>
      <c r="C1706">
        <v>2001</v>
      </c>
    </row>
    <row r="1707" spans="1:11" x14ac:dyDescent="0.25">
      <c r="A1707">
        <v>119.11887554178</v>
      </c>
      <c r="B1707">
        <v>125.980132857803</v>
      </c>
      <c r="C1707">
        <v>2001</v>
      </c>
    </row>
    <row r="1708" spans="1:11" x14ac:dyDescent="0.25">
      <c r="A1708">
        <v>119.11887554178</v>
      </c>
      <c r="B1708">
        <v>126.854164906701</v>
      </c>
      <c r="C1708">
        <v>2000</v>
      </c>
    </row>
    <row r="1709" spans="1:11" x14ac:dyDescent="0.25">
      <c r="A1709" t="s">
        <v>87</v>
      </c>
    </row>
    <row r="1710" spans="1:11" x14ac:dyDescent="0.25">
      <c r="A1710">
        <v>885</v>
      </c>
      <c r="B1710">
        <v>1</v>
      </c>
      <c r="C1710">
        <v>10.2535667724606</v>
      </c>
      <c r="D1710">
        <v>6.9406987618150904</v>
      </c>
      <c r="E1710">
        <v>6</v>
      </c>
      <c r="F1710">
        <v>1.01722196789785</v>
      </c>
      <c r="G1710" t="s">
        <v>85</v>
      </c>
      <c r="H1710" t="s">
        <v>88</v>
      </c>
      <c r="I1710">
        <v>421</v>
      </c>
      <c r="J1710">
        <v>0</v>
      </c>
      <c r="K1710">
        <v>9.1169371169763397E-2</v>
      </c>
    </row>
    <row r="1711" spans="1:11" x14ac:dyDescent="0.25">
      <c r="A1711" t="s">
        <v>86</v>
      </c>
    </row>
    <row r="1712" spans="1:11" x14ac:dyDescent="0.25">
      <c r="A1712">
        <v>107.876297554232</v>
      </c>
      <c r="B1712">
        <v>5.0842226131103798</v>
      </c>
      <c r="C1712">
        <v>2000</v>
      </c>
    </row>
    <row r="1713" spans="1:11" x14ac:dyDescent="0.25">
      <c r="A1713">
        <v>100.365322386085</v>
      </c>
      <c r="B1713">
        <v>12.595197781257299</v>
      </c>
      <c r="C1713">
        <v>2000</v>
      </c>
    </row>
    <row r="1714" spans="1:11" x14ac:dyDescent="0.25">
      <c r="A1714">
        <v>100.365322386085</v>
      </c>
      <c r="B1714">
        <v>11.721165732359699</v>
      </c>
      <c r="C1714">
        <v>2001</v>
      </c>
    </row>
    <row r="1715" spans="1:11" x14ac:dyDescent="0.25">
      <c r="A1715">
        <v>107.35508041025</v>
      </c>
      <c r="B1715">
        <v>4.7314077081946904</v>
      </c>
      <c r="C1715">
        <v>2001</v>
      </c>
    </row>
    <row r="1716" spans="1:11" x14ac:dyDescent="0.25">
      <c r="A1716">
        <v>112.086488118444</v>
      </c>
      <c r="B1716">
        <v>0</v>
      </c>
      <c r="C1716">
        <v>2001</v>
      </c>
    </row>
    <row r="1717" spans="1:11" x14ac:dyDescent="0.25">
      <c r="A1717">
        <v>112.960520167342</v>
      </c>
      <c r="B1717">
        <v>0</v>
      </c>
      <c r="C1717">
        <v>2000</v>
      </c>
    </row>
    <row r="1718" spans="1:11" x14ac:dyDescent="0.25">
      <c r="A1718" t="s">
        <v>87</v>
      </c>
    </row>
    <row r="1719" spans="1:11" x14ac:dyDescent="0.25">
      <c r="A1719">
        <v>598</v>
      </c>
      <c r="B1719">
        <v>0</v>
      </c>
      <c r="C1719">
        <v>11.901941888753999</v>
      </c>
      <c r="D1719">
        <v>5.26746176287278</v>
      </c>
      <c r="E1719">
        <v>10</v>
      </c>
      <c r="F1719">
        <v>1.01722196789785</v>
      </c>
      <c r="G1719" t="s">
        <v>85</v>
      </c>
      <c r="H1719" t="s">
        <v>85</v>
      </c>
      <c r="I1719">
        <v>461</v>
      </c>
      <c r="J1719">
        <v>627</v>
      </c>
      <c r="K1719">
        <v>0</v>
      </c>
    </row>
    <row r="1720" spans="1:11" x14ac:dyDescent="0.25">
      <c r="A1720" t="s">
        <v>86</v>
      </c>
    </row>
    <row r="1721" spans="1:11" x14ac:dyDescent="0.25">
      <c r="A1721">
        <v>107.937645593079</v>
      </c>
      <c r="B1721">
        <v>53.591888619768703</v>
      </c>
      <c r="C1721">
        <v>2000</v>
      </c>
    </row>
    <row r="1722" spans="1:11" x14ac:dyDescent="0.25">
      <c r="A1722">
        <v>104.564264985534</v>
      </c>
      <c r="B1722">
        <v>50.218508012224397</v>
      </c>
      <c r="C1722">
        <v>2000</v>
      </c>
    </row>
    <row r="1723" spans="1:11" x14ac:dyDescent="0.25">
      <c r="A1723">
        <v>99.993172464059796</v>
      </c>
      <c r="B1723">
        <v>45.6474154907499</v>
      </c>
      <c r="C1723">
        <v>2000</v>
      </c>
    </row>
    <row r="1724" spans="1:11" x14ac:dyDescent="0.25">
      <c r="A1724">
        <v>99.845736578500706</v>
      </c>
      <c r="B1724">
        <v>45.499979605190802</v>
      </c>
      <c r="C1724">
        <v>2000</v>
      </c>
    </row>
    <row r="1725" spans="1:11" x14ac:dyDescent="0.25">
      <c r="A1725">
        <v>99.845736578500706</v>
      </c>
      <c r="B1725">
        <v>44.625947556293198</v>
      </c>
      <c r="C1725">
        <v>2001</v>
      </c>
    </row>
    <row r="1726" spans="1:11" x14ac:dyDescent="0.25">
      <c r="A1726">
        <v>100.00682753594</v>
      </c>
      <c r="B1726">
        <v>44.787038513732703</v>
      </c>
      <c r="C1726">
        <v>2001</v>
      </c>
    </row>
    <row r="1727" spans="1:11" x14ac:dyDescent="0.25">
      <c r="A1727">
        <v>105.001281009983</v>
      </c>
      <c r="B1727">
        <v>49.781491987775603</v>
      </c>
      <c r="C1727">
        <v>2001</v>
      </c>
    </row>
    <row r="1728" spans="1:11" x14ac:dyDescent="0.25">
      <c r="A1728">
        <v>108.585715201575</v>
      </c>
      <c r="B1728">
        <v>53.365926179367598</v>
      </c>
      <c r="C1728">
        <v>2001</v>
      </c>
    </row>
    <row r="1729" spans="1:11" x14ac:dyDescent="0.25">
      <c r="A1729">
        <v>112.42335435394401</v>
      </c>
      <c r="B1729">
        <v>57.203565331736399</v>
      </c>
      <c r="C1729">
        <v>2001</v>
      </c>
    </row>
    <row r="1730" spans="1:11" x14ac:dyDescent="0.25">
      <c r="A1730">
        <v>111.549322305046</v>
      </c>
      <c r="B1730">
        <v>57.203565331736399</v>
      </c>
      <c r="C1730">
        <v>2000</v>
      </c>
    </row>
    <row r="1731" spans="1:11" x14ac:dyDescent="0.25">
      <c r="A1731" t="s">
        <v>87</v>
      </c>
    </row>
    <row r="1732" spans="1:11" x14ac:dyDescent="0.25">
      <c r="A1732">
        <v>710</v>
      </c>
      <c r="B1732">
        <v>1</v>
      </c>
      <c r="C1732">
        <v>11.6462553979656</v>
      </c>
      <c r="D1732">
        <v>5.2225692447238803</v>
      </c>
      <c r="E1732">
        <v>6</v>
      </c>
      <c r="F1732">
        <v>1.01722196789785</v>
      </c>
      <c r="G1732" t="s">
        <v>85</v>
      </c>
      <c r="H1732" t="s">
        <v>85</v>
      </c>
      <c r="I1732">
        <v>670</v>
      </c>
      <c r="J1732">
        <v>661</v>
      </c>
      <c r="K1732">
        <v>0</v>
      </c>
    </row>
    <row r="1733" spans="1:11" x14ac:dyDescent="0.25">
      <c r="A1733" t="s">
        <v>86</v>
      </c>
    </row>
    <row r="1734" spans="1:11" x14ac:dyDescent="0.25">
      <c r="A1734">
        <v>94.857691265122995</v>
      </c>
      <c r="B1734">
        <v>58.636966878823699</v>
      </c>
      <c r="C1734">
        <v>2000</v>
      </c>
    </row>
    <row r="1735" spans="1:11" x14ac:dyDescent="0.25">
      <c r="A1735">
        <v>86.924261449791999</v>
      </c>
      <c r="B1735">
        <v>66.570396694154695</v>
      </c>
      <c r="C1735">
        <v>2000</v>
      </c>
    </row>
    <row r="1736" spans="1:11" x14ac:dyDescent="0.25">
      <c r="A1736">
        <v>86.050229400894395</v>
      </c>
      <c r="B1736">
        <v>66.570396694154695</v>
      </c>
      <c r="C1736">
        <v>2001</v>
      </c>
    </row>
    <row r="1737" spans="1:11" x14ac:dyDescent="0.25">
      <c r="A1737">
        <v>94.587091920227095</v>
      </c>
      <c r="B1737">
        <v>58.033534174821902</v>
      </c>
      <c r="C1737">
        <v>2001</v>
      </c>
    </row>
    <row r="1738" spans="1:11" x14ac:dyDescent="0.25">
      <c r="A1738">
        <v>98.415305720835605</v>
      </c>
      <c r="B1738">
        <v>54.2053203742134</v>
      </c>
      <c r="C1738">
        <v>2001</v>
      </c>
    </row>
    <row r="1739" spans="1:11" x14ac:dyDescent="0.25">
      <c r="A1739">
        <v>98.415305720835605</v>
      </c>
      <c r="B1739">
        <v>55.079352423110997</v>
      </c>
      <c r="C1739">
        <v>2000</v>
      </c>
    </row>
    <row r="1740" spans="1:11" x14ac:dyDescent="0.25">
      <c r="A1740" t="s">
        <v>87</v>
      </c>
    </row>
    <row r="1741" spans="1:11" x14ac:dyDescent="0.25">
      <c r="A1741">
        <v>813</v>
      </c>
      <c r="B1741">
        <v>0</v>
      </c>
      <c r="C1741">
        <v>10.197046284538001</v>
      </c>
      <c r="D1741">
        <v>6.6166489961117199</v>
      </c>
      <c r="E1741">
        <v>8</v>
      </c>
      <c r="F1741">
        <v>1.01722196789785</v>
      </c>
      <c r="G1741" t="s">
        <v>85</v>
      </c>
      <c r="H1741" t="s">
        <v>85</v>
      </c>
      <c r="I1741">
        <v>772</v>
      </c>
      <c r="J1741">
        <v>395</v>
      </c>
      <c r="K1741">
        <v>9.0097089164053304E-2</v>
      </c>
    </row>
    <row r="1742" spans="1:11" x14ac:dyDescent="0.25">
      <c r="A1742" t="s">
        <v>86</v>
      </c>
    </row>
    <row r="1743" spans="1:11" x14ac:dyDescent="0.25">
      <c r="A1743">
        <v>44.620394154903998</v>
      </c>
      <c r="B1743">
        <v>50.613174185596698</v>
      </c>
      <c r="C1743">
        <v>2000</v>
      </c>
    </row>
    <row r="1744" spans="1:11" x14ac:dyDescent="0.25">
      <c r="A1744">
        <v>44.213946176953499</v>
      </c>
      <c r="B1744">
        <v>50.206726207646199</v>
      </c>
      <c r="C1744">
        <v>2000</v>
      </c>
    </row>
    <row r="1745" spans="1:11" x14ac:dyDescent="0.25">
      <c r="A1745">
        <v>37.1855993271828</v>
      </c>
      <c r="B1745">
        <v>43.1783793578755</v>
      </c>
      <c r="C1745">
        <v>2000</v>
      </c>
    </row>
    <row r="1746" spans="1:11" x14ac:dyDescent="0.25">
      <c r="A1746">
        <v>38.059631376080397</v>
      </c>
      <c r="B1746">
        <v>43.1783793578755</v>
      </c>
      <c r="C1746">
        <v>2001</v>
      </c>
    </row>
    <row r="1747" spans="1:11" x14ac:dyDescent="0.25">
      <c r="A1747">
        <v>44.674525810558698</v>
      </c>
      <c r="B1747">
        <v>49.793273792353801</v>
      </c>
      <c r="C1747">
        <v>2001</v>
      </c>
    </row>
    <row r="1748" spans="1:11" x14ac:dyDescent="0.25">
      <c r="A1748">
        <v>45.045637700099</v>
      </c>
      <c r="B1748">
        <v>50.164385681894103</v>
      </c>
      <c r="C1748">
        <v>2001</v>
      </c>
    </row>
    <row r="1749" spans="1:11" x14ac:dyDescent="0.25">
      <c r="A1749">
        <v>49.511693301383303</v>
      </c>
      <c r="B1749">
        <v>54.6304412831783</v>
      </c>
      <c r="C1749">
        <v>2001</v>
      </c>
    </row>
    <row r="1750" spans="1:11" x14ac:dyDescent="0.25">
      <c r="A1750">
        <v>49.511693301383303</v>
      </c>
      <c r="B1750">
        <v>55.504473332076003</v>
      </c>
      <c r="C1750">
        <v>2000</v>
      </c>
    </row>
    <row r="1751" spans="1:11" x14ac:dyDescent="0.25">
      <c r="A1751" t="s">
        <v>87</v>
      </c>
    </row>
    <row r="1752" spans="1:11" x14ac:dyDescent="0.25">
      <c r="A1752">
        <v>236</v>
      </c>
      <c r="B1752">
        <v>1</v>
      </c>
      <c r="C1752">
        <v>4.3191795346136903</v>
      </c>
      <c r="D1752">
        <v>12.396186424015401</v>
      </c>
      <c r="E1752">
        <v>6</v>
      </c>
      <c r="F1752">
        <v>1.01722196789785</v>
      </c>
      <c r="G1752" t="s">
        <v>85</v>
      </c>
      <c r="H1752" t="s">
        <v>85</v>
      </c>
      <c r="I1752">
        <v>187</v>
      </c>
      <c r="J1752">
        <v>729</v>
      </c>
      <c r="K1752">
        <v>0</v>
      </c>
    </row>
    <row r="1753" spans="1:11" x14ac:dyDescent="0.25">
      <c r="A1753" t="s">
        <v>86</v>
      </c>
    </row>
    <row r="1754" spans="1:11" x14ac:dyDescent="0.25">
      <c r="A1754">
        <v>59.610054895109101</v>
      </c>
      <c r="B1754">
        <v>131.80084385993001</v>
      </c>
      <c r="C1754">
        <v>2000</v>
      </c>
    </row>
    <row r="1755" spans="1:11" x14ac:dyDescent="0.25">
      <c r="A1755">
        <v>56.555933757021599</v>
      </c>
      <c r="B1755">
        <v>134.85496499801701</v>
      </c>
      <c r="C1755">
        <v>2000</v>
      </c>
    </row>
    <row r="1756" spans="1:11" x14ac:dyDescent="0.25">
      <c r="A1756">
        <v>57.429965805919302</v>
      </c>
      <c r="B1756">
        <v>134.854964998018</v>
      </c>
      <c r="C1756">
        <v>2001</v>
      </c>
    </row>
    <row r="1757" spans="1:11" x14ac:dyDescent="0.25">
      <c r="A1757">
        <v>60.484086944006798</v>
      </c>
      <c r="B1757">
        <v>131.80084385993001</v>
      </c>
      <c r="C1757">
        <v>2001</v>
      </c>
    </row>
    <row r="1758" spans="1:11" x14ac:dyDescent="0.25">
      <c r="A1758">
        <v>69.249514425280594</v>
      </c>
      <c r="B1758">
        <v>123.035416378656</v>
      </c>
      <c r="C1758">
        <v>2001</v>
      </c>
    </row>
    <row r="1759" spans="1:11" x14ac:dyDescent="0.25">
      <c r="A1759">
        <v>68.375482376383005</v>
      </c>
      <c r="B1759">
        <v>123.035416378656</v>
      </c>
      <c r="C1759">
        <v>2000</v>
      </c>
    </row>
    <row r="1760" spans="1:11" x14ac:dyDescent="0.25">
      <c r="A1760" t="s">
        <v>87</v>
      </c>
    </row>
    <row r="1761" spans="1:11" x14ac:dyDescent="0.25">
      <c r="A1761">
        <v>629</v>
      </c>
      <c r="B1761">
        <v>1</v>
      </c>
      <c r="C1761">
        <v>3.8078087756245602</v>
      </c>
      <c r="D1761">
        <v>12.905530973261399</v>
      </c>
      <c r="E1761">
        <v>8</v>
      </c>
      <c r="F1761">
        <v>1.01722196789785</v>
      </c>
      <c r="G1761" t="s">
        <v>85</v>
      </c>
      <c r="H1761" t="s">
        <v>85</v>
      </c>
      <c r="I1761">
        <v>597</v>
      </c>
      <c r="J1761">
        <v>108</v>
      </c>
      <c r="K1761">
        <v>0</v>
      </c>
    </row>
    <row r="1762" spans="1:11" x14ac:dyDescent="0.25">
      <c r="A1762" t="s">
        <v>86</v>
      </c>
    </row>
    <row r="1763" spans="1:11" x14ac:dyDescent="0.25">
      <c r="A1763">
        <v>130.591816773912</v>
      </c>
      <c r="B1763">
        <v>50.437040819050999</v>
      </c>
      <c r="C1763">
        <v>2000</v>
      </c>
    </row>
    <row r="1764" spans="1:11" x14ac:dyDescent="0.25">
      <c r="A1764">
        <v>127.700261307275</v>
      </c>
      <c r="B1764">
        <v>53.328596285688398</v>
      </c>
      <c r="C1764">
        <v>2000</v>
      </c>
    </row>
    <row r="1765" spans="1:11" x14ac:dyDescent="0.25">
      <c r="A1765">
        <v>127.700261307275</v>
      </c>
      <c r="B1765">
        <v>52.454564236790802</v>
      </c>
      <c r="C1765">
        <v>2001</v>
      </c>
    </row>
    <row r="1766" spans="1:11" x14ac:dyDescent="0.25">
      <c r="A1766">
        <v>130.19376065404899</v>
      </c>
      <c r="B1766">
        <v>49.961064890016601</v>
      </c>
      <c r="C1766">
        <v>2001</v>
      </c>
    </row>
    <row r="1767" spans="1:11" x14ac:dyDescent="0.25">
      <c r="A1767">
        <v>130.37809978520099</v>
      </c>
      <c r="B1767">
        <v>49.776725758865098</v>
      </c>
      <c r="C1767">
        <v>2001</v>
      </c>
    </row>
    <row r="1768" spans="1:11" x14ac:dyDescent="0.25">
      <c r="A1768">
        <v>139.518377179987</v>
      </c>
      <c r="B1768">
        <v>40.636448364078802</v>
      </c>
      <c r="C1768">
        <v>2001</v>
      </c>
    </row>
    <row r="1769" spans="1:11" x14ac:dyDescent="0.25">
      <c r="A1769">
        <v>139.518377179987</v>
      </c>
      <c r="B1769">
        <v>41.510480412976499</v>
      </c>
      <c r="C1769">
        <v>2000</v>
      </c>
    </row>
    <row r="1770" spans="1:11" x14ac:dyDescent="0.25">
      <c r="A1770">
        <v>130.805583351829</v>
      </c>
      <c r="B1770">
        <v>50.223274241134902</v>
      </c>
      <c r="C1770">
        <v>2000</v>
      </c>
    </row>
    <row r="1771" spans="1:11" x14ac:dyDescent="0.25">
      <c r="A1771" t="s">
        <v>87</v>
      </c>
    </row>
    <row r="1772" spans="1:11" x14ac:dyDescent="0.25">
      <c r="A1772">
        <v>269</v>
      </c>
      <c r="B1772">
        <v>0</v>
      </c>
      <c r="C1772">
        <v>4.4238957505480396</v>
      </c>
      <c r="D1772">
        <v>12.2724748210117</v>
      </c>
      <c r="E1772">
        <v>6</v>
      </c>
      <c r="F1772">
        <v>1.01722196789785</v>
      </c>
      <c r="G1772" t="s">
        <v>88</v>
      </c>
      <c r="H1772" t="s">
        <v>85</v>
      </c>
      <c r="I1772">
        <v>0</v>
      </c>
      <c r="J1772">
        <v>736</v>
      </c>
      <c r="K1772">
        <v>0</v>
      </c>
    </row>
    <row r="1773" spans="1:11" x14ac:dyDescent="0.25">
      <c r="A1773" t="s">
        <v>86</v>
      </c>
    </row>
    <row r="1774" spans="1:11" x14ac:dyDescent="0.25">
      <c r="A1774">
        <v>3.2439591152426601</v>
      </c>
      <c r="B1774">
        <v>103.89932977940801</v>
      </c>
      <c r="C1774">
        <v>2000</v>
      </c>
    </row>
    <row r="1775" spans="1:11" x14ac:dyDescent="0.25">
      <c r="A1775">
        <v>0</v>
      </c>
      <c r="B1775">
        <v>100.655370664166</v>
      </c>
      <c r="C1775">
        <v>2000</v>
      </c>
    </row>
    <row r="1776" spans="1:11" x14ac:dyDescent="0.25">
      <c r="A1776">
        <v>0</v>
      </c>
      <c r="B1776">
        <v>101.52940271306301</v>
      </c>
      <c r="C1776">
        <v>2001</v>
      </c>
    </row>
    <row r="1777" spans="1:11" x14ac:dyDescent="0.25">
      <c r="A1777">
        <v>3.0123742537071001</v>
      </c>
      <c r="B1777">
        <v>104.54177696677</v>
      </c>
      <c r="C1777">
        <v>2001</v>
      </c>
    </row>
    <row r="1778" spans="1:11" x14ac:dyDescent="0.25">
      <c r="A1778">
        <v>11.3691008279046</v>
      </c>
      <c r="B1778">
        <v>112.89850354096799</v>
      </c>
      <c r="C1778">
        <v>2001</v>
      </c>
    </row>
    <row r="1779" spans="1:11" x14ac:dyDescent="0.25">
      <c r="A1779">
        <v>12.2431328768022</v>
      </c>
      <c r="B1779">
        <v>112.89850354096799</v>
      </c>
      <c r="C1779">
        <v>2000</v>
      </c>
    </row>
    <row r="1780" spans="1:11" x14ac:dyDescent="0.25">
      <c r="A1780" t="s">
        <v>87</v>
      </c>
    </row>
    <row r="1781" spans="1:11" x14ac:dyDescent="0.25">
      <c r="A1781">
        <v>931</v>
      </c>
      <c r="B1781">
        <v>0</v>
      </c>
      <c r="C1781">
        <v>15.8439564704669</v>
      </c>
      <c r="D1781">
        <v>0.83926630937563096</v>
      </c>
      <c r="E1781">
        <v>6</v>
      </c>
      <c r="F1781">
        <v>1.01722196789785</v>
      </c>
      <c r="G1781" t="s">
        <v>85</v>
      </c>
      <c r="H1781" t="s">
        <v>88</v>
      </c>
      <c r="I1781">
        <v>902</v>
      </c>
      <c r="J1781">
        <v>0</v>
      </c>
      <c r="K1781">
        <v>9.2142179589674397E-2</v>
      </c>
    </row>
    <row r="1782" spans="1:11" x14ac:dyDescent="0.25">
      <c r="A1782" t="s">
        <v>86</v>
      </c>
    </row>
    <row r="1783" spans="1:11" x14ac:dyDescent="0.25">
      <c r="A1783">
        <v>149.40654910141899</v>
      </c>
      <c r="B1783">
        <v>136.03904876020701</v>
      </c>
      <c r="C1783">
        <v>2000</v>
      </c>
    </row>
    <row r="1784" spans="1:11" x14ac:dyDescent="0.25">
      <c r="A1784">
        <v>138.203180040327</v>
      </c>
      <c r="B1784">
        <v>124.835679699116</v>
      </c>
      <c r="C1784">
        <v>2000</v>
      </c>
    </row>
    <row r="1785" spans="1:11" x14ac:dyDescent="0.25">
      <c r="A1785">
        <v>138.203180040327</v>
      </c>
      <c r="B1785">
        <v>123.961647650218</v>
      </c>
      <c r="C1785">
        <v>2001</v>
      </c>
    </row>
    <row r="1786" spans="1:11" x14ac:dyDescent="0.25">
      <c r="A1786">
        <v>149.40654910141899</v>
      </c>
      <c r="B1786">
        <v>135.16501671130999</v>
      </c>
      <c r="C1786">
        <v>2001</v>
      </c>
    </row>
    <row r="1787" spans="1:11" x14ac:dyDescent="0.25">
      <c r="A1787">
        <v>150</v>
      </c>
      <c r="B1787">
        <v>135.758467609891</v>
      </c>
      <c r="C1787">
        <v>2001</v>
      </c>
    </row>
    <row r="1788" spans="1:11" x14ac:dyDescent="0.25">
      <c r="A1788">
        <v>150</v>
      </c>
      <c r="B1788">
        <v>136.63249965878799</v>
      </c>
      <c r="C1788">
        <v>2000</v>
      </c>
    </row>
    <row r="1789" spans="1:11" x14ac:dyDescent="0.25">
      <c r="A1789" t="s">
        <v>87</v>
      </c>
    </row>
    <row r="1790" spans="1:11" x14ac:dyDescent="0.25">
      <c r="A1790">
        <v>146</v>
      </c>
      <c r="B1790">
        <v>1</v>
      </c>
      <c r="C1790">
        <v>8.0827401943543205</v>
      </c>
      <c r="D1790">
        <v>8.5389084548966405</v>
      </c>
      <c r="E1790">
        <v>6</v>
      </c>
      <c r="F1790">
        <v>1.01722196789785</v>
      </c>
      <c r="G1790" t="s">
        <v>85</v>
      </c>
      <c r="H1790" t="s">
        <v>89</v>
      </c>
      <c r="I1790">
        <v>104</v>
      </c>
      <c r="J1790">
        <v>816</v>
      </c>
      <c r="K1790">
        <v>0</v>
      </c>
    </row>
    <row r="1791" spans="1:11" x14ac:dyDescent="0.25">
      <c r="A1791" t="s">
        <v>86</v>
      </c>
    </row>
    <row r="1792" spans="1:11" x14ac:dyDescent="0.25">
      <c r="A1792">
        <v>120.036653262201</v>
      </c>
      <c r="B1792">
        <v>35.410384312367498</v>
      </c>
      <c r="C1792">
        <v>2000</v>
      </c>
    </row>
    <row r="1793" spans="1:11" x14ac:dyDescent="0.25">
      <c r="A1793">
        <v>114.427548474822</v>
      </c>
      <c r="B1793">
        <v>41.019489099746302</v>
      </c>
      <c r="C1793">
        <v>2000</v>
      </c>
    </row>
    <row r="1794" spans="1:11" x14ac:dyDescent="0.25">
      <c r="A1794">
        <v>113.553516425925</v>
      </c>
      <c r="B1794">
        <v>41.019489099746302</v>
      </c>
      <c r="C1794">
        <v>2001</v>
      </c>
    </row>
    <row r="1795" spans="1:11" x14ac:dyDescent="0.25">
      <c r="A1795">
        <v>119.37513244254001</v>
      </c>
      <c r="B1795">
        <v>35.1978730831311</v>
      </c>
      <c r="C1795">
        <v>2001</v>
      </c>
    </row>
    <row r="1796" spans="1:11" x14ac:dyDescent="0.25">
      <c r="A1796">
        <v>125.52530491253501</v>
      </c>
      <c r="B1796">
        <v>29.0477006131363</v>
      </c>
      <c r="C1796">
        <v>2001</v>
      </c>
    </row>
    <row r="1797" spans="1:11" x14ac:dyDescent="0.25">
      <c r="A1797">
        <v>125.962320936984</v>
      </c>
      <c r="B1797">
        <v>29.484716637585102</v>
      </c>
      <c r="C1797">
        <v>2000</v>
      </c>
    </row>
    <row r="1798" spans="1:11" x14ac:dyDescent="0.25">
      <c r="A1798" t="s">
        <v>87</v>
      </c>
    </row>
    <row r="1799" spans="1:11" x14ac:dyDescent="0.25">
      <c r="A1799">
        <v>473</v>
      </c>
      <c r="B1799">
        <v>1</v>
      </c>
      <c r="C1799">
        <v>8.6276889195138295</v>
      </c>
      <c r="D1799">
        <v>7.9416150775811403</v>
      </c>
      <c r="E1799">
        <v>10</v>
      </c>
      <c r="F1799">
        <v>1.01722196789785</v>
      </c>
      <c r="G1799" t="s">
        <v>85</v>
      </c>
      <c r="H1799" t="s">
        <v>85</v>
      </c>
      <c r="I1799">
        <v>428</v>
      </c>
      <c r="J1799">
        <v>721</v>
      </c>
      <c r="K1799">
        <v>0</v>
      </c>
    </row>
    <row r="1800" spans="1:11" x14ac:dyDescent="0.25">
      <c r="A1800" t="s">
        <v>86</v>
      </c>
    </row>
    <row r="1801" spans="1:11" x14ac:dyDescent="0.25">
      <c r="A1801">
        <v>95.617129191768896</v>
      </c>
      <c r="B1801">
        <v>47.250904539051298</v>
      </c>
      <c r="C1801">
        <v>2000</v>
      </c>
    </row>
    <row r="1802" spans="1:11" x14ac:dyDescent="0.25">
      <c r="A1802">
        <v>92.543435191761304</v>
      </c>
      <c r="B1802">
        <v>50.324598539058798</v>
      </c>
      <c r="C1802">
        <v>2000</v>
      </c>
    </row>
    <row r="1803" spans="1:11" x14ac:dyDescent="0.25">
      <c r="A1803">
        <v>89.292345365645502</v>
      </c>
      <c r="B1803">
        <v>53.575688365174699</v>
      </c>
      <c r="C1803">
        <v>2000</v>
      </c>
    </row>
    <row r="1804" spans="1:11" x14ac:dyDescent="0.25">
      <c r="A1804">
        <v>89.292345365645502</v>
      </c>
      <c r="B1804">
        <v>52.701656316277003</v>
      </c>
      <c r="C1804">
        <v>2001</v>
      </c>
    </row>
    <row r="1805" spans="1:11" x14ac:dyDescent="0.25">
      <c r="A1805">
        <v>92.318600220981395</v>
      </c>
      <c r="B1805">
        <v>49.675401460941202</v>
      </c>
      <c r="C1805">
        <v>2001</v>
      </c>
    </row>
    <row r="1806" spans="1:11" x14ac:dyDescent="0.25">
      <c r="A1806">
        <v>95.168956221434698</v>
      </c>
      <c r="B1806">
        <v>46.8250454604879</v>
      </c>
      <c r="C1806">
        <v>2001</v>
      </c>
    </row>
    <row r="1807" spans="1:11" x14ac:dyDescent="0.25">
      <c r="A1807">
        <v>99.602230202595607</v>
      </c>
      <c r="B1807">
        <v>42.391771479326998</v>
      </c>
      <c r="C1807">
        <v>2001</v>
      </c>
    </row>
    <row r="1808" spans="1:11" x14ac:dyDescent="0.25">
      <c r="A1808">
        <v>100.57159655708401</v>
      </c>
      <c r="B1808">
        <v>41.422405124838598</v>
      </c>
      <c r="C1808">
        <v>2001</v>
      </c>
    </row>
    <row r="1809" spans="1:11" x14ac:dyDescent="0.25">
      <c r="A1809">
        <v>101.44562860598199</v>
      </c>
      <c r="B1809">
        <v>41.422405124838598</v>
      </c>
      <c r="C1809">
        <v>2000</v>
      </c>
    </row>
    <row r="1810" spans="1:11" x14ac:dyDescent="0.25">
      <c r="A1810">
        <v>100.397769797404</v>
      </c>
      <c r="B1810">
        <v>42.470263933415801</v>
      </c>
      <c r="C1810">
        <v>2000</v>
      </c>
    </row>
    <row r="1811" spans="1:11" x14ac:dyDescent="0.25">
      <c r="A1811" t="s">
        <v>87</v>
      </c>
    </row>
    <row r="1812" spans="1:11" x14ac:dyDescent="0.25">
      <c r="A1812">
        <v>470</v>
      </c>
      <c r="B1812">
        <v>1</v>
      </c>
      <c r="C1812">
        <v>8.7151592706467103</v>
      </c>
      <c r="D1812">
        <v>7.8541447264482498</v>
      </c>
      <c r="E1812">
        <v>8</v>
      </c>
      <c r="F1812">
        <v>1.01722196789785</v>
      </c>
      <c r="G1812" t="s">
        <v>85</v>
      </c>
      <c r="H1812" t="s">
        <v>85</v>
      </c>
      <c r="I1812">
        <v>428</v>
      </c>
      <c r="J1812">
        <v>721</v>
      </c>
      <c r="K1812">
        <v>0</v>
      </c>
    </row>
    <row r="1813" spans="1:11" x14ac:dyDescent="0.25">
      <c r="A1813" t="s">
        <v>86</v>
      </c>
    </row>
    <row r="1814" spans="1:11" x14ac:dyDescent="0.25">
      <c r="A1814">
        <v>93.248351572983395</v>
      </c>
      <c r="B1814">
        <v>44.748179031554798</v>
      </c>
      <c r="C1814">
        <v>2000</v>
      </c>
    </row>
    <row r="1815" spans="1:11" x14ac:dyDescent="0.25">
      <c r="A1815">
        <v>87.584438331822099</v>
      </c>
      <c r="B1815">
        <v>50.412092272716102</v>
      </c>
      <c r="C1815">
        <v>2000</v>
      </c>
    </row>
    <row r="1816" spans="1:11" x14ac:dyDescent="0.25">
      <c r="A1816">
        <v>86.856593802504506</v>
      </c>
      <c r="B1816">
        <v>51.139936802033702</v>
      </c>
      <c r="C1816">
        <v>2000</v>
      </c>
    </row>
    <row r="1817" spans="1:11" x14ac:dyDescent="0.25">
      <c r="A1817">
        <v>86.856593802504506</v>
      </c>
      <c r="B1817">
        <v>50.265904753135999</v>
      </c>
      <c r="C1817">
        <v>2001</v>
      </c>
    </row>
    <row r="1818" spans="1:11" x14ac:dyDescent="0.25">
      <c r="A1818">
        <v>87.534590828356599</v>
      </c>
      <c r="B1818">
        <v>49.587907727283898</v>
      </c>
      <c r="C1818">
        <v>2001</v>
      </c>
    </row>
    <row r="1819" spans="1:11" x14ac:dyDescent="0.25">
      <c r="A1819">
        <v>92.789932470815799</v>
      </c>
      <c r="B1819">
        <v>44.332566084824698</v>
      </c>
      <c r="C1819">
        <v>2001</v>
      </c>
    </row>
    <row r="1820" spans="1:11" x14ac:dyDescent="0.25">
      <c r="A1820">
        <v>98.135844993942897</v>
      </c>
      <c r="B1820">
        <v>38.986653561697601</v>
      </c>
      <c r="C1820">
        <v>2001</v>
      </c>
    </row>
    <row r="1821" spans="1:11" x14ac:dyDescent="0.25">
      <c r="A1821">
        <v>99.0098770428405</v>
      </c>
      <c r="B1821">
        <v>38.986653561697601</v>
      </c>
      <c r="C1821">
        <v>2000</v>
      </c>
    </row>
    <row r="1822" spans="1:11" x14ac:dyDescent="0.25">
      <c r="A1822" t="s">
        <v>87</v>
      </c>
    </row>
    <row r="1823" spans="1:11" x14ac:dyDescent="0.25">
      <c r="A1823">
        <v>143</v>
      </c>
      <c r="B1823">
        <v>1</v>
      </c>
      <c r="C1823">
        <v>14.795273842234799</v>
      </c>
      <c r="D1823">
        <v>1.7261198187101201</v>
      </c>
      <c r="E1823">
        <v>8</v>
      </c>
      <c r="F1823">
        <v>1.01722196789785</v>
      </c>
      <c r="G1823" t="s">
        <v>89</v>
      </c>
      <c r="H1823" t="s">
        <v>85</v>
      </c>
      <c r="I1823">
        <v>846</v>
      </c>
      <c r="J1823">
        <v>106</v>
      </c>
      <c r="K1823">
        <v>0</v>
      </c>
    </row>
    <row r="1824" spans="1:11" x14ac:dyDescent="0.25">
      <c r="A1824" t="s">
        <v>86</v>
      </c>
    </row>
    <row r="1825" spans="1:11" x14ac:dyDescent="0.25">
      <c r="A1825">
        <v>101.163336236532</v>
      </c>
      <c r="B1825">
        <v>14.926755826469099</v>
      </c>
      <c r="C1825">
        <v>2000</v>
      </c>
    </row>
    <row r="1826" spans="1:11" x14ac:dyDescent="0.25">
      <c r="A1826">
        <v>99.781491987775595</v>
      </c>
      <c r="B1826">
        <v>16.308600075225399</v>
      </c>
      <c r="C1826">
        <v>2000</v>
      </c>
    </row>
    <row r="1827" spans="1:11" x14ac:dyDescent="0.25">
      <c r="A1827">
        <v>90.822060774182304</v>
      </c>
      <c r="B1827">
        <v>25.268031288818801</v>
      </c>
      <c r="C1827">
        <v>2000</v>
      </c>
    </row>
    <row r="1828" spans="1:11" x14ac:dyDescent="0.25">
      <c r="A1828">
        <v>91.259076798631099</v>
      </c>
      <c r="B1828">
        <v>25.705047313267599</v>
      </c>
      <c r="C1828">
        <v>2001</v>
      </c>
    </row>
    <row r="1829" spans="1:11" x14ac:dyDescent="0.25">
      <c r="A1829">
        <v>100.21850801222401</v>
      </c>
      <c r="B1829">
        <v>16.745616099674301</v>
      </c>
      <c r="C1829">
        <v>2001</v>
      </c>
    </row>
    <row r="1830" spans="1:11" x14ac:dyDescent="0.25">
      <c r="A1830">
        <v>101.841478262994</v>
      </c>
      <c r="B1830">
        <v>15.1226458489049</v>
      </c>
      <c r="C1830">
        <v>2001</v>
      </c>
    </row>
    <row r="1831" spans="1:11" x14ac:dyDescent="0.25">
      <c r="A1831">
        <v>103.159974303162</v>
      </c>
      <c r="B1831">
        <v>13.8041498087366</v>
      </c>
      <c r="C1831">
        <v>2001</v>
      </c>
    </row>
    <row r="1832" spans="1:11" x14ac:dyDescent="0.25">
      <c r="A1832">
        <v>102.285942254264</v>
      </c>
      <c r="B1832">
        <v>13.8041498087366</v>
      </c>
      <c r="C1832">
        <v>2000</v>
      </c>
    </row>
    <row r="1833" spans="1:11" x14ac:dyDescent="0.25">
      <c r="A1833" t="s">
        <v>87</v>
      </c>
    </row>
    <row r="1834" spans="1:11" x14ac:dyDescent="0.25">
      <c r="A1834">
        <v>108</v>
      </c>
      <c r="B1834">
        <v>0</v>
      </c>
      <c r="C1834">
        <v>6.3400520378965703</v>
      </c>
      <c r="D1834">
        <v>10.139268651612699</v>
      </c>
      <c r="E1834">
        <v>6</v>
      </c>
      <c r="F1834">
        <v>1.01722196789785</v>
      </c>
      <c r="G1834" t="s">
        <v>85</v>
      </c>
      <c r="H1834" t="s">
        <v>85</v>
      </c>
      <c r="I1834">
        <v>147</v>
      </c>
      <c r="J1834">
        <v>154</v>
      </c>
      <c r="K1834">
        <v>0</v>
      </c>
    </row>
    <row r="1835" spans="1:11" x14ac:dyDescent="0.25">
      <c r="A1835" t="s">
        <v>86</v>
      </c>
    </row>
    <row r="1836" spans="1:11" x14ac:dyDescent="0.25">
      <c r="A1836">
        <v>132.64047685215601</v>
      </c>
      <c r="B1836">
        <v>34.632580085145896</v>
      </c>
      <c r="C1836">
        <v>2000</v>
      </c>
    </row>
    <row r="1837" spans="1:11" x14ac:dyDescent="0.25">
      <c r="A1837">
        <v>127.989250869494</v>
      </c>
      <c r="B1837">
        <v>29.981354102483699</v>
      </c>
      <c r="C1837">
        <v>2000</v>
      </c>
    </row>
    <row r="1838" spans="1:11" x14ac:dyDescent="0.25">
      <c r="A1838">
        <v>128.863282918392</v>
      </c>
      <c r="B1838">
        <v>29.981354102483699</v>
      </c>
      <c r="C1838">
        <v>2001</v>
      </c>
    </row>
    <row r="1839" spans="1:11" x14ac:dyDescent="0.25">
      <c r="A1839">
        <v>133.17824451387401</v>
      </c>
      <c r="B1839">
        <v>34.296315697965902</v>
      </c>
      <c r="C1839">
        <v>2001</v>
      </c>
    </row>
    <row r="1840" spans="1:11" x14ac:dyDescent="0.25">
      <c r="A1840">
        <v>140.078906302843</v>
      </c>
      <c r="B1840">
        <v>41.1969774869346</v>
      </c>
      <c r="C1840">
        <v>2001</v>
      </c>
    </row>
    <row r="1841" spans="1:11" x14ac:dyDescent="0.25">
      <c r="A1841">
        <v>140.078906302843</v>
      </c>
      <c r="B1841">
        <v>42.071009535832196</v>
      </c>
      <c r="C1841">
        <v>2000</v>
      </c>
    </row>
    <row r="1842" spans="1:11" x14ac:dyDescent="0.25">
      <c r="A1842" t="s">
        <v>87</v>
      </c>
    </row>
    <row r="1843" spans="1:11" x14ac:dyDescent="0.25">
      <c r="A1843">
        <v>78</v>
      </c>
      <c r="B1843">
        <v>1</v>
      </c>
      <c r="C1843">
        <v>15.600359718616099</v>
      </c>
      <c r="D1843">
        <v>0.772491048688</v>
      </c>
      <c r="E1843">
        <v>8</v>
      </c>
      <c r="F1843">
        <v>1.01722196789785</v>
      </c>
      <c r="G1843" t="s">
        <v>89</v>
      </c>
      <c r="H1843" t="s">
        <v>89</v>
      </c>
      <c r="I1843">
        <v>742</v>
      </c>
      <c r="J1843">
        <v>43</v>
      </c>
      <c r="K1843">
        <v>0</v>
      </c>
    </row>
    <row r="1844" spans="1:11" x14ac:dyDescent="0.25">
      <c r="A1844" t="s">
        <v>86</v>
      </c>
    </row>
    <row r="1845" spans="1:11" x14ac:dyDescent="0.25">
      <c r="A1845">
        <v>36.484005683788297</v>
      </c>
      <c r="B1845">
        <v>40.662071585493401</v>
      </c>
      <c r="C1845">
        <v>2000</v>
      </c>
    </row>
    <row r="1846" spans="1:11" x14ac:dyDescent="0.25">
      <c r="A1846">
        <v>26.9275692570573</v>
      </c>
      <c r="B1846">
        <v>50.218508012224397</v>
      </c>
      <c r="C1846">
        <v>2000</v>
      </c>
    </row>
    <row r="1847" spans="1:11" x14ac:dyDescent="0.25">
      <c r="A1847">
        <v>25.4528855378054</v>
      </c>
      <c r="B1847">
        <v>51.693191731476297</v>
      </c>
      <c r="C1847">
        <v>2000</v>
      </c>
    </row>
    <row r="1848" spans="1:11" x14ac:dyDescent="0.25">
      <c r="A1848">
        <v>25.015869513356598</v>
      </c>
      <c r="B1848">
        <v>51.256175707027502</v>
      </c>
      <c r="C1848">
        <v>2001</v>
      </c>
    </row>
    <row r="1849" spans="1:11" x14ac:dyDescent="0.25">
      <c r="A1849">
        <v>26.490553232608399</v>
      </c>
      <c r="B1849">
        <v>49.781491987775603</v>
      </c>
      <c r="C1849">
        <v>2001</v>
      </c>
    </row>
    <row r="1850" spans="1:11" x14ac:dyDescent="0.25">
      <c r="A1850">
        <v>36.046989659339502</v>
      </c>
      <c r="B1850">
        <v>40.225055561044599</v>
      </c>
      <c r="C1850">
        <v>2001</v>
      </c>
    </row>
    <row r="1851" spans="1:11" x14ac:dyDescent="0.25">
      <c r="A1851">
        <v>36.593223318272599</v>
      </c>
      <c r="B1851">
        <v>39.678821902111402</v>
      </c>
      <c r="C1851">
        <v>2001</v>
      </c>
    </row>
    <row r="1852" spans="1:11" x14ac:dyDescent="0.25">
      <c r="A1852">
        <v>37.030239342721501</v>
      </c>
      <c r="B1852">
        <v>40.115837926560197</v>
      </c>
      <c r="C1852">
        <v>2000</v>
      </c>
    </row>
    <row r="1853" spans="1:11" x14ac:dyDescent="0.25">
      <c r="A1853" t="s">
        <v>87</v>
      </c>
    </row>
    <row r="1854" spans="1:11" x14ac:dyDescent="0.25">
      <c r="A1854">
        <v>465</v>
      </c>
      <c r="B1854">
        <v>1</v>
      </c>
      <c r="C1854">
        <v>2.0889967265412901</v>
      </c>
      <c r="D1854">
        <v>14.281195910418401</v>
      </c>
      <c r="E1854">
        <v>6</v>
      </c>
      <c r="F1854">
        <v>1.01722196789785</v>
      </c>
      <c r="G1854" t="s">
        <v>85</v>
      </c>
      <c r="H1854" t="s">
        <v>85</v>
      </c>
      <c r="I1854">
        <v>764</v>
      </c>
      <c r="J1854">
        <v>431</v>
      </c>
      <c r="K1854">
        <v>0</v>
      </c>
    </row>
    <row r="1855" spans="1:11" x14ac:dyDescent="0.25">
      <c r="A1855" t="s">
        <v>86</v>
      </c>
    </row>
    <row r="1856" spans="1:11" x14ac:dyDescent="0.25">
      <c r="A1856">
        <v>68.120387354527097</v>
      </c>
      <c r="B1856">
        <v>27.0144169171719</v>
      </c>
      <c r="C1856">
        <v>2000</v>
      </c>
    </row>
    <row r="1857" spans="1:11" x14ac:dyDescent="0.25">
      <c r="A1857">
        <v>66.587476083360002</v>
      </c>
      <c r="B1857">
        <v>28.547328188338899</v>
      </c>
      <c r="C1857">
        <v>2000</v>
      </c>
    </row>
    <row r="1858" spans="1:11" x14ac:dyDescent="0.25">
      <c r="A1858">
        <v>67.461508132257606</v>
      </c>
      <c r="B1858">
        <v>28.547328188338899</v>
      </c>
      <c r="C1858">
        <v>2001</v>
      </c>
    </row>
    <row r="1859" spans="1:11" x14ac:dyDescent="0.25">
      <c r="A1859">
        <v>68.882884363518301</v>
      </c>
      <c r="B1859">
        <v>27.1259519570783</v>
      </c>
      <c r="C1859">
        <v>2001</v>
      </c>
    </row>
    <row r="1860" spans="1:11" x14ac:dyDescent="0.25">
      <c r="A1860">
        <v>78.599966330733096</v>
      </c>
      <c r="B1860">
        <v>17.408869989863401</v>
      </c>
      <c r="C1860">
        <v>2001</v>
      </c>
    </row>
    <row r="1861" spans="1:11" x14ac:dyDescent="0.25">
      <c r="A1861">
        <v>78.599966330733096</v>
      </c>
      <c r="B1861">
        <v>16.534837940965801</v>
      </c>
      <c r="C1861">
        <v>2000</v>
      </c>
    </row>
    <row r="1862" spans="1:11" x14ac:dyDescent="0.25">
      <c r="A1862" t="s">
        <v>87</v>
      </c>
    </row>
    <row r="1863" spans="1:11" x14ac:dyDescent="0.25">
      <c r="A1863">
        <v>40</v>
      </c>
      <c r="B1863">
        <v>0</v>
      </c>
      <c r="C1863">
        <v>7.6187593353893197</v>
      </c>
      <c r="D1863">
        <v>8.7476416821731</v>
      </c>
      <c r="E1863">
        <v>8</v>
      </c>
      <c r="F1863">
        <v>1.01722196789785</v>
      </c>
      <c r="G1863" t="s">
        <v>88</v>
      </c>
      <c r="H1863" t="s">
        <v>85</v>
      </c>
      <c r="I1863">
        <v>0</v>
      </c>
      <c r="J1863">
        <v>76</v>
      </c>
      <c r="K1863">
        <v>0</v>
      </c>
    </row>
    <row r="1864" spans="1:11" x14ac:dyDescent="0.25">
      <c r="A1864" t="s">
        <v>86</v>
      </c>
    </row>
    <row r="1865" spans="1:11" x14ac:dyDescent="0.25">
      <c r="A1865">
        <v>48.000013203492699</v>
      </c>
      <c r="B1865">
        <v>5.5987975941339396</v>
      </c>
      <c r="C1865">
        <v>2000</v>
      </c>
    </row>
    <row r="1866" spans="1:11" x14ac:dyDescent="0.25">
      <c r="A1866">
        <v>42.4012156093588</v>
      </c>
      <c r="B1866">
        <v>0</v>
      </c>
      <c r="C1866">
        <v>2000</v>
      </c>
    </row>
    <row r="1867" spans="1:11" x14ac:dyDescent="0.25">
      <c r="A1867">
        <v>43.275247658256497</v>
      </c>
      <c r="B1867">
        <v>0</v>
      </c>
      <c r="C1867">
        <v>2001</v>
      </c>
    </row>
    <row r="1868" spans="1:11" x14ac:dyDescent="0.25">
      <c r="A1868">
        <v>48.451002844686698</v>
      </c>
      <c r="B1868">
        <v>5.1757551864302602</v>
      </c>
      <c r="C1868">
        <v>2001</v>
      </c>
    </row>
    <row r="1869" spans="1:11" x14ac:dyDescent="0.25">
      <c r="A1869">
        <v>50.155822754087303</v>
      </c>
      <c r="B1869">
        <v>6.8805750958307996</v>
      </c>
      <c r="C1869">
        <v>2001</v>
      </c>
    </row>
    <row r="1870" spans="1:11" x14ac:dyDescent="0.25">
      <c r="A1870">
        <v>54.411024776944402</v>
      </c>
      <c r="B1870">
        <v>11.135777118688001</v>
      </c>
      <c r="C1870">
        <v>2001</v>
      </c>
    </row>
    <row r="1871" spans="1:11" x14ac:dyDescent="0.25">
      <c r="A1871">
        <v>54.411024776944402</v>
      </c>
      <c r="B1871">
        <v>12.009809167585599</v>
      </c>
      <c r="C1871">
        <v>2000</v>
      </c>
    </row>
    <row r="1872" spans="1:11" x14ac:dyDescent="0.25">
      <c r="A1872">
        <v>49.844177245912697</v>
      </c>
      <c r="B1872">
        <v>7.4429616365539104</v>
      </c>
      <c r="C1872">
        <v>2000</v>
      </c>
    </row>
    <row r="1873" spans="1:11" x14ac:dyDescent="0.25">
      <c r="A1873" t="s">
        <v>87</v>
      </c>
    </row>
    <row r="1874" spans="1:11" x14ac:dyDescent="0.25">
      <c r="A1874">
        <v>511</v>
      </c>
      <c r="B1874">
        <v>0</v>
      </c>
      <c r="C1874">
        <v>4.6747329500680097</v>
      </c>
      <c r="D1874">
        <v>11.670602595154101</v>
      </c>
      <c r="E1874">
        <v>6</v>
      </c>
      <c r="F1874">
        <v>1.01722196789785</v>
      </c>
      <c r="G1874" t="s">
        <v>85</v>
      </c>
      <c r="H1874" t="s">
        <v>88</v>
      </c>
      <c r="I1874">
        <v>541</v>
      </c>
      <c r="J1874">
        <v>0</v>
      </c>
      <c r="K1874">
        <v>0</v>
      </c>
    </row>
    <row r="1875" spans="1:11" x14ac:dyDescent="0.25">
      <c r="A1875" t="s">
        <v>86</v>
      </c>
    </row>
    <row r="1876" spans="1:11" x14ac:dyDescent="0.25">
      <c r="A1876">
        <v>142.05966808861601</v>
      </c>
      <c r="B1876">
        <v>118.997126292236</v>
      </c>
      <c r="C1876">
        <v>2000</v>
      </c>
    </row>
    <row r="1877" spans="1:11" x14ac:dyDescent="0.25">
      <c r="A1877">
        <v>138.879118419653</v>
      </c>
      <c r="B1877">
        <v>115.816576623272</v>
      </c>
      <c r="C1877">
        <v>2000</v>
      </c>
    </row>
    <row r="1878" spans="1:11" x14ac:dyDescent="0.25">
      <c r="A1878">
        <v>138.00508637075501</v>
      </c>
      <c r="B1878">
        <v>115.816576623272</v>
      </c>
      <c r="C1878">
        <v>2001</v>
      </c>
    </row>
    <row r="1879" spans="1:11" x14ac:dyDescent="0.25">
      <c r="A1879">
        <v>141.43560744025001</v>
      </c>
      <c r="B1879">
        <v>119.247097692767</v>
      </c>
      <c r="C1879">
        <v>2001</v>
      </c>
    </row>
    <row r="1880" spans="1:11" x14ac:dyDescent="0.25">
      <c r="A1880">
        <v>150</v>
      </c>
      <c r="B1880">
        <v>127.811490252517</v>
      </c>
      <c r="C1880">
        <v>2001</v>
      </c>
    </row>
    <row r="1881" spans="1:11" x14ac:dyDescent="0.25">
      <c r="A1881">
        <v>150</v>
      </c>
      <c r="B1881">
        <v>126.93745820362</v>
      </c>
      <c r="C1881">
        <v>2000</v>
      </c>
    </row>
    <row r="1882" spans="1:11" x14ac:dyDescent="0.25">
      <c r="A1882" t="s">
        <v>87</v>
      </c>
    </row>
    <row r="1883" spans="1:11" x14ac:dyDescent="0.25">
      <c r="A1883">
        <v>424</v>
      </c>
      <c r="B1883">
        <v>0</v>
      </c>
      <c r="C1883">
        <v>6.40659628117076</v>
      </c>
      <c r="D1883">
        <v>9.9284049555733294</v>
      </c>
      <c r="E1883">
        <v>8</v>
      </c>
      <c r="F1883">
        <v>1.01722196789785</v>
      </c>
      <c r="G1883" t="s">
        <v>85</v>
      </c>
      <c r="H1883" t="s">
        <v>85</v>
      </c>
      <c r="I1883">
        <v>68</v>
      </c>
      <c r="J1883">
        <v>478</v>
      </c>
      <c r="K1883">
        <v>0</v>
      </c>
    </row>
    <row r="1884" spans="1:11" x14ac:dyDescent="0.25">
      <c r="A1884" t="s">
        <v>86</v>
      </c>
    </row>
    <row r="1885" spans="1:11" x14ac:dyDescent="0.25">
      <c r="A1885">
        <v>50.829651710400597</v>
      </c>
      <c r="B1885">
        <v>37.623421211910902</v>
      </c>
      <c r="C1885">
        <v>2000</v>
      </c>
    </row>
    <row r="1886" spans="1:11" x14ac:dyDescent="0.25">
      <c r="A1886">
        <v>49.727223003348598</v>
      </c>
      <c r="B1886">
        <v>36.520992504859002</v>
      </c>
      <c r="C1886">
        <v>2000</v>
      </c>
    </row>
    <row r="1887" spans="1:11" x14ac:dyDescent="0.25">
      <c r="A1887">
        <v>46.1579507124504</v>
      </c>
      <c r="B1887">
        <v>32.951720213960698</v>
      </c>
      <c r="C1887">
        <v>2000</v>
      </c>
    </row>
    <row r="1888" spans="1:11" x14ac:dyDescent="0.25">
      <c r="A1888">
        <v>47.031982761347997</v>
      </c>
      <c r="B1888">
        <v>32.951720213960698</v>
      </c>
      <c r="C1888">
        <v>2001</v>
      </c>
    </row>
    <row r="1889" spans="1:11" x14ac:dyDescent="0.25">
      <c r="A1889">
        <v>50.272776996651402</v>
      </c>
      <c r="B1889">
        <v>36.192514449264102</v>
      </c>
      <c r="C1889">
        <v>2001</v>
      </c>
    </row>
    <row r="1890" spans="1:11" x14ac:dyDescent="0.25">
      <c r="A1890">
        <v>51.420577112878597</v>
      </c>
      <c r="B1890">
        <v>37.340314565491198</v>
      </c>
      <c r="C1890">
        <v>2001</v>
      </c>
    </row>
    <row r="1891" spans="1:11" x14ac:dyDescent="0.25">
      <c r="A1891">
        <v>58.582572906540399</v>
      </c>
      <c r="B1891">
        <v>44.5023103591531</v>
      </c>
      <c r="C1891">
        <v>2001</v>
      </c>
    </row>
    <row r="1892" spans="1:11" x14ac:dyDescent="0.25">
      <c r="A1892">
        <v>57.708540857642802</v>
      </c>
      <c r="B1892">
        <v>44.5023103591531</v>
      </c>
      <c r="C1892">
        <v>2000</v>
      </c>
    </row>
    <row r="1893" spans="1:11" x14ac:dyDescent="0.25">
      <c r="A1893" t="s">
        <v>87</v>
      </c>
    </row>
    <row r="1894" spans="1:11" x14ac:dyDescent="0.25">
      <c r="A1894">
        <v>76</v>
      </c>
      <c r="B1894">
        <v>1</v>
      </c>
      <c r="C1894">
        <v>6.7637909871030297</v>
      </c>
      <c r="D1894">
        <v>9.5131296203874598</v>
      </c>
      <c r="E1894">
        <v>8</v>
      </c>
      <c r="F1894">
        <v>1.01722196789785</v>
      </c>
      <c r="G1894" t="s">
        <v>85</v>
      </c>
      <c r="H1894" t="s">
        <v>85</v>
      </c>
      <c r="I1894">
        <v>22</v>
      </c>
      <c r="J1894">
        <v>31</v>
      </c>
      <c r="K1894">
        <v>0</v>
      </c>
    </row>
    <row r="1895" spans="1:11" x14ac:dyDescent="0.25">
      <c r="A1895" t="s">
        <v>86</v>
      </c>
    </row>
    <row r="1896" spans="1:11" x14ac:dyDescent="0.25">
      <c r="A1896">
        <v>48.808331952927603</v>
      </c>
      <c r="B1896">
        <v>17.6125019916024</v>
      </c>
      <c r="C1896">
        <v>2000</v>
      </c>
    </row>
    <row r="1897" spans="1:11" x14ac:dyDescent="0.25">
      <c r="A1897">
        <v>43.888393484003998</v>
      </c>
      <c r="B1897">
        <v>22.532440460526001</v>
      </c>
      <c r="C1897">
        <v>2000</v>
      </c>
    </row>
    <row r="1898" spans="1:11" x14ac:dyDescent="0.25">
      <c r="A1898">
        <v>43.888393484003998</v>
      </c>
      <c r="B1898">
        <v>21.6584084116284</v>
      </c>
      <c r="C1898">
        <v>2001</v>
      </c>
    </row>
    <row r="1899" spans="1:11" x14ac:dyDescent="0.25">
      <c r="A1899">
        <v>48.533899962098502</v>
      </c>
      <c r="B1899">
        <v>17.0129019335339</v>
      </c>
      <c r="C1899">
        <v>2001</v>
      </c>
    </row>
    <row r="1900" spans="1:11" x14ac:dyDescent="0.25">
      <c r="A1900">
        <v>49.824658408193301</v>
      </c>
      <c r="B1900">
        <v>15.7221434874391</v>
      </c>
      <c r="C1900">
        <v>2001</v>
      </c>
    </row>
    <row r="1901" spans="1:11" x14ac:dyDescent="0.25">
      <c r="A1901">
        <v>55.397914422395601</v>
      </c>
      <c r="B1901">
        <v>10.148887473236799</v>
      </c>
      <c r="C1901">
        <v>2001</v>
      </c>
    </row>
    <row r="1902" spans="1:11" x14ac:dyDescent="0.25">
      <c r="A1902">
        <v>55.397914422395601</v>
      </c>
      <c r="B1902">
        <v>11.0229195221344</v>
      </c>
      <c r="C1902">
        <v>2000</v>
      </c>
    </row>
    <row r="1903" spans="1:11" x14ac:dyDescent="0.25">
      <c r="A1903">
        <v>50.175341591806699</v>
      </c>
      <c r="B1903">
        <v>16.245492352723399</v>
      </c>
      <c r="C1903">
        <v>2000</v>
      </c>
    </row>
    <row r="1904" spans="1:11" x14ac:dyDescent="0.25">
      <c r="A1904" t="s">
        <v>87</v>
      </c>
    </row>
    <row r="1905" spans="1:11" x14ac:dyDescent="0.25">
      <c r="A1905">
        <v>585</v>
      </c>
      <c r="B1905">
        <v>0</v>
      </c>
      <c r="C1905">
        <v>0.65526355622773702</v>
      </c>
      <c r="D1905">
        <v>15.6064827524542</v>
      </c>
      <c r="E1905">
        <v>8</v>
      </c>
      <c r="F1905">
        <v>1.01722196789785</v>
      </c>
      <c r="G1905" t="s">
        <v>89</v>
      </c>
      <c r="H1905" t="s">
        <v>85</v>
      </c>
      <c r="I1905">
        <v>673</v>
      </c>
      <c r="J1905">
        <v>621</v>
      </c>
      <c r="K1905">
        <v>0</v>
      </c>
    </row>
    <row r="1906" spans="1:11" x14ac:dyDescent="0.25">
      <c r="A1906" t="s">
        <v>86</v>
      </c>
    </row>
    <row r="1907" spans="1:11" x14ac:dyDescent="0.25">
      <c r="A1907">
        <v>100.264981370396</v>
      </c>
      <c r="B1907">
        <v>87.094080741888902</v>
      </c>
      <c r="C1907">
        <v>2000</v>
      </c>
    </row>
    <row r="1908" spans="1:11" x14ac:dyDescent="0.25">
      <c r="A1908">
        <v>100.21850801222401</v>
      </c>
      <c r="B1908">
        <v>87.047607383717406</v>
      </c>
      <c r="C1908">
        <v>2000</v>
      </c>
    </row>
    <row r="1909" spans="1:11" x14ac:dyDescent="0.25">
      <c r="A1909">
        <v>99.800741374173498</v>
      </c>
      <c r="B1909">
        <v>86.629840745666499</v>
      </c>
      <c r="C1909">
        <v>2000</v>
      </c>
    </row>
    <row r="1910" spans="1:11" x14ac:dyDescent="0.25">
      <c r="A1910">
        <v>99.363725349724604</v>
      </c>
      <c r="B1910">
        <v>87.066856770115294</v>
      </c>
      <c r="C1910">
        <v>2001</v>
      </c>
    </row>
    <row r="1911" spans="1:11" x14ac:dyDescent="0.25">
      <c r="A1911">
        <v>99.781491987775595</v>
      </c>
      <c r="B1911">
        <v>87.4846234081662</v>
      </c>
      <c r="C1911">
        <v>2001</v>
      </c>
    </row>
    <row r="1912" spans="1:11" x14ac:dyDescent="0.25">
      <c r="A1912">
        <v>99.826167961648395</v>
      </c>
      <c r="B1912">
        <v>87.529299382039</v>
      </c>
      <c r="C1912">
        <v>2001</v>
      </c>
    </row>
    <row r="1913" spans="1:11" x14ac:dyDescent="0.25">
      <c r="A1913">
        <v>110.64400842630501</v>
      </c>
      <c r="B1913">
        <v>98.3471398466952</v>
      </c>
      <c r="C1913">
        <v>2001</v>
      </c>
    </row>
    <row r="1914" spans="1:11" x14ac:dyDescent="0.25">
      <c r="A1914">
        <v>111.518040475202</v>
      </c>
      <c r="B1914">
        <v>98.3471398466952</v>
      </c>
      <c r="C1914">
        <v>2000</v>
      </c>
    </row>
    <row r="1915" spans="1:11" x14ac:dyDescent="0.25">
      <c r="A1915" t="s">
        <v>87</v>
      </c>
    </row>
    <row r="1916" spans="1:11" x14ac:dyDescent="0.25">
      <c r="A1916">
        <v>778</v>
      </c>
      <c r="B1916">
        <v>1</v>
      </c>
      <c r="C1916">
        <v>13.704857216753799</v>
      </c>
      <c r="D1916">
        <v>2.5154898241266999</v>
      </c>
      <c r="E1916">
        <v>6</v>
      </c>
      <c r="F1916">
        <v>1.01722196789785</v>
      </c>
      <c r="G1916" t="s">
        <v>88</v>
      </c>
      <c r="H1916" t="s">
        <v>89</v>
      </c>
      <c r="I1916">
        <v>0</v>
      </c>
      <c r="J1916">
        <v>55</v>
      </c>
      <c r="K1916">
        <v>8.9537010595109504E-2</v>
      </c>
    </row>
    <row r="1917" spans="1:11" x14ac:dyDescent="0.25">
      <c r="A1917" t="s">
        <v>86</v>
      </c>
    </row>
    <row r="1918" spans="1:11" x14ac:dyDescent="0.25">
      <c r="A1918">
        <v>9.5061762008342594</v>
      </c>
      <c r="B1918">
        <v>29.856249795799702</v>
      </c>
      <c r="C1918">
        <v>2000</v>
      </c>
    </row>
    <row r="1919" spans="1:11" x14ac:dyDescent="0.25">
      <c r="A1919">
        <v>0</v>
      </c>
      <c r="B1919">
        <v>39.362425996634002</v>
      </c>
      <c r="C1919">
        <v>2000</v>
      </c>
    </row>
    <row r="1920" spans="1:11" x14ac:dyDescent="0.25">
      <c r="A1920">
        <v>0</v>
      </c>
      <c r="B1920">
        <v>40.236458045531698</v>
      </c>
      <c r="C1920">
        <v>2001</v>
      </c>
    </row>
    <row r="1921" spans="1:11" x14ac:dyDescent="0.25">
      <c r="A1921">
        <v>9.8754187454857192</v>
      </c>
      <c r="B1921">
        <v>30.361039300045899</v>
      </c>
      <c r="C1921">
        <v>2001</v>
      </c>
    </row>
    <row r="1922" spans="1:11" x14ac:dyDescent="0.25">
      <c r="A1922">
        <v>11.688025398030099</v>
      </c>
      <c r="B1922">
        <v>28.5484326475015</v>
      </c>
      <c r="C1922">
        <v>2001</v>
      </c>
    </row>
    <row r="1923" spans="1:11" x14ac:dyDescent="0.25">
      <c r="A1923">
        <v>11.251009373581301</v>
      </c>
      <c r="B1923">
        <v>28.111416623052701</v>
      </c>
      <c r="C1923">
        <v>2000</v>
      </c>
    </row>
    <row r="1924" spans="1:11" x14ac:dyDescent="0.25">
      <c r="A1924" t="s">
        <v>87</v>
      </c>
    </row>
    <row r="1925" spans="1:11" x14ac:dyDescent="0.25">
      <c r="A1925">
        <v>70</v>
      </c>
      <c r="B1925">
        <v>1</v>
      </c>
      <c r="C1925">
        <v>9.9391276736023109</v>
      </c>
      <c r="D1925">
        <v>6.2598806977485699</v>
      </c>
      <c r="E1925">
        <v>6</v>
      </c>
      <c r="F1925">
        <v>1.01722196789785</v>
      </c>
      <c r="G1925" t="s">
        <v>85</v>
      </c>
      <c r="H1925" t="s">
        <v>85</v>
      </c>
      <c r="I1925">
        <v>27</v>
      </c>
      <c r="J1925">
        <v>34</v>
      </c>
      <c r="K1925">
        <v>0</v>
      </c>
    </row>
    <row r="1926" spans="1:11" x14ac:dyDescent="0.25">
      <c r="A1926" t="s">
        <v>86</v>
      </c>
    </row>
    <row r="1927" spans="1:11" x14ac:dyDescent="0.25">
      <c r="A1927">
        <v>37.146538862561101</v>
      </c>
      <c r="B1927">
        <v>9.5159710820462493</v>
      </c>
      <c r="C1927">
        <v>2000</v>
      </c>
    </row>
    <row r="1928" spans="1:11" x14ac:dyDescent="0.25">
      <c r="A1928">
        <v>30.118514285478099</v>
      </c>
      <c r="B1928">
        <v>16.543995659129301</v>
      </c>
      <c r="C1928">
        <v>2000</v>
      </c>
    </row>
    <row r="1929" spans="1:11" x14ac:dyDescent="0.25">
      <c r="A1929">
        <v>30.118514285478099</v>
      </c>
      <c r="B1929">
        <v>17.418027708027001</v>
      </c>
      <c r="C1929">
        <v>2001</v>
      </c>
    </row>
    <row r="1930" spans="1:11" x14ac:dyDescent="0.25">
      <c r="A1930">
        <v>37.146538862561101</v>
      </c>
      <c r="B1930">
        <v>10.390003130943899</v>
      </c>
      <c r="C1930">
        <v>2001</v>
      </c>
    </row>
    <row r="1931" spans="1:11" x14ac:dyDescent="0.25">
      <c r="A1931">
        <v>41.572942953357902</v>
      </c>
      <c r="B1931">
        <v>5.9635990401471002</v>
      </c>
      <c r="C1931">
        <v>2001</v>
      </c>
    </row>
    <row r="1932" spans="1:11" x14ac:dyDescent="0.25">
      <c r="A1932">
        <v>41.572942953357902</v>
      </c>
      <c r="B1932">
        <v>5.0895669912494599</v>
      </c>
      <c r="C1932">
        <v>2000</v>
      </c>
    </row>
    <row r="1933" spans="1:11" x14ac:dyDescent="0.25">
      <c r="A1933" t="s">
        <v>87</v>
      </c>
    </row>
    <row r="1934" spans="1:11" x14ac:dyDescent="0.25">
      <c r="A1934">
        <v>190</v>
      </c>
      <c r="B1934">
        <v>0</v>
      </c>
      <c r="C1934">
        <v>3.58269982344504</v>
      </c>
      <c r="D1934">
        <v>12.5544093977117</v>
      </c>
      <c r="E1934">
        <v>6</v>
      </c>
      <c r="F1934">
        <v>1.01722196789785</v>
      </c>
      <c r="G1934" t="s">
        <v>85</v>
      </c>
      <c r="H1934" t="s">
        <v>85</v>
      </c>
      <c r="I1934">
        <v>233</v>
      </c>
      <c r="J1934">
        <v>222</v>
      </c>
      <c r="K1934">
        <v>0</v>
      </c>
    </row>
    <row r="1935" spans="1:11" x14ac:dyDescent="0.25">
      <c r="A1935" t="s">
        <v>86</v>
      </c>
    </row>
    <row r="1936" spans="1:11" x14ac:dyDescent="0.25">
      <c r="A1936">
        <v>76.128931169458198</v>
      </c>
      <c r="B1936">
        <v>130.242091578535</v>
      </c>
      <c r="C1936">
        <v>2000</v>
      </c>
    </row>
    <row r="1937" spans="1:11" x14ac:dyDescent="0.25">
      <c r="A1937">
        <v>73.595579829344402</v>
      </c>
      <c r="B1937">
        <v>127.708740238421</v>
      </c>
      <c r="C1937">
        <v>2000</v>
      </c>
    </row>
    <row r="1938" spans="1:11" x14ac:dyDescent="0.25">
      <c r="A1938">
        <v>73.595579829344302</v>
      </c>
      <c r="B1938">
        <v>126.83470818952399</v>
      </c>
      <c r="C1938">
        <v>2001</v>
      </c>
    </row>
    <row r="1939" spans="1:11" x14ac:dyDescent="0.25">
      <c r="A1939">
        <v>76.128931169458198</v>
      </c>
      <c r="B1939">
        <v>129.368059529638</v>
      </c>
      <c r="C1939">
        <v>2001</v>
      </c>
    </row>
    <row r="1940" spans="1:11" x14ac:dyDescent="0.25">
      <c r="A1940">
        <v>85.006239188372305</v>
      </c>
      <c r="B1940">
        <v>138.245367548552</v>
      </c>
      <c r="C1940">
        <v>2001</v>
      </c>
    </row>
    <row r="1941" spans="1:11" x14ac:dyDescent="0.25">
      <c r="A1941">
        <v>85.006239188372305</v>
      </c>
      <c r="B1941">
        <v>139.11939959744899</v>
      </c>
      <c r="C1941">
        <v>2000</v>
      </c>
    </row>
    <row r="1942" spans="1:11" x14ac:dyDescent="0.25">
      <c r="A1942" t="s">
        <v>87</v>
      </c>
    </row>
    <row r="1943" spans="1:11" x14ac:dyDescent="0.25">
      <c r="A1943">
        <v>893</v>
      </c>
      <c r="B1943">
        <v>0</v>
      </c>
      <c r="C1943">
        <v>9.3705982641347703</v>
      </c>
      <c r="D1943">
        <v>6.7665109570220103</v>
      </c>
      <c r="E1943">
        <v>6</v>
      </c>
      <c r="F1943">
        <v>1.01722196789785</v>
      </c>
      <c r="G1943" t="s">
        <v>85</v>
      </c>
      <c r="H1943" t="s">
        <v>85</v>
      </c>
      <c r="I1943">
        <v>233</v>
      </c>
      <c r="J1943">
        <v>222</v>
      </c>
      <c r="K1943">
        <v>9.142164214173E-2</v>
      </c>
    </row>
    <row r="1944" spans="1:11" x14ac:dyDescent="0.25">
      <c r="A1944" t="s">
        <v>86</v>
      </c>
    </row>
    <row r="1945" spans="1:11" x14ac:dyDescent="0.25">
      <c r="A1945">
        <v>81.470035613267697</v>
      </c>
      <c r="B1945">
        <v>133.08631160718701</v>
      </c>
      <c r="C1945">
        <v>2000</v>
      </c>
    </row>
    <row r="1946" spans="1:11" x14ac:dyDescent="0.25">
      <c r="A1946">
        <v>74.844022036923107</v>
      </c>
      <c r="B1946">
        <v>126.46029803084301</v>
      </c>
      <c r="C1946">
        <v>2000</v>
      </c>
    </row>
    <row r="1947" spans="1:11" x14ac:dyDescent="0.25">
      <c r="A1947">
        <v>74.844022036923107</v>
      </c>
      <c r="B1947">
        <v>125.586265981945</v>
      </c>
      <c r="C1947">
        <v>2001</v>
      </c>
    </row>
    <row r="1948" spans="1:11" x14ac:dyDescent="0.25">
      <c r="A1948">
        <v>81.470035613267697</v>
      </c>
      <c r="B1948">
        <v>132.21227955828999</v>
      </c>
      <c r="C1948">
        <v>2001</v>
      </c>
    </row>
    <row r="1949" spans="1:11" x14ac:dyDescent="0.25">
      <c r="A1949">
        <v>86.254681395950996</v>
      </c>
      <c r="B1949">
        <v>136.99692534097301</v>
      </c>
      <c r="C1949">
        <v>2001</v>
      </c>
    </row>
    <row r="1950" spans="1:11" x14ac:dyDescent="0.25">
      <c r="A1950">
        <v>86.254681395950996</v>
      </c>
      <c r="B1950">
        <v>137.87095738987099</v>
      </c>
      <c r="C1950">
        <v>2000</v>
      </c>
    </row>
    <row r="1951" spans="1:11" x14ac:dyDescent="0.25">
      <c r="A1951" t="s">
        <v>87</v>
      </c>
    </row>
    <row r="1952" spans="1:11" x14ac:dyDescent="0.25">
      <c r="A1952">
        <v>749</v>
      </c>
      <c r="B1952">
        <v>1</v>
      </c>
      <c r="C1952">
        <v>5.1235932649232199</v>
      </c>
      <c r="D1952">
        <v>10.920557575049999</v>
      </c>
      <c r="E1952">
        <v>6</v>
      </c>
      <c r="F1952">
        <v>1.01722196789785</v>
      </c>
      <c r="G1952" t="s">
        <v>85</v>
      </c>
      <c r="H1952" t="s">
        <v>88</v>
      </c>
      <c r="I1952">
        <v>791</v>
      </c>
      <c r="J1952">
        <v>0</v>
      </c>
      <c r="K1952">
        <v>8.8948032773117705E-2</v>
      </c>
    </row>
    <row r="1953" spans="1:11" x14ac:dyDescent="0.25">
      <c r="A1953" t="s">
        <v>86</v>
      </c>
    </row>
    <row r="1954" spans="1:11" x14ac:dyDescent="0.25">
      <c r="A1954">
        <v>142.277999684344</v>
      </c>
      <c r="B1954">
        <v>110.77742058632801</v>
      </c>
      <c r="C1954">
        <v>2000</v>
      </c>
    </row>
    <row r="1955" spans="1:11" x14ac:dyDescent="0.25">
      <c r="A1955">
        <v>138.65507214267501</v>
      </c>
      <c r="B1955">
        <v>114.40034812799701</v>
      </c>
      <c r="C1955">
        <v>2000</v>
      </c>
    </row>
    <row r="1956" spans="1:11" x14ac:dyDescent="0.25">
      <c r="A1956">
        <v>138.65507214267501</v>
      </c>
      <c r="B1956">
        <v>113.526316079099</v>
      </c>
      <c r="C1956">
        <v>2001</v>
      </c>
    </row>
    <row r="1957" spans="1:11" x14ac:dyDescent="0.25">
      <c r="A1957">
        <v>142.277999684344</v>
      </c>
      <c r="B1957">
        <v>109.903388537431</v>
      </c>
      <c r="C1957">
        <v>2001</v>
      </c>
    </row>
    <row r="1958" spans="1:11" x14ac:dyDescent="0.25">
      <c r="A1958">
        <v>150</v>
      </c>
      <c r="B1958">
        <v>102.18138822177499</v>
      </c>
      <c r="C1958">
        <v>2001</v>
      </c>
    </row>
    <row r="1959" spans="1:11" x14ac:dyDescent="0.25">
      <c r="A1959">
        <v>150</v>
      </c>
      <c r="B1959">
        <v>103.055420270672</v>
      </c>
      <c r="C1959">
        <v>2000</v>
      </c>
    </row>
    <row r="1960" spans="1:11" x14ac:dyDescent="0.25">
      <c r="A1960" t="s">
        <v>87</v>
      </c>
    </row>
    <row r="1961" spans="1:11" x14ac:dyDescent="0.25">
      <c r="A1961">
        <v>761</v>
      </c>
      <c r="B1961">
        <v>1</v>
      </c>
      <c r="C1961">
        <v>13.2195587616834</v>
      </c>
      <c r="D1961">
        <v>2.74986760916067</v>
      </c>
      <c r="E1961">
        <v>6</v>
      </c>
      <c r="F1961">
        <v>1.01722196789785</v>
      </c>
      <c r="G1961" t="s">
        <v>85</v>
      </c>
      <c r="H1961" t="s">
        <v>89</v>
      </c>
      <c r="I1961">
        <v>193</v>
      </c>
      <c r="J1961">
        <v>688</v>
      </c>
      <c r="K1961">
        <v>8.8948032773117705E-2</v>
      </c>
    </row>
    <row r="1962" spans="1:11" x14ac:dyDescent="0.25">
      <c r="A1962" t="s">
        <v>86</v>
      </c>
    </row>
    <row r="1963" spans="1:11" x14ac:dyDescent="0.25">
      <c r="A1963">
        <v>75.524569275266302</v>
      </c>
      <c r="B1963">
        <v>89.195261643203693</v>
      </c>
      <c r="C1963">
        <v>2000</v>
      </c>
    </row>
    <row r="1964" spans="1:11" x14ac:dyDescent="0.25">
      <c r="A1964">
        <v>65.996047772939903</v>
      </c>
      <c r="B1964">
        <v>98.723783145530007</v>
      </c>
      <c r="C1964">
        <v>2000</v>
      </c>
    </row>
    <row r="1965" spans="1:11" x14ac:dyDescent="0.25">
      <c r="A1965">
        <v>66.870079821837507</v>
      </c>
      <c r="B1965">
        <v>98.723783145530007</v>
      </c>
      <c r="C1965">
        <v>2001</v>
      </c>
    </row>
    <row r="1966" spans="1:11" x14ac:dyDescent="0.25">
      <c r="A1966">
        <v>76.036837608871906</v>
      </c>
      <c r="B1966">
        <v>89.557025358495693</v>
      </c>
      <c r="C1966">
        <v>2001</v>
      </c>
    </row>
    <row r="1967" spans="1:11" x14ac:dyDescent="0.25">
      <c r="A1967">
        <v>77.943661488096197</v>
      </c>
      <c r="B1967">
        <v>87.650201479271303</v>
      </c>
      <c r="C1967">
        <v>2001</v>
      </c>
    </row>
    <row r="1968" spans="1:11" x14ac:dyDescent="0.25">
      <c r="A1968">
        <v>77.506645463647402</v>
      </c>
      <c r="B1968">
        <v>87.213185454822494</v>
      </c>
      <c r="C1968">
        <v>2000</v>
      </c>
    </row>
    <row r="1969" spans="1:11" x14ac:dyDescent="0.25">
      <c r="A1969" t="s">
        <v>87</v>
      </c>
    </row>
    <row r="1970" spans="1:11" x14ac:dyDescent="0.25">
      <c r="A1970">
        <v>903</v>
      </c>
      <c r="B1970">
        <v>0</v>
      </c>
      <c r="C1970">
        <v>0.13600491675769899</v>
      </c>
      <c r="D1970">
        <v>15.795617311461299</v>
      </c>
      <c r="E1970">
        <v>8</v>
      </c>
      <c r="F1970">
        <v>1.01722196789785</v>
      </c>
      <c r="G1970" t="s">
        <v>85</v>
      </c>
      <c r="H1970" t="s">
        <v>85</v>
      </c>
      <c r="I1970">
        <v>800</v>
      </c>
      <c r="J1970">
        <v>703</v>
      </c>
      <c r="K1970">
        <v>9.1667699418773299E-2</v>
      </c>
    </row>
    <row r="1971" spans="1:11" x14ac:dyDescent="0.25">
      <c r="A1971" t="s">
        <v>86</v>
      </c>
    </row>
    <row r="1972" spans="1:11" x14ac:dyDescent="0.25">
      <c r="A1972">
        <v>47.511158166731398</v>
      </c>
      <c r="B1972">
        <v>78.077149007088806</v>
      </c>
      <c r="C1972">
        <v>2000</v>
      </c>
    </row>
    <row r="1973" spans="1:11" x14ac:dyDescent="0.25">
      <c r="A1973">
        <v>47.423783416582502</v>
      </c>
      <c r="B1973">
        <v>77.989774256939896</v>
      </c>
      <c r="C1973">
        <v>2000</v>
      </c>
    </row>
    <row r="1974" spans="1:11" x14ac:dyDescent="0.25">
      <c r="A1974">
        <v>46.549751367684898</v>
      </c>
      <c r="B1974">
        <v>77.989774256939896</v>
      </c>
      <c r="C1974">
        <v>2001</v>
      </c>
    </row>
    <row r="1975" spans="1:11" x14ac:dyDescent="0.25">
      <c r="A1975">
        <v>46.654716615364201</v>
      </c>
      <c r="B1975">
        <v>78.094739504619099</v>
      </c>
      <c r="C1975">
        <v>2001</v>
      </c>
    </row>
    <row r="1976" spans="1:11" x14ac:dyDescent="0.25">
      <c r="A1976">
        <v>49.838559837803103</v>
      </c>
      <c r="B1976">
        <v>81.278582727058094</v>
      </c>
      <c r="C1976">
        <v>2001</v>
      </c>
    </row>
    <row r="1977" spans="1:11" x14ac:dyDescent="0.25">
      <c r="A1977">
        <v>58.252125505009701</v>
      </c>
      <c r="B1977">
        <v>89.692148394264706</v>
      </c>
      <c r="C1977">
        <v>2001</v>
      </c>
    </row>
    <row r="1978" spans="1:11" x14ac:dyDescent="0.25">
      <c r="A1978">
        <v>58.252125505009701</v>
      </c>
      <c r="B1978">
        <v>88.818116345367102</v>
      </c>
      <c r="C1978">
        <v>2000</v>
      </c>
    </row>
    <row r="1979" spans="1:11" x14ac:dyDescent="0.25">
      <c r="A1979">
        <v>50.161440162196897</v>
      </c>
      <c r="B1979">
        <v>80.727431002554297</v>
      </c>
      <c r="C1979">
        <v>2000</v>
      </c>
    </row>
    <row r="1980" spans="1:11" x14ac:dyDescent="0.25">
      <c r="A1980" t="s">
        <v>87</v>
      </c>
    </row>
    <row r="1981" spans="1:11" x14ac:dyDescent="0.25">
      <c r="A1981">
        <v>1179</v>
      </c>
      <c r="B1981">
        <v>0</v>
      </c>
      <c r="C1981">
        <v>8.1468781159952197</v>
      </c>
      <c r="D1981">
        <v>7.7847441122237901</v>
      </c>
      <c r="E1981">
        <v>8</v>
      </c>
      <c r="F1981">
        <v>1.01722196789785</v>
      </c>
      <c r="G1981" t="s">
        <v>85</v>
      </c>
      <c r="H1981" t="s">
        <v>85</v>
      </c>
      <c r="I1981">
        <v>800</v>
      </c>
      <c r="J1981">
        <v>703</v>
      </c>
      <c r="K1981">
        <v>9.5636215209858197E-2</v>
      </c>
    </row>
    <row r="1982" spans="1:11" x14ac:dyDescent="0.25">
      <c r="A1982" t="s">
        <v>86</v>
      </c>
    </row>
    <row r="1983" spans="1:11" x14ac:dyDescent="0.25">
      <c r="A1983">
        <v>49.379365985438099</v>
      </c>
      <c r="B1983">
        <v>87.117276739354494</v>
      </c>
      <c r="C1983">
        <v>2000</v>
      </c>
    </row>
    <row r="1984" spans="1:11" x14ac:dyDescent="0.25">
      <c r="A1984">
        <v>43.837823459802998</v>
      </c>
      <c r="B1984">
        <v>81.5757342137194</v>
      </c>
      <c r="C1984">
        <v>2000</v>
      </c>
    </row>
    <row r="1985" spans="1:11" x14ac:dyDescent="0.25">
      <c r="A1985">
        <v>43.837823459802998</v>
      </c>
      <c r="B1985">
        <v>80.701702164821796</v>
      </c>
      <c r="C1985">
        <v>2001</v>
      </c>
    </row>
    <row r="1986" spans="1:11" x14ac:dyDescent="0.25">
      <c r="A1986">
        <v>49.817706456808999</v>
      </c>
      <c r="B1986">
        <v>86.681585161827698</v>
      </c>
      <c r="C1986">
        <v>2001</v>
      </c>
    </row>
    <row r="1987" spans="1:11" x14ac:dyDescent="0.25">
      <c r="A1987">
        <v>50.234444198245498</v>
      </c>
      <c r="B1987">
        <v>87.098322903264204</v>
      </c>
      <c r="C1987">
        <v>2001</v>
      </c>
    </row>
    <row r="1988" spans="1:11" x14ac:dyDescent="0.25">
      <c r="A1988">
        <v>55.5401975971279</v>
      </c>
      <c r="B1988">
        <v>92.404076302146507</v>
      </c>
      <c r="C1988">
        <v>2001</v>
      </c>
    </row>
    <row r="1989" spans="1:11" x14ac:dyDescent="0.25">
      <c r="A1989">
        <v>54.666165548230197</v>
      </c>
      <c r="B1989">
        <v>92.404076302146507</v>
      </c>
      <c r="C1989">
        <v>2000</v>
      </c>
    </row>
    <row r="1990" spans="1:11" x14ac:dyDescent="0.25">
      <c r="A1990">
        <v>49.765555801754502</v>
      </c>
      <c r="B1990">
        <v>87.503466555670897</v>
      </c>
      <c r="C1990">
        <v>2000</v>
      </c>
    </row>
    <row r="1991" spans="1:11" x14ac:dyDescent="0.25">
      <c r="A1991" t="s">
        <v>87</v>
      </c>
    </row>
    <row r="1992" spans="1:11" x14ac:dyDescent="0.25">
      <c r="A1992">
        <v>855</v>
      </c>
      <c r="B1992">
        <v>0</v>
      </c>
      <c r="C1992">
        <v>6.6885830145959204</v>
      </c>
      <c r="D1992">
        <v>9.2430392136230903</v>
      </c>
      <c r="E1992">
        <v>6</v>
      </c>
      <c r="F1992">
        <v>1.01722196789785</v>
      </c>
      <c r="G1992" t="s">
        <v>85</v>
      </c>
      <c r="H1992" t="s">
        <v>85</v>
      </c>
      <c r="I1992">
        <v>800</v>
      </c>
      <c r="J1992">
        <v>703</v>
      </c>
      <c r="K1992">
        <v>9.0645505931922193E-2</v>
      </c>
    </row>
    <row r="1993" spans="1:11" x14ac:dyDescent="0.25">
      <c r="A1993" t="s">
        <v>86</v>
      </c>
    </row>
    <row r="1994" spans="1:11" x14ac:dyDescent="0.25">
      <c r="A1994">
        <v>56.587884507609502</v>
      </c>
      <c r="B1994">
        <v>77.917812551518296</v>
      </c>
      <c r="C1994">
        <v>2000</v>
      </c>
    </row>
    <row r="1995" spans="1:11" x14ac:dyDescent="0.25">
      <c r="A1995">
        <v>52.041814814806798</v>
      </c>
      <c r="B1995">
        <v>73.371742858715606</v>
      </c>
      <c r="C1995">
        <v>2000</v>
      </c>
    </row>
    <row r="1996" spans="1:11" x14ac:dyDescent="0.25">
      <c r="A1996">
        <v>52.041814814806798</v>
      </c>
      <c r="B1996">
        <v>72.497710809818003</v>
      </c>
      <c r="C1996">
        <v>2001</v>
      </c>
    </row>
    <row r="1997" spans="1:11" x14ac:dyDescent="0.25">
      <c r="A1997">
        <v>56.954829934304001</v>
      </c>
      <c r="B1997">
        <v>77.410725929315106</v>
      </c>
      <c r="C1997">
        <v>2001</v>
      </c>
    </row>
    <row r="1998" spans="1:11" x14ac:dyDescent="0.25">
      <c r="A1998">
        <v>63.744188952131601</v>
      </c>
      <c r="B1998">
        <v>84.200084947142798</v>
      </c>
      <c r="C1998">
        <v>2001</v>
      </c>
    </row>
    <row r="1999" spans="1:11" x14ac:dyDescent="0.25">
      <c r="A1999">
        <v>62.870156903233998</v>
      </c>
      <c r="B1999">
        <v>84.200084947142798</v>
      </c>
      <c r="C1999">
        <v>2000</v>
      </c>
    </row>
    <row r="2000" spans="1:11" x14ac:dyDescent="0.25">
      <c r="A2000" t="s">
        <v>87</v>
      </c>
    </row>
    <row r="2001" spans="1:11" x14ac:dyDescent="0.25">
      <c r="A2001">
        <v>905</v>
      </c>
      <c r="B2001">
        <v>0</v>
      </c>
      <c r="C2001">
        <v>15.675664779292701</v>
      </c>
      <c r="D2001">
        <v>0.25595744892635303</v>
      </c>
      <c r="E2001">
        <v>8</v>
      </c>
      <c r="F2001">
        <v>1.01722196789785</v>
      </c>
      <c r="G2001" t="s">
        <v>85</v>
      </c>
      <c r="H2001" t="s">
        <v>85</v>
      </c>
      <c r="I2001">
        <v>800</v>
      </c>
      <c r="J2001">
        <v>703</v>
      </c>
      <c r="K2001">
        <v>9.1667699418773299E-2</v>
      </c>
    </row>
    <row r="2002" spans="1:11" x14ac:dyDescent="0.25">
      <c r="A2002" t="s">
        <v>86</v>
      </c>
    </row>
    <row r="2003" spans="1:11" x14ac:dyDescent="0.25">
      <c r="A2003">
        <v>56.3837126503905</v>
      </c>
      <c r="B2003">
        <v>90.342813045803496</v>
      </c>
      <c r="C2003">
        <v>2000</v>
      </c>
    </row>
    <row r="2004" spans="1:11" x14ac:dyDescent="0.25">
      <c r="A2004">
        <v>49.915770145496197</v>
      </c>
      <c r="B2004">
        <v>83.8748705409092</v>
      </c>
      <c r="C2004">
        <v>2000</v>
      </c>
    </row>
    <row r="2005" spans="1:11" x14ac:dyDescent="0.25">
      <c r="A2005">
        <v>45.727228639054701</v>
      </c>
      <c r="B2005">
        <v>79.686329034467704</v>
      </c>
      <c r="C2005">
        <v>2000</v>
      </c>
    </row>
    <row r="2006" spans="1:11" x14ac:dyDescent="0.25">
      <c r="A2006">
        <v>45.727228639054701</v>
      </c>
      <c r="B2006">
        <v>78.8122969855701</v>
      </c>
      <c r="C2006">
        <v>2001</v>
      </c>
    </row>
    <row r="2007" spans="1:11" x14ac:dyDescent="0.25">
      <c r="A2007">
        <v>50.084229854503803</v>
      </c>
      <c r="B2007">
        <v>83.169298201019302</v>
      </c>
      <c r="C2007">
        <v>2001</v>
      </c>
    </row>
    <row r="2008" spans="1:11" x14ac:dyDescent="0.25">
      <c r="A2008">
        <v>57.239482357808797</v>
      </c>
      <c r="B2008">
        <v>90.324550704324295</v>
      </c>
      <c r="C2008">
        <v>2001</v>
      </c>
    </row>
    <row r="2009" spans="1:11" x14ac:dyDescent="0.25">
      <c r="A2009">
        <v>57.429602776379497</v>
      </c>
      <c r="B2009">
        <v>90.514671122894896</v>
      </c>
      <c r="C2009">
        <v>2001</v>
      </c>
    </row>
    <row r="2010" spans="1:11" x14ac:dyDescent="0.25">
      <c r="A2010">
        <v>56.5555707274819</v>
      </c>
      <c r="B2010">
        <v>90.514671122894896</v>
      </c>
      <c r="C2010">
        <v>2000</v>
      </c>
    </row>
    <row r="2011" spans="1:11" x14ac:dyDescent="0.25">
      <c r="A2011" t="s">
        <v>87</v>
      </c>
    </row>
    <row r="2012" spans="1:11" x14ac:dyDescent="0.25">
      <c r="A2012">
        <v>188</v>
      </c>
      <c r="B2012">
        <v>0</v>
      </c>
      <c r="C2012">
        <v>4.2710654825847296</v>
      </c>
      <c r="D2012">
        <v>11.6093063918482</v>
      </c>
      <c r="E2012">
        <v>6</v>
      </c>
      <c r="F2012">
        <v>1.01722196789785</v>
      </c>
      <c r="G2012" t="s">
        <v>85</v>
      </c>
      <c r="H2012" t="s">
        <v>85</v>
      </c>
      <c r="I2012">
        <v>782</v>
      </c>
      <c r="J2012">
        <v>231</v>
      </c>
      <c r="K2012">
        <v>0</v>
      </c>
    </row>
    <row r="2013" spans="1:11" x14ac:dyDescent="0.25">
      <c r="A2013" t="s">
        <v>86</v>
      </c>
    </row>
    <row r="2014" spans="1:11" x14ac:dyDescent="0.25">
      <c r="A2014">
        <v>87.036083963341696</v>
      </c>
      <c r="B2014">
        <v>103.032647793762</v>
      </c>
      <c r="C2014">
        <v>2000</v>
      </c>
    </row>
    <row r="2015" spans="1:11" x14ac:dyDescent="0.25">
      <c r="A2015">
        <v>83.898448051837505</v>
      </c>
      <c r="B2015">
        <v>99.895011882257805</v>
      </c>
      <c r="C2015">
        <v>2000</v>
      </c>
    </row>
    <row r="2016" spans="1:11" x14ac:dyDescent="0.25">
      <c r="A2016">
        <v>83.898448051837505</v>
      </c>
      <c r="B2016">
        <v>100.769043931155</v>
      </c>
      <c r="C2016">
        <v>2001</v>
      </c>
    </row>
    <row r="2017" spans="1:11" x14ac:dyDescent="0.25">
      <c r="A2017">
        <v>86.801010871588105</v>
      </c>
      <c r="B2017">
        <v>103.67160675090599</v>
      </c>
      <c r="C2017">
        <v>2001</v>
      </c>
    </row>
    <row r="2018" spans="1:11" x14ac:dyDescent="0.25">
      <c r="A2018">
        <v>94.690550667564295</v>
      </c>
      <c r="B2018">
        <v>111.561146546882</v>
      </c>
      <c r="C2018">
        <v>2001</v>
      </c>
    </row>
    <row r="2019" spans="1:11" x14ac:dyDescent="0.25">
      <c r="A2019">
        <v>95.564582716461899</v>
      </c>
      <c r="B2019">
        <v>111.561146546882</v>
      </c>
      <c r="C2019">
        <v>2000</v>
      </c>
    </row>
    <row r="2020" spans="1:11" x14ac:dyDescent="0.25">
      <c r="A2020" t="s">
        <v>87</v>
      </c>
    </row>
    <row r="2021" spans="1:11" x14ac:dyDescent="0.25">
      <c r="A2021">
        <v>554</v>
      </c>
      <c r="B2021">
        <v>1</v>
      </c>
      <c r="C2021">
        <v>2.24679367133175</v>
      </c>
      <c r="D2021">
        <v>13.5693180062088</v>
      </c>
      <c r="E2021">
        <v>6</v>
      </c>
      <c r="F2021">
        <v>1.01722196789785</v>
      </c>
      <c r="G2021" t="s">
        <v>88</v>
      </c>
      <c r="H2021" t="s">
        <v>85</v>
      </c>
      <c r="I2021">
        <v>0</v>
      </c>
      <c r="J2021">
        <v>515</v>
      </c>
      <c r="K2021">
        <v>0</v>
      </c>
    </row>
    <row r="2022" spans="1:11" x14ac:dyDescent="0.25">
      <c r="A2022" t="s">
        <v>86</v>
      </c>
    </row>
    <row r="2023" spans="1:11" x14ac:dyDescent="0.25">
      <c r="A2023">
        <v>125.008943138769</v>
      </c>
      <c r="B2023">
        <v>148.34919565502099</v>
      </c>
      <c r="C2023">
        <v>2000</v>
      </c>
    </row>
    <row r="2024" spans="1:11" x14ac:dyDescent="0.25">
      <c r="A2024">
        <v>123.358138793789</v>
      </c>
      <c r="B2024">
        <v>150</v>
      </c>
      <c r="C2024">
        <v>2000</v>
      </c>
    </row>
    <row r="2025" spans="1:11" x14ac:dyDescent="0.25">
      <c r="A2025">
        <v>124.232170842687</v>
      </c>
      <c r="B2025">
        <v>150</v>
      </c>
      <c r="C2025">
        <v>2001</v>
      </c>
    </row>
    <row r="2026" spans="1:11" x14ac:dyDescent="0.25">
      <c r="A2026">
        <v>125.75881257955901</v>
      </c>
      <c r="B2026">
        <v>148.47335826312801</v>
      </c>
      <c r="C2026">
        <v>2001</v>
      </c>
    </row>
    <row r="2027" spans="1:11" x14ac:dyDescent="0.25">
      <c r="A2027">
        <v>134.97883463743099</v>
      </c>
      <c r="B2027">
        <v>139.25333620525601</v>
      </c>
      <c r="C2027">
        <v>2001</v>
      </c>
    </row>
    <row r="2028" spans="1:11" x14ac:dyDescent="0.25">
      <c r="A2028">
        <v>134.97883463743099</v>
      </c>
      <c r="B2028">
        <v>138.37930415635901</v>
      </c>
      <c r="C2028">
        <v>2000</v>
      </c>
    </row>
    <row r="2029" spans="1:11" x14ac:dyDescent="0.25">
      <c r="A2029" t="s">
        <v>87</v>
      </c>
    </row>
    <row r="2030" spans="1:11" x14ac:dyDescent="0.25">
      <c r="A2030">
        <v>771</v>
      </c>
      <c r="B2030">
        <v>0</v>
      </c>
      <c r="C2030">
        <v>10.143413415502501</v>
      </c>
      <c r="D2030">
        <v>5.6642182831863401</v>
      </c>
      <c r="E2030">
        <v>6</v>
      </c>
      <c r="F2030">
        <v>1.01722196789785</v>
      </c>
      <c r="G2030" t="s">
        <v>88</v>
      </c>
      <c r="H2030" t="s">
        <v>85</v>
      </c>
      <c r="I2030">
        <v>0</v>
      </c>
      <c r="J2030">
        <v>74</v>
      </c>
      <c r="K2030">
        <v>8.9259099568316694E-2</v>
      </c>
    </row>
    <row r="2031" spans="1:11" x14ac:dyDescent="0.25">
      <c r="A2031" t="s">
        <v>86</v>
      </c>
    </row>
    <row r="2032" spans="1:11" x14ac:dyDescent="0.25">
      <c r="A2032">
        <v>7.4529000874535898</v>
      </c>
      <c r="B2032">
        <v>10.307170266685</v>
      </c>
      <c r="C2032">
        <v>2000</v>
      </c>
    </row>
    <row r="2033" spans="1:11" x14ac:dyDescent="0.25">
      <c r="A2033">
        <v>0</v>
      </c>
      <c r="B2033">
        <v>2.8542701792314098</v>
      </c>
      <c r="C2033">
        <v>2000</v>
      </c>
    </row>
    <row r="2034" spans="1:11" x14ac:dyDescent="0.25">
      <c r="A2034">
        <v>0</v>
      </c>
      <c r="B2034">
        <v>3.7283022281290501</v>
      </c>
      <c r="C2034">
        <v>2001</v>
      </c>
    </row>
    <row r="2035" spans="1:11" x14ac:dyDescent="0.25">
      <c r="A2035">
        <v>6.8920527335072803</v>
      </c>
      <c r="B2035">
        <v>10.6203549616363</v>
      </c>
      <c r="C2035">
        <v>2001</v>
      </c>
    </row>
    <row r="2036" spans="1:11" x14ac:dyDescent="0.25">
      <c r="A2036">
        <v>10.740667544193499</v>
      </c>
      <c r="B2036">
        <v>14.4689697723226</v>
      </c>
      <c r="C2036">
        <v>2001</v>
      </c>
    </row>
    <row r="2037" spans="1:11" x14ac:dyDescent="0.25">
      <c r="A2037">
        <v>11.6146995930911</v>
      </c>
      <c r="B2037">
        <v>14.4689697723226</v>
      </c>
      <c r="C2037">
        <v>2000</v>
      </c>
    </row>
    <row r="2038" spans="1:11" x14ac:dyDescent="0.25">
      <c r="A2038" t="s">
        <v>87</v>
      </c>
    </row>
    <row r="2039" spans="1:11" x14ac:dyDescent="0.25">
      <c r="A2039">
        <v>1041</v>
      </c>
      <c r="B2039">
        <v>1</v>
      </c>
      <c r="C2039">
        <v>15.5369497707836</v>
      </c>
      <c r="D2039">
        <v>0.24230211695665799</v>
      </c>
      <c r="E2039">
        <v>6</v>
      </c>
      <c r="F2039">
        <v>1.01722196789785</v>
      </c>
      <c r="G2039" t="s">
        <v>85</v>
      </c>
      <c r="H2039" t="s">
        <v>89</v>
      </c>
      <c r="I2039">
        <v>187</v>
      </c>
      <c r="J2039">
        <v>204</v>
      </c>
      <c r="K2039">
        <v>9.3842356677082794E-2</v>
      </c>
    </row>
    <row r="2040" spans="1:11" x14ac:dyDescent="0.25">
      <c r="A2040" t="s">
        <v>86</v>
      </c>
    </row>
    <row r="2041" spans="1:11" x14ac:dyDescent="0.25">
      <c r="A2041">
        <v>66.820948672937405</v>
      </c>
      <c r="B2041">
        <v>122.717109510944</v>
      </c>
      <c r="C2041">
        <v>2000</v>
      </c>
    </row>
    <row r="2042" spans="1:11" x14ac:dyDescent="0.25">
      <c r="A2042">
        <v>55.619513471442602</v>
      </c>
      <c r="B2042">
        <v>133.91854471243801</v>
      </c>
      <c r="C2042">
        <v>2000</v>
      </c>
    </row>
    <row r="2043" spans="1:11" x14ac:dyDescent="0.25">
      <c r="A2043">
        <v>56.493545520340298</v>
      </c>
      <c r="B2043">
        <v>133.918544712439</v>
      </c>
      <c r="C2043">
        <v>2001</v>
      </c>
    </row>
    <row r="2044" spans="1:11" x14ac:dyDescent="0.25">
      <c r="A2044">
        <v>67.264675402597206</v>
      </c>
      <c r="B2044">
        <v>123.147414830182</v>
      </c>
      <c r="C2044">
        <v>2001</v>
      </c>
    </row>
    <row r="2045" spans="1:11" x14ac:dyDescent="0.25">
      <c r="A2045">
        <v>67.432653519987596</v>
      </c>
      <c r="B2045">
        <v>122.979436712791</v>
      </c>
      <c r="C2045">
        <v>2001</v>
      </c>
    </row>
    <row r="2046" spans="1:11" x14ac:dyDescent="0.25">
      <c r="A2046">
        <v>66.995637495538801</v>
      </c>
      <c r="B2046">
        <v>122.54242068834201</v>
      </c>
      <c r="C2046">
        <v>2000</v>
      </c>
    </row>
    <row r="2047" spans="1:11" x14ac:dyDescent="0.25">
      <c r="A2047" t="s">
        <v>87</v>
      </c>
    </row>
    <row r="2048" spans="1:11" x14ac:dyDescent="0.25">
      <c r="A2048">
        <v>751</v>
      </c>
      <c r="B2048">
        <v>0</v>
      </c>
      <c r="C2048">
        <v>7.1502650757822401</v>
      </c>
      <c r="D2048">
        <v>8.5697849118973597</v>
      </c>
      <c r="E2048">
        <v>6</v>
      </c>
      <c r="F2048">
        <v>1.01722196789785</v>
      </c>
      <c r="G2048" t="s">
        <v>85</v>
      </c>
      <c r="H2048" t="s">
        <v>85</v>
      </c>
      <c r="I2048">
        <v>633</v>
      </c>
      <c r="J2048">
        <v>625</v>
      </c>
      <c r="K2048">
        <v>8.8543832116719706E-2</v>
      </c>
    </row>
    <row r="2049" spans="1:11" x14ac:dyDescent="0.25">
      <c r="A2049" t="s">
        <v>86</v>
      </c>
    </row>
    <row r="2050" spans="1:11" x14ac:dyDescent="0.25">
      <c r="A2050">
        <v>107.757809738516</v>
      </c>
      <c r="B2050">
        <v>89.296146562935505</v>
      </c>
      <c r="C2050">
        <v>2000</v>
      </c>
    </row>
    <row r="2051" spans="1:11" x14ac:dyDescent="0.25">
      <c r="A2051">
        <v>102.701808816149</v>
      </c>
      <c r="B2051">
        <v>84.2401456405685</v>
      </c>
      <c r="C2051">
        <v>2000</v>
      </c>
    </row>
    <row r="2052" spans="1:11" x14ac:dyDescent="0.25">
      <c r="A2052">
        <v>102.701808816149</v>
      </c>
      <c r="B2052">
        <v>85.114177689466104</v>
      </c>
      <c r="C2052">
        <v>2001</v>
      </c>
    </row>
    <row r="2053" spans="1:11" x14ac:dyDescent="0.25">
      <c r="A2053">
        <v>107.757809738516</v>
      </c>
      <c r="B2053">
        <v>90.170178611833094</v>
      </c>
      <c r="C2053">
        <v>2001</v>
      </c>
    </row>
    <row r="2054" spans="1:11" x14ac:dyDescent="0.25">
      <c r="A2054">
        <v>113.817562763029</v>
      </c>
      <c r="B2054">
        <v>96.229931636345896</v>
      </c>
      <c r="C2054">
        <v>2001</v>
      </c>
    </row>
    <row r="2055" spans="1:11" x14ac:dyDescent="0.25">
      <c r="A2055">
        <v>113.817562763029</v>
      </c>
      <c r="B2055">
        <v>95.355899587448306</v>
      </c>
      <c r="C2055">
        <v>2000</v>
      </c>
    </row>
    <row r="2056" spans="1:11" x14ac:dyDescent="0.25">
      <c r="A2056" t="s">
        <v>87</v>
      </c>
    </row>
    <row r="2057" spans="1:11" x14ac:dyDescent="0.25">
      <c r="A2057">
        <v>840</v>
      </c>
      <c r="B2057">
        <v>1</v>
      </c>
      <c r="C2057">
        <v>9.7989048945142692</v>
      </c>
      <c r="D2057">
        <v>5.8993637170900799</v>
      </c>
      <c r="E2057">
        <v>8</v>
      </c>
      <c r="F2057">
        <v>1.01722196789785</v>
      </c>
      <c r="G2057" t="s">
        <v>85</v>
      </c>
      <c r="H2057" t="s">
        <v>85</v>
      </c>
      <c r="I2057">
        <v>675</v>
      </c>
      <c r="J2057">
        <v>759</v>
      </c>
      <c r="K2057">
        <v>9.0374042336346896E-2</v>
      </c>
    </row>
    <row r="2058" spans="1:11" x14ac:dyDescent="0.25">
      <c r="A2058" t="s">
        <v>86</v>
      </c>
    </row>
    <row r="2059" spans="1:11" x14ac:dyDescent="0.25">
      <c r="A2059">
        <v>98.247085912705501</v>
      </c>
      <c r="B2059">
        <v>81.720476753433303</v>
      </c>
      <c r="C2059">
        <v>2000</v>
      </c>
    </row>
    <row r="2060" spans="1:11" x14ac:dyDescent="0.25">
      <c r="A2060">
        <v>91.401137519805701</v>
      </c>
      <c r="B2060">
        <v>88.566425146333103</v>
      </c>
      <c r="C2060">
        <v>2000</v>
      </c>
    </row>
    <row r="2061" spans="1:11" x14ac:dyDescent="0.25">
      <c r="A2061">
        <v>90.527105470907998</v>
      </c>
      <c r="B2061">
        <v>88.566425146333103</v>
      </c>
      <c r="C2061">
        <v>2001</v>
      </c>
    </row>
    <row r="2062" spans="1:11" x14ac:dyDescent="0.25">
      <c r="A2062">
        <v>97.538901276234398</v>
      </c>
      <c r="B2062">
        <v>81.554629341006702</v>
      </c>
      <c r="C2062">
        <v>2001</v>
      </c>
    </row>
    <row r="2063" spans="1:11" x14ac:dyDescent="0.25">
      <c r="A2063">
        <v>99.671124019670899</v>
      </c>
      <c r="B2063">
        <v>79.422406597570301</v>
      </c>
      <c r="C2063">
        <v>2001</v>
      </c>
    </row>
    <row r="2064" spans="1:11" x14ac:dyDescent="0.25">
      <c r="A2064">
        <v>101.62745765906099</v>
      </c>
      <c r="B2064">
        <v>77.466072958179794</v>
      </c>
      <c r="C2064">
        <v>2001</v>
      </c>
    </row>
    <row r="2065" spans="1:11" x14ac:dyDescent="0.25">
      <c r="A2065">
        <v>102.501489707959</v>
      </c>
      <c r="B2065">
        <v>77.466072958179794</v>
      </c>
      <c r="C2065">
        <v>2000</v>
      </c>
    </row>
    <row r="2066" spans="1:11" x14ac:dyDescent="0.25">
      <c r="A2066">
        <v>100.328875980329</v>
      </c>
      <c r="B2066">
        <v>79.638686685809702</v>
      </c>
      <c r="C2066">
        <v>2000</v>
      </c>
    </row>
    <row r="2067" spans="1:11" x14ac:dyDescent="0.25">
      <c r="A2067" t="s">
        <v>87</v>
      </c>
    </row>
    <row r="2068" spans="1:11" x14ac:dyDescent="0.25">
      <c r="A2068">
        <v>760</v>
      </c>
      <c r="B2068">
        <v>1</v>
      </c>
      <c r="C2068">
        <v>6.9303097447520301</v>
      </c>
      <c r="D2068">
        <v>8.7679588668523092</v>
      </c>
      <c r="E2068">
        <v>8</v>
      </c>
      <c r="F2068">
        <v>1.01722196789785</v>
      </c>
      <c r="G2068" t="s">
        <v>85</v>
      </c>
      <c r="H2068" t="s">
        <v>85</v>
      </c>
      <c r="I2068">
        <v>675</v>
      </c>
      <c r="J2068">
        <v>759</v>
      </c>
      <c r="K2068">
        <v>8.8543832116719706E-2</v>
      </c>
    </row>
    <row r="2069" spans="1:11" x14ac:dyDescent="0.25">
      <c r="A2069" t="s">
        <v>86</v>
      </c>
    </row>
    <row r="2070" spans="1:11" x14ac:dyDescent="0.25">
      <c r="A2070">
        <v>96.893012126484095</v>
      </c>
      <c r="B2070">
        <v>84.369023121033095</v>
      </c>
      <c r="C2070">
        <v>2000</v>
      </c>
    </row>
    <row r="2071" spans="1:11" x14ac:dyDescent="0.25">
      <c r="A2071">
        <v>92.048373810494894</v>
      </c>
      <c r="B2071">
        <v>89.213661437022395</v>
      </c>
      <c r="C2071">
        <v>2000</v>
      </c>
    </row>
    <row r="2072" spans="1:11" x14ac:dyDescent="0.25">
      <c r="A2072">
        <v>91.174341761597205</v>
      </c>
      <c r="B2072">
        <v>89.213661437022395</v>
      </c>
      <c r="C2072">
        <v>2001</v>
      </c>
    </row>
    <row r="2073" spans="1:11" x14ac:dyDescent="0.25">
      <c r="A2073">
        <v>96.130641478082694</v>
      </c>
      <c r="B2073">
        <v>84.257361720536906</v>
      </c>
      <c r="C2073">
        <v>2001</v>
      </c>
    </row>
    <row r="2074" spans="1:11" x14ac:dyDescent="0.25">
      <c r="A2074">
        <v>99.658555188711304</v>
      </c>
      <c r="B2074">
        <v>80.729448009908197</v>
      </c>
      <c r="C2074">
        <v>2001</v>
      </c>
    </row>
    <row r="2075" spans="1:11" x14ac:dyDescent="0.25">
      <c r="A2075">
        <v>102.274693949751</v>
      </c>
      <c r="B2075">
        <v>78.113309248869001</v>
      </c>
      <c r="C2075">
        <v>2001</v>
      </c>
    </row>
    <row r="2076" spans="1:11" x14ac:dyDescent="0.25">
      <c r="A2076">
        <v>103.148725998648</v>
      </c>
      <c r="B2076">
        <v>78.113309248869001</v>
      </c>
      <c r="C2076">
        <v>2000</v>
      </c>
    </row>
    <row r="2077" spans="1:11" x14ac:dyDescent="0.25">
      <c r="A2077">
        <v>100.34144481128899</v>
      </c>
      <c r="B2077">
        <v>80.920590436228593</v>
      </c>
      <c r="C2077">
        <v>2000</v>
      </c>
    </row>
    <row r="2078" spans="1:11" x14ac:dyDescent="0.25">
      <c r="A2078" t="s">
        <v>87</v>
      </c>
    </row>
    <row r="2079" spans="1:11" x14ac:dyDescent="0.25">
      <c r="A2079">
        <v>791</v>
      </c>
      <c r="B2079">
        <v>0</v>
      </c>
      <c r="C2079">
        <v>10.854784898985301</v>
      </c>
      <c r="D2079">
        <v>4.8237432976838504</v>
      </c>
      <c r="E2079">
        <v>6</v>
      </c>
      <c r="F2079">
        <v>1.01722196789785</v>
      </c>
      <c r="G2079" t="s">
        <v>85</v>
      </c>
      <c r="H2079" t="s">
        <v>85</v>
      </c>
      <c r="I2079">
        <v>560</v>
      </c>
      <c r="J2079">
        <v>546</v>
      </c>
      <c r="K2079">
        <v>8.9537010595109504E-2</v>
      </c>
    </row>
    <row r="2080" spans="1:11" x14ac:dyDescent="0.25">
      <c r="A2080" t="s">
        <v>86</v>
      </c>
    </row>
    <row r="2081" spans="1:11" x14ac:dyDescent="0.25">
      <c r="A2081">
        <v>138.444246555885</v>
      </c>
      <c r="B2081">
        <v>114.189522541207</v>
      </c>
      <c r="C2081">
        <v>2000</v>
      </c>
    </row>
    <row r="2082" spans="1:11" x14ac:dyDescent="0.25">
      <c r="A2082">
        <v>130.76875454549199</v>
      </c>
      <c r="B2082">
        <v>106.514030530814</v>
      </c>
      <c r="C2082">
        <v>2000</v>
      </c>
    </row>
    <row r="2083" spans="1:11" x14ac:dyDescent="0.25">
      <c r="A2083">
        <v>130.76875454549199</v>
      </c>
      <c r="B2083">
        <v>105.639998481916</v>
      </c>
      <c r="C2083">
        <v>2001</v>
      </c>
    </row>
    <row r="2084" spans="1:11" x14ac:dyDescent="0.25">
      <c r="A2084">
        <v>138.444246555885</v>
      </c>
      <c r="B2084">
        <v>113.31549049231</v>
      </c>
      <c r="C2084">
        <v>2001</v>
      </c>
    </row>
    <row r="2085" spans="1:11" x14ac:dyDescent="0.25">
      <c r="A2085">
        <v>141.85514815238099</v>
      </c>
      <c r="B2085">
        <v>116.726392088805</v>
      </c>
      <c r="C2085">
        <v>2001</v>
      </c>
    </row>
    <row r="2086" spans="1:11" x14ac:dyDescent="0.25">
      <c r="A2086">
        <v>141.85514815238099</v>
      </c>
      <c r="B2086">
        <v>117.600424137703</v>
      </c>
      <c r="C2086">
        <v>2000</v>
      </c>
    </row>
    <row r="2087" spans="1:11" x14ac:dyDescent="0.25">
      <c r="A2087" t="s">
        <v>87</v>
      </c>
    </row>
    <row r="2088" spans="1:11" x14ac:dyDescent="0.25">
      <c r="A2088">
        <v>114</v>
      </c>
      <c r="B2088">
        <v>0</v>
      </c>
      <c r="C2088">
        <v>3.0798348747157598</v>
      </c>
      <c r="D2088">
        <v>12.5439348027899</v>
      </c>
      <c r="E2088">
        <v>6</v>
      </c>
      <c r="F2088">
        <v>1.01722196789785</v>
      </c>
      <c r="G2088" t="s">
        <v>85</v>
      </c>
      <c r="H2088" t="s">
        <v>85</v>
      </c>
      <c r="I2088">
        <v>145</v>
      </c>
      <c r="J2088">
        <v>816</v>
      </c>
      <c r="K2088">
        <v>0</v>
      </c>
    </row>
    <row r="2089" spans="1:11" x14ac:dyDescent="0.25">
      <c r="A2089" t="s">
        <v>86</v>
      </c>
    </row>
    <row r="2090" spans="1:11" x14ac:dyDescent="0.25">
      <c r="A2090">
        <v>129.40544413653501</v>
      </c>
      <c r="B2090">
        <v>9.0927491239703695</v>
      </c>
      <c r="C2090">
        <v>2000</v>
      </c>
    </row>
    <row r="2091" spans="1:11" x14ac:dyDescent="0.25">
      <c r="A2091">
        <v>127.22767201168899</v>
      </c>
      <c r="B2091">
        <v>6.9149769991240504</v>
      </c>
      <c r="C2091">
        <v>2000</v>
      </c>
    </row>
    <row r="2092" spans="1:11" x14ac:dyDescent="0.25">
      <c r="A2092">
        <v>126.35363996279099</v>
      </c>
      <c r="B2092">
        <v>6.9149769991240504</v>
      </c>
      <c r="C2092">
        <v>2001</v>
      </c>
    </row>
    <row r="2093" spans="1:11" x14ac:dyDescent="0.25">
      <c r="A2093">
        <v>128.53141208763699</v>
      </c>
      <c r="B2093">
        <v>9.0927491239703695</v>
      </c>
      <c r="C2093">
        <v>2001</v>
      </c>
    </row>
    <row r="2094" spans="1:11" x14ac:dyDescent="0.25">
      <c r="A2094">
        <v>137.401313449452</v>
      </c>
      <c r="B2094">
        <v>17.962650485785002</v>
      </c>
      <c r="C2094">
        <v>2001</v>
      </c>
    </row>
    <row r="2095" spans="1:11" x14ac:dyDescent="0.25">
      <c r="A2095">
        <v>138.27534549834999</v>
      </c>
      <c r="B2095">
        <v>17.962650485785002</v>
      </c>
      <c r="C2095">
        <v>2000</v>
      </c>
    </row>
    <row r="2096" spans="1:11" x14ac:dyDescent="0.25">
      <c r="A2096" t="s">
        <v>87</v>
      </c>
    </row>
    <row r="2097" spans="1:11" x14ac:dyDescent="0.25">
      <c r="A2097">
        <v>744</v>
      </c>
      <c r="B2097">
        <v>1</v>
      </c>
      <c r="C2097">
        <v>10.839641503381101</v>
      </c>
      <c r="D2097">
        <v>4.7828089942291596</v>
      </c>
      <c r="E2097">
        <v>6</v>
      </c>
      <c r="F2097">
        <v>1.01722196789785</v>
      </c>
      <c r="G2097" t="s">
        <v>85</v>
      </c>
      <c r="H2097" t="s">
        <v>89</v>
      </c>
      <c r="I2097">
        <v>261</v>
      </c>
      <c r="J2097">
        <v>374</v>
      </c>
      <c r="K2097">
        <v>8.9259099568316694E-2</v>
      </c>
    </row>
    <row r="2098" spans="1:11" x14ac:dyDescent="0.25">
      <c r="A2098" t="s">
        <v>86</v>
      </c>
    </row>
    <row r="2099" spans="1:11" x14ac:dyDescent="0.25">
      <c r="A2099">
        <v>24.5455891419784</v>
      </c>
      <c r="B2099">
        <v>91.510504734306807</v>
      </c>
      <c r="C2099">
        <v>2000</v>
      </c>
    </row>
    <row r="2100" spans="1:11" x14ac:dyDescent="0.25">
      <c r="A2100">
        <v>16.729193285921799</v>
      </c>
      <c r="B2100">
        <v>99.326900590363394</v>
      </c>
      <c r="C2100">
        <v>2000</v>
      </c>
    </row>
    <row r="2101" spans="1:11" x14ac:dyDescent="0.25">
      <c r="A2101">
        <v>17.603225334819399</v>
      </c>
      <c r="B2101">
        <v>99.326900590363394</v>
      </c>
      <c r="C2101">
        <v>2001</v>
      </c>
    </row>
    <row r="2102" spans="1:11" x14ac:dyDescent="0.25">
      <c r="A2102">
        <v>25.116397504106601</v>
      </c>
      <c r="B2102">
        <v>91.813728421076107</v>
      </c>
      <c r="C2102">
        <v>2001</v>
      </c>
    </row>
    <row r="2103" spans="1:11" x14ac:dyDescent="0.25">
      <c r="A2103">
        <v>28.431458008206398</v>
      </c>
      <c r="B2103">
        <v>88.498667916976402</v>
      </c>
      <c r="C2103">
        <v>2001</v>
      </c>
    </row>
    <row r="2104" spans="1:11" x14ac:dyDescent="0.25">
      <c r="A2104">
        <v>27.9944419837576</v>
      </c>
      <c r="B2104">
        <v>88.061651892527607</v>
      </c>
      <c r="C2104">
        <v>2000</v>
      </c>
    </row>
    <row r="2105" spans="1:11" x14ac:dyDescent="0.25">
      <c r="A2105" t="s">
        <v>87</v>
      </c>
    </row>
    <row r="2106" spans="1:11" x14ac:dyDescent="0.25">
      <c r="A2106">
        <v>548</v>
      </c>
      <c r="B2106">
        <v>1</v>
      </c>
      <c r="C2106">
        <v>5.5922753249603998</v>
      </c>
      <c r="D2106">
        <v>9.9920560001580796</v>
      </c>
      <c r="E2106">
        <v>8</v>
      </c>
      <c r="F2106">
        <v>1.01722196789785</v>
      </c>
      <c r="G2106" t="s">
        <v>85</v>
      </c>
      <c r="H2106" t="s">
        <v>89</v>
      </c>
      <c r="I2106">
        <v>200</v>
      </c>
      <c r="J2106">
        <v>887</v>
      </c>
      <c r="K2106">
        <v>0</v>
      </c>
    </row>
    <row r="2107" spans="1:11" x14ac:dyDescent="0.25">
      <c r="A2107" t="s">
        <v>86</v>
      </c>
    </row>
    <row r="2108" spans="1:11" x14ac:dyDescent="0.25">
      <c r="A2108">
        <v>100.98787651491899</v>
      </c>
      <c r="B2108">
        <v>142.035059451596</v>
      </c>
      <c r="C2108">
        <v>2000</v>
      </c>
    </row>
    <row r="2109" spans="1:11" x14ac:dyDescent="0.25">
      <c r="A2109">
        <v>99.711552220394495</v>
      </c>
      <c r="B2109">
        <v>143.31138374611999</v>
      </c>
      <c r="C2109">
        <v>2000</v>
      </c>
    </row>
    <row r="2110" spans="1:11" x14ac:dyDescent="0.25">
      <c r="A2110">
        <v>96.874346959355094</v>
      </c>
      <c r="B2110">
        <v>146.14858900716001</v>
      </c>
      <c r="C2110">
        <v>2000</v>
      </c>
    </row>
    <row r="2111" spans="1:11" x14ac:dyDescent="0.25">
      <c r="A2111">
        <v>97.748379008252698</v>
      </c>
      <c r="B2111">
        <v>146.14858900716001</v>
      </c>
      <c r="C2111">
        <v>2001</v>
      </c>
    </row>
    <row r="2112" spans="1:11" x14ac:dyDescent="0.25">
      <c r="A2112">
        <v>100.28844777960499</v>
      </c>
      <c r="B2112">
        <v>143.60852023580699</v>
      </c>
      <c r="C2112">
        <v>2001</v>
      </c>
    </row>
    <row r="2113" spans="1:11" x14ac:dyDescent="0.25">
      <c r="A2113">
        <v>101.543521061772</v>
      </c>
      <c r="B2113">
        <v>142.35344695364</v>
      </c>
      <c r="C2113">
        <v>2001</v>
      </c>
    </row>
    <row r="2114" spans="1:11" x14ac:dyDescent="0.25">
      <c r="A2114">
        <v>108.549657356278</v>
      </c>
      <c r="B2114">
        <v>135.34731065913499</v>
      </c>
      <c r="C2114">
        <v>2001</v>
      </c>
    </row>
    <row r="2115" spans="1:11" x14ac:dyDescent="0.25">
      <c r="A2115">
        <v>108.112641331829</v>
      </c>
      <c r="B2115">
        <v>134.91029463468601</v>
      </c>
      <c r="C2115">
        <v>2000</v>
      </c>
    </row>
    <row r="2116" spans="1:11" x14ac:dyDescent="0.25">
      <c r="A2116" t="s">
        <v>87</v>
      </c>
    </row>
    <row r="2117" spans="1:11" x14ac:dyDescent="0.25">
      <c r="A2117">
        <v>627</v>
      </c>
      <c r="B2117">
        <v>1</v>
      </c>
      <c r="C2117">
        <v>4.2472186475135798</v>
      </c>
      <c r="D2117">
        <v>11.3109232831101</v>
      </c>
      <c r="E2117">
        <v>8</v>
      </c>
      <c r="F2117">
        <v>1.01722196789785</v>
      </c>
      <c r="G2117" t="s">
        <v>85</v>
      </c>
      <c r="H2117" t="s">
        <v>85</v>
      </c>
      <c r="I2117">
        <v>590</v>
      </c>
      <c r="J2117">
        <v>101</v>
      </c>
      <c r="K2117">
        <v>0</v>
      </c>
    </row>
    <row r="2118" spans="1:11" x14ac:dyDescent="0.25">
      <c r="A2118" t="s">
        <v>86</v>
      </c>
    </row>
    <row r="2119" spans="1:11" x14ac:dyDescent="0.25">
      <c r="A2119">
        <v>112.54997742229401</v>
      </c>
      <c r="B2119">
        <v>56.202910214488703</v>
      </c>
      <c r="C2119">
        <v>2000</v>
      </c>
    </row>
    <row r="2120" spans="1:11" x14ac:dyDescent="0.25">
      <c r="A2120">
        <v>109.671846374251</v>
      </c>
      <c r="B2120">
        <v>59.081041262531798</v>
      </c>
      <c r="C2120">
        <v>2000</v>
      </c>
    </row>
    <row r="2121" spans="1:11" x14ac:dyDescent="0.25">
      <c r="A2121">
        <v>109.671846374251</v>
      </c>
      <c r="B2121">
        <v>59.955073311429402</v>
      </c>
      <c r="C2121">
        <v>2001</v>
      </c>
    </row>
    <row r="2122" spans="1:11" x14ac:dyDescent="0.25">
      <c r="A2122">
        <v>112.800189539885</v>
      </c>
      <c r="B2122">
        <v>56.826730145794897</v>
      </c>
      <c r="C2122">
        <v>2001</v>
      </c>
    </row>
    <row r="2123" spans="1:11" x14ac:dyDescent="0.25">
      <c r="A2123">
        <v>119.586398041197</v>
      </c>
      <c r="B2123">
        <v>50.040521644483199</v>
      </c>
      <c r="C2123">
        <v>2001</v>
      </c>
    </row>
    <row r="2124" spans="1:11" x14ac:dyDescent="0.25">
      <c r="A2124">
        <v>121.11013006050599</v>
      </c>
      <c r="B2124">
        <v>48.5167896251738</v>
      </c>
      <c r="C2124">
        <v>2001</v>
      </c>
    </row>
    <row r="2125" spans="1:11" x14ac:dyDescent="0.25">
      <c r="A2125">
        <v>120.236098011609</v>
      </c>
      <c r="B2125">
        <v>48.5167896251738</v>
      </c>
      <c r="C2125">
        <v>2000</v>
      </c>
    </row>
    <row r="2126" spans="1:11" x14ac:dyDescent="0.25">
      <c r="A2126">
        <v>118.79340928126599</v>
      </c>
      <c r="B2126">
        <v>49.9594783555169</v>
      </c>
      <c r="C2126">
        <v>2000</v>
      </c>
    </row>
    <row r="2127" spans="1:11" x14ac:dyDescent="0.25">
      <c r="A2127" t="s">
        <v>87</v>
      </c>
    </row>
    <row r="2128" spans="1:11" x14ac:dyDescent="0.25">
      <c r="A2128">
        <v>597</v>
      </c>
      <c r="B2128">
        <v>0</v>
      </c>
      <c r="C2128">
        <v>6.2625404931630397</v>
      </c>
      <c r="D2128">
        <v>9.2759778977120408</v>
      </c>
      <c r="E2128">
        <v>8</v>
      </c>
      <c r="F2128">
        <v>1.01722196789785</v>
      </c>
      <c r="G2128" t="s">
        <v>85</v>
      </c>
      <c r="H2128" t="s">
        <v>85</v>
      </c>
      <c r="I2128">
        <v>159</v>
      </c>
      <c r="J2128">
        <v>632</v>
      </c>
      <c r="K2128">
        <v>0</v>
      </c>
    </row>
    <row r="2129" spans="1:11" x14ac:dyDescent="0.25">
      <c r="A2129" t="s">
        <v>86</v>
      </c>
    </row>
    <row r="2130" spans="1:11" x14ac:dyDescent="0.25">
      <c r="A2130">
        <v>127.424070495721</v>
      </c>
      <c r="B2130">
        <v>53.052405474134098</v>
      </c>
      <c r="C2130">
        <v>2000</v>
      </c>
    </row>
    <row r="2131" spans="1:11" x14ac:dyDescent="0.25">
      <c r="A2131">
        <v>124.72845496042</v>
      </c>
      <c r="B2131">
        <v>50.356789938833501</v>
      </c>
      <c r="C2131">
        <v>2000</v>
      </c>
    </row>
    <row r="2132" spans="1:11" x14ac:dyDescent="0.25">
      <c r="A2132">
        <v>123.182818653613</v>
      </c>
      <c r="B2132">
        <v>48.811153632026198</v>
      </c>
      <c r="C2132">
        <v>2000</v>
      </c>
    </row>
    <row r="2133" spans="1:11" x14ac:dyDescent="0.25">
      <c r="A2133">
        <v>123.182818653613</v>
      </c>
      <c r="B2133">
        <v>47.937121583128501</v>
      </c>
      <c r="C2133">
        <v>2001</v>
      </c>
    </row>
    <row r="2134" spans="1:11" x14ac:dyDescent="0.25">
      <c r="A2134">
        <v>124.888907131651</v>
      </c>
      <c r="B2134">
        <v>49.6432100611664</v>
      </c>
      <c r="C2134">
        <v>2001</v>
      </c>
    </row>
    <row r="2135" spans="1:11" x14ac:dyDescent="0.25">
      <c r="A2135">
        <v>127.79813651184701</v>
      </c>
      <c r="B2135">
        <v>52.552439441362402</v>
      </c>
      <c r="C2135">
        <v>2001</v>
      </c>
    </row>
    <row r="2136" spans="1:11" x14ac:dyDescent="0.25">
      <c r="A2136">
        <v>134.60722640184099</v>
      </c>
      <c r="B2136">
        <v>59.361529331356998</v>
      </c>
      <c r="C2136">
        <v>2001</v>
      </c>
    </row>
    <row r="2137" spans="1:11" x14ac:dyDescent="0.25">
      <c r="A2137">
        <v>133.733194352944</v>
      </c>
      <c r="B2137">
        <v>59.361529331356998</v>
      </c>
      <c r="C2137">
        <v>2000</v>
      </c>
    </row>
    <row r="2138" spans="1:11" x14ac:dyDescent="0.25">
      <c r="A2138" t="s">
        <v>87</v>
      </c>
    </row>
    <row r="2139" spans="1:11" x14ac:dyDescent="0.25">
      <c r="A2139">
        <v>732</v>
      </c>
      <c r="B2139">
        <v>1</v>
      </c>
      <c r="C2139">
        <v>4.3993258268434303</v>
      </c>
      <c r="D2139">
        <v>11.1385334859244</v>
      </c>
      <c r="E2139">
        <v>6</v>
      </c>
      <c r="F2139">
        <v>1.01722196789785</v>
      </c>
      <c r="G2139" t="s">
        <v>89</v>
      </c>
      <c r="H2139" t="s">
        <v>85</v>
      </c>
      <c r="I2139">
        <v>730</v>
      </c>
      <c r="J2139">
        <v>196</v>
      </c>
      <c r="K2139">
        <v>8.9259099568316694E-2</v>
      </c>
    </row>
    <row r="2140" spans="1:11" x14ac:dyDescent="0.25">
      <c r="A2140" t="s">
        <v>86</v>
      </c>
    </row>
    <row r="2141" spans="1:11" x14ac:dyDescent="0.25">
      <c r="A2141">
        <v>65.903661640868705</v>
      </c>
      <c r="B2141">
        <v>121.339959816156</v>
      </c>
      <c r="C2141">
        <v>2000</v>
      </c>
    </row>
    <row r="2142" spans="1:11" x14ac:dyDescent="0.25">
      <c r="A2142">
        <v>62.854735979407401</v>
      </c>
      <c r="B2142">
        <v>124.38888547761699</v>
      </c>
      <c r="C2142">
        <v>2000</v>
      </c>
    </row>
    <row r="2143" spans="1:11" x14ac:dyDescent="0.25">
      <c r="A2143">
        <v>63.291752003856203</v>
      </c>
      <c r="B2143">
        <v>124.825901502066</v>
      </c>
      <c r="C2143">
        <v>2001</v>
      </c>
    </row>
    <row r="2144" spans="1:11" x14ac:dyDescent="0.25">
      <c r="A2144">
        <v>66.464412592014995</v>
      </c>
      <c r="B2144">
        <v>121.653240913907</v>
      </c>
      <c r="C2144">
        <v>2001</v>
      </c>
    </row>
    <row r="2145" spans="1:11" x14ac:dyDescent="0.25">
      <c r="A2145">
        <v>74.497185701261202</v>
      </c>
      <c r="B2145">
        <v>113.620467804661</v>
      </c>
      <c r="C2145">
        <v>2001</v>
      </c>
    </row>
    <row r="2146" spans="1:11" x14ac:dyDescent="0.25">
      <c r="A2146">
        <v>73.623153652363598</v>
      </c>
      <c r="B2146">
        <v>113.620467804661</v>
      </c>
      <c r="C2146">
        <v>2000</v>
      </c>
    </row>
    <row r="2147" spans="1:11" x14ac:dyDescent="0.25">
      <c r="A2147" t="s">
        <v>87</v>
      </c>
    </row>
    <row r="2148" spans="1:11" x14ac:dyDescent="0.25">
      <c r="A2148">
        <v>789</v>
      </c>
      <c r="B2148">
        <v>0</v>
      </c>
      <c r="C2148">
        <v>11.540971600422001</v>
      </c>
      <c r="D2148">
        <v>3.9830376898944602</v>
      </c>
      <c r="E2148">
        <v>6</v>
      </c>
      <c r="F2148">
        <v>1.01722196789785</v>
      </c>
      <c r="G2148" t="s">
        <v>89</v>
      </c>
      <c r="H2148" t="s">
        <v>85</v>
      </c>
      <c r="I2148">
        <v>106</v>
      </c>
      <c r="J2148">
        <v>146</v>
      </c>
      <c r="K2148">
        <v>8.9537010595109504E-2</v>
      </c>
    </row>
    <row r="2149" spans="1:11" x14ac:dyDescent="0.25">
      <c r="A2149" t="s">
        <v>86</v>
      </c>
    </row>
    <row r="2150" spans="1:11" x14ac:dyDescent="0.25">
      <c r="A2150">
        <v>119.986622957189</v>
      </c>
      <c r="B2150">
        <v>29.715422295523901</v>
      </c>
      <c r="C2150">
        <v>2000</v>
      </c>
    </row>
    <row r="2151" spans="1:11" x14ac:dyDescent="0.25">
      <c r="A2151">
        <v>111.663478865507</v>
      </c>
      <c r="B2151">
        <v>21.392278203841801</v>
      </c>
      <c r="C2151">
        <v>2000</v>
      </c>
    </row>
    <row r="2152" spans="1:11" x14ac:dyDescent="0.25">
      <c r="A2152">
        <v>111.22646284105799</v>
      </c>
      <c r="B2152">
        <v>21.8292942282906</v>
      </c>
      <c r="C2152">
        <v>2001</v>
      </c>
    </row>
    <row r="2153" spans="1:11" x14ac:dyDescent="0.25">
      <c r="A2153">
        <v>119.22471730965501</v>
      </c>
      <c r="B2153">
        <v>29.827548696888101</v>
      </c>
      <c r="C2153">
        <v>2001</v>
      </c>
    </row>
    <row r="2154" spans="1:11" x14ac:dyDescent="0.25">
      <c r="A2154">
        <v>121.98508706921901</v>
      </c>
      <c r="B2154">
        <v>32.587918456451902</v>
      </c>
      <c r="C2154">
        <v>2001</v>
      </c>
    </row>
    <row r="2155" spans="1:11" x14ac:dyDescent="0.25">
      <c r="A2155">
        <v>122.85911911811699</v>
      </c>
      <c r="B2155">
        <v>32.587918456451902</v>
      </c>
      <c r="C2155">
        <v>2000</v>
      </c>
    </row>
    <row r="2156" spans="1:11" x14ac:dyDescent="0.25">
      <c r="A2156" t="s">
        <v>87</v>
      </c>
    </row>
    <row r="2157" spans="1:11" x14ac:dyDescent="0.25">
      <c r="A2157">
        <v>809</v>
      </c>
      <c r="B2157">
        <v>0</v>
      </c>
      <c r="C2157">
        <v>14.628623676893801</v>
      </c>
      <c r="D2157">
        <v>0.89372007060430303</v>
      </c>
      <c r="E2157">
        <v>6</v>
      </c>
      <c r="F2157">
        <v>1.01722196789785</v>
      </c>
      <c r="G2157" t="s">
        <v>88</v>
      </c>
      <c r="H2157" t="s">
        <v>89</v>
      </c>
      <c r="I2157">
        <v>0</v>
      </c>
      <c r="J2157">
        <v>10</v>
      </c>
      <c r="K2157">
        <v>8.9816640118045604E-2</v>
      </c>
    </row>
    <row r="2158" spans="1:11" x14ac:dyDescent="0.25">
      <c r="A2158" t="s">
        <v>86</v>
      </c>
    </row>
    <row r="2159" spans="1:11" x14ac:dyDescent="0.25">
      <c r="A2159">
        <v>47.619694306368899</v>
      </c>
      <c r="B2159">
        <v>10.5499261173406</v>
      </c>
      <c r="C2159">
        <v>2000</v>
      </c>
    </row>
    <row r="2160" spans="1:11" x14ac:dyDescent="0.25">
      <c r="A2160">
        <v>37.069768189028302</v>
      </c>
      <c r="B2160">
        <v>0</v>
      </c>
      <c r="C2160">
        <v>2000</v>
      </c>
    </row>
    <row r="2161" spans="1:11" x14ac:dyDescent="0.25">
      <c r="A2161">
        <v>37.943800237925998</v>
      </c>
      <c r="B2161">
        <v>0</v>
      </c>
      <c r="C2161">
        <v>2001</v>
      </c>
    </row>
    <row r="2162" spans="1:11" x14ac:dyDescent="0.25">
      <c r="A2162">
        <v>48.081872123300798</v>
      </c>
      <c r="B2162">
        <v>10.138071885374799</v>
      </c>
      <c r="C2162">
        <v>2001</v>
      </c>
    </row>
    <row r="2163" spans="1:11" x14ac:dyDescent="0.25">
      <c r="A2163">
        <v>48.701246749466101</v>
      </c>
      <c r="B2163">
        <v>10.757446511540101</v>
      </c>
      <c r="C2163">
        <v>2001</v>
      </c>
    </row>
    <row r="2164" spans="1:11" x14ac:dyDescent="0.25">
      <c r="A2164">
        <v>48.264230725017299</v>
      </c>
      <c r="B2164">
        <v>11.194462535988899</v>
      </c>
      <c r="C2164">
        <v>2000</v>
      </c>
    </row>
    <row r="2165" spans="1:11" x14ac:dyDescent="0.25">
      <c r="A2165" t="s">
        <v>87</v>
      </c>
    </row>
    <row r="2166" spans="1:11" x14ac:dyDescent="0.25">
      <c r="A2166">
        <v>79</v>
      </c>
      <c r="B2166">
        <v>1</v>
      </c>
      <c r="C2166">
        <v>8.2011568031663593</v>
      </c>
      <c r="D2166">
        <v>7.2991268205206401</v>
      </c>
      <c r="E2166">
        <v>6</v>
      </c>
      <c r="F2166">
        <v>1.01722196789785</v>
      </c>
      <c r="G2166" t="s">
        <v>88</v>
      </c>
      <c r="H2166" t="s">
        <v>89</v>
      </c>
      <c r="I2166">
        <v>0</v>
      </c>
      <c r="J2166">
        <v>810</v>
      </c>
      <c r="K2166">
        <v>0</v>
      </c>
    </row>
    <row r="2167" spans="1:11" x14ac:dyDescent="0.25">
      <c r="A2167" t="s">
        <v>86</v>
      </c>
    </row>
    <row r="2168" spans="1:11" x14ac:dyDescent="0.25">
      <c r="A2168">
        <v>5.6834816096928096</v>
      </c>
      <c r="B2168">
        <v>41.101692528594398</v>
      </c>
      <c r="C2168">
        <v>2000</v>
      </c>
    </row>
    <row r="2169" spans="1:11" x14ac:dyDescent="0.25">
      <c r="A2169">
        <v>0</v>
      </c>
      <c r="B2169">
        <v>46.785174138287303</v>
      </c>
      <c r="C2169">
        <v>2000</v>
      </c>
    </row>
    <row r="2170" spans="1:11" x14ac:dyDescent="0.25">
      <c r="A2170">
        <v>0</v>
      </c>
      <c r="B2170">
        <v>47.6592061871849</v>
      </c>
      <c r="C2170">
        <v>2001</v>
      </c>
    </row>
    <row r="2171" spans="1:11" x14ac:dyDescent="0.25">
      <c r="A2171">
        <v>5.91470556849342</v>
      </c>
      <c r="B2171">
        <v>41.744500618691497</v>
      </c>
      <c r="C2171">
        <v>2001</v>
      </c>
    </row>
    <row r="2172" spans="1:11" x14ac:dyDescent="0.25">
      <c r="A2172">
        <v>11.1788636728483</v>
      </c>
      <c r="B2172">
        <v>36.480342514336598</v>
      </c>
      <c r="C2172">
        <v>2001</v>
      </c>
    </row>
    <row r="2173" spans="1:11" x14ac:dyDescent="0.25">
      <c r="A2173">
        <v>10.7418476483994</v>
      </c>
      <c r="B2173">
        <v>36.043326489887797</v>
      </c>
      <c r="C2173">
        <v>2000</v>
      </c>
    </row>
    <row r="2174" spans="1:11" x14ac:dyDescent="0.25">
      <c r="A2174" t="s">
        <v>87</v>
      </c>
    </row>
    <row r="2175" spans="1:11" x14ac:dyDescent="0.25">
      <c r="A2175">
        <v>187</v>
      </c>
      <c r="B2175">
        <v>0</v>
      </c>
      <c r="C2175">
        <v>12.9652032552007</v>
      </c>
      <c r="D2175">
        <v>2.5092303293387199</v>
      </c>
      <c r="E2175">
        <v>8</v>
      </c>
      <c r="F2175">
        <v>1.01722196789785</v>
      </c>
      <c r="G2175" t="s">
        <v>85</v>
      </c>
      <c r="H2175" t="s">
        <v>89</v>
      </c>
      <c r="I2175">
        <v>319</v>
      </c>
      <c r="J2175">
        <v>189</v>
      </c>
      <c r="K2175">
        <v>0</v>
      </c>
    </row>
    <row r="2176" spans="1:11" x14ac:dyDescent="0.25">
      <c r="A2176" t="s">
        <v>86</v>
      </c>
    </row>
    <row r="2177" spans="1:11" x14ac:dyDescent="0.25">
      <c r="A2177">
        <v>58.950854232817299</v>
      </c>
      <c r="B2177">
        <v>137.24988547381301</v>
      </c>
      <c r="C2177">
        <v>2000</v>
      </c>
    </row>
    <row r="2178" spans="1:11" x14ac:dyDescent="0.25">
      <c r="A2178">
        <v>49.999193650568799</v>
      </c>
      <c r="B2178">
        <v>128.29822489156501</v>
      </c>
      <c r="C2178">
        <v>2000</v>
      </c>
    </row>
    <row r="2179" spans="1:11" x14ac:dyDescent="0.25">
      <c r="A2179">
        <v>49.966168578232697</v>
      </c>
      <c r="B2179">
        <v>128.265199819229</v>
      </c>
      <c r="C2179">
        <v>2000</v>
      </c>
    </row>
    <row r="2180" spans="1:11" x14ac:dyDescent="0.25">
      <c r="A2180">
        <v>49.966168578232697</v>
      </c>
      <c r="B2180">
        <v>127.39116777033099</v>
      </c>
      <c r="C2180">
        <v>2001</v>
      </c>
    </row>
    <row r="2181" spans="1:11" x14ac:dyDescent="0.25">
      <c r="A2181">
        <v>50.000806349431201</v>
      </c>
      <c r="B2181">
        <v>127.425805541529</v>
      </c>
      <c r="C2181">
        <v>2001</v>
      </c>
    </row>
    <row r="2182" spans="1:11" x14ac:dyDescent="0.25">
      <c r="A2182">
        <v>59.317049206076803</v>
      </c>
      <c r="B2182">
        <v>136.742048398175</v>
      </c>
      <c r="C2182">
        <v>2001</v>
      </c>
    </row>
    <row r="2183" spans="1:11" x14ac:dyDescent="0.25">
      <c r="A2183">
        <v>61.126753513105797</v>
      </c>
      <c r="B2183">
        <v>138.551752705204</v>
      </c>
      <c r="C2183">
        <v>2001</v>
      </c>
    </row>
    <row r="2184" spans="1:11" x14ac:dyDescent="0.25">
      <c r="A2184">
        <v>60.689737488657002</v>
      </c>
      <c r="B2184">
        <v>138.988768729653</v>
      </c>
      <c r="C2184">
        <v>2000</v>
      </c>
    </row>
    <row r="2185" spans="1:11" x14ac:dyDescent="0.25">
      <c r="A2185" t="s">
        <v>87</v>
      </c>
    </row>
    <row r="2186" spans="1:11" x14ac:dyDescent="0.25">
      <c r="A2186">
        <v>153</v>
      </c>
      <c r="B2186">
        <v>1</v>
      </c>
      <c r="C2186">
        <v>10.8413089545397</v>
      </c>
      <c r="D2186">
        <v>4.6247284801734896</v>
      </c>
      <c r="E2186">
        <v>6</v>
      </c>
      <c r="F2186">
        <v>1.01722196789785</v>
      </c>
      <c r="G2186" t="s">
        <v>85</v>
      </c>
      <c r="H2186" t="s">
        <v>88</v>
      </c>
      <c r="I2186">
        <v>105</v>
      </c>
      <c r="J2186">
        <v>0</v>
      </c>
      <c r="K2186">
        <v>0</v>
      </c>
    </row>
    <row r="2187" spans="1:11" x14ac:dyDescent="0.25">
      <c r="A2187" t="s">
        <v>86</v>
      </c>
    </row>
    <row r="2188" spans="1:11" x14ac:dyDescent="0.25">
      <c r="A2188">
        <v>120.652945774421</v>
      </c>
      <c r="B2188">
        <v>3.40085549114049</v>
      </c>
      <c r="C2188">
        <v>2000</v>
      </c>
    </row>
    <row r="2189" spans="1:11" x14ac:dyDescent="0.25">
      <c r="A2189">
        <v>112.680645292942</v>
      </c>
      <c r="B2189">
        <v>11.3731559726195</v>
      </c>
      <c r="C2189">
        <v>2000</v>
      </c>
    </row>
    <row r="2190" spans="1:11" x14ac:dyDescent="0.25">
      <c r="A2190">
        <v>112.680645292942</v>
      </c>
      <c r="B2190">
        <v>10.4991239237219</v>
      </c>
      <c r="C2190">
        <v>2001</v>
      </c>
    </row>
    <row r="2191" spans="1:11" x14ac:dyDescent="0.25">
      <c r="A2191">
        <v>120.04027096885</v>
      </c>
      <c r="B2191">
        <v>3.1394982478139801</v>
      </c>
      <c r="C2191">
        <v>2001</v>
      </c>
    </row>
    <row r="2192" spans="1:11" x14ac:dyDescent="0.25">
      <c r="A2192">
        <v>123.179769216664</v>
      </c>
      <c r="B2192">
        <v>0</v>
      </c>
      <c r="C2192">
        <v>2001</v>
      </c>
    </row>
    <row r="2193" spans="1:11" x14ac:dyDescent="0.25">
      <c r="A2193">
        <v>124.05380126556101</v>
      </c>
      <c r="B2193">
        <v>0</v>
      </c>
      <c r="C2193">
        <v>2000</v>
      </c>
    </row>
    <row r="2194" spans="1:11" x14ac:dyDescent="0.25">
      <c r="A2194" t="s">
        <v>87</v>
      </c>
    </row>
    <row r="2195" spans="1:11" x14ac:dyDescent="0.25">
      <c r="A2195">
        <v>703</v>
      </c>
      <c r="B2195">
        <v>1</v>
      </c>
      <c r="C2195">
        <v>8.8518374339188508</v>
      </c>
      <c r="D2195">
        <v>6.5673973578354596</v>
      </c>
      <c r="E2195">
        <v>6</v>
      </c>
      <c r="F2195">
        <v>1.01722196789785</v>
      </c>
      <c r="G2195" t="s">
        <v>85</v>
      </c>
      <c r="H2195" t="s">
        <v>89</v>
      </c>
      <c r="I2195">
        <v>669</v>
      </c>
      <c r="J2195">
        <v>720</v>
      </c>
      <c r="K2195">
        <v>0</v>
      </c>
    </row>
    <row r="2196" spans="1:11" x14ac:dyDescent="0.25">
      <c r="A2196" t="s">
        <v>86</v>
      </c>
    </row>
    <row r="2197" spans="1:11" x14ac:dyDescent="0.25">
      <c r="A2197">
        <v>60.066004325222302</v>
      </c>
      <c r="B2197">
        <v>87.004237525154494</v>
      </c>
      <c r="C2197">
        <v>2000</v>
      </c>
    </row>
    <row r="2198" spans="1:11" x14ac:dyDescent="0.25">
      <c r="A2198">
        <v>53.681369492644698</v>
      </c>
      <c r="B2198">
        <v>93.388872357732097</v>
      </c>
      <c r="C2198">
        <v>2000</v>
      </c>
    </row>
    <row r="2199" spans="1:11" x14ac:dyDescent="0.25">
      <c r="A2199">
        <v>54.555401541542302</v>
      </c>
      <c r="B2199">
        <v>93.388872357732097</v>
      </c>
      <c r="C2199">
        <v>2001</v>
      </c>
    </row>
    <row r="2200" spans="1:11" x14ac:dyDescent="0.25">
      <c r="A2200">
        <v>60.689155259934701</v>
      </c>
      <c r="B2200">
        <v>87.255118639339699</v>
      </c>
      <c r="C2200">
        <v>2001</v>
      </c>
    </row>
    <row r="2201" spans="1:11" x14ac:dyDescent="0.25">
      <c r="A2201">
        <v>65.239939011274998</v>
      </c>
      <c r="B2201">
        <v>82.704334887999394</v>
      </c>
      <c r="C2201">
        <v>2001</v>
      </c>
    </row>
    <row r="2202" spans="1:11" x14ac:dyDescent="0.25">
      <c r="A2202">
        <v>64.802922986826204</v>
      </c>
      <c r="B2202">
        <v>82.267318863550599</v>
      </c>
      <c r="C2202">
        <v>2000</v>
      </c>
    </row>
    <row r="2203" spans="1:11" x14ac:dyDescent="0.25">
      <c r="A2203" t="s">
        <v>87</v>
      </c>
    </row>
    <row r="2204" spans="1:11" x14ac:dyDescent="0.25">
      <c r="A2204">
        <v>513</v>
      </c>
      <c r="B2204">
        <v>0</v>
      </c>
      <c r="C2204">
        <v>10.0439897900725</v>
      </c>
      <c r="D2204">
        <v>5.3312630530245704</v>
      </c>
      <c r="E2204">
        <v>6</v>
      </c>
      <c r="F2204">
        <v>1.01722196789785</v>
      </c>
      <c r="G2204" t="s">
        <v>85</v>
      </c>
      <c r="H2204" t="s">
        <v>85</v>
      </c>
      <c r="I2204">
        <v>549</v>
      </c>
      <c r="J2204">
        <v>552</v>
      </c>
      <c r="K2204">
        <v>0</v>
      </c>
    </row>
    <row r="2205" spans="1:11" x14ac:dyDescent="0.25">
      <c r="A2205" t="s">
        <v>86</v>
      </c>
    </row>
    <row r="2206" spans="1:11" x14ac:dyDescent="0.25">
      <c r="A2206">
        <v>110.4524411701</v>
      </c>
      <c r="B2206">
        <v>116.55903734106499</v>
      </c>
      <c r="C2206">
        <v>2000</v>
      </c>
    </row>
    <row r="2207" spans="1:11" x14ac:dyDescent="0.25">
      <c r="A2207">
        <v>103.350267879371</v>
      </c>
      <c r="B2207">
        <v>109.456864050337</v>
      </c>
      <c r="C2207">
        <v>2000</v>
      </c>
    </row>
    <row r="2208" spans="1:11" x14ac:dyDescent="0.25">
      <c r="A2208">
        <v>104.22429992826901</v>
      </c>
      <c r="B2208">
        <v>109.456864050337</v>
      </c>
      <c r="C2208">
        <v>2001</v>
      </c>
    </row>
    <row r="2209" spans="1:11" x14ac:dyDescent="0.25">
      <c r="A2209">
        <v>111.326473218998</v>
      </c>
      <c r="B2209">
        <v>116.55903734106499</v>
      </c>
      <c r="C2209">
        <v>2001</v>
      </c>
    </row>
    <row r="2210" spans="1:11" x14ac:dyDescent="0.25">
      <c r="A2210">
        <v>115.09624547608099</v>
      </c>
      <c r="B2210">
        <v>120.328809598148</v>
      </c>
      <c r="C2210">
        <v>2001</v>
      </c>
    </row>
    <row r="2211" spans="1:11" x14ac:dyDescent="0.25">
      <c r="A2211">
        <v>114.22221342718299</v>
      </c>
      <c r="B2211">
        <v>120.328809598148</v>
      </c>
      <c r="C2211">
        <v>2000</v>
      </c>
    </row>
    <row r="2212" spans="1:11" x14ac:dyDescent="0.25">
      <c r="A2212" t="s">
        <v>87</v>
      </c>
    </row>
    <row r="2213" spans="1:11" x14ac:dyDescent="0.25">
      <c r="A2213">
        <v>272</v>
      </c>
      <c r="B2213">
        <v>0</v>
      </c>
      <c r="C2213">
        <v>1.77482968024562</v>
      </c>
      <c r="D2213">
        <v>13.5860808780041</v>
      </c>
      <c r="E2213">
        <v>6</v>
      </c>
      <c r="F2213">
        <v>1.01722196789785</v>
      </c>
      <c r="G2213" t="s">
        <v>89</v>
      </c>
      <c r="H2213" t="s">
        <v>85</v>
      </c>
      <c r="I2213">
        <v>829</v>
      </c>
      <c r="J2213">
        <v>304</v>
      </c>
      <c r="K2213">
        <v>0</v>
      </c>
    </row>
    <row r="2214" spans="1:11" x14ac:dyDescent="0.25">
      <c r="A2214" t="s">
        <v>86</v>
      </c>
    </row>
    <row r="2215" spans="1:11" x14ac:dyDescent="0.25">
      <c r="A2215">
        <v>32.8374591805932</v>
      </c>
      <c r="B2215">
        <v>111.593671163994</v>
      </c>
      <c r="C2215">
        <v>2000</v>
      </c>
    </row>
    <row r="2216" spans="1:11" x14ac:dyDescent="0.25">
      <c r="A2216">
        <v>31.607711921778499</v>
      </c>
      <c r="B2216">
        <v>110.36392390518</v>
      </c>
      <c r="C2216">
        <v>2000</v>
      </c>
    </row>
    <row r="2217" spans="1:11" x14ac:dyDescent="0.25">
      <c r="A2217">
        <v>31.170695897329701</v>
      </c>
      <c r="B2217">
        <v>110.800939929628</v>
      </c>
      <c r="C2217">
        <v>2001</v>
      </c>
    </row>
    <row r="2218" spans="1:11" x14ac:dyDescent="0.25">
      <c r="A2218">
        <v>32.450936843220603</v>
      </c>
      <c r="B2218">
        <v>112.081180875519</v>
      </c>
      <c r="C2218">
        <v>2001</v>
      </c>
    </row>
    <row r="2219" spans="1:11" x14ac:dyDescent="0.25">
      <c r="A2219">
        <v>42.251007930492499</v>
      </c>
      <c r="B2219">
        <v>121.881251962791</v>
      </c>
      <c r="C2219">
        <v>2001</v>
      </c>
    </row>
    <row r="2220" spans="1:11" x14ac:dyDescent="0.25">
      <c r="A2220">
        <v>42.251007930492499</v>
      </c>
      <c r="B2220">
        <v>121.00721991389401</v>
      </c>
      <c r="C2220">
        <v>2000</v>
      </c>
    </row>
    <row r="2221" spans="1:11" x14ac:dyDescent="0.25">
      <c r="A2221" t="s">
        <v>87</v>
      </c>
    </row>
    <row r="2222" spans="1:11" x14ac:dyDescent="0.25">
      <c r="A2222">
        <v>757</v>
      </c>
      <c r="B2222">
        <v>0</v>
      </c>
      <c r="C2222">
        <v>14.3280283525163</v>
      </c>
      <c r="D2222">
        <v>1.01628385590229</v>
      </c>
      <c r="E2222">
        <v>8</v>
      </c>
      <c r="F2222">
        <v>1.01722196789785</v>
      </c>
      <c r="G2222" t="s">
        <v>85</v>
      </c>
      <c r="H2222" t="s">
        <v>89</v>
      </c>
      <c r="I2222">
        <v>743</v>
      </c>
      <c r="J2222">
        <v>669</v>
      </c>
      <c r="K2222">
        <v>8.8543832116719706E-2</v>
      </c>
    </row>
    <row r="2223" spans="1:11" x14ac:dyDescent="0.25">
      <c r="A2223" t="s">
        <v>86</v>
      </c>
    </row>
    <row r="2224" spans="1:11" x14ac:dyDescent="0.25">
      <c r="A2224">
        <v>50.246801180275298</v>
      </c>
      <c r="B2224">
        <v>88.3380625262199</v>
      </c>
      <c r="C2224">
        <v>2000</v>
      </c>
    </row>
    <row r="2225" spans="1:11" x14ac:dyDescent="0.25">
      <c r="A2225">
        <v>50.217884885029903</v>
      </c>
      <c r="B2225">
        <v>88.309146230974505</v>
      </c>
      <c r="C2225">
        <v>2000</v>
      </c>
    </row>
    <row r="2226" spans="1:11" x14ac:dyDescent="0.25">
      <c r="A2226">
        <v>39.8974462016008</v>
      </c>
      <c r="B2226">
        <v>77.988707547545403</v>
      </c>
      <c r="C2226">
        <v>2000</v>
      </c>
    </row>
    <row r="2227" spans="1:11" x14ac:dyDescent="0.25">
      <c r="A2227">
        <v>39.8974462016008</v>
      </c>
      <c r="B2227">
        <v>78.862739596443006</v>
      </c>
      <c r="C2227">
        <v>2001</v>
      </c>
    </row>
    <row r="2228" spans="1:11" x14ac:dyDescent="0.25">
      <c r="A2228">
        <v>49.782115114970097</v>
      </c>
      <c r="B2228">
        <v>88.747408509812402</v>
      </c>
      <c r="C2228">
        <v>2001</v>
      </c>
    </row>
    <row r="2229" spans="1:11" x14ac:dyDescent="0.25">
      <c r="A2229">
        <v>49.8109832411211</v>
      </c>
      <c r="B2229">
        <v>88.776276635963299</v>
      </c>
      <c r="C2229">
        <v>2001</v>
      </c>
    </row>
    <row r="2230" spans="1:11" x14ac:dyDescent="0.25">
      <c r="A2230">
        <v>50.529005404592702</v>
      </c>
      <c r="B2230">
        <v>89.494298799434901</v>
      </c>
      <c r="C2230">
        <v>2001</v>
      </c>
    </row>
    <row r="2231" spans="1:11" x14ac:dyDescent="0.25">
      <c r="A2231">
        <v>50.966021429041497</v>
      </c>
      <c r="B2231">
        <v>89.057282774986106</v>
      </c>
      <c r="C2231">
        <v>2000</v>
      </c>
    </row>
    <row r="2232" spans="1:11" x14ac:dyDescent="0.25">
      <c r="A2232" t="s">
        <v>87</v>
      </c>
    </row>
    <row r="2233" spans="1:11" x14ac:dyDescent="0.25">
      <c r="A2233">
        <v>1220</v>
      </c>
      <c r="B2233">
        <v>0</v>
      </c>
      <c r="C2233">
        <v>13.184597753264001</v>
      </c>
      <c r="D2233">
        <v>2.15971445515456</v>
      </c>
      <c r="E2233">
        <v>8</v>
      </c>
      <c r="F2233">
        <v>1.01722196789785</v>
      </c>
      <c r="G2233" t="s">
        <v>85</v>
      </c>
      <c r="H2233" t="s">
        <v>89</v>
      </c>
      <c r="I2233">
        <v>743</v>
      </c>
      <c r="J2233">
        <v>669</v>
      </c>
      <c r="K2233">
        <v>9.6277099271545E-2</v>
      </c>
    </row>
    <row r="2234" spans="1:11" x14ac:dyDescent="0.25">
      <c r="A2234" t="s">
        <v>86</v>
      </c>
    </row>
    <row r="2235" spans="1:11" x14ac:dyDescent="0.25">
      <c r="A2235">
        <v>48.431975257840698</v>
      </c>
      <c r="B2235">
        <v>88.482744718242898</v>
      </c>
      <c r="C2235">
        <v>2000</v>
      </c>
    </row>
    <row r="2236" spans="1:11" x14ac:dyDescent="0.25">
      <c r="A2236">
        <v>38.917692144371998</v>
      </c>
      <c r="B2236">
        <v>78.968461604774205</v>
      </c>
      <c r="C2236">
        <v>2000</v>
      </c>
    </row>
    <row r="2237" spans="1:11" x14ac:dyDescent="0.25">
      <c r="A2237">
        <v>39.791724193269602</v>
      </c>
      <c r="B2237">
        <v>78.968461604774205</v>
      </c>
      <c r="C2237">
        <v>2001</v>
      </c>
    </row>
    <row r="2238" spans="1:11" x14ac:dyDescent="0.25">
      <c r="A2238">
        <v>48.923278036900697</v>
      </c>
      <c r="B2238">
        <v>88.100015448405301</v>
      </c>
      <c r="C2238">
        <v>2001</v>
      </c>
    </row>
    <row r="2239" spans="1:11" x14ac:dyDescent="0.25">
      <c r="A2239">
        <v>50.218508012224397</v>
      </c>
      <c r="B2239">
        <v>89.395245423728994</v>
      </c>
      <c r="C2239">
        <v>2001</v>
      </c>
    </row>
    <row r="2240" spans="1:11" x14ac:dyDescent="0.25">
      <c r="A2240">
        <v>50.423283396261503</v>
      </c>
      <c r="B2240">
        <v>89.6000208077661</v>
      </c>
      <c r="C2240">
        <v>2001</v>
      </c>
    </row>
    <row r="2241" spans="1:11" x14ac:dyDescent="0.25">
      <c r="A2241">
        <v>49.986267371812701</v>
      </c>
      <c r="B2241">
        <v>90.037036832214895</v>
      </c>
      <c r="C2241">
        <v>2000</v>
      </c>
    </row>
    <row r="2242" spans="1:11" x14ac:dyDescent="0.25">
      <c r="A2242">
        <v>49.781491987775603</v>
      </c>
      <c r="B2242">
        <v>89.832261448177803</v>
      </c>
      <c r="C2242">
        <v>2000</v>
      </c>
    </row>
    <row r="2243" spans="1:11" x14ac:dyDescent="0.25">
      <c r="A2243" t="s">
        <v>87</v>
      </c>
    </row>
    <row r="2244" spans="1:11" x14ac:dyDescent="0.25">
      <c r="A2244">
        <v>1168</v>
      </c>
      <c r="B2244">
        <v>1</v>
      </c>
      <c r="C2244">
        <v>14.110703643378899</v>
      </c>
      <c r="D2244">
        <v>1.2257785113183099</v>
      </c>
      <c r="E2244">
        <v>6</v>
      </c>
      <c r="F2244">
        <v>1.01722196789785</v>
      </c>
      <c r="G2244" t="s">
        <v>85</v>
      </c>
      <c r="H2244" t="s">
        <v>85</v>
      </c>
      <c r="I2244">
        <v>837</v>
      </c>
      <c r="J2244">
        <v>120</v>
      </c>
      <c r="K2244">
        <v>9.5469883166703101E-2</v>
      </c>
    </row>
    <row r="2245" spans="1:11" x14ac:dyDescent="0.25">
      <c r="A2245" t="s">
        <v>86</v>
      </c>
    </row>
    <row r="2246" spans="1:11" x14ac:dyDescent="0.25">
      <c r="A2246">
        <v>113.797029347064</v>
      </c>
      <c r="B2246">
        <v>29.331156897056101</v>
      </c>
      <c r="C2246">
        <v>2000</v>
      </c>
    </row>
    <row r="2247" spans="1:11" x14ac:dyDescent="0.25">
      <c r="A2247">
        <v>103.819255113518</v>
      </c>
      <c r="B2247">
        <v>39.308931130603</v>
      </c>
      <c r="C2247">
        <v>2000</v>
      </c>
    </row>
    <row r="2248" spans="1:11" x14ac:dyDescent="0.25">
      <c r="A2248">
        <v>103.819255113518</v>
      </c>
      <c r="B2248">
        <v>40.182963179500597</v>
      </c>
      <c r="C2248">
        <v>2001</v>
      </c>
    </row>
    <row r="2249" spans="1:11" x14ac:dyDescent="0.25">
      <c r="A2249">
        <v>113.797029347064</v>
      </c>
      <c r="B2249">
        <v>30.205188945953701</v>
      </c>
      <c r="C2249">
        <v>2001</v>
      </c>
    </row>
    <row r="2250" spans="1:11" x14ac:dyDescent="0.25">
      <c r="A2250">
        <v>114.66378564465001</v>
      </c>
      <c r="B2250">
        <v>29.3384326483678</v>
      </c>
      <c r="C2250">
        <v>2001</v>
      </c>
    </row>
    <row r="2251" spans="1:11" x14ac:dyDescent="0.25">
      <c r="A2251">
        <v>114.66378564465001</v>
      </c>
      <c r="B2251">
        <v>28.464400599470199</v>
      </c>
      <c r="C2251">
        <v>2000</v>
      </c>
    </row>
    <row r="2252" spans="1:11" x14ac:dyDescent="0.25">
      <c r="A2252" t="s">
        <v>87</v>
      </c>
    </row>
    <row r="2253" spans="1:11" x14ac:dyDescent="0.25">
      <c r="A2253">
        <v>547</v>
      </c>
      <c r="B2253">
        <v>1</v>
      </c>
      <c r="C2253">
        <v>4.7452634949596701</v>
      </c>
      <c r="D2253">
        <v>10.553918056707101</v>
      </c>
      <c r="E2253">
        <v>6</v>
      </c>
      <c r="F2253">
        <v>1.01722196789785</v>
      </c>
      <c r="G2253" t="s">
        <v>85</v>
      </c>
      <c r="H2253" t="s">
        <v>85</v>
      </c>
      <c r="I2253">
        <v>513</v>
      </c>
      <c r="J2253">
        <v>514</v>
      </c>
      <c r="K2253">
        <v>0</v>
      </c>
    </row>
    <row r="2254" spans="1:11" x14ac:dyDescent="0.25">
      <c r="A2254" t="s">
        <v>86</v>
      </c>
    </row>
    <row r="2255" spans="1:11" x14ac:dyDescent="0.25">
      <c r="A2255">
        <v>112.69709941125301</v>
      </c>
      <c r="B2255">
        <v>112.09287959061299</v>
      </c>
      <c r="C2255">
        <v>2000</v>
      </c>
    </row>
    <row r="2256" spans="1:11" x14ac:dyDescent="0.25">
      <c r="A2256">
        <v>109.34169141545</v>
      </c>
      <c r="B2256">
        <v>115.448287586416</v>
      </c>
      <c r="C2256">
        <v>2000</v>
      </c>
    </row>
    <row r="2257" spans="1:11" x14ac:dyDescent="0.25">
      <c r="A2257">
        <v>109.34169141545</v>
      </c>
      <c r="B2257">
        <v>114.574255537518</v>
      </c>
      <c r="C2257">
        <v>2001</v>
      </c>
    </row>
    <row r="2258" spans="1:11" x14ac:dyDescent="0.25">
      <c r="A2258">
        <v>112.69709941125301</v>
      </c>
      <c r="B2258">
        <v>111.21884754171499</v>
      </c>
      <c r="C2258">
        <v>2001</v>
      </c>
    </row>
    <row r="2259" spans="1:11" x14ac:dyDescent="0.25">
      <c r="A2259">
        <v>120.159846437238</v>
      </c>
      <c r="B2259">
        <v>103.75610051573</v>
      </c>
      <c r="C2259">
        <v>2001</v>
      </c>
    </row>
    <row r="2260" spans="1:11" x14ac:dyDescent="0.25">
      <c r="A2260">
        <v>120.159846437238</v>
      </c>
      <c r="B2260">
        <v>104.630132564628</v>
      </c>
      <c r="C2260">
        <v>2000</v>
      </c>
    </row>
    <row r="2261" spans="1:11" x14ac:dyDescent="0.25">
      <c r="A2261" t="s">
        <v>87</v>
      </c>
    </row>
    <row r="2262" spans="1:11" x14ac:dyDescent="0.25">
      <c r="A2262">
        <v>64</v>
      </c>
      <c r="B2262">
        <v>1</v>
      </c>
      <c r="C2262">
        <v>6.3423341591322897</v>
      </c>
      <c r="D2262">
        <v>8.9340265873675797</v>
      </c>
      <c r="E2262">
        <v>6</v>
      </c>
      <c r="F2262">
        <v>1.01722196789785</v>
      </c>
      <c r="G2262" t="s">
        <v>89</v>
      </c>
      <c r="H2262" t="s">
        <v>85</v>
      </c>
      <c r="I2262">
        <v>73</v>
      </c>
      <c r="J2262">
        <v>769</v>
      </c>
      <c r="K2262">
        <v>0</v>
      </c>
    </row>
    <row r="2263" spans="1:11" x14ac:dyDescent="0.25">
      <c r="A2263" t="s">
        <v>86</v>
      </c>
    </row>
    <row r="2264" spans="1:11" x14ac:dyDescent="0.25">
      <c r="A2264">
        <v>27.976526768506599</v>
      </c>
      <c r="B2264">
        <v>37.516617815154703</v>
      </c>
      <c r="C2264">
        <v>2000</v>
      </c>
    </row>
    <row r="2265" spans="1:11" x14ac:dyDescent="0.25">
      <c r="A2265">
        <v>23.401100625631098</v>
      </c>
      <c r="B2265">
        <v>42.092043958030096</v>
      </c>
      <c r="C2265">
        <v>2000</v>
      </c>
    </row>
    <row r="2266" spans="1:11" x14ac:dyDescent="0.25">
      <c r="A2266">
        <v>23.83811665008</v>
      </c>
      <c r="B2266">
        <v>42.529059982478998</v>
      </c>
      <c r="C2266">
        <v>2001</v>
      </c>
    </row>
    <row r="2267" spans="1:11" x14ac:dyDescent="0.25">
      <c r="A2267">
        <v>28.2321054921516</v>
      </c>
      <c r="B2267">
        <v>38.135071140407298</v>
      </c>
      <c r="C2267">
        <v>2001</v>
      </c>
    </row>
    <row r="2268" spans="1:11" x14ac:dyDescent="0.25">
      <c r="A2268">
        <v>34.421626913557603</v>
      </c>
      <c r="B2268">
        <v>31.945549719001299</v>
      </c>
      <c r="C2268">
        <v>2001</v>
      </c>
    </row>
    <row r="2269" spans="1:11" x14ac:dyDescent="0.25">
      <c r="A2269">
        <v>34.421626913557603</v>
      </c>
      <c r="B2269">
        <v>31.071517670103699</v>
      </c>
      <c r="C2269">
        <v>2000</v>
      </c>
    </row>
    <row r="2270" spans="1:11" x14ac:dyDescent="0.25">
      <c r="A2270" t="s">
        <v>87</v>
      </c>
    </row>
    <row r="2271" spans="1:11" x14ac:dyDescent="0.25">
      <c r="A2271">
        <v>382</v>
      </c>
      <c r="B2271">
        <v>1</v>
      </c>
      <c r="C2271">
        <v>1.56917924519823</v>
      </c>
      <c r="D2271">
        <v>13.6339249103212</v>
      </c>
      <c r="E2271">
        <v>6</v>
      </c>
      <c r="F2271">
        <v>1.01722196789785</v>
      </c>
      <c r="G2271" t="s">
        <v>85</v>
      </c>
      <c r="H2271" t="s">
        <v>85</v>
      </c>
      <c r="I2271">
        <v>360</v>
      </c>
      <c r="J2271">
        <v>354</v>
      </c>
      <c r="K2271">
        <v>0</v>
      </c>
    </row>
    <row r="2272" spans="1:11" x14ac:dyDescent="0.25">
      <c r="A2272" t="s">
        <v>86</v>
      </c>
    </row>
    <row r="2273" spans="1:11" x14ac:dyDescent="0.25">
      <c r="A2273">
        <v>36.641895990195302</v>
      </c>
      <c r="B2273">
        <v>77.867321217370801</v>
      </c>
      <c r="C2273">
        <v>2000</v>
      </c>
    </row>
    <row r="2274" spans="1:11" x14ac:dyDescent="0.25">
      <c r="A2274">
        <v>35.532318705018398</v>
      </c>
      <c r="B2274">
        <v>78.976898502547698</v>
      </c>
      <c r="C2274">
        <v>2000</v>
      </c>
    </row>
    <row r="2275" spans="1:11" x14ac:dyDescent="0.25">
      <c r="A2275">
        <v>36.406350753916001</v>
      </c>
      <c r="B2275">
        <v>78.976898502547698</v>
      </c>
      <c r="C2275">
        <v>2001</v>
      </c>
    </row>
    <row r="2276" spans="1:11" x14ac:dyDescent="0.25">
      <c r="A2276">
        <v>37.515928039092898</v>
      </c>
      <c r="B2276">
        <v>77.867321217370801</v>
      </c>
      <c r="C2276">
        <v>2001</v>
      </c>
    </row>
    <row r="2277" spans="1:11" x14ac:dyDescent="0.25">
      <c r="A2277">
        <v>47.156568797369196</v>
      </c>
      <c r="B2277">
        <v>68.226680459094595</v>
      </c>
      <c r="C2277">
        <v>2001</v>
      </c>
    </row>
    <row r="2278" spans="1:11" x14ac:dyDescent="0.25">
      <c r="A2278">
        <v>46.2825367484715</v>
      </c>
      <c r="B2278">
        <v>68.226680459094595</v>
      </c>
      <c r="C2278">
        <v>2000</v>
      </c>
    </row>
    <row r="2279" spans="1:11" x14ac:dyDescent="0.25">
      <c r="A2279" t="s">
        <v>87</v>
      </c>
    </row>
    <row r="2280" spans="1:11" x14ac:dyDescent="0.25">
      <c r="A2280">
        <v>305</v>
      </c>
      <c r="B2280">
        <v>1</v>
      </c>
      <c r="C2280">
        <v>8.2262092850595501</v>
      </c>
      <c r="D2280">
        <v>6.9685573841762896</v>
      </c>
      <c r="E2280">
        <v>6</v>
      </c>
      <c r="F2280">
        <v>1.01722196789785</v>
      </c>
      <c r="G2280" t="s">
        <v>85</v>
      </c>
      <c r="H2280" t="s">
        <v>85</v>
      </c>
      <c r="I2280">
        <v>264</v>
      </c>
      <c r="J2280">
        <v>276</v>
      </c>
      <c r="K2280">
        <v>0</v>
      </c>
    </row>
    <row r="2281" spans="1:11" x14ac:dyDescent="0.25">
      <c r="A2281" t="s">
        <v>86</v>
      </c>
    </row>
    <row r="2282" spans="1:11" x14ac:dyDescent="0.25">
      <c r="A2282">
        <v>20.9616493343934</v>
      </c>
      <c r="B2282">
        <v>130.94488517623699</v>
      </c>
      <c r="C2282">
        <v>2000</v>
      </c>
    </row>
    <row r="2283" spans="1:11" x14ac:dyDescent="0.25">
      <c r="A2283">
        <v>15.3814346135508</v>
      </c>
      <c r="B2283">
        <v>136.525099897079</v>
      </c>
      <c r="C2283">
        <v>2000</v>
      </c>
    </row>
    <row r="2284" spans="1:11" x14ac:dyDescent="0.25">
      <c r="A2284">
        <v>15.3814346135508</v>
      </c>
      <c r="B2284">
        <v>137.39913194597699</v>
      </c>
      <c r="C2284">
        <v>2001</v>
      </c>
    </row>
    <row r="2285" spans="1:11" x14ac:dyDescent="0.25">
      <c r="A2285">
        <v>21.434836630558799</v>
      </c>
      <c r="B2285">
        <v>131.34572992896901</v>
      </c>
      <c r="C2285">
        <v>2001</v>
      </c>
    </row>
    <row r="2286" spans="1:11" x14ac:dyDescent="0.25">
      <c r="A2286">
        <v>26.5627731883636</v>
      </c>
      <c r="B2286">
        <v>126.21779337116401</v>
      </c>
      <c r="C2286">
        <v>2001</v>
      </c>
    </row>
    <row r="2287" spans="1:11" x14ac:dyDescent="0.25">
      <c r="A2287">
        <v>25.6887411394659</v>
      </c>
      <c r="B2287">
        <v>126.21779337116401</v>
      </c>
      <c r="C2287">
        <v>2000</v>
      </c>
    </row>
    <row r="2288" spans="1:11" x14ac:dyDescent="0.25">
      <c r="A2288" t="s">
        <v>87</v>
      </c>
    </row>
    <row r="2289" spans="1:11" x14ac:dyDescent="0.25">
      <c r="A2289">
        <v>358</v>
      </c>
      <c r="B2289">
        <v>0</v>
      </c>
      <c r="C2289">
        <v>13.5088961853737</v>
      </c>
      <c r="D2289">
        <v>1.59365706468994</v>
      </c>
      <c r="E2289">
        <v>6</v>
      </c>
      <c r="F2289">
        <v>1.01722196789785</v>
      </c>
      <c r="G2289" t="s">
        <v>85</v>
      </c>
      <c r="H2289" t="s">
        <v>85</v>
      </c>
      <c r="I2289">
        <v>388</v>
      </c>
      <c r="J2289">
        <v>796</v>
      </c>
      <c r="K2289">
        <v>0</v>
      </c>
    </row>
    <row r="2290" spans="1:11" x14ac:dyDescent="0.25">
      <c r="A2290" t="s">
        <v>86</v>
      </c>
    </row>
    <row r="2291" spans="1:11" x14ac:dyDescent="0.25">
      <c r="A2291">
        <v>19.340510250888801</v>
      </c>
      <c r="B2291">
        <v>93.660424703778304</v>
      </c>
      <c r="C2291">
        <v>2000</v>
      </c>
    </row>
    <row r="2292" spans="1:11" x14ac:dyDescent="0.25">
      <c r="A2292">
        <v>9.3973770897823297</v>
      </c>
      <c r="B2292">
        <v>83.717291542671802</v>
      </c>
      <c r="C2292">
        <v>2000</v>
      </c>
    </row>
    <row r="2293" spans="1:11" x14ac:dyDescent="0.25">
      <c r="A2293">
        <v>9.3973770897823297</v>
      </c>
      <c r="B2293">
        <v>84.591323591569505</v>
      </c>
      <c r="C2293">
        <v>2001</v>
      </c>
    </row>
    <row r="2294" spans="1:11" x14ac:dyDescent="0.25">
      <c r="A2294">
        <v>18.558708126721601</v>
      </c>
      <c r="B2294">
        <v>93.752654628508694</v>
      </c>
      <c r="C2294">
        <v>2001</v>
      </c>
    </row>
    <row r="2295" spans="1:11" x14ac:dyDescent="0.25">
      <c r="A2295">
        <v>19.6394788816845</v>
      </c>
      <c r="B2295">
        <v>94.833425383471607</v>
      </c>
      <c r="C2295">
        <v>2001</v>
      </c>
    </row>
    <row r="2296" spans="1:11" x14ac:dyDescent="0.25">
      <c r="A2296">
        <v>20.5135109305821</v>
      </c>
      <c r="B2296">
        <v>94.833425383471607</v>
      </c>
      <c r="C2296">
        <v>2000</v>
      </c>
    </row>
    <row r="2297" spans="1:11" x14ac:dyDescent="0.25">
      <c r="A2297" t="s">
        <v>87</v>
      </c>
    </row>
    <row r="2298" spans="1:11" x14ac:dyDescent="0.25">
      <c r="A2298">
        <v>149</v>
      </c>
      <c r="B2298">
        <v>1</v>
      </c>
      <c r="C2298">
        <v>8.3604096252284208</v>
      </c>
      <c r="D2298">
        <v>6.7355538827493699</v>
      </c>
      <c r="E2298">
        <v>8</v>
      </c>
      <c r="F2298">
        <v>1.01722196789785</v>
      </c>
      <c r="G2298" t="s">
        <v>85</v>
      </c>
      <c r="H2298" t="s">
        <v>88</v>
      </c>
      <c r="I2298">
        <v>421</v>
      </c>
      <c r="J2298">
        <v>0</v>
      </c>
      <c r="K2298">
        <v>0</v>
      </c>
    </row>
    <row r="2299" spans="1:11" x14ac:dyDescent="0.25">
      <c r="A2299" t="s">
        <v>86</v>
      </c>
    </row>
    <row r="2300" spans="1:11" x14ac:dyDescent="0.25">
      <c r="A2300">
        <v>105.033110666486</v>
      </c>
      <c r="B2300">
        <v>4.9599623173107803</v>
      </c>
      <c r="C2300">
        <v>2000</v>
      </c>
    </row>
    <row r="2301" spans="1:11" x14ac:dyDescent="0.25">
      <c r="A2301">
        <v>100.041338283</v>
      </c>
      <c r="B2301">
        <v>9.9517347007962496</v>
      </c>
      <c r="C2301">
        <v>2000</v>
      </c>
    </row>
    <row r="2302" spans="1:11" x14ac:dyDescent="0.25">
      <c r="A2302">
        <v>98.881598794311998</v>
      </c>
      <c r="B2302">
        <v>11.1114741894846</v>
      </c>
      <c r="C2302">
        <v>2000</v>
      </c>
    </row>
    <row r="2303" spans="1:11" x14ac:dyDescent="0.25">
      <c r="A2303">
        <v>98.881598794311998</v>
      </c>
      <c r="B2303">
        <v>10.237442140587</v>
      </c>
      <c r="C2303">
        <v>2001</v>
      </c>
    </row>
    <row r="2304" spans="1:11" x14ac:dyDescent="0.25">
      <c r="A2304">
        <v>99.9586617169996</v>
      </c>
      <c r="B2304">
        <v>9.1603792178994397</v>
      </c>
      <c r="C2304">
        <v>2001</v>
      </c>
    </row>
    <row r="2305" spans="1:11" x14ac:dyDescent="0.25">
      <c r="A2305">
        <v>104.553491601131</v>
      </c>
      <c r="B2305">
        <v>4.5655493337681801</v>
      </c>
      <c r="C2305">
        <v>2001</v>
      </c>
    </row>
    <row r="2306" spans="1:11" x14ac:dyDescent="0.25">
      <c r="A2306">
        <v>109.119040934899</v>
      </c>
      <c r="B2306">
        <v>0</v>
      </c>
      <c r="C2306">
        <v>2001</v>
      </c>
    </row>
    <row r="2307" spans="1:11" x14ac:dyDescent="0.25">
      <c r="A2307">
        <v>109.99307298379701</v>
      </c>
      <c r="B2307">
        <v>0</v>
      </c>
      <c r="C2307">
        <v>2000</v>
      </c>
    </row>
    <row r="2308" spans="1:11" x14ac:dyDescent="0.25">
      <c r="A2308" t="s">
        <v>87</v>
      </c>
    </row>
    <row r="2309" spans="1:11" x14ac:dyDescent="0.25">
      <c r="A2309">
        <v>719</v>
      </c>
      <c r="B2309">
        <v>1</v>
      </c>
      <c r="C2309">
        <v>7.7079037066622398</v>
      </c>
      <c r="D2309">
        <v>7.3877997750165001</v>
      </c>
      <c r="E2309">
        <v>8</v>
      </c>
      <c r="F2309">
        <v>1.01722196789785</v>
      </c>
      <c r="G2309" t="s">
        <v>85</v>
      </c>
      <c r="H2309" t="s">
        <v>85</v>
      </c>
      <c r="I2309">
        <v>188</v>
      </c>
      <c r="J2309">
        <v>600</v>
      </c>
      <c r="K2309">
        <v>0</v>
      </c>
    </row>
    <row r="2310" spans="1:11" x14ac:dyDescent="0.25">
      <c r="A2310" t="s">
        <v>86</v>
      </c>
    </row>
    <row r="2311" spans="1:11" x14ac:dyDescent="0.25">
      <c r="A2311">
        <v>94.400945533401497</v>
      </c>
      <c r="B2311">
        <v>99.886183008341803</v>
      </c>
      <c r="C2311">
        <v>2000</v>
      </c>
    </row>
    <row r="2312" spans="1:11" x14ac:dyDescent="0.25">
      <c r="A2312">
        <v>94.080987168624205</v>
      </c>
      <c r="B2312">
        <v>100.206141373119</v>
      </c>
      <c r="C2312">
        <v>2000</v>
      </c>
    </row>
    <row r="2313" spans="1:11" x14ac:dyDescent="0.25">
      <c r="A2313">
        <v>89.145282355661493</v>
      </c>
      <c r="B2313">
        <v>105.14184618608201</v>
      </c>
      <c r="C2313">
        <v>2000</v>
      </c>
    </row>
    <row r="2314" spans="1:11" x14ac:dyDescent="0.25">
      <c r="A2314">
        <v>88.271250306763903</v>
      </c>
      <c r="B2314">
        <v>105.14184618608201</v>
      </c>
      <c r="C2314">
        <v>2001</v>
      </c>
    </row>
    <row r="2315" spans="1:11" x14ac:dyDescent="0.25">
      <c r="A2315">
        <v>93.619237865964806</v>
      </c>
      <c r="B2315">
        <v>99.793858626880905</v>
      </c>
      <c r="C2315">
        <v>2001</v>
      </c>
    </row>
    <row r="2316" spans="1:11" x14ac:dyDescent="0.25">
      <c r="A2316">
        <v>93.916209088451595</v>
      </c>
      <c r="B2316">
        <v>99.496887404394101</v>
      </c>
      <c r="C2316">
        <v>2001</v>
      </c>
    </row>
    <row r="2317" spans="1:11" x14ac:dyDescent="0.25">
      <c r="A2317">
        <v>98.945524605440298</v>
      </c>
      <c r="B2317">
        <v>94.467571887405398</v>
      </c>
      <c r="C2317">
        <v>2001</v>
      </c>
    </row>
    <row r="2318" spans="1:11" x14ac:dyDescent="0.25">
      <c r="A2318">
        <v>99.819556654337902</v>
      </c>
      <c r="B2318">
        <v>94.467571887405398</v>
      </c>
      <c r="C2318">
        <v>2000</v>
      </c>
    </row>
    <row r="2319" spans="1:11" x14ac:dyDescent="0.25">
      <c r="A2319" t="s">
        <v>87</v>
      </c>
    </row>
    <row r="2320" spans="1:11" x14ac:dyDescent="0.25">
      <c r="A2320">
        <v>801</v>
      </c>
      <c r="B2320">
        <v>0</v>
      </c>
      <c r="C2320">
        <v>8.6947820925628694</v>
      </c>
      <c r="D2320">
        <v>6.3810759857224504</v>
      </c>
      <c r="E2320">
        <v>6</v>
      </c>
      <c r="F2320">
        <v>1.01722196789785</v>
      </c>
      <c r="G2320" t="s">
        <v>85</v>
      </c>
      <c r="H2320" t="s">
        <v>85</v>
      </c>
      <c r="I2320">
        <v>846</v>
      </c>
      <c r="J2320">
        <v>470</v>
      </c>
      <c r="K2320">
        <v>8.9816640118045604E-2</v>
      </c>
    </row>
    <row r="2321" spans="1:11" x14ac:dyDescent="0.25">
      <c r="A2321" t="s">
        <v>86</v>
      </c>
    </row>
    <row r="2322" spans="1:11" x14ac:dyDescent="0.25">
      <c r="A2322">
        <v>85.678348188370904</v>
      </c>
      <c r="B2322">
        <v>42.924031450135303</v>
      </c>
      <c r="C2322">
        <v>2000</v>
      </c>
    </row>
    <row r="2323" spans="1:11" x14ac:dyDescent="0.25">
      <c r="A2323">
        <v>79.278166167576501</v>
      </c>
      <c r="B2323">
        <v>36.523849429340999</v>
      </c>
      <c r="C2323">
        <v>2000</v>
      </c>
    </row>
    <row r="2324" spans="1:11" x14ac:dyDescent="0.25">
      <c r="A2324">
        <v>80.152198216474105</v>
      </c>
      <c r="B2324">
        <v>36.523849429340999</v>
      </c>
      <c r="C2324">
        <v>2001</v>
      </c>
    </row>
    <row r="2325" spans="1:11" x14ac:dyDescent="0.25">
      <c r="A2325">
        <v>86.0482949528609</v>
      </c>
      <c r="B2325">
        <v>42.419946165727701</v>
      </c>
      <c r="C2325">
        <v>2001</v>
      </c>
    </row>
    <row r="2326" spans="1:11" x14ac:dyDescent="0.25">
      <c r="A2326">
        <v>90.375423671386898</v>
      </c>
      <c r="B2326">
        <v>46.747074884253699</v>
      </c>
      <c r="C2326">
        <v>2001</v>
      </c>
    </row>
    <row r="2327" spans="1:11" x14ac:dyDescent="0.25">
      <c r="A2327">
        <v>90.375423671386898</v>
      </c>
      <c r="B2327">
        <v>47.621106933151303</v>
      </c>
      <c r="C2327">
        <v>2000</v>
      </c>
    </row>
    <row r="2328" spans="1:11" x14ac:dyDescent="0.25">
      <c r="A2328" t="s">
        <v>87</v>
      </c>
    </row>
    <row r="2329" spans="1:11" x14ac:dyDescent="0.25">
      <c r="A2329">
        <v>423</v>
      </c>
      <c r="B2329">
        <v>0</v>
      </c>
      <c r="C2329">
        <v>4.5000764097575399</v>
      </c>
      <c r="D2329">
        <v>10.575781668527799</v>
      </c>
      <c r="E2329">
        <v>6</v>
      </c>
      <c r="F2329">
        <v>1.01722196789785</v>
      </c>
      <c r="G2329" t="s">
        <v>85</v>
      </c>
      <c r="H2329" t="s">
        <v>85</v>
      </c>
      <c r="I2329">
        <v>846</v>
      </c>
      <c r="J2329">
        <v>470</v>
      </c>
      <c r="K2329">
        <v>0</v>
      </c>
    </row>
    <row r="2330" spans="1:11" x14ac:dyDescent="0.25">
      <c r="A2330" t="s">
        <v>86</v>
      </c>
    </row>
    <row r="2331" spans="1:11" x14ac:dyDescent="0.25">
      <c r="A2331">
        <v>85.132814844550794</v>
      </c>
      <c r="B2331">
        <v>37.294164511853197</v>
      </c>
      <c r="C2331">
        <v>2000</v>
      </c>
    </row>
    <row r="2332" spans="1:11" x14ac:dyDescent="0.25">
      <c r="A2332">
        <v>81.820332964807506</v>
      </c>
      <c r="B2332">
        <v>33.981682632109901</v>
      </c>
      <c r="C2332">
        <v>2000</v>
      </c>
    </row>
    <row r="2333" spans="1:11" x14ac:dyDescent="0.25">
      <c r="A2333">
        <v>82.694365013705195</v>
      </c>
      <c r="B2333">
        <v>33.981682632109901</v>
      </c>
      <c r="C2333">
        <v>2001</v>
      </c>
    </row>
    <row r="2334" spans="1:11" x14ac:dyDescent="0.25">
      <c r="A2334">
        <v>85.745952224356202</v>
      </c>
      <c r="B2334">
        <v>37.033269842761001</v>
      </c>
      <c r="C2334">
        <v>2001</v>
      </c>
    </row>
    <row r="2335" spans="1:11" x14ac:dyDescent="0.25">
      <c r="A2335">
        <v>92.917590468617902</v>
      </c>
      <c r="B2335">
        <v>44.204908087022602</v>
      </c>
      <c r="C2335">
        <v>2001</v>
      </c>
    </row>
    <row r="2336" spans="1:11" x14ac:dyDescent="0.25">
      <c r="A2336">
        <v>92.917590468617902</v>
      </c>
      <c r="B2336">
        <v>45.078940135920298</v>
      </c>
      <c r="C2336">
        <v>2000</v>
      </c>
    </row>
    <row r="2337" spans="1:11" x14ac:dyDescent="0.25">
      <c r="A2337" t="s">
        <v>87</v>
      </c>
    </row>
    <row r="2338" spans="1:11" x14ac:dyDescent="0.25">
      <c r="A2338">
        <v>268</v>
      </c>
      <c r="B2338">
        <v>0</v>
      </c>
      <c r="C2338">
        <v>7.6163229511992396</v>
      </c>
      <c r="D2338">
        <v>7.4284622312980604</v>
      </c>
      <c r="E2338">
        <v>8</v>
      </c>
      <c r="F2338">
        <v>1.01722196789785</v>
      </c>
      <c r="G2338" t="s">
        <v>85</v>
      </c>
      <c r="H2338" t="s">
        <v>85</v>
      </c>
      <c r="I2338">
        <v>383</v>
      </c>
      <c r="J2338">
        <v>736</v>
      </c>
      <c r="K2338">
        <v>0</v>
      </c>
    </row>
    <row r="2339" spans="1:11" x14ac:dyDescent="0.25">
      <c r="A2339" t="s">
        <v>86</v>
      </c>
    </row>
    <row r="2340" spans="1:11" x14ac:dyDescent="0.25">
      <c r="A2340">
        <v>10.05816232063</v>
      </c>
      <c r="B2340">
        <v>104.520078316762</v>
      </c>
      <c r="C2340">
        <v>2000</v>
      </c>
    </row>
    <row r="2341" spans="1:11" x14ac:dyDescent="0.25">
      <c r="A2341">
        <v>5.9234299425744199</v>
      </c>
      <c r="B2341">
        <v>100.385345938706</v>
      </c>
      <c r="C2341">
        <v>2000</v>
      </c>
    </row>
    <row r="2342" spans="1:11" x14ac:dyDescent="0.25">
      <c r="A2342">
        <v>4.70159058678039</v>
      </c>
      <c r="B2342">
        <v>99.163506582912206</v>
      </c>
      <c r="C2342">
        <v>2000</v>
      </c>
    </row>
    <row r="2343" spans="1:11" x14ac:dyDescent="0.25">
      <c r="A2343">
        <v>4.70159058678039</v>
      </c>
      <c r="B2343">
        <v>98.289474534014602</v>
      </c>
      <c r="C2343">
        <v>2001</v>
      </c>
    </row>
    <row r="2344" spans="1:11" x14ac:dyDescent="0.25">
      <c r="A2344">
        <v>6.0267701140596097</v>
      </c>
      <c r="B2344">
        <v>99.614654061293805</v>
      </c>
      <c r="C2344">
        <v>2001</v>
      </c>
    </row>
    <row r="2345" spans="1:11" x14ac:dyDescent="0.25">
      <c r="A2345">
        <v>10.116126065930199</v>
      </c>
      <c r="B2345">
        <v>103.70401001316399</v>
      </c>
      <c r="C2345">
        <v>2001</v>
      </c>
    </row>
    <row r="2346" spans="1:11" x14ac:dyDescent="0.25">
      <c r="A2346">
        <v>15.339860210819101</v>
      </c>
      <c r="B2346">
        <v>108.927744158053</v>
      </c>
      <c r="C2346">
        <v>2001</v>
      </c>
    </row>
    <row r="2347" spans="1:11" x14ac:dyDescent="0.25">
      <c r="A2347">
        <v>15.339860210819101</v>
      </c>
      <c r="B2347">
        <v>109.801776206951</v>
      </c>
      <c r="C2347">
        <v>2000</v>
      </c>
    </row>
    <row r="2348" spans="1:11" x14ac:dyDescent="0.25">
      <c r="A2348" t="s">
        <v>87</v>
      </c>
    </row>
    <row r="2349" spans="1:11" x14ac:dyDescent="0.25">
      <c r="A2349">
        <v>1016</v>
      </c>
      <c r="B2349">
        <v>0</v>
      </c>
      <c r="C2349">
        <v>4.6295238860375703</v>
      </c>
      <c r="D2349">
        <v>10.4152612964597</v>
      </c>
      <c r="E2349">
        <v>8</v>
      </c>
      <c r="F2349">
        <v>1.01722196789785</v>
      </c>
      <c r="G2349" t="s">
        <v>85</v>
      </c>
      <c r="H2349" t="s">
        <v>85</v>
      </c>
      <c r="I2349">
        <v>383</v>
      </c>
      <c r="J2349">
        <v>736</v>
      </c>
      <c r="K2349">
        <v>9.3443328339296097E-2</v>
      </c>
    </row>
    <row r="2350" spans="1:11" x14ac:dyDescent="0.25">
      <c r="A2350" t="s">
        <v>86</v>
      </c>
    </row>
    <row r="2351" spans="1:11" x14ac:dyDescent="0.25">
      <c r="A2351">
        <v>7.21324694001287</v>
      </c>
      <c r="B2351">
        <v>103.19170282811901</v>
      </c>
      <c r="C2351">
        <v>2000</v>
      </c>
    </row>
    <row r="2352" spans="1:11" x14ac:dyDescent="0.25">
      <c r="A2352">
        <v>4.01632275813808</v>
      </c>
      <c r="B2352">
        <v>99.994778646244399</v>
      </c>
      <c r="C2352">
        <v>2000</v>
      </c>
    </row>
    <row r="2353" spans="1:11" x14ac:dyDescent="0.25">
      <c r="A2353">
        <v>3.94332064079313</v>
      </c>
      <c r="B2353">
        <v>99.9217765288995</v>
      </c>
      <c r="C2353">
        <v>2000</v>
      </c>
    </row>
    <row r="2354" spans="1:11" x14ac:dyDescent="0.25">
      <c r="A2354">
        <v>3.0692885918955102</v>
      </c>
      <c r="B2354">
        <v>99.9217765288995</v>
      </c>
      <c r="C2354">
        <v>2001</v>
      </c>
    </row>
    <row r="2355" spans="1:11" x14ac:dyDescent="0.25">
      <c r="A2355">
        <v>3.1527334167516798</v>
      </c>
      <c r="B2355">
        <v>100.005221353756</v>
      </c>
      <c r="C2355">
        <v>2001</v>
      </c>
    </row>
    <row r="2356" spans="1:11" x14ac:dyDescent="0.25">
      <c r="A2356">
        <v>6.34649775964031</v>
      </c>
      <c r="B2356">
        <v>103.198985696644</v>
      </c>
      <c r="C2356">
        <v>2001</v>
      </c>
    </row>
    <row r="2357" spans="1:11" x14ac:dyDescent="0.25">
      <c r="A2357">
        <v>13.707558215934201</v>
      </c>
      <c r="B2357">
        <v>110.560046152938</v>
      </c>
      <c r="C2357">
        <v>2001</v>
      </c>
    </row>
    <row r="2358" spans="1:11" x14ac:dyDescent="0.25">
      <c r="A2358">
        <v>14.581590264831901</v>
      </c>
      <c r="B2358">
        <v>110.560046152938</v>
      </c>
      <c r="C2358">
        <v>2000</v>
      </c>
    </row>
    <row r="2359" spans="1:11" x14ac:dyDescent="0.25">
      <c r="A2359" t="s">
        <v>87</v>
      </c>
    </row>
    <row r="2360" spans="1:11" x14ac:dyDescent="0.25">
      <c r="A2360">
        <v>638</v>
      </c>
      <c r="B2360">
        <v>1</v>
      </c>
      <c r="C2360">
        <v>8.8971517992161804</v>
      </c>
      <c r="D2360">
        <v>6.0425219253964997</v>
      </c>
      <c r="E2360">
        <v>6</v>
      </c>
      <c r="F2360">
        <v>1.01722196789785</v>
      </c>
      <c r="G2360" t="s">
        <v>85</v>
      </c>
      <c r="H2360" t="s">
        <v>89</v>
      </c>
      <c r="I2360">
        <v>759</v>
      </c>
      <c r="J2360">
        <v>601</v>
      </c>
      <c r="K2360">
        <v>0</v>
      </c>
    </row>
    <row r="2361" spans="1:11" x14ac:dyDescent="0.25">
      <c r="A2361" t="s">
        <v>86</v>
      </c>
    </row>
    <row r="2362" spans="1:11" x14ac:dyDescent="0.25">
      <c r="A2362">
        <v>106.64938073087001</v>
      </c>
      <c r="B2362">
        <v>69.291751134699297</v>
      </c>
      <c r="C2362">
        <v>2000</v>
      </c>
    </row>
    <row r="2363" spans="1:11" x14ac:dyDescent="0.25">
      <c r="A2363">
        <v>100.488274307674</v>
      </c>
      <c r="B2363">
        <v>75.452857557895101</v>
      </c>
      <c r="C2363">
        <v>2000</v>
      </c>
    </row>
    <row r="2364" spans="1:11" x14ac:dyDescent="0.25">
      <c r="A2364">
        <v>99.614242258776699</v>
      </c>
      <c r="B2364">
        <v>75.452857557895101</v>
      </c>
      <c r="C2364">
        <v>2001</v>
      </c>
    </row>
    <row r="2365" spans="1:11" x14ac:dyDescent="0.25">
      <c r="A2365">
        <v>106.03560857652499</v>
      </c>
      <c r="B2365">
        <v>69.031491240147105</v>
      </c>
      <c r="C2365">
        <v>2001</v>
      </c>
    </row>
    <row r="2366" spans="1:11" x14ac:dyDescent="0.25">
      <c r="A2366">
        <v>110.396694870389</v>
      </c>
      <c r="B2366">
        <v>64.670404946282503</v>
      </c>
      <c r="C2366">
        <v>2001</v>
      </c>
    </row>
    <row r="2367" spans="1:11" x14ac:dyDescent="0.25">
      <c r="A2367">
        <v>110.83371089483801</v>
      </c>
      <c r="B2367">
        <v>65.107420970731297</v>
      </c>
      <c r="C2367">
        <v>2000</v>
      </c>
    </row>
    <row r="2368" spans="1:11" x14ac:dyDescent="0.25">
      <c r="A2368" t="s">
        <v>87</v>
      </c>
    </row>
    <row r="2369" spans="1:11" x14ac:dyDescent="0.25">
      <c r="A2369">
        <v>400</v>
      </c>
      <c r="B2369">
        <v>1</v>
      </c>
      <c r="C2369">
        <v>5.1074741697755099</v>
      </c>
      <c r="D2369">
        <v>9.7926402923158893</v>
      </c>
      <c r="E2369">
        <v>6</v>
      </c>
      <c r="F2369">
        <v>1.01722196789785</v>
      </c>
      <c r="G2369" t="s">
        <v>85</v>
      </c>
      <c r="H2369" t="s">
        <v>85</v>
      </c>
      <c r="I2369">
        <v>351</v>
      </c>
      <c r="J2369">
        <v>813</v>
      </c>
      <c r="K2369">
        <v>0</v>
      </c>
    </row>
    <row r="2370" spans="1:11" x14ac:dyDescent="0.25">
      <c r="A2370" t="s">
        <v>86</v>
      </c>
    </row>
    <row r="2371" spans="1:11" x14ac:dyDescent="0.25">
      <c r="A2371">
        <v>38.094141038755602</v>
      </c>
      <c r="B2371">
        <v>57.361375197834001</v>
      </c>
      <c r="C2371">
        <v>2000</v>
      </c>
    </row>
    <row r="2372" spans="1:11" x14ac:dyDescent="0.25">
      <c r="A2372">
        <v>34.632412150796704</v>
      </c>
      <c r="B2372">
        <v>60.823104085792899</v>
      </c>
      <c r="C2372">
        <v>2000</v>
      </c>
    </row>
    <row r="2373" spans="1:11" x14ac:dyDescent="0.25">
      <c r="A2373">
        <v>34.632412150796704</v>
      </c>
      <c r="B2373">
        <v>61.697136134690602</v>
      </c>
      <c r="C2373">
        <v>2001</v>
      </c>
    </row>
    <row r="2374" spans="1:11" x14ac:dyDescent="0.25">
      <c r="A2374">
        <v>38.393742503204599</v>
      </c>
      <c r="B2374">
        <v>57.935805782282699</v>
      </c>
      <c r="C2374">
        <v>2001</v>
      </c>
    </row>
    <row r="2375" spans="1:11" x14ac:dyDescent="0.25">
      <c r="A2375">
        <v>45.605400151846098</v>
      </c>
      <c r="B2375">
        <v>50.724148133641201</v>
      </c>
      <c r="C2375">
        <v>2001</v>
      </c>
    </row>
    <row r="2376" spans="1:11" x14ac:dyDescent="0.25">
      <c r="A2376">
        <v>44.731368102948402</v>
      </c>
      <c r="B2376">
        <v>50.724148133641201</v>
      </c>
      <c r="C2376">
        <v>2000</v>
      </c>
    </row>
    <row r="2377" spans="1:11" x14ac:dyDescent="0.25">
      <c r="A2377" t="s">
        <v>87</v>
      </c>
    </row>
    <row r="2378" spans="1:11" x14ac:dyDescent="0.25">
      <c r="A2378">
        <v>386</v>
      </c>
      <c r="B2378">
        <v>1</v>
      </c>
      <c r="C2378">
        <v>6.1805239771572396</v>
      </c>
      <c r="D2378">
        <v>8.7195904849341606</v>
      </c>
      <c r="E2378">
        <v>6</v>
      </c>
      <c r="F2378">
        <v>1.01722196789785</v>
      </c>
      <c r="G2378" t="s">
        <v>85</v>
      </c>
      <c r="H2378" t="s">
        <v>85</v>
      </c>
      <c r="I2378">
        <v>351</v>
      </c>
      <c r="J2378">
        <v>813</v>
      </c>
      <c r="K2378">
        <v>0</v>
      </c>
    </row>
    <row r="2379" spans="1:11" x14ac:dyDescent="0.25">
      <c r="A2379" t="s">
        <v>86</v>
      </c>
    </row>
    <row r="2380" spans="1:11" x14ac:dyDescent="0.25">
      <c r="A2380">
        <v>42.214596861612698</v>
      </c>
      <c r="B2380">
        <v>60.027253907638297</v>
      </c>
      <c r="C2380">
        <v>2000</v>
      </c>
    </row>
    <row r="2381" spans="1:11" x14ac:dyDescent="0.25">
      <c r="A2381">
        <v>38.025579417127403</v>
      </c>
      <c r="B2381">
        <v>64.216271352123599</v>
      </c>
      <c r="C2381">
        <v>2000</v>
      </c>
    </row>
    <row r="2382" spans="1:11" x14ac:dyDescent="0.25">
      <c r="A2382">
        <v>37.1515473682297</v>
      </c>
      <c r="B2382">
        <v>64.216271352123599</v>
      </c>
      <c r="C2382">
        <v>2001</v>
      </c>
    </row>
    <row r="2383" spans="1:11" x14ac:dyDescent="0.25">
      <c r="A2383">
        <v>41.7031107548123</v>
      </c>
      <c r="B2383">
        <v>59.664707965540998</v>
      </c>
      <c r="C2383">
        <v>2001</v>
      </c>
    </row>
    <row r="2384" spans="1:11" x14ac:dyDescent="0.25">
      <c r="A2384">
        <v>48.124535369279101</v>
      </c>
      <c r="B2384">
        <v>53.243283351074197</v>
      </c>
      <c r="C2384">
        <v>2001</v>
      </c>
    </row>
    <row r="2385" spans="1:11" x14ac:dyDescent="0.25">
      <c r="A2385">
        <v>48.124535369279101</v>
      </c>
      <c r="B2385">
        <v>54.117315399971801</v>
      </c>
      <c r="C2385">
        <v>2000</v>
      </c>
    </row>
    <row r="2386" spans="1:11" x14ac:dyDescent="0.25">
      <c r="A2386" t="s">
        <v>87</v>
      </c>
    </row>
    <row r="2387" spans="1:11" x14ac:dyDescent="0.25">
      <c r="A2387">
        <v>1088</v>
      </c>
      <c r="B2387">
        <v>1</v>
      </c>
      <c r="C2387">
        <v>6.8043563409968701</v>
      </c>
      <c r="D2387">
        <v>8.0788162239745294</v>
      </c>
      <c r="E2387">
        <v>6</v>
      </c>
      <c r="F2387">
        <v>1.01722196789785</v>
      </c>
      <c r="G2387" t="s">
        <v>85</v>
      </c>
      <c r="H2387" t="s">
        <v>85</v>
      </c>
      <c r="I2387">
        <v>837</v>
      </c>
      <c r="J2387">
        <v>118</v>
      </c>
      <c r="K2387">
        <v>9.4413370804653396E-2</v>
      </c>
    </row>
    <row r="2388" spans="1:11" x14ac:dyDescent="0.25">
      <c r="A2388" t="s">
        <v>86</v>
      </c>
    </row>
    <row r="2389" spans="1:11" x14ac:dyDescent="0.25">
      <c r="A2389">
        <v>105.98338218398101</v>
      </c>
      <c r="B2389">
        <v>32.249839116996696</v>
      </c>
      <c r="C2389">
        <v>2000</v>
      </c>
    </row>
    <row r="2390" spans="1:11" x14ac:dyDescent="0.25">
      <c r="A2390">
        <v>101.371772641946</v>
      </c>
      <c r="B2390">
        <v>36.861448659031403</v>
      </c>
      <c r="C2390">
        <v>2000</v>
      </c>
    </row>
    <row r="2391" spans="1:11" x14ac:dyDescent="0.25">
      <c r="A2391">
        <v>100.49774059304799</v>
      </c>
      <c r="B2391">
        <v>36.861448659031403</v>
      </c>
      <c r="C2391">
        <v>2001</v>
      </c>
    </row>
    <row r="2392" spans="1:11" x14ac:dyDescent="0.25">
      <c r="A2392">
        <v>105.508944071671</v>
      </c>
      <c r="B2392">
        <v>31.850245180409001</v>
      </c>
      <c r="C2392">
        <v>2001</v>
      </c>
    </row>
    <row r="2393" spans="1:11" x14ac:dyDescent="0.25">
      <c r="A2393">
        <v>111.458748863758</v>
      </c>
      <c r="B2393">
        <v>25.900440388321702</v>
      </c>
      <c r="C2393">
        <v>2001</v>
      </c>
    </row>
    <row r="2394" spans="1:11" x14ac:dyDescent="0.25">
      <c r="A2394">
        <v>111.458748863758</v>
      </c>
      <c r="B2394">
        <v>26.774472437219298</v>
      </c>
      <c r="C2394">
        <v>2000</v>
      </c>
    </row>
    <row r="2395" spans="1:11" x14ac:dyDescent="0.25">
      <c r="A2395" t="s">
        <v>87</v>
      </c>
    </row>
    <row r="2396" spans="1:11" x14ac:dyDescent="0.25">
      <c r="A2396">
        <v>144</v>
      </c>
      <c r="B2396">
        <v>1</v>
      </c>
      <c r="C2396">
        <v>7.0039461995718097</v>
      </c>
      <c r="D2396">
        <v>7.8792263653995898</v>
      </c>
      <c r="E2396">
        <v>6</v>
      </c>
      <c r="F2396">
        <v>1.01722196789785</v>
      </c>
      <c r="G2396" t="s">
        <v>85</v>
      </c>
      <c r="H2396" t="s">
        <v>85</v>
      </c>
      <c r="I2396">
        <v>837</v>
      </c>
      <c r="J2396">
        <v>118</v>
      </c>
      <c r="K2396">
        <v>0</v>
      </c>
    </row>
    <row r="2397" spans="1:11" x14ac:dyDescent="0.25">
      <c r="A2397" t="s">
        <v>86</v>
      </c>
    </row>
    <row r="2398" spans="1:11" x14ac:dyDescent="0.25">
      <c r="A2398">
        <v>106.76324165385201</v>
      </c>
      <c r="B2398">
        <v>32.759157054305199</v>
      </c>
      <c r="C2398">
        <v>2000</v>
      </c>
    </row>
    <row r="2399" spans="1:11" x14ac:dyDescent="0.25">
      <c r="A2399">
        <v>102.016361345536</v>
      </c>
      <c r="B2399">
        <v>37.5060373626212</v>
      </c>
      <c r="C2399">
        <v>2000</v>
      </c>
    </row>
    <row r="2400" spans="1:11" x14ac:dyDescent="0.25">
      <c r="A2400">
        <v>101.142329296638</v>
      </c>
      <c r="B2400">
        <v>37.5060373626212</v>
      </c>
      <c r="C2400">
        <v>2001</v>
      </c>
    </row>
    <row r="2401" spans="1:11" x14ac:dyDescent="0.25">
      <c r="A2401">
        <v>106.30052469388799</v>
      </c>
      <c r="B2401">
        <v>32.347841965371202</v>
      </c>
      <c r="C2401">
        <v>2001</v>
      </c>
    </row>
    <row r="2402" spans="1:11" x14ac:dyDescent="0.25">
      <c r="A2402">
        <v>112.10333756734801</v>
      </c>
      <c r="B2402">
        <v>26.545029091911498</v>
      </c>
      <c r="C2402">
        <v>2001</v>
      </c>
    </row>
    <row r="2403" spans="1:11" x14ac:dyDescent="0.25">
      <c r="A2403">
        <v>112.10333756734801</v>
      </c>
      <c r="B2403">
        <v>27.419061140809099</v>
      </c>
      <c r="C2403">
        <v>2000</v>
      </c>
    </row>
    <row r="2404" spans="1:11" x14ac:dyDescent="0.25">
      <c r="A2404" t="s">
        <v>87</v>
      </c>
    </row>
    <row r="2405" spans="1:11" x14ac:dyDescent="0.25">
      <c r="A2405">
        <v>512</v>
      </c>
      <c r="B2405">
        <v>0</v>
      </c>
      <c r="C2405">
        <v>12.4965454789922</v>
      </c>
      <c r="D2405">
        <v>2.35330884976293</v>
      </c>
      <c r="E2405">
        <v>6</v>
      </c>
      <c r="F2405">
        <v>1.01722196789785</v>
      </c>
      <c r="G2405" t="s">
        <v>85</v>
      </c>
      <c r="H2405" t="s">
        <v>85</v>
      </c>
      <c r="I2405">
        <v>559</v>
      </c>
      <c r="J2405">
        <v>554</v>
      </c>
      <c r="K2405">
        <v>0</v>
      </c>
    </row>
    <row r="2406" spans="1:11" x14ac:dyDescent="0.25">
      <c r="A2406" t="s">
        <v>86</v>
      </c>
    </row>
    <row r="2407" spans="1:11" x14ac:dyDescent="0.25">
      <c r="A2407">
        <v>122.71194249517799</v>
      </c>
      <c r="B2407">
        <v>147.318115006824</v>
      </c>
      <c r="C2407">
        <v>2000</v>
      </c>
    </row>
    <row r="2408" spans="1:11" x14ac:dyDescent="0.25">
      <c r="A2408">
        <v>113.87555044557701</v>
      </c>
      <c r="B2408">
        <v>138.48172295722199</v>
      </c>
      <c r="C2408">
        <v>2000</v>
      </c>
    </row>
    <row r="2409" spans="1:11" x14ac:dyDescent="0.25">
      <c r="A2409">
        <v>113.87555044557701</v>
      </c>
      <c r="B2409">
        <v>139.35575500612001</v>
      </c>
      <c r="C2409">
        <v>2001</v>
      </c>
    </row>
    <row r="2410" spans="1:11" x14ac:dyDescent="0.25">
      <c r="A2410">
        <v>122.71194249517799</v>
      </c>
      <c r="B2410">
        <v>148.19214705572099</v>
      </c>
      <c r="C2410">
        <v>2001</v>
      </c>
    </row>
    <row r="2411" spans="1:11" x14ac:dyDescent="0.25">
      <c r="A2411">
        <v>124.375983141072</v>
      </c>
      <c r="B2411">
        <v>149.856187701615</v>
      </c>
      <c r="C2411">
        <v>2001</v>
      </c>
    </row>
    <row r="2412" spans="1:11" x14ac:dyDescent="0.25">
      <c r="A2412">
        <v>124.375983141072</v>
      </c>
      <c r="B2412">
        <v>148.98215565271701</v>
      </c>
      <c r="C2412">
        <v>2000</v>
      </c>
    </row>
    <row r="2413" spans="1:11" x14ac:dyDescent="0.25">
      <c r="A2413" t="s">
        <v>87</v>
      </c>
    </row>
    <row r="2414" spans="1:11" x14ac:dyDescent="0.25">
      <c r="A2414">
        <v>1191</v>
      </c>
      <c r="B2414">
        <v>0</v>
      </c>
      <c r="C2414">
        <v>9.1512458635291694</v>
      </c>
      <c r="D2414">
        <v>5.6986084652259601</v>
      </c>
      <c r="E2414">
        <v>6</v>
      </c>
      <c r="F2414">
        <v>1.01722196789785</v>
      </c>
      <c r="G2414" t="s">
        <v>85</v>
      </c>
      <c r="H2414" t="s">
        <v>85</v>
      </c>
      <c r="I2414">
        <v>559</v>
      </c>
      <c r="J2414">
        <v>554</v>
      </c>
      <c r="K2414">
        <v>9.5800019506126696E-2</v>
      </c>
    </row>
    <row r="2415" spans="1:11" x14ac:dyDescent="0.25">
      <c r="A2415" t="s">
        <v>86</v>
      </c>
    </row>
    <row r="2416" spans="1:11" x14ac:dyDescent="0.25">
      <c r="A2416">
        <v>120.94436284198601</v>
      </c>
      <c r="B2416">
        <v>144.35472657362601</v>
      </c>
      <c r="C2416">
        <v>2000</v>
      </c>
    </row>
    <row r="2417" spans="1:11" x14ac:dyDescent="0.25">
      <c r="A2417">
        <v>114.47345483557901</v>
      </c>
      <c r="B2417">
        <v>137.88381856722</v>
      </c>
      <c r="C2417">
        <v>2000</v>
      </c>
    </row>
    <row r="2418" spans="1:11" x14ac:dyDescent="0.25">
      <c r="A2418">
        <v>114.47345483557901</v>
      </c>
      <c r="B2418">
        <v>138.757850616117</v>
      </c>
      <c r="C2418">
        <v>2001</v>
      </c>
    </row>
    <row r="2419" spans="1:11" x14ac:dyDescent="0.25">
      <c r="A2419">
        <v>120.94436284198601</v>
      </c>
      <c r="B2419">
        <v>145.228758622524</v>
      </c>
      <c r="C2419">
        <v>2001</v>
      </c>
    </row>
    <row r="2420" spans="1:11" x14ac:dyDescent="0.25">
      <c r="A2420">
        <v>124.97388753107499</v>
      </c>
      <c r="B2420">
        <v>149.25828331161199</v>
      </c>
      <c r="C2420">
        <v>2001</v>
      </c>
    </row>
    <row r="2421" spans="1:11" x14ac:dyDescent="0.25">
      <c r="A2421">
        <v>124.97388753107499</v>
      </c>
      <c r="B2421">
        <v>148.384251262715</v>
      </c>
      <c r="C2421">
        <v>2000</v>
      </c>
    </row>
    <row r="2422" spans="1:11" x14ac:dyDescent="0.25">
      <c r="A2422" t="s">
        <v>87</v>
      </c>
    </row>
    <row r="2423" spans="1:11" x14ac:dyDescent="0.25">
      <c r="A2423">
        <v>507</v>
      </c>
      <c r="B2423">
        <v>0</v>
      </c>
      <c r="C2423">
        <v>8.6183045614890492</v>
      </c>
      <c r="D2423">
        <v>6.2315497672660696</v>
      </c>
      <c r="E2423">
        <v>6</v>
      </c>
      <c r="F2423">
        <v>1.01722196789785</v>
      </c>
      <c r="G2423" t="s">
        <v>85</v>
      </c>
      <c r="H2423" t="s">
        <v>85</v>
      </c>
      <c r="I2423">
        <v>559</v>
      </c>
      <c r="J2423">
        <v>554</v>
      </c>
      <c r="K2423">
        <v>0</v>
      </c>
    </row>
    <row r="2424" spans="1:11" x14ac:dyDescent="0.25">
      <c r="A2424" t="s">
        <v>86</v>
      </c>
    </row>
    <row r="2425" spans="1:11" x14ac:dyDescent="0.25">
      <c r="A2425">
        <v>125.14550854691601</v>
      </c>
      <c r="B2425">
        <v>139.399888051403</v>
      </c>
      <c r="C2425">
        <v>2000</v>
      </c>
    </row>
    <row r="2426" spans="1:11" x14ac:dyDescent="0.25">
      <c r="A2426">
        <v>119.051446949156</v>
      </c>
      <c r="B2426">
        <v>133.30582645364299</v>
      </c>
      <c r="C2426">
        <v>2000</v>
      </c>
    </row>
    <row r="2427" spans="1:11" x14ac:dyDescent="0.25">
      <c r="A2427">
        <v>119.051446949156</v>
      </c>
      <c r="B2427">
        <v>134.17985850254101</v>
      </c>
      <c r="C2427">
        <v>2001</v>
      </c>
    </row>
    <row r="2428" spans="1:11" x14ac:dyDescent="0.25">
      <c r="A2428">
        <v>125.14550854691601</v>
      </c>
      <c r="B2428">
        <v>140.27392010030101</v>
      </c>
      <c r="C2428">
        <v>2001</v>
      </c>
    </row>
    <row r="2429" spans="1:11" x14ac:dyDescent="0.25">
      <c r="A2429">
        <v>129.551879644651</v>
      </c>
      <c r="B2429">
        <v>144.680291198036</v>
      </c>
      <c r="C2429">
        <v>2001</v>
      </c>
    </row>
    <row r="2430" spans="1:11" x14ac:dyDescent="0.25">
      <c r="A2430">
        <v>129.551879644651</v>
      </c>
      <c r="B2430">
        <v>143.80625914913901</v>
      </c>
      <c r="C2430">
        <v>2000</v>
      </c>
    </row>
    <row r="2431" spans="1:11" x14ac:dyDescent="0.25">
      <c r="A2431" t="s">
        <v>87</v>
      </c>
    </row>
    <row r="2432" spans="1:11" x14ac:dyDescent="0.25">
      <c r="A2432">
        <v>508</v>
      </c>
      <c r="B2432">
        <v>0</v>
      </c>
      <c r="C2432">
        <v>11.449231113549599</v>
      </c>
      <c r="D2432">
        <v>3.4006232152054801</v>
      </c>
      <c r="E2432">
        <v>6</v>
      </c>
      <c r="F2432">
        <v>1.01722196789785</v>
      </c>
      <c r="G2432" t="s">
        <v>85</v>
      </c>
      <c r="H2432" t="s">
        <v>85</v>
      </c>
      <c r="I2432">
        <v>559</v>
      </c>
      <c r="J2432">
        <v>554</v>
      </c>
      <c r="K2432">
        <v>0</v>
      </c>
    </row>
    <row r="2433" spans="1:11" x14ac:dyDescent="0.25">
      <c r="A2433" t="s">
        <v>86</v>
      </c>
    </row>
    <row r="2434" spans="1:11" x14ac:dyDescent="0.25">
      <c r="A2434">
        <v>124.516552255729</v>
      </c>
      <c r="B2434">
        <v>144.03237906659601</v>
      </c>
      <c r="C2434">
        <v>2000</v>
      </c>
    </row>
    <row r="2435" spans="1:11" x14ac:dyDescent="0.25">
      <c r="A2435">
        <v>116.420723295966</v>
      </c>
      <c r="B2435">
        <v>135.93655010683301</v>
      </c>
      <c r="C2435">
        <v>2000</v>
      </c>
    </row>
    <row r="2436" spans="1:11" x14ac:dyDescent="0.25">
      <c r="A2436">
        <v>116.420723295966</v>
      </c>
      <c r="B2436">
        <v>136.81058215573</v>
      </c>
      <c r="C2436">
        <v>2001</v>
      </c>
    </row>
    <row r="2437" spans="1:11" x14ac:dyDescent="0.25">
      <c r="A2437">
        <v>124.516552255729</v>
      </c>
      <c r="B2437">
        <v>144.906411115493</v>
      </c>
      <c r="C2437">
        <v>2001</v>
      </c>
    </row>
    <row r="2438" spans="1:11" x14ac:dyDescent="0.25">
      <c r="A2438">
        <v>126.921155991462</v>
      </c>
      <c r="B2438">
        <v>147.311014851225</v>
      </c>
      <c r="C2438">
        <v>2001</v>
      </c>
    </row>
    <row r="2439" spans="1:11" x14ac:dyDescent="0.25">
      <c r="A2439">
        <v>126.921155991462</v>
      </c>
      <c r="B2439">
        <v>146.436982802328</v>
      </c>
      <c r="C2439">
        <v>2000</v>
      </c>
    </row>
    <row r="2440" spans="1:11" x14ac:dyDescent="0.25">
      <c r="A2440" t="s">
        <v>87</v>
      </c>
    </row>
    <row r="2441" spans="1:11" x14ac:dyDescent="0.25">
      <c r="A2441">
        <v>957</v>
      </c>
      <c r="B2441">
        <v>0</v>
      </c>
      <c r="C2441">
        <v>7.1940549763973296</v>
      </c>
      <c r="D2441">
        <v>7.5908898964346498</v>
      </c>
      <c r="E2441">
        <v>6</v>
      </c>
      <c r="F2441">
        <v>1.01722196789785</v>
      </c>
      <c r="G2441" t="s">
        <v>85</v>
      </c>
      <c r="H2441" t="s">
        <v>85</v>
      </c>
      <c r="I2441">
        <v>628</v>
      </c>
      <c r="J2441">
        <v>555</v>
      </c>
      <c r="K2441">
        <v>9.2594931978171202E-2</v>
      </c>
    </row>
    <row r="2442" spans="1:11" x14ac:dyDescent="0.25">
      <c r="A2442" t="s">
        <v>86</v>
      </c>
    </row>
    <row r="2443" spans="1:11" x14ac:dyDescent="0.25">
      <c r="A2443">
        <v>142.905493829812</v>
      </c>
      <c r="B2443">
        <v>87.794275483020698</v>
      </c>
      <c r="C2443">
        <v>2000</v>
      </c>
    </row>
    <row r="2444" spans="1:11" x14ac:dyDescent="0.25">
      <c r="A2444">
        <v>137.818528771773</v>
      </c>
      <c r="B2444">
        <v>82.707310424981301</v>
      </c>
      <c r="C2444">
        <v>2000</v>
      </c>
    </row>
    <row r="2445" spans="1:11" x14ac:dyDescent="0.25">
      <c r="A2445">
        <v>136.94449672287499</v>
      </c>
      <c r="B2445">
        <v>82.707310424981301</v>
      </c>
      <c r="C2445">
        <v>2001</v>
      </c>
    </row>
    <row r="2446" spans="1:11" x14ac:dyDescent="0.25">
      <c r="A2446">
        <v>142.03146178091399</v>
      </c>
      <c r="B2446">
        <v>87.794275483020698</v>
      </c>
      <c r="C2446">
        <v>2001</v>
      </c>
    </row>
    <row r="2447" spans="1:11" x14ac:dyDescent="0.25">
      <c r="A2447">
        <v>147.39903150192399</v>
      </c>
      <c r="B2447">
        <v>93.161845204030101</v>
      </c>
      <c r="C2447">
        <v>2001</v>
      </c>
    </row>
    <row r="2448" spans="1:11" x14ac:dyDescent="0.25">
      <c r="A2448">
        <v>148.27306355082101</v>
      </c>
      <c r="B2448">
        <v>93.161845204030101</v>
      </c>
      <c r="C2448">
        <v>2000</v>
      </c>
    </row>
    <row r="2449" spans="1:11" x14ac:dyDescent="0.25">
      <c r="A2449" t="s">
        <v>87</v>
      </c>
    </row>
    <row r="2450" spans="1:11" x14ac:dyDescent="0.25">
      <c r="A2450">
        <v>823</v>
      </c>
      <c r="B2450">
        <v>0</v>
      </c>
      <c r="C2450">
        <v>7.4362692929074701</v>
      </c>
      <c r="D2450">
        <v>7.3426188143728801</v>
      </c>
      <c r="E2450">
        <v>6</v>
      </c>
      <c r="F2450">
        <v>1.01722196789785</v>
      </c>
      <c r="G2450" t="s">
        <v>85</v>
      </c>
      <c r="H2450" t="s">
        <v>89</v>
      </c>
      <c r="I2450">
        <v>804</v>
      </c>
      <c r="J2450">
        <v>492</v>
      </c>
      <c r="K2450">
        <v>9.0097089164053304E-2</v>
      </c>
    </row>
    <row r="2451" spans="1:11" x14ac:dyDescent="0.25">
      <c r="A2451" t="s">
        <v>86</v>
      </c>
    </row>
    <row r="2452" spans="1:11" x14ac:dyDescent="0.25">
      <c r="A2452">
        <v>109.707546696371</v>
      </c>
      <c r="B2452">
        <v>121.800648718498</v>
      </c>
      <c r="C2452">
        <v>2000</v>
      </c>
    </row>
    <row r="2453" spans="1:11" x14ac:dyDescent="0.25">
      <c r="A2453">
        <v>104.55925657671899</v>
      </c>
      <c r="B2453">
        <v>116.652358598845</v>
      </c>
      <c r="C2453">
        <v>2000</v>
      </c>
    </row>
    <row r="2454" spans="1:11" x14ac:dyDescent="0.25">
      <c r="A2454">
        <v>103.68522452782101</v>
      </c>
      <c r="B2454">
        <v>116.652358598845</v>
      </c>
      <c r="C2454">
        <v>2001</v>
      </c>
    </row>
    <row r="2455" spans="1:11" x14ac:dyDescent="0.25">
      <c r="A2455">
        <v>109.053407295657</v>
      </c>
      <c r="B2455">
        <v>122.020541366681</v>
      </c>
      <c r="C2455">
        <v>2001</v>
      </c>
    </row>
    <row r="2456" spans="1:11" x14ac:dyDescent="0.25">
      <c r="A2456">
        <v>114.35398453910101</v>
      </c>
      <c r="B2456">
        <v>127.321118610125</v>
      </c>
      <c r="C2456">
        <v>2001</v>
      </c>
    </row>
    <row r="2457" spans="1:11" x14ac:dyDescent="0.25">
      <c r="A2457">
        <v>114.79100056355</v>
      </c>
      <c r="B2457">
        <v>126.884102585676</v>
      </c>
      <c r="C2457">
        <v>2000</v>
      </c>
    </row>
    <row r="2458" spans="1:11" x14ac:dyDescent="0.25">
      <c r="A2458" t="s">
        <v>87</v>
      </c>
    </row>
    <row r="2459" spans="1:11" x14ac:dyDescent="0.25">
      <c r="A2459">
        <v>309</v>
      </c>
      <c r="B2459">
        <v>1</v>
      </c>
      <c r="C2459">
        <v>4.6825024746403701</v>
      </c>
      <c r="D2459">
        <v>10.095186521872</v>
      </c>
      <c r="E2459">
        <v>6</v>
      </c>
      <c r="F2459">
        <v>1.01722196789785</v>
      </c>
      <c r="G2459" t="s">
        <v>85</v>
      </c>
      <c r="H2459" t="s">
        <v>85</v>
      </c>
      <c r="I2459">
        <v>276</v>
      </c>
      <c r="J2459">
        <v>272</v>
      </c>
      <c r="K2459">
        <v>0</v>
      </c>
    </row>
    <row r="2460" spans="1:11" x14ac:dyDescent="0.25">
      <c r="A2460" t="s">
        <v>86</v>
      </c>
    </row>
    <row r="2461" spans="1:11" x14ac:dyDescent="0.25">
      <c r="A2461">
        <v>28.7014121199452</v>
      </c>
      <c r="B2461">
        <v>122.331457452347</v>
      </c>
      <c r="C2461">
        <v>2000</v>
      </c>
    </row>
    <row r="2462" spans="1:11" x14ac:dyDescent="0.25">
      <c r="A2462">
        <v>25.251908670296899</v>
      </c>
      <c r="B2462">
        <v>125.780960901995</v>
      </c>
      <c r="C2462">
        <v>2000</v>
      </c>
    </row>
    <row r="2463" spans="1:11" x14ac:dyDescent="0.25">
      <c r="A2463">
        <v>25.251908670296899</v>
      </c>
      <c r="B2463">
        <v>124.906928853097</v>
      </c>
      <c r="C2463">
        <v>2001</v>
      </c>
    </row>
    <row r="2464" spans="1:11" x14ac:dyDescent="0.25">
      <c r="A2464">
        <v>28.424463726130501</v>
      </c>
      <c r="B2464">
        <v>121.734373797264</v>
      </c>
      <c r="C2464">
        <v>2001</v>
      </c>
    </row>
    <row r="2465" spans="1:11" x14ac:dyDescent="0.25">
      <c r="A2465">
        <v>35.264296745547803</v>
      </c>
      <c r="B2465">
        <v>114.894540777847</v>
      </c>
      <c r="C2465">
        <v>2001</v>
      </c>
    </row>
    <row r="2466" spans="1:11" x14ac:dyDescent="0.25">
      <c r="A2466">
        <v>36.1383287944454</v>
      </c>
      <c r="B2466">
        <v>114.894540777847</v>
      </c>
      <c r="C2466">
        <v>2000</v>
      </c>
    </row>
    <row r="2467" spans="1:11" x14ac:dyDescent="0.25">
      <c r="A2467" t="s">
        <v>87</v>
      </c>
    </row>
    <row r="2468" spans="1:11" x14ac:dyDescent="0.25">
      <c r="A2468">
        <v>383</v>
      </c>
      <c r="B2468">
        <v>1</v>
      </c>
      <c r="C2468">
        <v>10.4887828517264</v>
      </c>
      <c r="D2468">
        <v>4.2798423497642402</v>
      </c>
      <c r="E2468">
        <v>8</v>
      </c>
      <c r="F2468">
        <v>1.01722196789785</v>
      </c>
      <c r="G2468" t="s">
        <v>85</v>
      </c>
      <c r="H2468" t="s">
        <v>85</v>
      </c>
      <c r="I2468">
        <v>269</v>
      </c>
      <c r="J2468">
        <v>341</v>
      </c>
      <c r="K2468">
        <v>0</v>
      </c>
    </row>
    <row r="2469" spans="1:11" x14ac:dyDescent="0.25">
      <c r="A2469" t="s">
        <v>86</v>
      </c>
    </row>
    <row r="2470" spans="1:11" x14ac:dyDescent="0.25">
      <c r="A2470">
        <v>8.9969250503857392</v>
      </c>
      <c r="B2470">
        <v>94.868172119306806</v>
      </c>
      <c r="C2470">
        <v>2000</v>
      </c>
    </row>
    <row r="2471" spans="1:11" x14ac:dyDescent="0.25">
      <c r="A2471">
        <v>3.7985069178523698</v>
      </c>
      <c r="B2471">
        <v>100.06659025184</v>
      </c>
      <c r="C2471">
        <v>2000</v>
      </c>
    </row>
    <row r="2472" spans="1:11" x14ac:dyDescent="0.25">
      <c r="A2472">
        <v>1.6048632527634801</v>
      </c>
      <c r="B2472">
        <v>102.260233916929</v>
      </c>
      <c r="C2472">
        <v>2000</v>
      </c>
    </row>
    <row r="2473" spans="1:11" x14ac:dyDescent="0.25">
      <c r="A2473">
        <v>0.73083120386585299</v>
      </c>
      <c r="B2473">
        <v>102.260233916929</v>
      </c>
      <c r="C2473">
        <v>2001</v>
      </c>
    </row>
    <row r="2474" spans="1:11" x14ac:dyDescent="0.25">
      <c r="A2474">
        <v>3.0576553726351601</v>
      </c>
      <c r="B2474">
        <v>99.933409748159804</v>
      </c>
      <c r="C2474">
        <v>2001</v>
      </c>
    </row>
    <row r="2475" spans="1:11" x14ac:dyDescent="0.25">
      <c r="A2475">
        <v>8.1721483679414106</v>
      </c>
      <c r="B2475">
        <v>94.818916752853497</v>
      </c>
      <c r="C2475">
        <v>2001</v>
      </c>
    </row>
    <row r="2476" spans="1:11" x14ac:dyDescent="0.25">
      <c r="A2476">
        <v>11.1738262326424</v>
      </c>
      <c r="B2476">
        <v>91.817238888152502</v>
      </c>
      <c r="C2476">
        <v>2001</v>
      </c>
    </row>
    <row r="2477" spans="1:11" x14ac:dyDescent="0.25">
      <c r="A2477">
        <v>12.04785828154</v>
      </c>
      <c r="B2477">
        <v>91.817238888152502</v>
      </c>
      <c r="C2477">
        <v>2000</v>
      </c>
    </row>
    <row r="2478" spans="1:11" x14ac:dyDescent="0.25">
      <c r="A2478" t="s">
        <v>87</v>
      </c>
    </row>
    <row r="2479" spans="1:11" x14ac:dyDescent="0.25">
      <c r="A2479">
        <v>1121</v>
      </c>
      <c r="B2479">
        <v>0</v>
      </c>
      <c r="C2479">
        <v>6.2412248891549202</v>
      </c>
      <c r="D2479">
        <v>8.48531128401304</v>
      </c>
      <c r="E2479">
        <v>8</v>
      </c>
      <c r="F2479">
        <v>1.01722196789785</v>
      </c>
      <c r="G2479" t="s">
        <v>85</v>
      </c>
      <c r="H2479" t="s">
        <v>85</v>
      </c>
      <c r="I2479">
        <v>913</v>
      </c>
      <c r="J2479">
        <v>707</v>
      </c>
      <c r="K2479">
        <v>9.4954792207050207E-2</v>
      </c>
    </row>
    <row r="2480" spans="1:11" x14ac:dyDescent="0.25">
      <c r="A2480" t="s">
        <v>86</v>
      </c>
    </row>
    <row r="2481" spans="1:11" x14ac:dyDescent="0.25">
      <c r="A2481">
        <v>84.378807522742093</v>
      </c>
      <c r="B2481">
        <v>96.127849579135102</v>
      </c>
      <c r="C2481">
        <v>2000</v>
      </c>
    </row>
    <row r="2482" spans="1:11" x14ac:dyDescent="0.25">
      <c r="A2482">
        <v>79.773158011852402</v>
      </c>
      <c r="B2482">
        <v>91.522200068245397</v>
      </c>
      <c r="C2482">
        <v>2000</v>
      </c>
    </row>
    <row r="2483" spans="1:11" x14ac:dyDescent="0.25">
      <c r="A2483">
        <v>79.773158011852402</v>
      </c>
      <c r="B2483">
        <v>92.396232117143001</v>
      </c>
      <c r="C2483">
        <v>2001</v>
      </c>
    </row>
    <row r="2484" spans="1:11" x14ac:dyDescent="0.25">
      <c r="A2484">
        <v>83.993933385025997</v>
      </c>
      <c r="B2484">
        <v>96.617007490316695</v>
      </c>
      <c r="C2484">
        <v>2001</v>
      </c>
    </row>
    <row r="2485" spans="1:11" x14ac:dyDescent="0.25">
      <c r="A2485">
        <v>87.463325467589797</v>
      </c>
      <c r="B2485">
        <v>100.08639957288</v>
      </c>
      <c r="C2485">
        <v>2001</v>
      </c>
    </row>
    <row r="2486" spans="1:11" x14ac:dyDescent="0.25">
      <c r="A2486">
        <v>89.749375578839604</v>
      </c>
      <c r="B2486">
        <v>102.37244968413</v>
      </c>
      <c r="C2486">
        <v>2001</v>
      </c>
    </row>
    <row r="2487" spans="1:11" x14ac:dyDescent="0.25">
      <c r="A2487">
        <v>90.623407627737194</v>
      </c>
      <c r="B2487">
        <v>102.37244968413</v>
      </c>
      <c r="C2487">
        <v>2000</v>
      </c>
    </row>
    <row r="2488" spans="1:11" x14ac:dyDescent="0.25">
      <c r="A2488">
        <v>88.164558370726596</v>
      </c>
      <c r="B2488">
        <v>99.913600427119604</v>
      </c>
      <c r="C2488">
        <v>2000</v>
      </c>
    </row>
    <row r="2489" spans="1:11" x14ac:dyDescent="0.25">
      <c r="A2489" t="s">
        <v>87</v>
      </c>
    </row>
    <row r="2490" spans="1:11" x14ac:dyDescent="0.25">
      <c r="A2490">
        <v>151</v>
      </c>
      <c r="B2490">
        <v>1</v>
      </c>
      <c r="C2490">
        <v>6.8261187674539299</v>
      </c>
      <c r="D2490">
        <v>7.8634789856995697</v>
      </c>
      <c r="E2490">
        <v>6</v>
      </c>
      <c r="F2490">
        <v>1.01722196789785</v>
      </c>
      <c r="G2490" t="s">
        <v>85</v>
      </c>
      <c r="H2490" t="s">
        <v>85</v>
      </c>
      <c r="I2490">
        <v>115</v>
      </c>
      <c r="J2490">
        <v>120</v>
      </c>
      <c r="K2490">
        <v>0</v>
      </c>
    </row>
    <row r="2491" spans="1:11" x14ac:dyDescent="0.25">
      <c r="A2491" t="s">
        <v>86</v>
      </c>
    </row>
    <row r="2492" spans="1:11" x14ac:dyDescent="0.25">
      <c r="A2492">
        <v>109.658430684199</v>
      </c>
      <c r="B2492">
        <v>34.579684268030803</v>
      </c>
      <c r="C2492">
        <v>2000</v>
      </c>
    </row>
    <row r="2493" spans="1:11" x14ac:dyDescent="0.25">
      <c r="A2493">
        <v>104.831635814547</v>
      </c>
      <c r="B2493">
        <v>39.406479137682197</v>
      </c>
      <c r="C2493">
        <v>2000</v>
      </c>
    </row>
    <row r="2494" spans="1:11" x14ac:dyDescent="0.25">
      <c r="A2494">
        <v>104.831635814547</v>
      </c>
      <c r="B2494">
        <v>40.280511186579901</v>
      </c>
      <c r="C2494">
        <v>2001</v>
      </c>
    </row>
    <row r="2495" spans="1:11" x14ac:dyDescent="0.25">
      <c r="A2495">
        <v>109.658430684199</v>
      </c>
      <c r="B2495">
        <v>35.4537163169284</v>
      </c>
      <c r="C2495">
        <v>2001</v>
      </c>
    </row>
    <row r="2496" spans="1:11" x14ac:dyDescent="0.25">
      <c r="A2496">
        <v>115.21874999870499</v>
      </c>
      <c r="B2496">
        <v>29.893397002422301</v>
      </c>
      <c r="C2496">
        <v>2001</v>
      </c>
    </row>
    <row r="2497" spans="1:11" x14ac:dyDescent="0.25">
      <c r="A2497">
        <v>115.21874999870499</v>
      </c>
      <c r="B2497">
        <v>29.0193649535247</v>
      </c>
      <c r="C2497">
        <v>2000</v>
      </c>
    </row>
    <row r="2498" spans="1:11" x14ac:dyDescent="0.25">
      <c r="A2498" t="s">
        <v>87</v>
      </c>
    </row>
    <row r="2499" spans="1:11" x14ac:dyDescent="0.25">
      <c r="A2499">
        <v>301</v>
      </c>
      <c r="B2499">
        <v>1</v>
      </c>
      <c r="C2499">
        <v>4.7270747096677601</v>
      </c>
      <c r="D2499">
        <v>9.9298932496984893</v>
      </c>
      <c r="E2499">
        <v>6</v>
      </c>
      <c r="F2499">
        <v>1.01722196789785</v>
      </c>
      <c r="G2499" t="s">
        <v>89</v>
      </c>
      <c r="H2499" t="s">
        <v>85</v>
      </c>
      <c r="I2499">
        <v>300</v>
      </c>
      <c r="J2499">
        <v>272</v>
      </c>
      <c r="K2499">
        <v>0</v>
      </c>
    </row>
    <row r="2500" spans="1:11" x14ac:dyDescent="0.25">
      <c r="A2500" t="s">
        <v>86</v>
      </c>
    </row>
    <row r="2501" spans="1:11" x14ac:dyDescent="0.25">
      <c r="A2501">
        <v>32.1507401149982</v>
      </c>
      <c r="B2501">
        <v>125.246014122535</v>
      </c>
      <c r="C2501">
        <v>2000</v>
      </c>
    </row>
    <row r="2502" spans="1:11" x14ac:dyDescent="0.25">
      <c r="A2502">
        <v>28.737721679139899</v>
      </c>
      <c r="B2502">
        <v>128.65903255839299</v>
      </c>
      <c r="C2502">
        <v>2000</v>
      </c>
    </row>
    <row r="2503" spans="1:11" x14ac:dyDescent="0.25">
      <c r="A2503">
        <v>28.3007056546911</v>
      </c>
      <c r="B2503">
        <v>128.22201653394501</v>
      </c>
      <c r="C2503">
        <v>2001</v>
      </c>
    </row>
    <row r="2504" spans="1:11" x14ac:dyDescent="0.25">
      <c r="A2504">
        <v>31.572780383595902</v>
      </c>
      <c r="B2504">
        <v>124.94994180504</v>
      </c>
      <c r="C2504">
        <v>2001</v>
      </c>
    </row>
    <row r="2505" spans="1:11" x14ac:dyDescent="0.25">
      <c r="A2505">
        <v>38.446239078168503</v>
      </c>
      <c r="B2505">
        <v>118.076483110467</v>
      </c>
      <c r="C2505">
        <v>2001</v>
      </c>
    </row>
    <row r="2506" spans="1:11" x14ac:dyDescent="0.25">
      <c r="A2506">
        <v>39.3202711270661</v>
      </c>
      <c r="B2506">
        <v>118.076483110467</v>
      </c>
      <c r="C2506">
        <v>2000</v>
      </c>
    </row>
    <row r="2507" spans="1:11" x14ac:dyDescent="0.25">
      <c r="A2507" t="s">
        <v>87</v>
      </c>
    </row>
    <row r="2508" spans="1:11" x14ac:dyDescent="0.25">
      <c r="A2508">
        <v>542</v>
      </c>
      <c r="B2508">
        <v>1</v>
      </c>
      <c r="C2508">
        <v>6.94862740720425</v>
      </c>
      <c r="D2508">
        <v>7.6997767570580899</v>
      </c>
      <c r="E2508">
        <v>8</v>
      </c>
      <c r="F2508">
        <v>1.01722196789785</v>
      </c>
      <c r="G2508" t="s">
        <v>85</v>
      </c>
      <c r="H2508" t="s">
        <v>85</v>
      </c>
      <c r="I2508">
        <v>192</v>
      </c>
      <c r="J2508">
        <v>600</v>
      </c>
      <c r="K2508">
        <v>0</v>
      </c>
    </row>
    <row r="2509" spans="1:11" x14ac:dyDescent="0.25">
      <c r="A2509" t="s">
        <v>86</v>
      </c>
    </row>
    <row r="2510" spans="1:11" x14ac:dyDescent="0.25">
      <c r="A2510">
        <v>101.52576021743</v>
      </c>
      <c r="B2510">
        <v>107.51141126982699</v>
      </c>
      <c r="C2510">
        <v>2000</v>
      </c>
    </row>
    <row r="2511" spans="1:11" x14ac:dyDescent="0.25">
      <c r="A2511">
        <v>99.703665970753406</v>
      </c>
      <c r="B2511">
        <v>109.333505516504</v>
      </c>
      <c r="C2511">
        <v>2000</v>
      </c>
    </row>
    <row r="2512" spans="1:11" x14ac:dyDescent="0.25">
      <c r="A2512">
        <v>96.399576184534894</v>
      </c>
      <c r="B2512">
        <v>112.637595302722</v>
      </c>
      <c r="C2512">
        <v>2000</v>
      </c>
    </row>
    <row r="2513" spans="1:11" x14ac:dyDescent="0.25">
      <c r="A2513">
        <v>97.273608233432498</v>
      </c>
      <c r="B2513">
        <v>112.637595302722</v>
      </c>
      <c r="C2513">
        <v>2001</v>
      </c>
    </row>
    <row r="2514" spans="1:11" x14ac:dyDescent="0.25">
      <c r="A2514">
        <v>100.29633402924701</v>
      </c>
      <c r="B2514">
        <v>109.61486950690799</v>
      </c>
      <c r="C2514">
        <v>2001</v>
      </c>
    </row>
    <row r="2515" spans="1:11" x14ac:dyDescent="0.25">
      <c r="A2515">
        <v>101.97426731968299</v>
      </c>
      <c r="B2515">
        <v>107.93693621647201</v>
      </c>
      <c r="C2515">
        <v>2001</v>
      </c>
    </row>
    <row r="2516" spans="1:11" x14ac:dyDescent="0.25">
      <c r="A2516">
        <v>107.194578127095</v>
      </c>
      <c r="B2516">
        <v>102.71662540906</v>
      </c>
      <c r="C2516">
        <v>2001</v>
      </c>
    </row>
    <row r="2517" spans="1:11" x14ac:dyDescent="0.25">
      <c r="A2517">
        <v>107.194578127095</v>
      </c>
      <c r="B2517">
        <v>101.842593360162</v>
      </c>
      <c r="C2517">
        <v>2000</v>
      </c>
    </row>
    <row r="2518" spans="1:11" x14ac:dyDescent="0.25">
      <c r="A2518" t="s">
        <v>87</v>
      </c>
    </row>
    <row r="2519" spans="1:11" x14ac:dyDescent="0.25">
      <c r="A2519">
        <v>426</v>
      </c>
      <c r="B2519">
        <v>0</v>
      </c>
      <c r="C2519">
        <v>10.6865798558048</v>
      </c>
      <c r="D2519">
        <v>3.9273454204726801</v>
      </c>
      <c r="E2519">
        <v>6</v>
      </c>
      <c r="F2519">
        <v>1.01722196789785</v>
      </c>
      <c r="G2519" t="s">
        <v>85</v>
      </c>
      <c r="H2519" t="s">
        <v>85</v>
      </c>
      <c r="I2519">
        <v>465</v>
      </c>
      <c r="J2519">
        <v>846</v>
      </c>
      <c r="K2519">
        <v>0</v>
      </c>
    </row>
    <row r="2520" spans="1:11" x14ac:dyDescent="0.25">
      <c r="A2520" t="s">
        <v>86</v>
      </c>
    </row>
    <row r="2521" spans="1:11" x14ac:dyDescent="0.25">
      <c r="A2521">
        <v>78.317938215256305</v>
      </c>
      <c r="B2521">
        <v>31.929972223904901</v>
      </c>
      <c r="C2521">
        <v>2000</v>
      </c>
    </row>
    <row r="2522" spans="1:11" x14ac:dyDescent="0.25">
      <c r="A2522">
        <v>70.761385131525202</v>
      </c>
      <c r="B2522">
        <v>24.373419140173802</v>
      </c>
      <c r="C2522">
        <v>2000</v>
      </c>
    </row>
    <row r="2523" spans="1:11" x14ac:dyDescent="0.25">
      <c r="A2523">
        <v>71.635417180422806</v>
      </c>
      <c r="B2523">
        <v>24.373419140173802</v>
      </c>
      <c r="C2523">
        <v>2001</v>
      </c>
    </row>
    <row r="2524" spans="1:11" x14ac:dyDescent="0.25">
      <c r="A2524">
        <v>79.191970264153895</v>
      </c>
      <c r="B2524">
        <v>31.929972223904901</v>
      </c>
      <c r="C2524">
        <v>2001</v>
      </c>
    </row>
    <row r="2525" spans="1:11" x14ac:dyDescent="0.25">
      <c r="A2525">
        <v>81.969022843032107</v>
      </c>
      <c r="B2525">
        <v>34.707024802783003</v>
      </c>
      <c r="C2525">
        <v>2001</v>
      </c>
    </row>
    <row r="2526" spans="1:11" x14ac:dyDescent="0.25">
      <c r="A2526">
        <v>81.094990794134404</v>
      </c>
      <c r="B2526">
        <v>34.707024802783003</v>
      </c>
      <c r="C2526">
        <v>2000</v>
      </c>
    </row>
    <row r="2527" spans="1:11" x14ac:dyDescent="0.25">
      <c r="A2527" t="s">
        <v>87</v>
      </c>
    </row>
    <row r="2528" spans="1:11" x14ac:dyDescent="0.25">
      <c r="A2528">
        <v>30</v>
      </c>
      <c r="B2528">
        <v>0</v>
      </c>
      <c r="C2528">
        <v>8.4833226113069191</v>
      </c>
      <c r="D2528">
        <v>6.1228426563662497</v>
      </c>
      <c r="E2528">
        <v>6</v>
      </c>
      <c r="F2528">
        <v>1.01722196789785</v>
      </c>
      <c r="G2528" t="s">
        <v>85</v>
      </c>
      <c r="H2528" t="s">
        <v>85</v>
      </c>
      <c r="I2528">
        <v>74</v>
      </c>
      <c r="J2528">
        <v>810</v>
      </c>
      <c r="K2528">
        <v>0</v>
      </c>
    </row>
    <row r="2529" spans="1:11" x14ac:dyDescent="0.25">
      <c r="A2529" t="s">
        <v>86</v>
      </c>
    </row>
    <row r="2530" spans="1:11" x14ac:dyDescent="0.25">
      <c r="A2530">
        <v>17.382414973053301</v>
      </c>
      <c r="B2530">
        <v>20.698484283256899</v>
      </c>
      <c r="C2530">
        <v>2000</v>
      </c>
    </row>
    <row r="2531" spans="1:11" x14ac:dyDescent="0.25">
      <c r="A2531">
        <v>11.383800027605</v>
      </c>
      <c r="B2531">
        <v>14.6998693378086</v>
      </c>
      <c r="C2531">
        <v>2000</v>
      </c>
    </row>
    <row r="2532" spans="1:11" x14ac:dyDescent="0.25">
      <c r="A2532">
        <v>11.383800027605</v>
      </c>
      <c r="B2532">
        <v>13.825837288911</v>
      </c>
      <c r="C2532">
        <v>2001</v>
      </c>
    </row>
    <row r="2533" spans="1:11" x14ac:dyDescent="0.25">
      <c r="A2533">
        <v>17.382414973053301</v>
      </c>
      <c r="B2533">
        <v>19.824452234359299</v>
      </c>
      <c r="C2533">
        <v>2001</v>
      </c>
    </row>
    <row r="2534" spans="1:11" x14ac:dyDescent="0.25">
      <c r="A2534">
        <v>21.7119185355082</v>
      </c>
      <c r="B2534">
        <v>24.153955796814099</v>
      </c>
      <c r="C2534">
        <v>2001</v>
      </c>
    </row>
    <row r="2535" spans="1:11" x14ac:dyDescent="0.25">
      <c r="A2535">
        <v>21.7119185355082</v>
      </c>
      <c r="B2535">
        <v>25.027987845711799</v>
      </c>
      <c r="C2535">
        <v>2000</v>
      </c>
    </row>
    <row r="2536" spans="1:11" x14ac:dyDescent="0.25">
      <c r="A2536" t="s">
        <v>87</v>
      </c>
    </row>
    <row r="2537" spans="1:11" x14ac:dyDescent="0.25">
      <c r="A2537">
        <v>158</v>
      </c>
      <c r="B2537">
        <v>1</v>
      </c>
      <c r="C2537">
        <v>13.1679871534225</v>
      </c>
      <c r="D2537">
        <v>1.3481904767348301</v>
      </c>
      <c r="E2537">
        <v>8</v>
      </c>
      <c r="F2537">
        <v>1.01722196789785</v>
      </c>
      <c r="G2537" t="s">
        <v>85</v>
      </c>
      <c r="H2537" t="s">
        <v>89</v>
      </c>
      <c r="I2537">
        <v>597</v>
      </c>
      <c r="J2537">
        <v>121</v>
      </c>
      <c r="K2537">
        <v>0</v>
      </c>
    </row>
    <row r="2538" spans="1:11" x14ac:dyDescent="0.25">
      <c r="A2538" t="s">
        <v>86</v>
      </c>
    </row>
    <row r="2539" spans="1:11" x14ac:dyDescent="0.25">
      <c r="A2539">
        <v>136.32960606914199</v>
      </c>
      <c r="B2539">
        <v>42.938154341412996</v>
      </c>
      <c r="C2539">
        <v>2000</v>
      </c>
    </row>
    <row r="2540" spans="1:11" x14ac:dyDescent="0.25">
      <c r="A2540">
        <v>128.877937852733</v>
      </c>
      <c r="B2540">
        <v>50.389822557822001</v>
      </c>
      <c r="C2540">
        <v>2000</v>
      </c>
    </row>
    <row r="2541" spans="1:11" x14ac:dyDescent="0.25">
      <c r="A2541">
        <v>126.819712716071</v>
      </c>
      <c r="B2541">
        <v>52.448047694484202</v>
      </c>
      <c r="C2541">
        <v>2000</v>
      </c>
    </row>
    <row r="2542" spans="1:11" x14ac:dyDescent="0.25">
      <c r="A2542">
        <v>126.819712716071</v>
      </c>
      <c r="B2542">
        <v>51.574015645586499</v>
      </c>
      <c r="C2542">
        <v>2001</v>
      </c>
    </row>
    <row r="2543" spans="1:11" x14ac:dyDescent="0.25">
      <c r="A2543">
        <v>128.78355091947901</v>
      </c>
      <c r="B2543">
        <v>49.610177442177999</v>
      </c>
      <c r="C2543">
        <v>2001</v>
      </c>
    </row>
    <row r="2544" spans="1:11" x14ac:dyDescent="0.25">
      <c r="A2544">
        <v>135.93216538452401</v>
      </c>
      <c r="B2544">
        <v>42.4615629771329</v>
      </c>
      <c r="C2544">
        <v>2001</v>
      </c>
    </row>
    <row r="2545" spans="1:11" x14ac:dyDescent="0.25">
      <c r="A2545">
        <v>136.865692343039</v>
      </c>
      <c r="B2545">
        <v>41.528036018618202</v>
      </c>
      <c r="C2545">
        <v>2001</v>
      </c>
    </row>
    <row r="2546" spans="1:11" x14ac:dyDescent="0.25">
      <c r="A2546">
        <v>137.30270836748801</v>
      </c>
      <c r="B2546">
        <v>41.965052043066997</v>
      </c>
      <c r="C2546">
        <v>2000</v>
      </c>
    </row>
    <row r="2547" spans="1:11" x14ac:dyDescent="0.25">
      <c r="A2547" t="s">
        <v>87</v>
      </c>
    </row>
    <row r="2548" spans="1:11" x14ac:dyDescent="0.25">
      <c r="A2548">
        <v>235</v>
      </c>
      <c r="B2548">
        <v>1</v>
      </c>
      <c r="C2548">
        <v>10.2696695357045</v>
      </c>
      <c r="D2548">
        <v>4.2408534691051898</v>
      </c>
      <c r="E2548">
        <v>6</v>
      </c>
      <c r="F2548">
        <v>1.01722196789785</v>
      </c>
      <c r="G2548" t="s">
        <v>85</v>
      </c>
      <c r="H2548" t="s">
        <v>85</v>
      </c>
      <c r="I2548">
        <v>194</v>
      </c>
      <c r="J2548">
        <v>188</v>
      </c>
      <c r="K2548">
        <v>0</v>
      </c>
    </row>
    <row r="2549" spans="1:11" x14ac:dyDescent="0.25">
      <c r="A2549" t="s">
        <v>86</v>
      </c>
    </row>
    <row r="2550" spans="1:11" x14ac:dyDescent="0.25">
      <c r="A2550">
        <v>86.936564593010502</v>
      </c>
      <c r="B2550">
        <v>109.186046004909</v>
      </c>
      <c r="C2550">
        <v>2000</v>
      </c>
    </row>
    <row r="2551" spans="1:11" x14ac:dyDescent="0.25">
      <c r="A2551">
        <v>79.3655181440364</v>
      </c>
      <c r="B2551">
        <v>116.757092453883</v>
      </c>
      <c r="C2551">
        <v>2000</v>
      </c>
    </row>
    <row r="2552" spans="1:11" x14ac:dyDescent="0.25">
      <c r="A2552">
        <v>79.3655181440364</v>
      </c>
      <c r="B2552">
        <v>115.883060404985</v>
      </c>
      <c r="C2552">
        <v>2001</v>
      </c>
    </row>
    <row r="2553" spans="1:11" x14ac:dyDescent="0.25">
      <c r="A2553">
        <v>86.317977633545397</v>
      </c>
      <c r="B2553">
        <v>108.93060091547601</v>
      </c>
      <c r="C2553">
        <v>2001</v>
      </c>
    </row>
    <row r="2554" spans="1:11" x14ac:dyDescent="0.25">
      <c r="A2554">
        <v>89.188991334851906</v>
      </c>
      <c r="B2554">
        <v>106.05958721416999</v>
      </c>
      <c r="C2554">
        <v>2001</v>
      </c>
    </row>
    <row r="2555" spans="1:11" x14ac:dyDescent="0.25">
      <c r="A2555">
        <v>90.063023383749496</v>
      </c>
      <c r="B2555">
        <v>106.05958721416999</v>
      </c>
      <c r="C2555">
        <v>2000</v>
      </c>
    </row>
    <row r="2556" spans="1:11" x14ac:dyDescent="0.25">
      <c r="A2556" t="s">
        <v>87</v>
      </c>
    </row>
    <row r="2557" spans="1:11" x14ac:dyDescent="0.25">
      <c r="A2557">
        <v>74</v>
      </c>
      <c r="B2557">
        <v>1</v>
      </c>
      <c r="C2557">
        <v>4.1895617443444104</v>
      </c>
      <c r="D2557">
        <v>10.2284176162336</v>
      </c>
      <c r="E2557">
        <v>6</v>
      </c>
      <c r="F2557">
        <v>1.01722196789785</v>
      </c>
      <c r="G2557" t="s">
        <v>89</v>
      </c>
      <c r="H2557" t="s">
        <v>85</v>
      </c>
      <c r="I2557">
        <v>820</v>
      </c>
      <c r="J2557">
        <v>25</v>
      </c>
      <c r="K2557">
        <v>0</v>
      </c>
    </row>
    <row r="2558" spans="1:11" x14ac:dyDescent="0.25">
      <c r="A2558" t="s">
        <v>86</v>
      </c>
    </row>
    <row r="2559" spans="1:11" x14ac:dyDescent="0.25">
      <c r="A2559">
        <v>8.0555743138917109</v>
      </c>
      <c r="B2559">
        <v>18.028095051522001</v>
      </c>
      <c r="C2559">
        <v>2000</v>
      </c>
    </row>
    <row r="2560" spans="1:11" x14ac:dyDescent="0.25">
      <c r="A2560">
        <v>5.0296129588294898</v>
      </c>
      <c r="B2560">
        <v>21.054056406584198</v>
      </c>
      <c r="C2560">
        <v>2000</v>
      </c>
    </row>
    <row r="2561" spans="1:11" x14ac:dyDescent="0.25">
      <c r="A2561">
        <v>4.5925969343806701</v>
      </c>
      <c r="B2561">
        <v>20.6170403821354</v>
      </c>
      <c r="C2561">
        <v>2001</v>
      </c>
    </row>
    <row r="2562" spans="1:11" x14ac:dyDescent="0.25">
      <c r="A2562">
        <v>7.4915706185697903</v>
      </c>
      <c r="B2562">
        <v>17.718066697946298</v>
      </c>
      <c r="C2562">
        <v>2001</v>
      </c>
    </row>
    <row r="2563" spans="1:11" x14ac:dyDescent="0.25">
      <c r="A2563">
        <v>14.569139899028601</v>
      </c>
      <c r="B2563">
        <v>10.640497417487399</v>
      </c>
      <c r="C2563">
        <v>2001</v>
      </c>
    </row>
    <row r="2564" spans="1:11" x14ac:dyDescent="0.25">
      <c r="A2564">
        <v>15.443171947926301</v>
      </c>
      <c r="B2564">
        <v>10.640497417487399</v>
      </c>
      <c r="C2564">
        <v>2000</v>
      </c>
    </row>
    <row r="2565" spans="1:11" x14ac:dyDescent="0.25">
      <c r="A2565" t="s">
        <v>87</v>
      </c>
    </row>
    <row r="2566" spans="1:11" x14ac:dyDescent="0.25">
      <c r="A2566">
        <v>777</v>
      </c>
      <c r="B2566">
        <v>0</v>
      </c>
      <c r="C2566">
        <v>0.51812711283556001</v>
      </c>
      <c r="D2566">
        <v>13.871695434343801</v>
      </c>
      <c r="E2566">
        <v>6</v>
      </c>
      <c r="F2566">
        <v>1.01722196789785</v>
      </c>
      <c r="G2566" t="s">
        <v>88</v>
      </c>
      <c r="H2566" t="s">
        <v>85</v>
      </c>
      <c r="I2566">
        <v>0</v>
      </c>
      <c r="J2566">
        <v>74</v>
      </c>
      <c r="K2566">
        <v>8.9537010595109504E-2</v>
      </c>
    </row>
    <row r="2567" spans="1:11" x14ac:dyDescent="0.25">
      <c r="A2567" t="s">
        <v>86</v>
      </c>
    </row>
    <row r="2568" spans="1:11" x14ac:dyDescent="0.25">
      <c r="A2568">
        <v>0.36637119500263199</v>
      </c>
      <c r="B2568">
        <v>6.0997583540531597</v>
      </c>
      <c r="C2568">
        <v>2000</v>
      </c>
    </row>
    <row r="2569" spans="1:11" x14ac:dyDescent="0.25">
      <c r="A2569">
        <v>0</v>
      </c>
      <c r="B2569">
        <v>5.7333871590505296</v>
      </c>
      <c r="C2569">
        <v>2000</v>
      </c>
    </row>
    <row r="2570" spans="1:11" x14ac:dyDescent="0.25">
      <c r="A2570">
        <v>0</v>
      </c>
      <c r="B2570">
        <v>4.8593551101528796</v>
      </c>
      <c r="C2570">
        <v>2001</v>
      </c>
    </row>
    <row r="2571" spans="1:11" x14ac:dyDescent="0.25">
      <c r="A2571">
        <v>0.36637119500263199</v>
      </c>
      <c r="B2571">
        <v>5.2257263051555203</v>
      </c>
      <c r="C2571">
        <v>2001</v>
      </c>
    </row>
    <row r="2572" spans="1:11" x14ac:dyDescent="0.25">
      <c r="A2572">
        <v>10.1751411031816</v>
      </c>
      <c r="B2572">
        <v>15.034496213334499</v>
      </c>
      <c r="C2572">
        <v>2001</v>
      </c>
    </row>
    <row r="2573" spans="1:11" x14ac:dyDescent="0.25">
      <c r="A2573">
        <v>10.1751411031816</v>
      </c>
      <c r="B2573">
        <v>15.9085282622321</v>
      </c>
      <c r="C2573">
        <v>2000</v>
      </c>
    </row>
    <row r="2574" spans="1:11" x14ac:dyDescent="0.25">
      <c r="A2574" t="s">
        <v>87</v>
      </c>
    </row>
    <row r="2575" spans="1:11" x14ac:dyDescent="0.25">
      <c r="A2575">
        <v>736</v>
      </c>
      <c r="B2575">
        <v>1</v>
      </c>
      <c r="C2575">
        <v>3.5845246354323899</v>
      </c>
      <c r="D2575">
        <v>10.7641686148819</v>
      </c>
      <c r="E2575">
        <v>6</v>
      </c>
      <c r="F2575">
        <v>1.01722196789785</v>
      </c>
      <c r="G2575" t="s">
        <v>89</v>
      </c>
      <c r="H2575" t="s">
        <v>85</v>
      </c>
      <c r="I2575">
        <v>317</v>
      </c>
      <c r="J2575">
        <v>261</v>
      </c>
      <c r="K2575">
        <v>8.8543832116719706E-2</v>
      </c>
    </row>
    <row r="2576" spans="1:11" x14ac:dyDescent="0.25">
      <c r="A2576" t="s">
        <v>86</v>
      </c>
    </row>
    <row r="2577" spans="1:11" x14ac:dyDescent="0.25">
      <c r="A2577">
        <v>13.8244692795978</v>
      </c>
      <c r="B2577">
        <v>111.317167138172</v>
      </c>
      <c r="C2577">
        <v>2000</v>
      </c>
    </row>
    <row r="2578" spans="1:11" x14ac:dyDescent="0.25">
      <c r="A2578">
        <v>11.3444142704258</v>
      </c>
      <c r="B2578">
        <v>113.797222147344</v>
      </c>
      <c r="C2578">
        <v>2000</v>
      </c>
    </row>
    <row r="2579" spans="1:11" x14ac:dyDescent="0.25">
      <c r="A2579">
        <v>10.9073982459769</v>
      </c>
      <c r="B2579">
        <v>113.36020612289499</v>
      </c>
      <c r="C2579">
        <v>2001</v>
      </c>
    </row>
    <row r="2580" spans="1:11" x14ac:dyDescent="0.25">
      <c r="A2580">
        <v>13.496626590893801</v>
      </c>
      <c r="B2580">
        <v>110.770977777979</v>
      </c>
      <c r="C2580">
        <v>2001</v>
      </c>
    </row>
    <row r="2581" spans="1:11" x14ac:dyDescent="0.25">
      <c r="A2581">
        <v>21.271964556664201</v>
      </c>
      <c r="B2581">
        <v>102.995639812208</v>
      </c>
      <c r="C2581">
        <v>2001</v>
      </c>
    </row>
    <row r="2582" spans="1:11" x14ac:dyDescent="0.25">
      <c r="A2582">
        <v>21.271964556664201</v>
      </c>
      <c r="B2582">
        <v>103.869671861106</v>
      </c>
      <c r="C2582">
        <v>2000</v>
      </c>
    </row>
    <row r="2583" spans="1:11" x14ac:dyDescent="0.25">
      <c r="A2583" t="s">
        <v>87</v>
      </c>
    </row>
    <row r="2584" spans="1:11" x14ac:dyDescent="0.25">
      <c r="A2584">
        <v>745</v>
      </c>
      <c r="B2584">
        <v>0</v>
      </c>
      <c r="C2584">
        <v>0.59511060465840204</v>
      </c>
      <c r="D2584">
        <v>13.691387907144</v>
      </c>
      <c r="E2584">
        <v>6</v>
      </c>
      <c r="F2584">
        <v>1.01722196789785</v>
      </c>
      <c r="G2584" t="s">
        <v>89</v>
      </c>
      <c r="H2584" t="s">
        <v>85</v>
      </c>
      <c r="I2584">
        <v>747</v>
      </c>
      <c r="J2584">
        <v>558</v>
      </c>
      <c r="K2584">
        <v>8.8543832116719706E-2</v>
      </c>
    </row>
    <row r="2585" spans="1:11" x14ac:dyDescent="0.25">
      <c r="A2585" t="s">
        <v>86</v>
      </c>
    </row>
    <row r="2586" spans="1:11" x14ac:dyDescent="0.25">
      <c r="A2586">
        <v>104.71767193775899</v>
      </c>
      <c r="B2586">
        <v>121.474010121888</v>
      </c>
      <c r="C2586">
        <v>2000</v>
      </c>
    </row>
    <row r="2587" spans="1:11" x14ac:dyDescent="0.25">
      <c r="A2587">
        <v>104.287763142844</v>
      </c>
      <c r="B2587">
        <v>121.04410132697301</v>
      </c>
      <c r="C2587">
        <v>2000</v>
      </c>
    </row>
    <row r="2588" spans="1:11" x14ac:dyDescent="0.25">
      <c r="A2588">
        <v>103.85074711839501</v>
      </c>
      <c r="B2588">
        <v>121.481117351422</v>
      </c>
      <c r="C2588">
        <v>2001</v>
      </c>
    </row>
    <row r="2589" spans="1:11" x14ac:dyDescent="0.25">
      <c r="A2589">
        <v>104.2624518117</v>
      </c>
      <c r="B2589">
        <v>121.892822044727</v>
      </c>
      <c r="C2589">
        <v>2001</v>
      </c>
    </row>
    <row r="2590" spans="1:11" x14ac:dyDescent="0.25">
      <c r="A2590">
        <v>113.734319083278</v>
      </c>
      <c r="B2590">
        <v>131.364689316305</v>
      </c>
      <c r="C2590">
        <v>2001</v>
      </c>
    </row>
    <row r="2591" spans="1:11" x14ac:dyDescent="0.25">
      <c r="A2591">
        <v>114.608351132175</v>
      </c>
      <c r="B2591">
        <v>131.364689316305</v>
      </c>
      <c r="C2591">
        <v>2000</v>
      </c>
    </row>
    <row r="2592" spans="1:11" x14ac:dyDescent="0.25">
      <c r="A2592" t="s">
        <v>87</v>
      </c>
    </row>
    <row r="2593" spans="1:11" x14ac:dyDescent="0.25">
      <c r="A2593">
        <v>437</v>
      </c>
      <c r="B2593">
        <v>0</v>
      </c>
      <c r="C2593">
        <v>2.9445674939807098</v>
      </c>
      <c r="D2593">
        <v>11.3401789253275</v>
      </c>
      <c r="E2593">
        <v>6</v>
      </c>
      <c r="F2593">
        <v>1.01722196789785</v>
      </c>
      <c r="G2593" t="s">
        <v>89</v>
      </c>
      <c r="H2593" t="s">
        <v>85</v>
      </c>
      <c r="I2593">
        <v>845</v>
      </c>
      <c r="J2593">
        <v>802</v>
      </c>
      <c r="K2593">
        <v>0</v>
      </c>
    </row>
    <row r="2594" spans="1:11" x14ac:dyDescent="0.25">
      <c r="A2594" t="s">
        <v>86</v>
      </c>
    </row>
    <row r="2595" spans="1:11" x14ac:dyDescent="0.25">
      <c r="A2595">
        <v>60.805308217104802</v>
      </c>
      <c r="B2595">
        <v>14.490915180899799</v>
      </c>
      <c r="C2595">
        <v>2000</v>
      </c>
    </row>
    <row r="2596" spans="1:11" x14ac:dyDescent="0.25">
      <c r="A2596">
        <v>58.678142711536204</v>
      </c>
      <c r="B2596">
        <v>12.363749675331199</v>
      </c>
      <c r="C2596">
        <v>2000</v>
      </c>
    </row>
    <row r="2597" spans="1:11" x14ac:dyDescent="0.25">
      <c r="A2597">
        <v>58.241126687087402</v>
      </c>
      <c r="B2597">
        <v>12.800765699780101</v>
      </c>
      <c r="C2597">
        <v>2001</v>
      </c>
    </row>
    <row r="2598" spans="1:11" x14ac:dyDescent="0.25">
      <c r="A2598">
        <v>60.278208466829298</v>
      </c>
      <c r="B2598">
        <v>14.837847479522001</v>
      </c>
      <c r="C2598">
        <v>2001</v>
      </c>
    </row>
    <row r="2599" spans="1:11" x14ac:dyDescent="0.25">
      <c r="A2599">
        <v>68.123459735485994</v>
      </c>
      <c r="B2599">
        <v>22.683098748178701</v>
      </c>
      <c r="C2599">
        <v>2001</v>
      </c>
    </row>
    <row r="2600" spans="1:11" x14ac:dyDescent="0.25">
      <c r="A2600">
        <v>68.997491784383698</v>
      </c>
      <c r="B2600">
        <v>22.683098748178701</v>
      </c>
      <c r="C2600">
        <v>2000</v>
      </c>
    </row>
    <row r="2601" spans="1:11" x14ac:dyDescent="0.25">
      <c r="A2601" t="s">
        <v>87</v>
      </c>
    </row>
    <row r="2602" spans="1:11" x14ac:dyDescent="0.25">
      <c r="A2602">
        <v>381</v>
      </c>
      <c r="B2602">
        <v>1</v>
      </c>
      <c r="C2602">
        <v>4.7425191918211498</v>
      </c>
      <c r="D2602">
        <v>9.5414530269989193</v>
      </c>
      <c r="E2602">
        <v>8</v>
      </c>
      <c r="F2602">
        <v>1.01722196789785</v>
      </c>
      <c r="G2602" t="s">
        <v>85</v>
      </c>
      <c r="H2602" t="s">
        <v>85</v>
      </c>
      <c r="I2602">
        <v>267</v>
      </c>
      <c r="J2602">
        <v>795</v>
      </c>
      <c r="K2602">
        <v>0</v>
      </c>
    </row>
    <row r="2603" spans="1:11" x14ac:dyDescent="0.25">
      <c r="A2603" t="s">
        <v>86</v>
      </c>
    </row>
    <row r="2604" spans="1:11" x14ac:dyDescent="0.25">
      <c r="A2604">
        <v>29.397224529239299</v>
      </c>
      <c r="B2604">
        <v>98.325617597707407</v>
      </c>
      <c r="C2604">
        <v>2000</v>
      </c>
    </row>
    <row r="2605" spans="1:11" x14ac:dyDescent="0.25">
      <c r="A2605">
        <v>27.377775123623699</v>
      </c>
      <c r="B2605">
        <v>100.345067003323</v>
      </c>
      <c r="C2605">
        <v>2000</v>
      </c>
    </row>
    <row r="2606" spans="1:11" x14ac:dyDescent="0.25">
      <c r="A2606">
        <v>25.874673948099201</v>
      </c>
      <c r="B2606">
        <v>101.848168178848</v>
      </c>
      <c r="C2606">
        <v>2000</v>
      </c>
    </row>
    <row r="2607" spans="1:11" x14ac:dyDescent="0.25">
      <c r="A2607">
        <v>25.874673948099201</v>
      </c>
      <c r="B2607">
        <v>100.97413612995</v>
      </c>
      <c r="C2607">
        <v>2001</v>
      </c>
    </row>
    <row r="2608" spans="1:11" x14ac:dyDescent="0.25">
      <c r="A2608">
        <v>27.1938770813722</v>
      </c>
      <c r="B2608">
        <v>99.654932996676905</v>
      </c>
      <c r="C2608">
        <v>2001</v>
      </c>
    </row>
    <row r="2609" spans="1:11" x14ac:dyDescent="0.25">
      <c r="A2609">
        <v>29.0590583278473</v>
      </c>
      <c r="B2609">
        <v>97.789751750201802</v>
      </c>
      <c r="C2609">
        <v>2001</v>
      </c>
    </row>
    <row r="2610" spans="1:11" x14ac:dyDescent="0.25">
      <c r="A2610">
        <v>35.537951541858298</v>
      </c>
      <c r="B2610">
        <v>91.310858536190807</v>
      </c>
      <c r="C2610">
        <v>2001</v>
      </c>
    </row>
    <row r="2611" spans="1:11" x14ac:dyDescent="0.25">
      <c r="A2611">
        <v>36.411983590756002</v>
      </c>
      <c r="B2611">
        <v>91.310858536190807</v>
      </c>
      <c r="C2611">
        <v>2000</v>
      </c>
    </row>
    <row r="2612" spans="1:11" x14ac:dyDescent="0.25">
      <c r="A2612" t="s">
        <v>87</v>
      </c>
    </row>
    <row r="2613" spans="1:11" x14ac:dyDescent="0.25">
      <c r="A2613">
        <v>119</v>
      </c>
      <c r="B2613">
        <v>0</v>
      </c>
      <c r="C2613">
        <v>7.4632296276319998</v>
      </c>
      <c r="D2613">
        <v>6.8036404207983701</v>
      </c>
      <c r="E2613">
        <v>6</v>
      </c>
      <c r="F2613">
        <v>1.01722196789785</v>
      </c>
      <c r="G2613" t="s">
        <v>85</v>
      </c>
      <c r="H2613" t="s">
        <v>85</v>
      </c>
      <c r="I2613">
        <v>153</v>
      </c>
      <c r="J2613">
        <v>148</v>
      </c>
      <c r="K2613">
        <v>0</v>
      </c>
    </row>
    <row r="2614" spans="1:11" x14ac:dyDescent="0.25">
      <c r="A2614" t="s">
        <v>86</v>
      </c>
    </row>
    <row r="2615" spans="1:11" x14ac:dyDescent="0.25">
      <c r="A2615">
        <v>124.420917790579</v>
      </c>
      <c r="B2615">
        <v>10.1874840334841</v>
      </c>
      <c r="C2615">
        <v>2000</v>
      </c>
    </row>
    <row r="2616" spans="1:11" x14ac:dyDescent="0.25">
      <c r="A2616">
        <v>119.143617511328</v>
      </c>
      <c r="B2616">
        <v>4.9101837542331603</v>
      </c>
      <c r="C2616">
        <v>2000</v>
      </c>
    </row>
    <row r="2617" spans="1:11" x14ac:dyDescent="0.25">
      <c r="A2617">
        <v>119.143617511328</v>
      </c>
      <c r="B2617">
        <v>4.0361517053355298</v>
      </c>
      <c r="C2617">
        <v>2001</v>
      </c>
    </row>
    <row r="2618" spans="1:11" x14ac:dyDescent="0.25">
      <c r="A2618">
        <v>124.420917790579</v>
      </c>
      <c r="B2618">
        <v>9.3134519845864698</v>
      </c>
      <c r="C2618">
        <v>2001</v>
      </c>
    </row>
    <row r="2619" spans="1:11" x14ac:dyDescent="0.25">
      <c r="A2619">
        <v>129.23181806888101</v>
      </c>
      <c r="B2619">
        <v>14.1243522628879</v>
      </c>
      <c r="C2619">
        <v>2001</v>
      </c>
    </row>
    <row r="2620" spans="1:11" x14ac:dyDescent="0.25">
      <c r="A2620">
        <v>129.23181806887999</v>
      </c>
      <c r="B2620">
        <v>14.9983843117856</v>
      </c>
      <c r="C2620">
        <v>2000</v>
      </c>
    </row>
    <row r="2621" spans="1:11" x14ac:dyDescent="0.25">
      <c r="A2621" t="s">
        <v>87</v>
      </c>
    </row>
    <row r="2622" spans="1:11" x14ac:dyDescent="0.25">
      <c r="A2622">
        <v>581</v>
      </c>
      <c r="B2622">
        <v>0</v>
      </c>
      <c r="C2622">
        <v>6.2163426739442702</v>
      </c>
      <c r="D2622">
        <v>8.0163255691030599</v>
      </c>
      <c r="E2622">
        <v>6</v>
      </c>
      <c r="F2622">
        <v>1.01722196789785</v>
      </c>
      <c r="G2622" t="s">
        <v>85</v>
      </c>
      <c r="H2622" t="s">
        <v>85</v>
      </c>
      <c r="I2622">
        <v>640</v>
      </c>
      <c r="J2622">
        <v>636</v>
      </c>
      <c r="K2622">
        <v>0</v>
      </c>
    </row>
    <row r="2623" spans="1:11" x14ac:dyDescent="0.25">
      <c r="A2623" t="s">
        <v>86</v>
      </c>
    </row>
    <row r="2624" spans="1:11" x14ac:dyDescent="0.25">
      <c r="A2624">
        <v>116.980287673408</v>
      </c>
      <c r="B2624">
        <v>82.064002736510304</v>
      </c>
      <c r="C2624">
        <v>2000</v>
      </c>
    </row>
    <row r="2625" spans="1:11" x14ac:dyDescent="0.25">
      <c r="A2625">
        <v>112.584669614483</v>
      </c>
      <c r="B2625">
        <v>77.668384677584996</v>
      </c>
      <c r="C2625">
        <v>2000</v>
      </c>
    </row>
    <row r="2626" spans="1:11" x14ac:dyDescent="0.25">
      <c r="A2626">
        <v>112.584669614483</v>
      </c>
      <c r="B2626">
        <v>78.5424167264826</v>
      </c>
      <c r="C2626">
        <v>2001</v>
      </c>
    </row>
    <row r="2627" spans="1:11" x14ac:dyDescent="0.25">
      <c r="A2627">
        <v>116.980287673408</v>
      </c>
      <c r="B2627">
        <v>82.938034785407993</v>
      </c>
      <c r="C2627">
        <v>2001</v>
      </c>
    </row>
    <row r="2628" spans="1:11" x14ac:dyDescent="0.25">
      <c r="A2628">
        <v>122.64868584352</v>
      </c>
      <c r="B2628">
        <v>88.606432955519793</v>
      </c>
      <c r="C2628">
        <v>2001</v>
      </c>
    </row>
    <row r="2629" spans="1:11" x14ac:dyDescent="0.25">
      <c r="A2629">
        <v>122.64868584352</v>
      </c>
      <c r="B2629">
        <v>87.732400906622203</v>
      </c>
      <c r="C2629">
        <v>2000</v>
      </c>
    </row>
    <row r="2630" spans="1:11" x14ac:dyDescent="0.25">
      <c r="A2630" t="s">
        <v>87</v>
      </c>
    </row>
    <row r="2631" spans="1:11" x14ac:dyDescent="0.25">
      <c r="A2631">
        <v>811</v>
      </c>
      <c r="B2631">
        <v>0</v>
      </c>
      <c r="C2631">
        <v>0.57938489006940597</v>
      </c>
      <c r="D2631">
        <v>13.653283352977899</v>
      </c>
      <c r="E2631">
        <v>6</v>
      </c>
      <c r="F2631">
        <v>1.01722196789785</v>
      </c>
      <c r="G2631" t="s">
        <v>85</v>
      </c>
      <c r="H2631" t="s">
        <v>85</v>
      </c>
      <c r="I2631">
        <v>640</v>
      </c>
      <c r="J2631">
        <v>636</v>
      </c>
      <c r="K2631">
        <v>9.0097089164053304E-2</v>
      </c>
    </row>
    <row r="2632" spans="1:11" x14ac:dyDescent="0.25">
      <c r="A2632" t="s">
        <v>86</v>
      </c>
    </row>
    <row r="2633" spans="1:11" x14ac:dyDescent="0.25">
      <c r="A2633">
        <v>115.579052602676</v>
      </c>
      <c r="B2633">
        <v>75.493375658762005</v>
      </c>
      <c r="C2633">
        <v>2000</v>
      </c>
    </row>
    <row r="2634" spans="1:11" x14ac:dyDescent="0.25">
      <c r="A2634">
        <v>115.16936561799101</v>
      </c>
      <c r="B2634">
        <v>75.083688674076896</v>
      </c>
      <c r="C2634">
        <v>2000</v>
      </c>
    </row>
    <row r="2635" spans="1:11" x14ac:dyDescent="0.25">
      <c r="A2635">
        <v>115.16936561799101</v>
      </c>
      <c r="B2635">
        <v>75.9577207229745</v>
      </c>
      <c r="C2635">
        <v>2001</v>
      </c>
    </row>
    <row r="2636" spans="1:11" x14ac:dyDescent="0.25">
      <c r="A2636">
        <v>115.579052602676</v>
      </c>
      <c r="B2636">
        <v>76.367407707659595</v>
      </c>
      <c r="C2636">
        <v>2001</v>
      </c>
    </row>
    <row r="2637" spans="1:11" x14ac:dyDescent="0.25">
      <c r="A2637">
        <v>125.233381847028</v>
      </c>
      <c r="B2637">
        <v>86.021736952011693</v>
      </c>
      <c r="C2637">
        <v>2001</v>
      </c>
    </row>
    <row r="2638" spans="1:11" x14ac:dyDescent="0.25">
      <c r="A2638">
        <v>125.233381847028</v>
      </c>
      <c r="B2638">
        <v>85.147704903114104</v>
      </c>
      <c r="C2638">
        <v>2000</v>
      </c>
    </row>
    <row r="2639" spans="1:11" x14ac:dyDescent="0.25">
      <c r="A2639" t="s">
        <v>87</v>
      </c>
    </row>
    <row r="2640" spans="1:11" x14ac:dyDescent="0.25">
      <c r="A2640">
        <v>836</v>
      </c>
      <c r="B2640">
        <v>1</v>
      </c>
      <c r="C2640">
        <v>6.0872876408002803</v>
      </c>
      <c r="D2640">
        <v>8.1311369924681003</v>
      </c>
      <c r="E2640">
        <v>6</v>
      </c>
      <c r="F2640">
        <v>1.01722196789785</v>
      </c>
      <c r="G2640" t="s">
        <v>85</v>
      </c>
      <c r="H2640" t="s">
        <v>85</v>
      </c>
      <c r="I2640">
        <v>849</v>
      </c>
      <c r="J2640">
        <v>514</v>
      </c>
      <c r="K2640">
        <v>9.0374042336346896E-2</v>
      </c>
    </row>
    <row r="2641" spans="1:11" x14ac:dyDescent="0.25">
      <c r="A2641" t="s">
        <v>86</v>
      </c>
    </row>
    <row r="2642" spans="1:11" x14ac:dyDescent="0.25">
      <c r="A2642">
        <v>123.551576100172</v>
      </c>
      <c r="B2642">
        <v>119.02119087374</v>
      </c>
      <c r="C2642">
        <v>2000</v>
      </c>
    </row>
    <row r="2643" spans="1:11" x14ac:dyDescent="0.25">
      <c r="A2643">
        <v>119.43431197173599</v>
      </c>
      <c r="B2643">
        <v>123.138455002176</v>
      </c>
      <c r="C2643">
        <v>2000</v>
      </c>
    </row>
    <row r="2644" spans="1:11" x14ac:dyDescent="0.25">
      <c r="A2644">
        <v>119.43431197173599</v>
      </c>
      <c r="B2644">
        <v>124.012487051074</v>
      </c>
      <c r="C2644">
        <v>2001</v>
      </c>
    </row>
    <row r="2645" spans="1:11" x14ac:dyDescent="0.25">
      <c r="A2645">
        <v>123.925772582986</v>
      </c>
      <c r="B2645">
        <v>119.521026439824</v>
      </c>
      <c r="C2645">
        <v>2001</v>
      </c>
    </row>
    <row r="2646" spans="1:11" x14ac:dyDescent="0.25">
      <c r="A2646">
        <v>129.92527247215901</v>
      </c>
      <c r="B2646">
        <v>113.521526550651</v>
      </c>
      <c r="C2646">
        <v>2001</v>
      </c>
    </row>
    <row r="2647" spans="1:11" x14ac:dyDescent="0.25">
      <c r="A2647">
        <v>129.05124042326099</v>
      </c>
      <c r="B2647">
        <v>113.521526550651</v>
      </c>
      <c r="C2647">
        <v>2000</v>
      </c>
    </row>
    <row r="2648" spans="1:11" x14ac:dyDescent="0.25">
      <c r="A2648" t="s">
        <v>87</v>
      </c>
    </row>
    <row r="2649" spans="1:11" x14ac:dyDescent="0.25">
      <c r="A2649">
        <v>1123</v>
      </c>
      <c r="B2649">
        <v>0</v>
      </c>
      <c r="C2649">
        <v>0.72024476157838502</v>
      </c>
      <c r="D2649">
        <v>13.4581334344051</v>
      </c>
      <c r="E2649">
        <v>6</v>
      </c>
      <c r="F2649">
        <v>1.01722196789785</v>
      </c>
      <c r="G2649" t="s">
        <v>85</v>
      </c>
      <c r="H2649" t="s">
        <v>85</v>
      </c>
      <c r="I2649">
        <v>956</v>
      </c>
      <c r="J2649">
        <v>796</v>
      </c>
      <c r="K2649">
        <v>9.4954792207050207E-2</v>
      </c>
    </row>
    <row r="2650" spans="1:11" x14ac:dyDescent="0.25">
      <c r="A2650" t="s">
        <v>86</v>
      </c>
    </row>
    <row r="2651" spans="1:11" x14ac:dyDescent="0.25">
      <c r="A2651">
        <v>14.610893689371499</v>
      </c>
      <c r="B2651">
        <v>81.703367797519704</v>
      </c>
      <c r="C2651">
        <v>2000</v>
      </c>
    </row>
    <row r="2652" spans="1:11" x14ac:dyDescent="0.25">
      <c r="A2652">
        <v>14.1016037343453</v>
      </c>
      <c r="B2652">
        <v>81.194077842493598</v>
      </c>
      <c r="C2652">
        <v>2000</v>
      </c>
    </row>
    <row r="2653" spans="1:11" x14ac:dyDescent="0.25">
      <c r="A2653">
        <v>13.2275716854477</v>
      </c>
      <c r="B2653">
        <v>81.194077842493598</v>
      </c>
      <c r="C2653">
        <v>2001</v>
      </c>
    </row>
    <row r="2654" spans="1:11" x14ac:dyDescent="0.25">
      <c r="A2654">
        <v>13.736861640473901</v>
      </c>
      <c r="B2654">
        <v>81.703367797519704</v>
      </c>
      <c r="C2654">
        <v>2001</v>
      </c>
    </row>
    <row r="2655" spans="1:11" x14ac:dyDescent="0.25">
      <c r="A2655">
        <v>23.253199054055099</v>
      </c>
      <c r="B2655">
        <v>91.219705211101001</v>
      </c>
      <c r="C2655">
        <v>2001</v>
      </c>
    </row>
    <row r="2656" spans="1:11" x14ac:dyDescent="0.25">
      <c r="A2656">
        <v>24.127231102952699</v>
      </c>
      <c r="B2656">
        <v>91.219705211101001</v>
      </c>
      <c r="C2656">
        <v>2000</v>
      </c>
    </row>
    <row r="2657" spans="1:11" x14ac:dyDescent="0.25">
      <c r="A2657" t="s">
        <v>87</v>
      </c>
    </row>
    <row r="2658" spans="1:11" x14ac:dyDescent="0.25">
      <c r="A2658">
        <v>677</v>
      </c>
      <c r="B2658">
        <v>0</v>
      </c>
      <c r="C2658">
        <v>6.0347578173526699</v>
      </c>
      <c r="D2658">
        <v>8.1226549721284993</v>
      </c>
      <c r="E2658">
        <v>8</v>
      </c>
      <c r="F2658">
        <v>1.01722196789785</v>
      </c>
      <c r="G2658" t="s">
        <v>85</v>
      </c>
      <c r="H2658" t="s">
        <v>85</v>
      </c>
      <c r="I2658">
        <v>718</v>
      </c>
      <c r="J2658">
        <v>638</v>
      </c>
      <c r="K2658">
        <v>0</v>
      </c>
    </row>
    <row r="2659" spans="1:11" x14ac:dyDescent="0.25">
      <c r="A2659" t="s">
        <v>86</v>
      </c>
    </row>
    <row r="2660" spans="1:11" x14ac:dyDescent="0.25">
      <c r="A2660">
        <v>99.681415201524104</v>
      </c>
      <c r="B2660">
        <v>64.427069483108994</v>
      </c>
      <c r="C2660">
        <v>2000</v>
      </c>
    </row>
    <row r="2661" spans="1:11" x14ac:dyDescent="0.25">
      <c r="A2661">
        <v>95.586936204492901</v>
      </c>
      <c r="B2661">
        <v>60.332590486077798</v>
      </c>
      <c r="C2661">
        <v>2000</v>
      </c>
    </row>
    <row r="2662" spans="1:11" x14ac:dyDescent="0.25">
      <c r="A2662">
        <v>94.712904155595297</v>
      </c>
      <c r="B2662">
        <v>60.332590486077798</v>
      </c>
      <c r="C2662">
        <v>2001</v>
      </c>
    </row>
    <row r="2663" spans="1:11" x14ac:dyDescent="0.25">
      <c r="A2663">
        <v>99.152861509501406</v>
      </c>
      <c r="B2663">
        <v>64.772547839983901</v>
      </c>
      <c r="C2663">
        <v>2001</v>
      </c>
    </row>
    <row r="2664" spans="1:11" x14ac:dyDescent="0.25">
      <c r="A2664">
        <v>99.759317692039303</v>
      </c>
      <c r="B2664">
        <v>65.379004022521897</v>
      </c>
      <c r="C2664">
        <v>2001</v>
      </c>
    </row>
    <row r="2665" spans="1:11" x14ac:dyDescent="0.25">
      <c r="A2665">
        <v>104.72370674309499</v>
      </c>
      <c r="B2665">
        <v>70.343393073577104</v>
      </c>
      <c r="C2665">
        <v>2001</v>
      </c>
    </row>
    <row r="2666" spans="1:11" x14ac:dyDescent="0.25">
      <c r="A2666">
        <v>105.597738791992</v>
      </c>
      <c r="B2666">
        <v>70.343393073577204</v>
      </c>
      <c r="C2666">
        <v>2000</v>
      </c>
    </row>
    <row r="2667" spans="1:11" x14ac:dyDescent="0.25">
      <c r="A2667">
        <v>100.24068230796099</v>
      </c>
      <c r="B2667">
        <v>64.986336589545701</v>
      </c>
      <c r="C2667">
        <v>2000</v>
      </c>
    </row>
    <row r="2668" spans="1:11" x14ac:dyDescent="0.25">
      <c r="A2668" t="s">
        <v>87</v>
      </c>
    </row>
    <row r="2669" spans="1:11" x14ac:dyDescent="0.25">
      <c r="A2669">
        <v>676</v>
      </c>
      <c r="B2669">
        <v>0</v>
      </c>
      <c r="C2669">
        <v>4.5989408650456296</v>
      </c>
      <c r="D2669">
        <v>9.5584719244355192</v>
      </c>
      <c r="E2669">
        <v>8</v>
      </c>
      <c r="F2669">
        <v>1.01722196789785</v>
      </c>
      <c r="G2669" t="s">
        <v>85</v>
      </c>
      <c r="H2669" t="s">
        <v>85</v>
      </c>
      <c r="I2669">
        <v>718</v>
      </c>
      <c r="J2669">
        <v>638</v>
      </c>
      <c r="K2669">
        <v>0</v>
      </c>
    </row>
    <row r="2670" spans="1:11" x14ac:dyDescent="0.25">
      <c r="A2670" t="s">
        <v>86</v>
      </c>
    </row>
    <row r="2671" spans="1:11" x14ac:dyDescent="0.25">
      <c r="A2671">
        <v>97.030049202491597</v>
      </c>
      <c r="B2671">
        <v>65.261700521781407</v>
      </c>
      <c r="C2671">
        <v>2000</v>
      </c>
    </row>
    <row r="2672" spans="1:11" x14ac:dyDescent="0.25">
      <c r="A2672">
        <v>93.843937685640498</v>
      </c>
      <c r="B2672">
        <v>62.075589004930301</v>
      </c>
      <c r="C2672">
        <v>2000</v>
      </c>
    </row>
    <row r="2673" spans="1:11" x14ac:dyDescent="0.25">
      <c r="A2673">
        <v>93.843937685640498</v>
      </c>
      <c r="B2673">
        <v>61.201556956032597</v>
      </c>
      <c r="C2673">
        <v>2001</v>
      </c>
    </row>
    <row r="2674" spans="1:11" x14ac:dyDescent="0.25">
      <c r="A2674">
        <v>97.161710712688802</v>
      </c>
      <c r="B2674">
        <v>64.519329983080894</v>
      </c>
      <c r="C2674">
        <v>2001</v>
      </c>
    </row>
    <row r="2675" spans="1:11" x14ac:dyDescent="0.25">
      <c r="A2675">
        <v>100.124620364292</v>
      </c>
      <c r="B2675">
        <v>67.482239634684504</v>
      </c>
      <c r="C2675">
        <v>2001</v>
      </c>
    </row>
    <row r="2676" spans="1:11" x14ac:dyDescent="0.25">
      <c r="A2676">
        <v>103.85474027314</v>
      </c>
      <c r="B2676">
        <v>71.212359543532003</v>
      </c>
      <c r="C2676">
        <v>2001</v>
      </c>
    </row>
    <row r="2677" spans="1:11" x14ac:dyDescent="0.25">
      <c r="A2677">
        <v>103.85474027314</v>
      </c>
      <c r="B2677">
        <v>72.086391592429607</v>
      </c>
      <c r="C2677">
        <v>2000</v>
      </c>
    </row>
    <row r="2678" spans="1:11" x14ac:dyDescent="0.25">
      <c r="A2678">
        <v>99.875379635707603</v>
      </c>
      <c r="B2678">
        <v>68.107030954997398</v>
      </c>
      <c r="C2678">
        <v>2000</v>
      </c>
    </row>
    <row r="2679" spans="1:11" x14ac:dyDescent="0.25">
      <c r="A2679" t="s">
        <v>87</v>
      </c>
    </row>
    <row r="2680" spans="1:11" x14ac:dyDescent="0.25">
      <c r="A2680">
        <v>972</v>
      </c>
      <c r="B2680">
        <v>1</v>
      </c>
      <c r="C2680">
        <v>5.4527567604423801</v>
      </c>
      <c r="D2680">
        <v>8.7017385780853491</v>
      </c>
      <c r="E2680">
        <v>8</v>
      </c>
      <c r="F2680">
        <v>1.01722196789785</v>
      </c>
      <c r="G2680" t="s">
        <v>85</v>
      </c>
      <c r="H2680" t="s">
        <v>88</v>
      </c>
      <c r="I2680">
        <v>421</v>
      </c>
      <c r="J2680">
        <v>0</v>
      </c>
      <c r="K2680">
        <v>9.2813824447879903E-2</v>
      </c>
    </row>
    <row r="2681" spans="1:11" x14ac:dyDescent="0.25">
      <c r="A2681" t="s">
        <v>86</v>
      </c>
    </row>
    <row r="2682" spans="1:11" x14ac:dyDescent="0.25">
      <c r="A2682">
        <v>102.257276608079</v>
      </c>
      <c r="B2682">
        <v>6.4043593219390598</v>
      </c>
      <c r="C2682">
        <v>2000</v>
      </c>
    </row>
    <row r="2683" spans="1:11" x14ac:dyDescent="0.25">
      <c r="A2683">
        <v>100.10110909794599</v>
      </c>
      <c r="B2683">
        <v>8.5605268320720107</v>
      </c>
      <c r="C2683">
        <v>2000</v>
      </c>
    </row>
    <row r="2684" spans="1:11" x14ac:dyDescent="0.25">
      <c r="A2684">
        <v>98.215880267422605</v>
      </c>
      <c r="B2684">
        <v>10.4457556625952</v>
      </c>
      <c r="C2684">
        <v>2000</v>
      </c>
    </row>
    <row r="2685" spans="1:11" x14ac:dyDescent="0.25">
      <c r="A2685">
        <v>98.215880267422605</v>
      </c>
      <c r="B2685">
        <v>9.5717236136975501</v>
      </c>
      <c r="C2685">
        <v>2001</v>
      </c>
    </row>
    <row r="2686" spans="1:11" x14ac:dyDescent="0.25">
      <c r="A2686">
        <v>99.898890902054205</v>
      </c>
      <c r="B2686">
        <v>7.8887129790659403</v>
      </c>
      <c r="C2686">
        <v>2001</v>
      </c>
    </row>
    <row r="2687" spans="1:11" x14ac:dyDescent="0.25">
      <c r="A2687">
        <v>101.885846489706</v>
      </c>
      <c r="B2687">
        <v>5.9017573914144403</v>
      </c>
      <c r="C2687">
        <v>2001</v>
      </c>
    </row>
    <row r="2688" spans="1:11" x14ac:dyDescent="0.25">
      <c r="A2688">
        <v>107.78760388112001</v>
      </c>
      <c r="B2688">
        <v>0</v>
      </c>
      <c r="C2688">
        <v>2001</v>
      </c>
    </row>
    <row r="2689" spans="1:11" x14ac:dyDescent="0.25">
      <c r="A2689">
        <v>108.66163593001799</v>
      </c>
      <c r="B2689">
        <v>0</v>
      </c>
      <c r="C2689">
        <v>2000</v>
      </c>
    </row>
    <row r="2690" spans="1:11" x14ac:dyDescent="0.25">
      <c r="A2690" t="s">
        <v>87</v>
      </c>
    </row>
    <row r="2691" spans="1:11" x14ac:dyDescent="0.25">
      <c r="A2691">
        <v>769</v>
      </c>
      <c r="B2691">
        <v>0</v>
      </c>
      <c r="C2691">
        <v>9.3123918693436902</v>
      </c>
      <c r="D2691">
        <v>4.78577661140615</v>
      </c>
      <c r="E2691">
        <v>6</v>
      </c>
      <c r="F2691">
        <v>1.01722196789785</v>
      </c>
      <c r="G2691" t="s">
        <v>89</v>
      </c>
      <c r="H2691" t="s">
        <v>89</v>
      </c>
      <c r="I2691">
        <v>3</v>
      </c>
      <c r="J2691">
        <v>35</v>
      </c>
      <c r="K2691">
        <v>8.8543832116719706E-2</v>
      </c>
    </row>
    <row r="2692" spans="1:11" x14ac:dyDescent="0.25">
      <c r="A2692" t="s">
        <v>86</v>
      </c>
    </row>
    <row r="2693" spans="1:11" x14ac:dyDescent="0.25">
      <c r="A2693">
        <v>35.012064393610899</v>
      </c>
      <c r="B2693">
        <v>31.661955150156999</v>
      </c>
      <c r="C2693">
        <v>2000</v>
      </c>
    </row>
    <row r="2694" spans="1:11" x14ac:dyDescent="0.25">
      <c r="A2694">
        <v>28.427208953731501</v>
      </c>
      <c r="B2694">
        <v>25.077099710277601</v>
      </c>
      <c r="C2694">
        <v>2000</v>
      </c>
    </row>
    <row r="2695" spans="1:11" x14ac:dyDescent="0.25">
      <c r="A2695">
        <v>27.990192929282699</v>
      </c>
      <c r="B2695">
        <v>25.514115734726399</v>
      </c>
      <c r="C2695">
        <v>2001</v>
      </c>
    </row>
    <row r="2696" spans="1:11" x14ac:dyDescent="0.25">
      <c r="A2696">
        <v>34.575048369162097</v>
      </c>
      <c r="B2696">
        <v>32.098971174605801</v>
      </c>
      <c r="C2696">
        <v>2001</v>
      </c>
    </row>
    <row r="2697" spans="1:11" x14ac:dyDescent="0.25">
      <c r="A2697">
        <v>37.959103464331299</v>
      </c>
      <c r="B2697">
        <v>35.483026269775102</v>
      </c>
      <c r="C2697">
        <v>2001</v>
      </c>
    </row>
    <row r="2698" spans="1:11" x14ac:dyDescent="0.25">
      <c r="A2698">
        <v>38.396119488780201</v>
      </c>
      <c r="B2698">
        <v>35.0460102453263</v>
      </c>
      <c r="C2698">
        <v>2000</v>
      </c>
    </row>
    <row r="2699" spans="1:11" x14ac:dyDescent="0.25">
      <c r="A2699" t="s">
        <v>87</v>
      </c>
    </row>
    <row r="2700" spans="1:11" x14ac:dyDescent="0.25">
      <c r="A2700">
        <v>181</v>
      </c>
      <c r="B2700">
        <v>0</v>
      </c>
      <c r="C2700">
        <v>8.73619254016063</v>
      </c>
      <c r="D2700">
        <v>5.3610944277783696</v>
      </c>
      <c r="E2700">
        <v>6</v>
      </c>
      <c r="F2700">
        <v>1.01722196789785</v>
      </c>
      <c r="G2700" t="s">
        <v>85</v>
      </c>
      <c r="H2700" t="s">
        <v>85</v>
      </c>
      <c r="I2700">
        <v>237</v>
      </c>
      <c r="J2700">
        <v>227</v>
      </c>
      <c r="K2700">
        <v>0</v>
      </c>
    </row>
    <row r="2701" spans="1:11" x14ac:dyDescent="0.25">
      <c r="A2701" t="s">
        <v>86</v>
      </c>
    </row>
    <row r="2702" spans="1:11" x14ac:dyDescent="0.25">
      <c r="A2702">
        <v>72.1970012728668</v>
      </c>
      <c r="B2702">
        <v>138.502958704923</v>
      </c>
      <c r="C2702">
        <v>2000</v>
      </c>
    </row>
    <row r="2703" spans="1:11" x14ac:dyDescent="0.25">
      <c r="A2703">
        <v>66.290402334309704</v>
      </c>
      <c r="B2703">
        <v>132.59635976636599</v>
      </c>
      <c r="C2703">
        <v>2000</v>
      </c>
    </row>
    <row r="2704" spans="1:11" x14ac:dyDescent="0.25">
      <c r="A2704">
        <v>65.4163702854121</v>
      </c>
      <c r="B2704">
        <v>132.59635976636599</v>
      </c>
      <c r="C2704">
        <v>2001</v>
      </c>
    </row>
    <row r="2705" spans="1:11" x14ac:dyDescent="0.25">
      <c r="A2705">
        <v>71.864613320652893</v>
      </c>
      <c r="B2705">
        <v>139.044602801607</v>
      </c>
      <c r="C2705">
        <v>2001</v>
      </c>
    </row>
    <row r="2706" spans="1:11" x14ac:dyDescent="0.25">
      <c r="A2706">
        <v>75.821673521223303</v>
      </c>
      <c r="B2706">
        <v>143.001663002177</v>
      </c>
      <c r="C2706">
        <v>2001</v>
      </c>
    </row>
    <row r="2707" spans="1:11" x14ac:dyDescent="0.25">
      <c r="A2707">
        <v>75.821673521223303</v>
      </c>
      <c r="B2707">
        <v>142.12763095328</v>
      </c>
      <c r="C2707">
        <v>2000</v>
      </c>
    </row>
    <row r="2708" spans="1:11" x14ac:dyDescent="0.25">
      <c r="A2708" t="s">
        <v>87</v>
      </c>
    </row>
    <row r="2709" spans="1:11" x14ac:dyDescent="0.25">
      <c r="A2709">
        <v>783</v>
      </c>
      <c r="B2709">
        <v>0</v>
      </c>
      <c r="C2709">
        <v>7.8492056499981997</v>
      </c>
      <c r="D2709">
        <v>6.2391470989132101</v>
      </c>
      <c r="E2709">
        <v>6</v>
      </c>
      <c r="F2709">
        <v>1.01722196789785</v>
      </c>
      <c r="G2709" t="s">
        <v>89</v>
      </c>
      <c r="H2709" t="s">
        <v>89</v>
      </c>
      <c r="I2709">
        <v>587</v>
      </c>
      <c r="J2709">
        <v>574</v>
      </c>
      <c r="K2709">
        <v>8.9537010595109504E-2</v>
      </c>
    </row>
    <row r="2710" spans="1:11" x14ac:dyDescent="0.25">
      <c r="A2710" t="s">
        <v>86</v>
      </c>
    </row>
    <row r="2711" spans="1:11" x14ac:dyDescent="0.25">
      <c r="A2711">
        <v>127.50308513385799</v>
      </c>
      <c r="B2711">
        <v>72.169941479880507</v>
      </c>
      <c r="C2711">
        <v>2000</v>
      </c>
    </row>
    <row r="2712" spans="1:11" x14ac:dyDescent="0.25">
      <c r="A2712">
        <v>121.95285859181701</v>
      </c>
      <c r="B2712">
        <v>66.619714937839007</v>
      </c>
      <c r="C2712">
        <v>2000</v>
      </c>
    </row>
    <row r="2713" spans="1:11" x14ac:dyDescent="0.25">
      <c r="A2713">
        <v>122.389874616266</v>
      </c>
      <c r="B2713">
        <v>66.182698913390198</v>
      </c>
      <c r="C2713">
        <v>2001</v>
      </c>
    </row>
    <row r="2714" spans="1:11" x14ac:dyDescent="0.25">
      <c r="A2714">
        <v>127.940101158307</v>
      </c>
      <c r="B2714">
        <v>71.732925455431698</v>
      </c>
      <c r="C2714">
        <v>2001</v>
      </c>
    </row>
    <row r="2715" spans="1:11" x14ac:dyDescent="0.25">
      <c r="A2715">
        <v>132.35184438076899</v>
      </c>
      <c r="B2715">
        <v>76.144668677893605</v>
      </c>
      <c r="C2715">
        <v>2001</v>
      </c>
    </row>
    <row r="2716" spans="1:11" x14ac:dyDescent="0.25">
      <c r="A2716">
        <v>131.91482835631999</v>
      </c>
      <c r="B2716">
        <v>76.5816847023424</v>
      </c>
      <c r="C2716">
        <v>2000</v>
      </c>
    </row>
    <row r="2717" spans="1:11" x14ac:dyDescent="0.25">
      <c r="A2717" t="s">
        <v>87</v>
      </c>
    </row>
    <row r="2718" spans="1:11" x14ac:dyDescent="0.25">
      <c r="A2718">
        <v>794</v>
      </c>
      <c r="B2718">
        <v>1</v>
      </c>
      <c r="C2718">
        <v>1.7046667435357701</v>
      </c>
      <c r="D2718">
        <v>12.3738144158342</v>
      </c>
      <c r="E2718">
        <v>6</v>
      </c>
      <c r="F2718">
        <v>1.01722196789785</v>
      </c>
      <c r="G2718" t="s">
        <v>85</v>
      </c>
      <c r="H2718" t="s">
        <v>85</v>
      </c>
      <c r="I2718">
        <v>265</v>
      </c>
      <c r="J2718">
        <v>270</v>
      </c>
      <c r="K2718">
        <v>8.9816640118045604E-2</v>
      </c>
    </row>
    <row r="2719" spans="1:11" x14ac:dyDescent="0.25">
      <c r="A2719" t="s">
        <v>86</v>
      </c>
    </row>
    <row r="2720" spans="1:11" x14ac:dyDescent="0.25">
      <c r="A2720">
        <v>4.9833058099473702</v>
      </c>
      <c r="B2720">
        <v>137.23565664531401</v>
      </c>
      <c r="C2720">
        <v>2000</v>
      </c>
    </row>
    <row r="2721" spans="1:11" x14ac:dyDescent="0.25">
      <c r="A2721">
        <v>3.7250091222696899</v>
      </c>
      <c r="B2721">
        <v>138.49395333299199</v>
      </c>
      <c r="C2721">
        <v>2000</v>
      </c>
    </row>
    <row r="2722" spans="1:11" x14ac:dyDescent="0.25">
      <c r="A2722">
        <v>3.7250091222696899</v>
      </c>
      <c r="B2722">
        <v>137.619921284094</v>
      </c>
      <c r="C2722">
        <v>2001</v>
      </c>
    </row>
    <row r="2723" spans="1:11" x14ac:dyDescent="0.25">
      <c r="A2723">
        <v>4.8774752626266702</v>
      </c>
      <c r="B2723">
        <v>136.467455143737</v>
      </c>
      <c r="C2723">
        <v>2001</v>
      </c>
    </row>
    <row r="2724" spans="1:11" x14ac:dyDescent="0.25">
      <c r="A2724">
        <v>13.2429825944184</v>
      </c>
      <c r="B2724">
        <v>128.101947811945</v>
      </c>
      <c r="C2724">
        <v>2001</v>
      </c>
    </row>
    <row r="2725" spans="1:11" x14ac:dyDescent="0.25">
      <c r="A2725">
        <v>14.1170146433161</v>
      </c>
      <c r="B2725">
        <v>128.101947811945</v>
      </c>
      <c r="C2725">
        <v>2000</v>
      </c>
    </row>
    <row r="2726" spans="1:11" x14ac:dyDescent="0.25">
      <c r="A2726" t="s">
        <v>87</v>
      </c>
    </row>
    <row r="2727" spans="1:11" x14ac:dyDescent="0.25">
      <c r="A2727">
        <v>541</v>
      </c>
      <c r="B2727">
        <v>1</v>
      </c>
      <c r="C2727">
        <v>10.2961272857239</v>
      </c>
      <c r="D2727">
        <v>3.7184636470583299</v>
      </c>
      <c r="E2727">
        <v>6</v>
      </c>
      <c r="F2727">
        <v>1.01722196789785</v>
      </c>
      <c r="G2727" t="s">
        <v>85</v>
      </c>
      <c r="H2727" t="s">
        <v>85</v>
      </c>
      <c r="I2727">
        <v>835</v>
      </c>
      <c r="J2727">
        <v>791</v>
      </c>
      <c r="K2727">
        <v>0</v>
      </c>
    </row>
    <row r="2728" spans="1:11" x14ac:dyDescent="0.25">
      <c r="A2728" t="s">
        <v>86</v>
      </c>
    </row>
    <row r="2729" spans="1:11" x14ac:dyDescent="0.25">
      <c r="A2729">
        <v>136.96181126434001</v>
      </c>
      <c r="B2729">
        <v>117.73388377858601</v>
      </c>
      <c r="C2729">
        <v>2000</v>
      </c>
    </row>
    <row r="2730" spans="1:11" x14ac:dyDescent="0.25">
      <c r="A2730">
        <v>130.00241326912499</v>
      </c>
      <c r="B2730">
        <v>124.693281773801</v>
      </c>
      <c r="C2730">
        <v>2000</v>
      </c>
    </row>
    <row r="2731" spans="1:11" x14ac:dyDescent="0.25">
      <c r="A2731">
        <v>129.128381220227</v>
      </c>
      <c r="B2731">
        <v>124.693281773801</v>
      </c>
      <c r="C2731">
        <v>2001</v>
      </c>
    </row>
    <row r="2732" spans="1:11" x14ac:dyDescent="0.25">
      <c r="A2732">
        <v>136.729906072402</v>
      </c>
      <c r="B2732">
        <v>117.09175692162501</v>
      </c>
      <c r="C2732">
        <v>2001</v>
      </c>
    </row>
    <row r="2733" spans="1:11" x14ac:dyDescent="0.25">
      <c r="A2733">
        <v>139.475209528802</v>
      </c>
      <c r="B2733">
        <v>114.34645346522601</v>
      </c>
      <c r="C2733">
        <v>2001</v>
      </c>
    </row>
    <row r="2734" spans="1:11" x14ac:dyDescent="0.25">
      <c r="A2734">
        <v>139.475209528802</v>
      </c>
      <c r="B2734">
        <v>115.22048551412399</v>
      </c>
      <c r="C2734">
        <v>2000</v>
      </c>
    </row>
    <row r="2735" spans="1:11" x14ac:dyDescent="0.25">
      <c r="A2735" t="s">
        <v>87</v>
      </c>
    </row>
    <row r="2736" spans="1:11" x14ac:dyDescent="0.25">
      <c r="A2736">
        <v>1066</v>
      </c>
      <c r="B2736">
        <v>1</v>
      </c>
      <c r="C2736">
        <v>10.666625907812801</v>
      </c>
      <c r="D2736">
        <v>3.34705048774727</v>
      </c>
      <c r="E2736">
        <v>8</v>
      </c>
      <c r="F2736">
        <v>1.01722196789785</v>
      </c>
      <c r="G2736" t="s">
        <v>89</v>
      </c>
      <c r="H2736" t="s">
        <v>85</v>
      </c>
      <c r="I2736">
        <v>361</v>
      </c>
      <c r="J2736">
        <v>894</v>
      </c>
      <c r="K2736">
        <v>9.4226499478247905E-2</v>
      </c>
    </row>
    <row r="2737" spans="1:11" x14ac:dyDescent="0.25">
      <c r="A2737" t="s">
        <v>86</v>
      </c>
    </row>
    <row r="2738" spans="1:11" x14ac:dyDescent="0.25">
      <c r="A2738">
        <v>37.604069848273298</v>
      </c>
      <c r="B2738">
        <v>49.981724039739099</v>
      </c>
      <c r="C2738">
        <v>2000</v>
      </c>
    </row>
    <row r="2739" spans="1:11" x14ac:dyDescent="0.25">
      <c r="A2739">
        <v>30.041893523676102</v>
      </c>
      <c r="B2739">
        <v>57.543900364336302</v>
      </c>
      <c r="C2739">
        <v>2000</v>
      </c>
    </row>
    <row r="2740" spans="1:11" x14ac:dyDescent="0.25">
      <c r="A2740">
        <v>30.4789095481249</v>
      </c>
      <c r="B2740">
        <v>57.980916388785197</v>
      </c>
      <c r="C2740">
        <v>2001</v>
      </c>
    </row>
    <row r="2741" spans="1:11" x14ac:dyDescent="0.25">
      <c r="A2741">
        <v>38.001620247116797</v>
      </c>
      <c r="B2741">
        <v>50.458205689793303</v>
      </c>
      <c r="C2741">
        <v>2001</v>
      </c>
    </row>
    <row r="2742" spans="1:11" x14ac:dyDescent="0.25">
      <c r="A2742">
        <v>38.221009631868696</v>
      </c>
      <c r="B2742">
        <v>50.238816305041297</v>
      </c>
      <c r="C2742">
        <v>2001</v>
      </c>
    </row>
    <row r="2743" spans="1:11" x14ac:dyDescent="0.25">
      <c r="A2743">
        <v>40.169567144554797</v>
      </c>
      <c r="B2743">
        <v>48.290258792355203</v>
      </c>
      <c r="C2743">
        <v>2001</v>
      </c>
    </row>
    <row r="2744" spans="1:11" x14ac:dyDescent="0.25">
      <c r="A2744">
        <v>40.169567144554797</v>
      </c>
      <c r="B2744">
        <v>47.416226743457599</v>
      </c>
      <c r="C2744">
        <v>2000</v>
      </c>
    </row>
    <row r="2745" spans="1:11" x14ac:dyDescent="0.25">
      <c r="A2745">
        <v>37.824610193053701</v>
      </c>
      <c r="B2745">
        <v>49.761183694958703</v>
      </c>
      <c r="C2745">
        <v>2000</v>
      </c>
    </row>
    <row r="2746" spans="1:11" x14ac:dyDescent="0.25">
      <c r="A2746" t="s">
        <v>87</v>
      </c>
    </row>
    <row r="2747" spans="1:11" x14ac:dyDescent="0.25">
      <c r="A2747">
        <v>999</v>
      </c>
      <c r="B2747">
        <v>0</v>
      </c>
      <c r="C2747">
        <v>12.7741320978944</v>
      </c>
      <c r="D2747">
        <v>1.2329468341454199</v>
      </c>
      <c r="E2747">
        <v>6</v>
      </c>
      <c r="F2747">
        <v>1.01722196789785</v>
      </c>
      <c r="G2747" t="s">
        <v>85</v>
      </c>
      <c r="H2747" t="s">
        <v>85</v>
      </c>
      <c r="I2747">
        <v>394</v>
      </c>
      <c r="J2747">
        <v>796</v>
      </c>
      <c r="K2747">
        <v>9.3237811683927099E-2</v>
      </c>
    </row>
    <row r="2748" spans="1:11" x14ac:dyDescent="0.25">
      <c r="A2748" t="s">
        <v>86</v>
      </c>
    </row>
    <row r="2749" spans="1:11" x14ac:dyDescent="0.25">
      <c r="A2749">
        <v>27.8682984102965</v>
      </c>
      <c r="B2749">
        <v>85.658052738525498</v>
      </c>
      <c r="C2749">
        <v>2000</v>
      </c>
    </row>
    <row r="2750" spans="1:11" x14ac:dyDescent="0.25">
      <c r="A2750">
        <v>18.437074471002902</v>
      </c>
      <c r="B2750">
        <v>76.226828799231896</v>
      </c>
      <c r="C2750">
        <v>2000</v>
      </c>
    </row>
    <row r="2751" spans="1:11" x14ac:dyDescent="0.25">
      <c r="A2751">
        <v>18.437074471002902</v>
      </c>
      <c r="B2751">
        <v>77.100860848129599</v>
      </c>
      <c r="C2751">
        <v>2001</v>
      </c>
    </row>
    <row r="2752" spans="1:11" x14ac:dyDescent="0.25">
      <c r="A2752">
        <v>27.071201392097201</v>
      </c>
      <c r="B2752">
        <v>85.734987769223807</v>
      </c>
      <c r="C2752">
        <v>2001</v>
      </c>
    </row>
    <row r="2753" spans="1:11" x14ac:dyDescent="0.25">
      <c r="A2753">
        <v>27.904558944014699</v>
      </c>
      <c r="B2753">
        <v>86.568345321141393</v>
      </c>
      <c r="C2753">
        <v>2001</v>
      </c>
    </row>
    <row r="2754" spans="1:11" x14ac:dyDescent="0.25">
      <c r="A2754">
        <v>28.778590992912299</v>
      </c>
      <c r="B2754">
        <v>86.568345321141393</v>
      </c>
      <c r="C2754">
        <v>2000</v>
      </c>
    </row>
    <row r="2755" spans="1:11" x14ac:dyDescent="0.25">
      <c r="A2755" t="s">
        <v>87</v>
      </c>
    </row>
    <row r="2756" spans="1:11" x14ac:dyDescent="0.25">
      <c r="A2756">
        <v>919</v>
      </c>
      <c r="B2756">
        <v>1</v>
      </c>
      <c r="C2756">
        <v>2.05482849046453</v>
      </c>
      <c r="D2756">
        <v>11.9459102220037</v>
      </c>
      <c r="E2756">
        <v>8</v>
      </c>
      <c r="F2756">
        <v>1.01722196789785</v>
      </c>
      <c r="G2756" t="s">
        <v>85</v>
      </c>
      <c r="H2756" t="s">
        <v>85</v>
      </c>
      <c r="I2756">
        <v>192</v>
      </c>
      <c r="J2756">
        <v>506</v>
      </c>
      <c r="K2756">
        <v>9.1907793175489E-2</v>
      </c>
    </row>
    <row r="2757" spans="1:11" x14ac:dyDescent="0.25">
      <c r="A2757" t="s">
        <v>86</v>
      </c>
    </row>
    <row r="2758" spans="1:11" x14ac:dyDescent="0.25">
      <c r="A2758">
        <v>99.220515257790893</v>
      </c>
      <c r="B2758">
        <v>112.311465160582</v>
      </c>
      <c r="C2758">
        <v>2000</v>
      </c>
    </row>
    <row r="2759" spans="1:11" x14ac:dyDescent="0.25">
      <c r="A2759">
        <v>97.646980650092999</v>
      </c>
      <c r="B2759">
        <v>113.88499976828</v>
      </c>
      <c r="C2759">
        <v>2000</v>
      </c>
    </row>
    <row r="2760" spans="1:11" x14ac:dyDescent="0.25">
      <c r="A2760">
        <v>97.646980650092999</v>
      </c>
      <c r="B2760">
        <v>113.010967719383</v>
      </c>
      <c r="C2760">
        <v>2001</v>
      </c>
    </row>
    <row r="2761" spans="1:11" x14ac:dyDescent="0.25">
      <c r="A2761">
        <v>98.979412361960698</v>
      </c>
      <c r="B2761">
        <v>111.67853600751501</v>
      </c>
      <c r="C2761">
        <v>2001</v>
      </c>
    </row>
    <row r="2762" spans="1:11" x14ac:dyDescent="0.25">
      <c r="A2762">
        <v>99.804774138162799</v>
      </c>
      <c r="B2762">
        <v>110.85317423131301</v>
      </c>
      <c r="C2762">
        <v>2001</v>
      </c>
    </row>
    <row r="2763" spans="1:11" x14ac:dyDescent="0.25">
      <c r="A2763">
        <v>107.5469979353</v>
      </c>
      <c r="B2763">
        <v>103.110950434175</v>
      </c>
      <c r="C2763">
        <v>2001</v>
      </c>
    </row>
    <row r="2764" spans="1:11" x14ac:dyDescent="0.25">
      <c r="A2764">
        <v>107.5469979353</v>
      </c>
      <c r="B2764">
        <v>103.984982483073</v>
      </c>
      <c r="C2764">
        <v>2000</v>
      </c>
    </row>
    <row r="2765" spans="1:11" x14ac:dyDescent="0.25">
      <c r="A2765">
        <v>100.195225861837</v>
      </c>
      <c r="B2765">
        <v>111.33675455653599</v>
      </c>
      <c r="C2765">
        <v>2000</v>
      </c>
    </row>
    <row r="2766" spans="1:11" x14ac:dyDescent="0.25">
      <c r="A2766" t="s">
        <v>87</v>
      </c>
    </row>
    <row r="2767" spans="1:11" x14ac:dyDescent="0.25">
      <c r="A2767">
        <v>661</v>
      </c>
      <c r="B2767">
        <v>0</v>
      </c>
      <c r="C2767">
        <v>7.5199354793701501</v>
      </c>
      <c r="D2767">
        <v>6.4436725674780204</v>
      </c>
      <c r="E2767">
        <v>8</v>
      </c>
      <c r="F2767">
        <v>1.01722196789785</v>
      </c>
      <c r="G2767" t="s">
        <v>85</v>
      </c>
      <c r="H2767" t="s">
        <v>89</v>
      </c>
      <c r="I2767">
        <v>461</v>
      </c>
      <c r="J2767">
        <v>563</v>
      </c>
      <c r="K2767">
        <v>0</v>
      </c>
    </row>
    <row r="2768" spans="1:11" x14ac:dyDescent="0.25">
      <c r="A2768" t="s">
        <v>86</v>
      </c>
    </row>
    <row r="2769" spans="1:11" x14ac:dyDescent="0.25">
      <c r="A2769">
        <v>99.452920219666098</v>
      </c>
      <c r="B2769">
        <v>56.116966921941497</v>
      </c>
      <c r="C2769">
        <v>2000</v>
      </c>
    </row>
    <row r="2770" spans="1:11" x14ac:dyDescent="0.25">
      <c r="A2770">
        <v>94.340834740708004</v>
      </c>
      <c r="B2770">
        <v>51.004881442983503</v>
      </c>
      <c r="C2770">
        <v>2000</v>
      </c>
    </row>
    <row r="2771" spans="1:11" x14ac:dyDescent="0.25">
      <c r="A2771">
        <v>94.340834740708004</v>
      </c>
      <c r="B2771">
        <v>50.1308493940858</v>
      </c>
      <c r="C2771">
        <v>2001</v>
      </c>
    </row>
    <row r="2772" spans="1:11" x14ac:dyDescent="0.25">
      <c r="A2772">
        <v>99.863544004845906</v>
      </c>
      <c r="B2772">
        <v>55.653558658223702</v>
      </c>
      <c r="C2772">
        <v>2001</v>
      </c>
    </row>
    <row r="2773" spans="1:11" x14ac:dyDescent="0.25">
      <c r="A2773">
        <v>100.21850801222401</v>
      </c>
      <c r="B2773">
        <v>56.0085226656022</v>
      </c>
      <c r="C2773">
        <v>2001</v>
      </c>
    </row>
    <row r="2774" spans="1:11" x14ac:dyDescent="0.25">
      <c r="A2774">
        <v>104.43310469268999</v>
      </c>
      <c r="B2774">
        <v>60.223119346067598</v>
      </c>
      <c r="C2774">
        <v>2001</v>
      </c>
    </row>
    <row r="2775" spans="1:11" x14ac:dyDescent="0.25">
      <c r="A2775">
        <v>103.996088668241</v>
      </c>
      <c r="B2775">
        <v>60.6601353705165</v>
      </c>
      <c r="C2775">
        <v>2000</v>
      </c>
    </row>
    <row r="2776" spans="1:11" x14ac:dyDescent="0.25">
      <c r="A2776">
        <v>99.781491987775595</v>
      </c>
      <c r="B2776">
        <v>56.445538690051002</v>
      </c>
      <c r="C2776">
        <v>2000</v>
      </c>
    </row>
    <row r="2777" spans="1:11" x14ac:dyDescent="0.25">
      <c r="A2777" t="s">
        <v>87</v>
      </c>
    </row>
    <row r="2778" spans="1:11" x14ac:dyDescent="0.25">
      <c r="A2778">
        <v>436</v>
      </c>
      <c r="B2778">
        <v>0</v>
      </c>
      <c r="C2778">
        <v>4.0574787214672101</v>
      </c>
      <c r="D2778">
        <v>9.9011097015754395</v>
      </c>
      <c r="E2778">
        <v>6</v>
      </c>
      <c r="F2778">
        <v>1.01722196789785</v>
      </c>
      <c r="G2778" t="s">
        <v>85</v>
      </c>
      <c r="H2778" t="s">
        <v>85</v>
      </c>
      <c r="I2778">
        <v>768</v>
      </c>
      <c r="J2778">
        <v>467</v>
      </c>
      <c r="K2778">
        <v>0</v>
      </c>
    </row>
    <row r="2779" spans="1:11" x14ac:dyDescent="0.25">
      <c r="A2779" t="s">
        <v>86</v>
      </c>
    </row>
    <row r="2780" spans="1:11" x14ac:dyDescent="0.25">
      <c r="A2780">
        <v>64.435238142287403</v>
      </c>
      <c r="B2780">
        <v>15.314497627508</v>
      </c>
      <c r="C2780">
        <v>2000</v>
      </c>
    </row>
    <row r="2781" spans="1:11" x14ac:dyDescent="0.25">
      <c r="A2781">
        <v>61.693199124044398</v>
      </c>
      <c r="B2781">
        <v>12.572458609264901</v>
      </c>
      <c r="C2781">
        <v>2000</v>
      </c>
    </row>
    <row r="2782" spans="1:11" x14ac:dyDescent="0.25">
      <c r="A2782">
        <v>61.693199124044398</v>
      </c>
      <c r="B2782">
        <v>11.698426560367301</v>
      </c>
      <c r="C2782">
        <v>2001</v>
      </c>
    </row>
    <row r="2783" spans="1:11" x14ac:dyDescent="0.25">
      <c r="A2783">
        <v>64.689301542740495</v>
      </c>
      <c r="B2783">
        <v>14.694528979063399</v>
      </c>
      <c r="C2783">
        <v>2001</v>
      </c>
    </row>
    <row r="2784" spans="1:11" x14ac:dyDescent="0.25">
      <c r="A2784">
        <v>72.000427678218699</v>
      </c>
      <c r="B2784">
        <v>22.0056551145416</v>
      </c>
      <c r="C2784">
        <v>2001</v>
      </c>
    </row>
    <row r="2785" spans="1:11" x14ac:dyDescent="0.25">
      <c r="A2785">
        <v>71.126395629320996</v>
      </c>
      <c r="B2785">
        <v>22.0056551145416</v>
      </c>
      <c r="C2785">
        <v>2000</v>
      </c>
    </row>
    <row r="2786" spans="1:11" x14ac:dyDescent="0.25">
      <c r="A2786" t="s">
        <v>87</v>
      </c>
    </row>
    <row r="2787" spans="1:11" x14ac:dyDescent="0.25">
      <c r="A2787">
        <v>838</v>
      </c>
      <c r="B2787">
        <v>1</v>
      </c>
      <c r="C2787">
        <v>7.2946898298142697</v>
      </c>
      <c r="D2787">
        <v>6.6598806979379903</v>
      </c>
      <c r="E2787">
        <v>6</v>
      </c>
      <c r="F2787">
        <v>1.01722196789785</v>
      </c>
      <c r="G2787" t="s">
        <v>85</v>
      </c>
      <c r="H2787" t="s">
        <v>88</v>
      </c>
      <c r="I2787">
        <v>113</v>
      </c>
      <c r="J2787">
        <v>0</v>
      </c>
      <c r="K2787">
        <v>9.0374042336346896E-2</v>
      </c>
    </row>
    <row r="2788" spans="1:11" x14ac:dyDescent="0.25">
      <c r="A2788" t="s">
        <v>86</v>
      </c>
    </row>
    <row r="2789" spans="1:11" x14ac:dyDescent="0.25">
      <c r="A2789">
        <v>142.59902222317001</v>
      </c>
      <c r="B2789">
        <v>4.5006789667866602</v>
      </c>
      <c r="C2789">
        <v>2000</v>
      </c>
    </row>
    <row r="2790" spans="1:11" x14ac:dyDescent="0.25">
      <c r="A2790">
        <v>137.66934576568599</v>
      </c>
      <c r="B2790">
        <v>9.4303554242707595</v>
      </c>
      <c r="C2790">
        <v>2000</v>
      </c>
    </row>
    <row r="2791" spans="1:11" x14ac:dyDescent="0.25">
      <c r="A2791">
        <v>137.66934576568599</v>
      </c>
      <c r="B2791">
        <v>10.304387473168401</v>
      </c>
      <c r="C2791">
        <v>2001</v>
      </c>
    </row>
    <row r="2792" spans="1:11" x14ac:dyDescent="0.25">
      <c r="A2792">
        <v>143.055918598831</v>
      </c>
      <c r="B2792">
        <v>4.9178146400240603</v>
      </c>
      <c r="C2792">
        <v>2001</v>
      </c>
    </row>
    <row r="2793" spans="1:11" x14ac:dyDescent="0.25">
      <c r="A2793">
        <v>147.973733238855</v>
      </c>
      <c r="B2793">
        <v>0</v>
      </c>
      <c r="C2793">
        <v>2001</v>
      </c>
    </row>
    <row r="2794" spans="1:11" x14ac:dyDescent="0.25">
      <c r="A2794">
        <v>147.09970118995699</v>
      </c>
      <c r="B2794">
        <v>0</v>
      </c>
      <c r="C2794">
        <v>2000</v>
      </c>
    </row>
    <row r="2795" spans="1:11" x14ac:dyDescent="0.25">
      <c r="A2795" t="s">
        <v>87</v>
      </c>
    </row>
    <row r="2796" spans="1:11" x14ac:dyDescent="0.25">
      <c r="A2796">
        <v>263</v>
      </c>
      <c r="B2796">
        <v>0</v>
      </c>
      <c r="C2796">
        <v>0.97750576643164799</v>
      </c>
      <c r="D2796">
        <v>12.9556928188297</v>
      </c>
      <c r="E2796">
        <v>6</v>
      </c>
      <c r="F2796">
        <v>1.01722196789785</v>
      </c>
      <c r="G2796" t="s">
        <v>88</v>
      </c>
      <c r="H2796" t="s">
        <v>85</v>
      </c>
      <c r="I2796">
        <v>0</v>
      </c>
      <c r="J2796">
        <v>794</v>
      </c>
      <c r="K2796">
        <v>0</v>
      </c>
    </row>
    <row r="2797" spans="1:11" x14ac:dyDescent="0.25">
      <c r="A2797" t="s">
        <v>86</v>
      </c>
    </row>
    <row r="2798" spans="1:11" x14ac:dyDescent="0.25">
      <c r="A2798">
        <v>0.72186051221032099</v>
      </c>
      <c r="B2798">
        <v>122.36227251206</v>
      </c>
      <c r="C2798">
        <v>2000</v>
      </c>
    </row>
    <row r="2799" spans="1:11" x14ac:dyDescent="0.25">
      <c r="A2799">
        <v>0</v>
      </c>
      <c r="B2799">
        <v>121.64041199984899</v>
      </c>
      <c r="C2799">
        <v>2000</v>
      </c>
    </row>
    <row r="2800" spans="1:11" x14ac:dyDescent="0.25">
      <c r="A2800">
        <v>0</v>
      </c>
      <c r="B2800">
        <v>122.514444048747</v>
      </c>
      <c r="C2800">
        <v>2001</v>
      </c>
    </row>
    <row r="2801" spans="1:11" x14ac:dyDescent="0.25">
      <c r="A2801">
        <v>0.66054139997522499</v>
      </c>
      <c r="B2801">
        <v>123.174985448722</v>
      </c>
      <c r="C2801">
        <v>2001</v>
      </c>
    </row>
    <row r="2802" spans="1:11" x14ac:dyDescent="0.25">
      <c r="A2802">
        <v>9.4152431788083195</v>
      </c>
      <c r="B2802">
        <v>131.92968722755501</v>
      </c>
      <c r="C2802">
        <v>2001</v>
      </c>
    </row>
    <row r="2803" spans="1:11" x14ac:dyDescent="0.25">
      <c r="A2803">
        <v>10.289275227706</v>
      </c>
      <c r="B2803">
        <v>131.92968722755501</v>
      </c>
      <c r="C2803">
        <v>2000</v>
      </c>
    </row>
    <row r="2804" spans="1:11" x14ac:dyDescent="0.25">
      <c r="A2804" t="s">
        <v>87</v>
      </c>
    </row>
    <row r="2805" spans="1:11" x14ac:dyDescent="0.25">
      <c r="A2805">
        <v>308</v>
      </c>
      <c r="B2805">
        <v>1</v>
      </c>
      <c r="C2805">
        <v>6.9323138963566704</v>
      </c>
      <c r="D2805">
        <v>6.9644335949289804</v>
      </c>
      <c r="E2805">
        <v>6</v>
      </c>
      <c r="F2805">
        <v>1.01722196789785</v>
      </c>
      <c r="G2805" t="s">
        <v>89</v>
      </c>
      <c r="H2805" t="s">
        <v>85</v>
      </c>
      <c r="I2805">
        <v>315</v>
      </c>
      <c r="J2805">
        <v>861</v>
      </c>
      <c r="K2805">
        <v>0</v>
      </c>
    </row>
    <row r="2806" spans="1:11" x14ac:dyDescent="0.25">
      <c r="A2806" t="s">
        <v>86</v>
      </c>
    </row>
    <row r="2807" spans="1:11" x14ac:dyDescent="0.25">
      <c r="A2807">
        <v>29.1340747173933</v>
      </c>
      <c r="B2807">
        <v>104.80570220982</v>
      </c>
      <c r="C2807">
        <v>2000</v>
      </c>
    </row>
    <row r="2808" spans="1:11" x14ac:dyDescent="0.25">
      <c r="A2808">
        <v>24.1231870657865</v>
      </c>
      <c r="B2808">
        <v>109.816589861427</v>
      </c>
      <c r="C2808">
        <v>2000</v>
      </c>
    </row>
    <row r="2809" spans="1:11" x14ac:dyDescent="0.25">
      <c r="A2809">
        <v>24.560203090235301</v>
      </c>
      <c r="B2809">
        <v>110.253605885876</v>
      </c>
      <c r="C2809">
        <v>2001</v>
      </c>
    </row>
    <row r="2810" spans="1:11" x14ac:dyDescent="0.25">
      <c r="A2810">
        <v>29.353087769483501</v>
      </c>
      <c r="B2810">
        <v>105.46072120662799</v>
      </c>
      <c r="C2810">
        <v>2001</v>
      </c>
    </row>
    <row r="2811" spans="1:11" x14ac:dyDescent="0.25">
      <c r="A2811">
        <v>34.168179465536099</v>
      </c>
      <c r="B2811">
        <v>100.64562951057501</v>
      </c>
      <c r="C2811">
        <v>2001</v>
      </c>
    </row>
    <row r="2812" spans="1:11" x14ac:dyDescent="0.25">
      <c r="A2812">
        <v>34.168179465536099</v>
      </c>
      <c r="B2812">
        <v>99.771597461677501</v>
      </c>
      <c r="C2812">
        <v>2000</v>
      </c>
    </row>
    <row r="2813" spans="1:11" x14ac:dyDescent="0.25">
      <c r="A2813" t="s">
        <v>87</v>
      </c>
    </row>
    <row r="2814" spans="1:11" x14ac:dyDescent="0.25">
      <c r="A2814">
        <v>1008</v>
      </c>
      <c r="B2814">
        <v>0</v>
      </c>
      <c r="C2814">
        <v>8.9358913055336302</v>
      </c>
      <c r="D2814">
        <v>4.9426845853691503</v>
      </c>
      <c r="E2814">
        <v>6</v>
      </c>
      <c r="F2814">
        <v>1.01722196789785</v>
      </c>
      <c r="G2814" t="s">
        <v>85</v>
      </c>
      <c r="H2814" t="s">
        <v>85</v>
      </c>
      <c r="I2814">
        <v>810</v>
      </c>
      <c r="J2814">
        <v>64</v>
      </c>
      <c r="K2814">
        <v>9.3443328339296097E-2</v>
      </c>
    </row>
    <row r="2815" spans="1:11" x14ac:dyDescent="0.25">
      <c r="A2815" t="s">
        <v>86</v>
      </c>
    </row>
    <row r="2816" spans="1:11" x14ac:dyDescent="0.25">
      <c r="A2816">
        <v>27.180578955570802</v>
      </c>
      <c r="B2816">
        <v>31.6338298473019</v>
      </c>
      <c r="C2816">
        <v>2000</v>
      </c>
    </row>
    <row r="2817" spans="1:11" x14ac:dyDescent="0.25">
      <c r="A2817">
        <v>21.143327744744401</v>
      </c>
      <c r="B2817">
        <v>25.596578636475499</v>
      </c>
      <c r="C2817">
        <v>2000</v>
      </c>
    </row>
    <row r="2818" spans="1:11" x14ac:dyDescent="0.25">
      <c r="A2818">
        <v>21.143327744744401</v>
      </c>
      <c r="B2818">
        <v>24.722546587577899</v>
      </c>
      <c r="C2818">
        <v>2001</v>
      </c>
    </row>
    <row r="2819" spans="1:11" x14ac:dyDescent="0.25">
      <c r="A2819">
        <v>27.743335210095498</v>
      </c>
      <c r="B2819">
        <v>31.322554052929</v>
      </c>
      <c r="C2819">
        <v>2001</v>
      </c>
    </row>
    <row r="2820" spans="1:11" x14ac:dyDescent="0.25">
      <c r="A2820">
        <v>31.393978894862698</v>
      </c>
      <c r="B2820">
        <v>34.973197737696204</v>
      </c>
      <c r="C2820">
        <v>2001</v>
      </c>
    </row>
    <row r="2821" spans="1:11" x14ac:dyDescent="0.25">
      <c r="A2821">
        <v>30.519946845965102</v>
      </c>
      <c r="B2821">
        <v>34.973197737696204</v>
      </c>
      <c r="C2821">
        <v>2000</v>
      </c>
    </row>
    <row r="2822" spans="1:11" x14ac:dyDescent="0.25">
      <c r="A2822" t="s">
        <v>87</v>
      </c>
    </row>
    <row r="2823" spans="1:11" x14ac:dyDescent="0.25">
      <c r="A2823">
        <v>29</v>
      </c>
      <c r="B2823">
        <v>0</v>
      </c>
      <c r="C2823">
        <v>4.3516739481137598</v>
      </c>
      <c r="D2823">
        <v>9.5269019427890207</v>
      </c>
      <c r="E2823">
        <v>6</v>
      </c>
      <c r="F2823">
        <v>1.01722196789785</v>
      </c>
      <c r="G2823" t="s">
        <v>85</v>
      </c>
      <c r="H2823" t="s">
        <v>85</v>
      </c>
      <c r="I2823">
        <v>810</v>
      </c>
      <c r="J2823">
        <v>64</v>
      </c>
      <c r="K2823">
        <v>0</v>
      </c>
    </row>
    <row r="2824" spans="1:11" x14ac:dyDescent="0.25">
      <c r="A2824" t="s">
        <v>86</v>
      </c>
    </row>
    <row r="2825" spans="1:11" x14ac:dyDescent="0.25">
      <c r="A2825">
        <v>24.673821466713601</v>
      </c>
      <c r="B2825">
        <v>27.946225555004499</v>
      </c>
      <c r="C2825">
        <v>2000</v>
      </c>
    </row>
    <row r="2826" spans="1:11" x14ac:dyDescent="0.25">
      <c r="A2826">
        <v>21.733751146464499</v>
      </c>
      <c r="B2826">
        <v>25.0061552347555</v>
      </c>
      <c r="C2826">
        <v>2000</v>
      </c>
    </row>
    <row r="2827" spans="1:11" x14ac:dyDescent="0.25">
      <c r="A2827">
        <v>21.733751146464499</v>
      </c>
      <c r="B2827">
        <v>24.1321231858578</v>
      </c>
      <c r="C2827">
        <v>2001</v>
      </c>
    </row>
    <row r="2828" spans="1:11" x14ac:dyDescent="0.25">
      <c r="A2828">
        <v>24.947877142663501</v>
      </c>
      <c r="B2828">
        <v>27.346249182056901</v>
      </c>
      <c r="C2828">
        <v>2001</v>
      </c>
    </row>
    <row r="2829" spans="1:11" x14ac:dyDescent="0.25">
      <c r="A2829">
        <v>31.9844022965828</v>
      </c>
      <c r="B2829">
        <v>34.382774335976102</v>
      </c>
      <c r="C2829">
        <v>2001</v>
      </c>
    </row>
    <row r="2830" spans="1:11" x14ac:dyDescent="0.25">
      <c r="A2830">
        <v>31.1103702476852</v>
      </c>
      <c r="B2830">
        <v>34.382774335976102</v>
      </c>
      <c r="C2830">
        <v>2000</v>
      </c>
    </row>
    <row r="2831" spans="1:11" x14ac:dyDescent="0.25">
      <c r="A2831" t="s">
        <v>87</v>
      </c>
    </row>
    <row r="2832" spans="1:11" x14ac:dyDescent="0.25">
      <c r="A2832">
        <v>28</v>
      </c>
      <c r="B2832">
        <v>0</v>
      </c>
      <c r="C2832">
        <v>8.7224838660857493</v>
      </c>
      <c r="D2832">
        <v>5.1560920248170303</v>
      </c>
      <c r="E2832">
        <v>6</v>
      </c>
      <c r="F2832">
        <v>1.01722196789785</v>
      </c>
      <c r="G2832" t="s">
        <v>85</v>
      </c>
      <c r="H2832" t="s">
        <v>85</v>
      </c>
      <c r="I2832">
        <v>810</v>
      </c>
      <c r="J2832">
        <v>64</v>
      </c>
      <c r="K2832">
        <v>0</v>
      </c>
    </row>
    <row r="2833" spans="1:11" x14ac:dyDescent="0.25">
      <c r="A2833" t="s">
        <v>86</v>
      </c>
    </row>
    <row r="2834" spans="1:11" x14ac:dyDescent="0.25">
      <c r="A2834">
        <v>26.755852375488001</v>
      </c>
      <c r="B2834">
        <v>31.7701925075128</v>
      </c>
      <c r="C2834">
        <v>2000</v>
      </c>
    </row>
    <row r="2835" spans="1:11" x14ac:dyDescent="0.25">
      <c r="A2835">
        <v>20.862783124597499</v>
      </c>
      <c r="B2835">
        <v>25.877123256622401</v>
      </c>
      <c r="C2835">
        <v>2000</v>
      </c>
    </row>
    <row r="2836" spans="1:11" x14ac:dyDescent="0.25">
      <c r="A2836">
        <v>19.988751075699899</v>
      </c>
      <c r="B2836">
        <v>25.877123256622401</v>
      </c>
      <c r="C2836">
        <v>2001</v>
      </c>
    </row>
    <row r="2837" spans="1:11" x14ac:dyDescent="0.25">
      <c r="A2837">
        <v>26.4311368058084</v>
      </c>
      <c r="B2837">
        <v>32.319508986730902</v>
      </c>
      <c r="C2837">
        <v>2001</v>
      </c>
    </row>
    <row r="2838" spans="1:11" x14ac:dyDescent="0.25">
      <c r="A2838">
        <v>30.2394022258182</v>
      </c>
      <c r="B2838">
        <v>36.127774406740699</v>
      </c>
      <c r="C2838">
        <v>2001</v>
      </c>
    </row>
    <row r="2839" spans="1:11" x14ac:dyDescent="0.25">
      <c r="A2839">
        <v>30.2394022258182</v>
      </c>
      <c r="B2839">
        <v>35.253742357843102</v>
      </c>
      <c r="C2839">
        <v>2000</v>
      </c>
    </row>
    <row r="2840" spans="1:11" x14ac:dyDescent="0.25">
      <c r="A2840" t="s">
        <v>87</v>
      </c>
    </row>
    <row r="2841" spans="1:11" x14ac:dyDescent="0.25">
      <c r="A2841">
        <v>842</v>
      </c>
      <c r="B2841">
        <v>1</v>
      </c>
      <c r="C2841">
        <v>1.5590236844440599</v>
      </c>
      <c r="D2841">
        <v>12.2524817390123</v>
      </c>
      <c r="E2841">
        <v>6</v>
      </c>
      <c r="F2841">
        <v>1.01722196789785</v>
      </c>
      <c r="G2841" t="s">
        <v>89</v>
      </c>
      <c r="H2841" t="s">
        <v>85</v>
      </c>
      <c r="I2841">
        <v>226</v>
      </c>
      <c r="J2841">
        <v>191</v>
      </c>
      <c r="K2841">
        <v>9.0374042336346896E-2</v>
      </c>
    </row>
    <row r="2842" spans="1:11" x14ac:dyDescent="0.25">
      <c r="A2842" t="s">
        <v>86</v>
      </c>
    </row>
    <row r="2843" spans="1:11" x14ac:dyDescent="0.25">
      <c r="A2843">
        <v>88.728884105891595</v>
      </c>
      <c r="B2843">
        <v>144.689641611068</v>
      </c>
      <c r="C2843">
        <v>2000</v>
      </c>
    </row>
    <row r="2844" spans="1:11" x14ac:dyDescent="0.25">
      <c r="A2844">
        <v>87.651152769661294</v>
      </c>
      <c r="B2844">
        <v>145.76737294729801</v>
      </c>
      <c r="C2844">
        <v>2000</v>
      </c>
    </row>
    <row r="2845" spans="1:11" x14ac:dyDescent="0.25">
      <c r="A2845">
        <v>88.088168794110103</v>
      </c>
      <c r="B2845">
        <v>146.20438897174699</v>
      </c>
      <c r="C2845">
        <v>2001</v>
      </c>
    </row>
    <row r="2846" spans="1:11" x14ac:dyDescent="0.25">
      <c r="A2846">
        <v>89.215229896481603</v>
      </c>
      <c r="B2846">
        <v>145.07732786937501</v>
      </c>
      <c r="C2846">
        <v>2001</v>
      </c>
    </row>
    <row r="2847" spans="1:11" x14ac:dyDescent="0.25">
      <c r="A2847">
        <v>98.072885949655301</v>
      </c>
      <c r="B2847">
        <v>136.21967181620201</v>
      </c>
      <c r="C2847">
        <v>2001</v>
      </c>
    </row>
    <row r="2848" spans="1:11" x14ac:dyDescent="0.25">
      <c r="A2848">
        <v>97.198853900757598</v>
      </c>
      <c r="B2848">
        <v>136.21967181620201</v>
      </c>
      <c r="C2848">
        <v>2000</v>
      </c>
    </row>
    <row r="2849" spans="1:11" x14ac:dyDescent="0.25">
      <c r="A2849" t="s">
        <v>87</v>
      </c>
    </row>
    <row r="2850" spans="1:11" x14ac:dyDescent="0.25">
      <c r="A2850">
        <v>106</v>
      </c>
      <c r="B2850">
        <v>0</v>
      </c>
      <c r="C2850">
        <v>1.8902266735611</v>
      </c>
      <c r="D2850">
        <v>11.9089456069426</v>
      </c>
      <c r="E2850">
        <v>6</v>
      </c>
      <c r="F2850">
        <v>1.01722196789785</v>
      </c>
      <c r="G2850" t="s">
        <v>85</v>
      </c>
      <c r="H2850" t="s">
        <v>89</v>
      </c>
      <c r="I2850">
        <v>152</v>
      </c>
      <c r="J2850">
        <v>789</v>
      </c>
      <c r="K2850">
        <v>0</v>
      </c>
    </row>
    <row r="2851" spans="1:11" x14ac:dyDescent="0.25">
      <c r="A2851" t="s">
        <v>86</v>
      </c>
    </row>
    <row r="2852" spans="1:11" x14ac:dyDescent="0.25">
      <c r="A2852">
        <v>102.159302031499</v>
      </c>
      <c r="B2852">
        <v>13.677509585971601</v>
      </c>
      <c r="C2852">
        <v>2000</v>
      </c>
    </row>
    <row r="2853" spans="1:11" x14ac:dyDescent="0.25">
      <c r="A2853">
        <v>100.792778450908</v>
      </c>
      <c r="B2853">
        <v>12.3109860053803</v>
      </c>
      <c r="C2853">
        <v>2000</v>
      </c>
    </row>
    <row r="2854" spans="1:11" x14ac:dyDescent="0.25">
      <c r="A2854">
        <v>101.666810499806</v>
      </c>
      <c r="B2854">
        <v>12.3109860053803</v>
      </c>
      <c r="C2854">
        <v>2001</v>
      </c>
    </row>
    <row r="2855" spans="1:11" x14ac:dyDescent="0.25">
      <c r="A2855">
        <v>102.973471116924</v>
      </c>
      <c r="B2855">
        <v>13.6176466224985</v>
      </c>
      <c r="C2855">
        <v>2001</v>
      </c>
    </row>
    <row r="2856" spans="1:11" x14ac:dyDescent="0.25">
      <c r="A2856">
        <v>111.205790781887</v>
      </c>
      <c r="B2856">
        <v>21.849966287461399</v>
      </c>
      <c r="C2856">
        <v>2001</v>
      </c>
    </row>
    <row r="2857" spans="1:11" x14ac:dyDescent="0.25">
      <c r="A2857">
        <v>110.768774757438</v>
      </c>
      <c r="B2857">
        <v>22.2869823119103</v>
      </c>
      <c r="C2857">
        <v>2000</v>
      </c>
    </row>
    <row r="2858" spans="1:11" x14ac:dyDescent="0.25">
      <c r="A2858" t="s">
        <v>87</v>
      </c>
    </row>
    <row r="2859" spans="1:11" x14ac:dyDescent="0.25">
      <c r="A2859">
        <v>261</v>
      </c>
      <c r="B2859">
        <v>0</v>
      </c>
      <c r="C2859">
        <v>6.0534306987127202</v>
      </c>
      <c r="D2859">
        <v>7.7117269691232098</v>
      </c>
      <c r="E2859">
        <v>8</v>
      </c>
      <c r="F2859">
        <v>1.01722196789785</v>
      </c>
      <c r="G2859" t="s">
        <v>85</v>
      </c>
      <c r="H2859" t="s">
        <v>85</v>
      </c>
      <c r="I2859">
        <v>796</v>
      </c>
      <c r="J2859">
        <v>308</v>
      </c>
      <c r="K2859">
        <v>0</v>
      </c>
    </row>
    <row r="2860" spans="1:11" x14ac:dyDescent="0.25">
      <c r="A2860" t="s">
        <v>86</v>
      </c>
    </row>
    <row r="2861" spans="1:11" x14ac:dyDescent="0.25">
      <c r="A2861">
        <v>20.456911906010902</v>
      </c>
      <c r="B2861">
        <v>103.054619210452</v>
      </c>
      <c r="C2861">
        <v>2000</v>
      </c>
    </row>
    <row r="2862" spans="1:11" x14ac:dyDescent="0.25">
      <c r="A2862">
        <v>17.764538655462498</v>
      </c>
      <c r="B2862">
        <v>100.362245959904</v>
      </c>
      <c r="C2862">
        <v>2000</v>
      </c>
    </row>
    <row r="2863" spans="1:11" x14ac:dyDescent="0.25">
      <c r="A2863">
        <v>16.374614504806001</v>
      </c>
      <c r="B2863">
        <v>98.972321809247703</v>
      </c>
      <c r="C2863">
        <v>2000</v>
      </c>
    </row>
    <row r="2864" spans="1:11" x14ac:dyDescent="0.25">
      <c r="A2864">
        <v>16.374614504806001</v>
      </c>
      <c r="B2864">
        <v>98.098289760349999</v>
      </c>
      <c r="C2864">
        <v>2001</v>
      </c>
    </row>
    <row r="2865" spans="1:11" x14ac:dyDescent="0.25">
      <c r="A2865">
        <v>17.914078784551901</v>
      </c>
      <c r="B2865">
        <v>99.637754040095899</v>
      </c>
      <c r="C2865">
        <v>2001</v>
      </c>
    </row>
    <row r="2866" spans="1:11" x14ac:dyDescent="0.25">
      <c r="A2866">
        <v>20.853160896606401</v>
      </c>
      <c r="B2866">
        <v>102.57683615214999</v>
      </c>
      <c r="C2866">
        <v>2001</v>
      </c>
    </row>
    <row r="2867" spans="1:11" x14ac:dyDescent="0.25">
      <c r="A2867">
        <v>26.545066860283601</v>
      </c>
      <c r="B2867">
        <v>108.268742115828</v>
      </c>
      <c r="C2867">
        <v>2001</v>
      </c>
    </row>
    <row r="2868" spans="1:11" x14ac:dyDescent="0.25">
      <c r="A2868">
        <v>25.671034811386001</v>
      </c>
      <c r="B2868">
        <v>108.268742115828</v>
      </c>
      <c r="C2868">
        <v>2000</v>
      </c>
    </row>
    <row r="2869" spans="1:11" x14ac:dyDescent="0.25">
      <c r="A2869" t="s">
        <v>87</v>
      </c>
    </row>
    <row r="2870" spans="1:11" x14ac:dyDescent="0.25">
      <c r="A2870">
        <v>587</v>
      </c>
      <c r="B2870">
        <v>0</v>
      </c>
      <c r="C2870">
        <v>5.6451829883197702</v>
      </c>
      <c r="D2870">
        <v>8.0604343131432792</v>
      </c>
      <c r="E2870">
        <v>6</v>
      </c>
      <c r="F2870">
        <v>1.01722196789785</v>
      </c>
      <c r="G2870" t="s">
        <v>85</v>
      </c>
      <c r="H2870" t="s">
        <v>89</v>
      </c>
      <c r="I2870">
        <v>627</v>
      </c>
      <c r="J2870">
        <v>783</v>
      </c>
      <c r="K2870">
        <v>0</v>
      </c>
    </row>
    <row r="2871" spans="1:11" x14ac:dyDescent="0.25">
      <c r="A2871" t="s">
        <v>86</v>
      </c>
    </row>
    <row r="2872" spans="1:11" x14ac:dyDescent="0.25">
      <c r="A2872">
        <v>116.916729044109</v>
      </c>
      <c r="B2872">
        <v>59.999654710746299</v>
      </c>
      <c r="C2872">
        <v>2000</v>
      </c>
    </row>
    <row r="2873" spans="1:11" x14ac:dyDescent="0.25">
      <c r="A2873">
        <v>112.834980985073</v>
      </c>
      <c r="B2873">
        <v>55.917906651709799</v>
      </c>
      <c r="C2873">
        <v>2000</v>
      </c>
    </row>
    <row r="2874" spans="1:11" x14ac:dyDescent="0.25">
      <c r="A2874">
        <v>112.834980985073</v>
      </c>
      <c r="B2874">
        <v>56.791938700607403</v>
      </c>
      <c r="C2874">
        <v>2001</v>
      </c>
    </row>
    <row r="2875" spans="1:11" x14ac:dyDescent="0.25">
      <c r="A2875">
        <v>116.736727270196</v>
      </c>
      <c r="B2875">
        <v>60.693684985730499</v>
      </c>
      <c r="C2875">
        <v>2001</v>
      </c>
    </row>
    <row r="2876" spans="1:11" x14ac:dyDescent="0.25">
      <c r="A2876">
        <v>122.307807907061</v>
      </c>
      <c r="B2876">
        <v>66.264765622595206</v>
      </c>
      <c r="C2876">
        <v>2001</v>
      </c>
    </row>
    <row r="2877" spans="1:11" x14ac:dyDescent="0.25">
      <c r="A2877">
        <v>122.74482393151</v>
      </c>
      <c r="B2877">
        <v>65.827749598146397</v>
      </c>
      <c r="C2877">
        <v>2000</v>
      </c>
    </row>
    <row r="2878" spans="1:11" x14ac:dyDescent="0.25">
      <c r="A2878" t="s">
        <v>87</v>
      </c>
    </row>
    <row r="2879" spans="1:11" x14ac:dyDescent="0.25">
      <c r="A2879">
        <v>924</v>
      </c>
      <c r="B2879">
        <v>0</v>
      </c>
      <c r="C2879">
        <v>4.5552721860109102</v>
      </c>
      <c r="D2879">
        <v>9.1277456698236303</v>
      </c>
      <c r="E2879">
        <v>8</v>
      </c>
      <c r="F2879">
        <v>1.01722196789785</v>
      </c>
      <c r="G2879" t="s">
        <v>88</v>
      </c>
      <c r="H2879" t="s">
        <v>85</v>
      </c>
      <c r="I2879">
        <v>0</v>
      </c>
      <c r="J2879">
        <v>75</v>
      </c>
      <c r="K2879">
        <v>9.1907793175489E-2</v>
      </c>
    </row>
    <row r="2880" spans="1:11" x14ac:dyDescent="0.25">
      <c r="A2880" t="s">
        <v>86</v>
      </c>
    </row>
    <row r="2881" spans="1:11" x14ac:dyDescent="0.25">
      <c r="A2881">
        <v>44.297810223773901</v>
      </c>
      <c r="B2881">
        <v>3.3709379019287802</v>
      </c>
      <c r="C2881">
        <v>2000</v>
      </c>
    </row>
    <row r="2882" spans="1:11" x14ac:dyDescent="0.25">
      <c r="A2882">
        <v>40.926872321845103</v>
      </c>
      <c r="B2882">
        <v>0</v>
      </c>
      <c r="C2882">
        <v>2000</v>
      </c>
    </row>
    <row r="2883" spans="1:11" x14ac:dyDescent="0.25">
      <c r="A2883">
        <v>41.8009043707427</v>
      </c>
      <c r="B2883">
        <v>0</v>
      </c>
      <c r="C2883">
        <v>2001</v>
      </c>
    </row>
    <row r="2884" spans="1:11" x14ac:dyDescent="0.25">
      <c r="A2884">
        <v>44.872094174571501</v>
      </c>
      <c r="B2884">
        <v>3.0711898038287702</v>
      </c>
      <c r="C2884">
        <v>2001</v>
      </c>
    </row>
    <row r="2885" spans="1:11" x14ac:dyDescent="0.25">
      <c r="A2885">
        <v>50.035183250959399</v>
      </c>
      <c r="B2885">
        <v>8.2342788802166496</v>
      </c>
      <c r="C2885">
        <v>2001</v>
      </c>
    </row>
    <row r="2886" spans="1:11" x14ac:dyDescent="0.25">
      <c r="A2886">
        <v>51.039243059251099</v>
      </c>
      <c r="B2886">
        <v>9.2383386885083905</v>
      </c>
      <c r="C2886">
        <v>2001</v>
      </c>
    </row>
    <row r="2887" spans="1:11" x14ac:dyDescent="0.25">
      <c r="A2887">
        <v>51.039243059251099</v>
      </c>
      <c r="B2887">
        <v>10.112370737406</v>
      </c>
      <c r="C2887">
        <v>2000</v>
      </c>
    </row>
    <row r="2888" spans="1:11" x14ac:dyDescent="0.25">
      <c r="A2888">
        <v>49.964816749040601</v>
      </c>
      <c r="B2888">
        <v>9.0379444271955407</v>
      </c>
      <c r="C2888">
        <v>2000</v>
      </c>
    </row>
    <row r="2889" spans="1:11" x14ac:dyDescent="0.25">
      <c r="A2889" t="s">
        <v>87</v>
      </c>
    </row>
    <row r="2890" spans="1:11" x14ac:dyDescent="0.25">
      <c r="A2890">
        <v>559</v>
      </c>
      <c r="B2890">
        <v>1</v>
      </c>
      <c r="C2890">
        <v>9.5387669227312006</v>
      </c>
      <c r="D2890">
        <v>4.1354462238705203</v>
      </c>
      <c r="E2890">
        <v>6</v>
      </c>
      <c r="F2890">
        <v>1.01722196789785</v>
      </c>
      <c r="G2890" t="s">
        <v>85</v>
      </c>
      <c r="H2890" t="s">
        <v>89</v>
      </c>
      <c r="I2890">
        <v>746</v>
      </c>
      <c r="J2890">
        <v>553</v>
      </c>
      <c r="K2890">
        <v>0</v>
      </c>
    </row>
    <row r="2891" spans="1:11" x14ac:dyDescent="0.25">
      <c r="A2891" t="s">
        <v>86</v>
      </c>
    </row>
    <row r="2892" spans="1:11" x14ac:dyDescent="0.25">
      <c r="A2892">
        <v>118.280667365493</v>
      </c>
      <c r="B2892">
        <v>134.07660603730599</v>
      </c>
      <c r="C2892">
        <v>2000</v>
      </c>
    </row>
    <row r="2893" spans="1:11" x14ac:dyDescent="0.25">
      <c r="A2893">
        <v>111.38331522019701</v>
      </c>
      <c r="B2893">
        <v>140.97395818260199</v>
      </c>
      <c r="C2893">
        <v>2000</v>
      </c>
    </row>
    <row r="2894" spans="1:11" x14ac:dyDescent="0.25">
      <c r="A2894">
        <v>112.25734726909501</v>
      </c>
      <c r="B2894">
        <v>140.97395818260199</v>
      </c>
      <c r="C2894">
        <v>2001</v>
      </c>
    </row>
    <row r="2895" spans="1:11" x14ac:dyDescent="0.25">
      <c r="A2895">
        <v>118.849848674241</v>
      </c>
      <c r="B2895">
        <v>134.38145677745601</v>
      </c>
      <c r="C2895">
        <v>2001</v>
      </c>
    </row>
    <row r="2896" spans="1:11" x14ac:dyDescent="0.25">
      <c r="A2896">
        <v>121.707968100223</v>
      </c>
      <c r="B2896">
        <v>131.523337351474</v>
      </c>
      <c r="C2896">
        <v>2001</v>
      </c>
    </row>
    <row r="2897" spans="1:11" x14ac:dyDescent="0.25">
      <c r="A2897">
        <v>121.27095207577401</v>
      </c>
      <c r="B2897">
        <v>131.08632132702499</v>
      </c>
      <c r="C2897">
        <v>2000</v>
      </c>
    </row>
    <row r="2898" spans="1:11" x14ac:dyDescent="0.25">
      <c r="A2898" t="s">
        <v>87</v>
      </c>
    </row>
    <row r="2899" spans="1:11" x14ac:dyDescent="0.25">
      <c r="A2899">
        <v>790</v>
      </c>
      <c r="B2899">
        <v>1</v>
      </c>
      <c r="C2899">
        <v>6.5783777478669103</v>
      </c>
      <c r="D2899">
        <v>7.0938352529747801</v>
      </c>
      <c r="E2899">
        <v>6</v>
      </c>
      <c r="F2899">
        <v>1.01722196789785</v>
      </c>
      <c r="G2899" t="s">
        <v>85</v>
      </c>
      <c r="H2899" t="s">
        <v>88</v>
      </c>
      <c r="I2899">
        <v>114</v>
      </c>
      <c r="J2899">
        <v>0</v>
      </c>
      <c r="K2899">
        <v>8.9537010595109504E-2</v>
      </c>
    </row>
    <row r="2900" spans="1:11" x14ac:dyDescent="0.25">
      <c r="A2900" t="s">
        <v>86</v>
      </c>
    </row>
    <row r="2901" spans="1:11" x14ac:dyDescent="0.25">
      <c r="A2901">
        <v>134.63202505401</v>
      </c>
      <c r="B2901">
        <v>5.0160990119986799</v>
      </c>
      <c r="C2901">
        <v>2000</v>
      </c>
    </row>
    <row r="2902" spans="1:11" x14ac:dyDescent="0.25">
      <c r="A2902">
        <v>129.980409539287</v>
      </c>
      <c r="B2902">
        <v>9.6677145267220794</v>
      </c>
      <c r="C2902">
        <v>2000</v>
      </c>
    </row>
    <row r="2903" spans="1:11" x14ac:dyDescent="0.25">
      <c r="A2903">
        <v>129.10637749038901</v>
      </c>
      <c r="B2903">
        <v>9.6677145267220794</v>
      </c>
      <c r="C2903">
        <v>2001</v>
      </c>
    </row>
    <row r="2904" spans="1:11" x14ac:dyDescent="0.25">
      <c r="A2904">
        <v>133.75799300511201</v>
      </c>
      <c r="B2904">
        <v>5.0160990119986799</v>
      </c>
      <c r="C2904">
        <v>2001</v>
      </c>
    </row>
    <row r="2905" spans="1:11" x14ac:dyDescent="0.25">
      <c r="A2905">
        <v>138.774092017111</v>
      </c>
      <c r="B2905">
        <v>0</v>
      </c>
      <c r="C2905">
        <v>2001</v>
      </c>
    </row>
    <row r="2906" spans="1:11" x14ac:dyDescent="0.25">
      <c r="A2906">
        <v>139.64812406600899</v>
      </c>
      <c r="B2906">
        <v>0</v>
      </c>
      <c r="C2906">
        <v>2000</v>
      </c>
    </row>
    <row r="2907" spans="1:11" x14ac:dyDescent="0.25">
      <c r="A2907" t="s">
        <v>87</v>
      </c>
    </row>
    <row r="2908" spans="1:11" x14ac:dyDescent="0.25">
      <c r="A2908">
        <v>32</v>
      </c>
      <c r="B2908">
        <v>0</v>
      </c>
      <c r="C2908">
        <v>1.01231725232047</v>
      </c>
      <c r="D2908">
        <v>12.653397758149101</v>
      </c>
      <c r="E2908">
        <v>6</v>
      </c>
      <c r="F2908">
        <v>1.01722196789785</v>
      </c>
      <c r="G2908" t="s">
        <v>88</v>
      </c>
      <c r="H2908" t="s">
        <v>85</v>
      </c>
      <c r="I2908">
        <v>0</v>
      </c>
      <c r="J2908">
        <v>74</v>
      </c>
      <c r="K2908">
        <v>0</v>
      </c>
    </row>
    <row r="2909" spans="1:11" x14ac:dyDescent="0.25">
      <c r="A2909" t="s">
        <v>86</v>
      </c>
    </row>
    <row r="2910" spans="1:11" x14ac:dyDescent="0.25">
      <c r="A2910">
        <v>0.74818929643501497</v>
      </c>
      <c r="B2910">
        <v>6.6315871056194498</v>
      </c>
      <c r="C2910">
        <v>2000</v>
      </c>
    </row>
    <row r="2911" spans="1:11" x14ac:dyDescent="0.25">
      <c r="A2911">
        <v>0</v>
      </c>
      <c r="B2911">
        <v>5.8833978091844399</v>
      </c>
      <c r="C2911">
        <v>2000</v>
      </c>
    </row>
    <row r="2912" spans="1:11" x14ac:dyDescent="0.25">
      <c r="A2912">
        <v>0</v>
      </c>
      <c r="B2912">
        <v>6.7574298580820802</v>
      </c>
      <c r="C2912">
        <v>2001</v>
      </c>
    </row>
    <row r="2913" spans="1:11" x14ac:dyDescent="0.25">
      <c r="A2913">
        <v>0.68344349122085502</v>
      </c>
      <c r="B2913">
        <v>7.4408733493029304</v>
      </c>
      <c r="C2913">
        <v>2001</v>
      </c>
    </row>
    <row r="2914" spans="1:11" x14ac:dyDescent="0.25">
      <c r="A2914">
        <v>9.2261037292169892</v>
      </c>
      <c r="B2914">
        <v>15.9835335872991</v>
      </c>
      <c r="C2914">
        <v>2001</v>
      </c>
    </row>
    <row r="2915" spans="1:11" x14ac:dyDescent="0.25">
      <c r="A2915">
        <v>10.1001357781146</v>
      </c>
      <c r="B2915">
        <v>15.9835335872991</v>
      </c>
      <c r="C2915">
        <v>2000</v>
      </c>
    </row>
    <row r="2916" spans="1:11" x14ac:dyDescent="0.25">
      <c r="A2916" t="s">
        <v>87</v>
      </c>
    </row>
    <row r="2917" spans="1:11" x14ac:dyDescent="0.25">
      <c r="A2917">
        <v>394</v>
      </c>
      <c r="B2917">
        <v>1</v>
      </c>
      <c r="C2917">
        <v>11.675611352975199</v>
      </c>
      <c r="D2917">
        <v>1.9265615046065401</v>
      </c>
      <c r="E2917">
        <v>6</v>
      </c>
      <c r="F2917">
        <v>1.01722196789785</v>
      </c>
      <c r="G2917" t="s">
        <v>85</v>
      </c>
      <c r="H2917" t="s">
        <v>85</v>
      </c>
      <c r="I2917">
        <v>357</v>
      </c>
      <c r="J2917">
        <v>741</v>
      </c>
      <c r="K2917">
        <v>0</v>
      </c>
    </row>
    <row r="2918" spans="1:11" x14ac:dyDescent="0.25">
      <c r="A2918" t="s">
        <v>86</v>
      </c>
    </row>
    <row r="2919" spans="1:11" x14ac:dyDescent="0.25">
      <c r="A2919">
        <v>24.796642747147299</v>
      </c>
      <c r="B2919">
        <v>69.867260523087594</v>
      </c>
      <c r="C2919">
        <v>2000</v>
      </c>
    </row>
    <row r="2920" spans="1:11" x14ac:dyDescent="0.25">
      <c r="A2920">
        <v>16.540738784959899</v>
      </c>
      <c r="B2920">
        <v>78.123164485274998</v>
      </c>
      <c r="C2920">
        <v>2000</v>
      </c>
    </row>
    <row r="2921" spans="1:11" x14ac:dyDescent="0.25">
      <c r="A2921">
        <v>16.540738784959899</v>
      </c>
      <c r="B2921">
        <v>78.997196534172602</v>
      </c>
      <c r="C2921">
        <v>2001</v>
      </c>
    </row>
    <row r="2922" spans="1:11" x14ac:dyDescent="0.25">
      <c r="A2922">
        <v>24.796642747147299</v>
      </c>
      <c r="B2922">
        <v>70.741292571985198</v>
      </c>
      <c r="C2922">
        <v>2001</v>
      </c>
    </row>
    <row r="2923" spans="1:11" x14ac:dyDescent="0.25">
      <c r="A2923">
        <v>26.158927451427498</v>
      </c>
      <c r="B2923">
        <v>69.379007867704999</v>
      </c>
      <c r="C2923">
        <v>2001</v>
      </c>
    </row>
    <row r="2924" spans="1:11" x14ac:dyDescent="0.25">
      <c r="A2924">
        <v>26.158927451427498</v>
      </c>
      <c r="B2924">
        <v>68.504975818807395</v>
      </c>
      <c r="C2924">
        <v>2000</v>
      </c>
    </row>
    <row r="2925" spans="1:11" x14ac:dyDescent="0.25">
      <c r="A2925" t="s">
        <v>87</v>
      </c>
    </row>
    <row r="2926" spans="1:11" x14ac:dyDescent="0.25">
      <c r="A2926">
        <v>67</v>
      </c>
      <c r="B2926">
        <v>1</v>
      </c>
      <c r="C2926">
        <v>3.6706812874344199</v>
      </c>
      <c r="D2926">
        <v>9.9050692498223896</v>
      </c>
      <c r="E2926">
        <v>10</v>
      </c>
      <c r="F2926">
        <v>1.01722196789785</v>
      </c>
      <c r="G2926" t="s">
        <v>85</v>
      </c>
      <c r="H2926" t="s">
        <v>85</v>
      </c>
      <c r="I2926">
        <v>813</v>
      </c>
      <c r="J2926">
        <v>424</v>
      </c>
      <c r="K2926">
        <v>0</v>
      </c>
    </row>
    <row r="2927" spans="1:11" x14ac:dyDescent="0.25">
      <c r="A2927" t="s">
        <v>86</v>
      </c>
    </row>
    <row r="2928" spans="1:11" x14ac:dyDescent="0.25">
      <c r="A2928">
        <v>48.2190450953428</v>
      </c>
      <c r="B2928">
        <v>48.779803909620497</v>
      </c>
      <c r="C2928">
        <v>2000</v>
      </c>
    </row>
    <row r="2929" spans="1:11" x14ac:dyDescent="0.25">
      <c r="A2929">
        <v>46.650968130763701</v>
      </c>
      <c r="B2929">
        <v>50.347880874199497</v>
      </c>
      <c r="C2929">
        <v>2000</v>
      </c>
    </row>
    <row r="2930" spans="1:11" x14ac:dyDescent="0.25">
      <c r="A2930">
        <v>45.503034487135302</v>
      </c>
      <c r="B2930">
        <v>51.495814517828002</v>
      </c>
      <c r="C2930">
        <v>2000</v>
      </c>
    </row>
    <row r="2931" spans="1:11" x14ac:dyDescent="0.25">
      <c r="A2931">
        <v>45.503034487135302</v>
      </c>
      <c r="B2931">
        <v>50.621782468930299</v>
      </c>
      <c r="C2931">
        <v>2001</v>
      </c>
    </row>
    <row r="2932" spans="1:11" x14ac:dyDescent="0.25">
      <c r="A2932">
        <v>46.472697830265098</v>
      </c>
      <c r="B2932">
        <v>49.652119125800503</v>
      </c>
      <c r="C2932">
        <v>2001</v>
      </c>
    </row>
    <row r="2933" spans="1:11" x14ac:dyDescent="0.25">
      <c r="A2933">
        <v>47.978151138766599</v>
      </c>
      <c r="B2933">
        <v>48.146665817299002</v>
      </c>
      <c r="C2933">
        <v>2001</v>
      </c>
    </row>
    <row r="2934" spans="1:11" x14ac:dyDescent="0.25">
      <c r="A2934">
        <v>49.840811663403002</v>
      </c>
      <c r="B2934">
        <v>46.284005292662599</v>
      </c>
      <c r="C2934">
        <v>2001</v>
      </c>
    </row>
    <row r="2935" spans="1:11" x14ac:dyDescent="0.25">
      <c r="A2935">
        <v>55.102539751726503</v>
      </c>
      <c r="B2935">
        <v>41.022277204339098</v>
      </c>
      <c r="C2935">
        <v>2001</v>
      </c>
    </row>
    <row r="2936" spans="1:11" x14ac:dyDescent="0.25">
      <c r="A2936">
        <v>55.102539751726503</v>
      </c>
      <c r="B2936">
        <v>41.896309253236801</v>
      </c>
      <c r="C2936">
        <v>2000</v>
      </c>
    </row>
    <row r="2937" spans="1:11" x14ac:dyDescent="0.25">
      <c r="A2937">
        <v>50.159188336596998</v>
      </c>
      <c r="B2937">
        <v>46.839660668366299</v>
      </c>
      <c r="C2937">
        <v>2000</v>
      </c>
    </row>
    <row r="2938" spans="1:11" x14ac:dyDescent="0.25">
      <c r="A2938" t="s">
        <v>87</v>
      </c>
    </row>
    <row r="2939" spans="1:11" x14ac:dyDescent="0.25">
      <c r="A2939">
        <v>1020</v>
      </c>
      <c r="B2939">
        <v>1</v>
      </c>
      <c r="C2939">
        <v>1.88933742444794</v>
      </c>
      <c r="D2939">
        <v>11.6864131128089</v>
      </c>
      <c r="E2939">
        <v>8</v>
      </c>
      <c r="F2939">
        <v>1.01722196789785</v>
      </c>
      <c r="G2939" t="s">
        <v>85</v>
      </c>
      <c r="H2939" t="s">
        <v>85</v>
      </c>
      <c r="I2939">
        <v>813</v>
      </c>
      <c r="J2939">
        <v>424</v>
      </c>
      <c r="K2939">
        <v>9.3644784593262795E-2</v>
      </c>
    </row>
    <row r="2940" spans="1:11" x14ac:dyDescent="0.25">
      <c r="A2940" t="s">
        <v>86</v>
      </c>
    </row>
    <row r="2941" spans="1:11" x14ac:dyDescent="0.25">
      <c r="A2941">
        <v>43.955248690168403</v>
      </c>
      <c r="B2941">
        <v>47.2549938602751</v>
      </c>
      <c r="C2941">
        <v>2000</v>
      </c>
    </row>
    <row r="2942" spans="1:11" x14ac:dyDescent="0.25">
      <c r="A2942">
        <v>42.608731259875299</v>
      </c>
      <c r="B2942">
        <v>48.601511290568098</v>
      </c>
      <c r="C2942">
        <v>2000</v>
      </c>
    </row>
    <row r="2943" spans="1:11" x14ac:dyDescent="0.25">
      <c r="A2943">
        <v>42.608731259875299</v>
      </c>
      <c r="B2943">
        <v>47.727479241670402</v>
      </c>
      <c r="C2943">
        <v>2001</v>
      </c>
    </row>
    <row r="2944" spans="1:11" x14ac:dyDescent="0.25">
      <c r="A2944">
        <v>43.934140439135597</v>
      </c>
      <c r="B2944">
        <v>46.402070062410097</v>
      </c>
      <c r="C2944">
        <v>2001</v>
      </c>
    </row>
    <row r="2945" spans="1:11" x14ac:dyDescent="0.25">
      <c r="A2945">
        <v>49.941608891704199</v>
      </c>
      <c r="B2945">
        <v>40.394601609841601</v>
      </c>
      <c r="C2945">
        <v>2001</v>
      </c>
    </row>
    <row r="2946" spans="1:11" x14ac:dyDescent="0.25">
      <c r="A2946">
        <v>52.2082365244665</v>
      </c>
      <c r="B2946">
        <v>38.127973977079201</v>
      </c>
      <c r="C2946">
        <v>2001</v>
      </c>
    </row>
    <row r="2947" spans="1:11" x14ac:dyDescent="0.25">
      <c r="A2947">
        <v>52.2082365244665</v>
      </c>
      <c r="B2947">
        <v>39.002006025976897</v>
      </c>
      <c r="C2947">
        <v>2000</v>
      </c>
    </row>
    <row r="2948" spans="1:11" x14ac:dyDescent="0.25">
      <c r="A2948">
        <v>50.058391108295801</v>
      </c>
      <c r="B2948">
        <v>41.151851442147603</v>
      </c>
      <c r="C2948">
        <v>2000</v>
      </c>
    </row>
    <row r="2949" spans="1:11" x14ac:dyDescent="0.25">
      <c r="A2949" t="s">
        <v>87</v>
      </c>
    </row>
    <row r="2950" spans="1:11" x14ac:dyDescent="0.25">
      <c r="A2950">
        <v>307</v>
      </c>
      <c r="B2950">
        <v>1</v>
      </c>
      <c r="C2950">
        <v>8.1288249414810707</v>
      </c>
      <c r="D2950">
        <v>5.3645197105156504</v>
      </c>
      <c r="E2950">
        <v>6</v>
      </c>
      <c r="F2950">
        <v>1.01722196789785</v>
      </c>
      <c r="G2950" t="s">
        <v>85</v>
      </c>
      <c r="H2950" t="s">
        <v>89</v>
      </c>
      <c r="I2950">
        <v>779</v>
      </c>
      <c r="J2950">
        <v>306</v>
      </c>
      <c r="K2950">
        <v>0</v>
      </c>
    </row>
    <row r="2951" spans="1:11" x14ac:dyDescent="0.25">
      <c r="A2951" t="s">
        <v>86</v>
      </c>
    </row>
    <row r="2952" spans="1:11" x14ac:dyDescent="0.25">
      <c r="A2952">
        <v>15.7918826324404</v>
      </c>
      <c r="B2952">
        <v>134.25568679428099</v>
      </c>
      <c r="C2952">
        <v>2000</v>
      </c>
    </row>
    <row r="2953" spans="1:11" x14ac:dyDescent="0.25">
      <c r="A2953">
        <v>9.9122991365903594</v>
      </c>
      <c r="B2953">
        <v>140.13527029013099</v>
      </c>
      <c r="C2953">
        <v>2000</v>
      </c>
    </row>
    <row r="2954" spans="1:11" x14ac:dyDescent="0.25">
      <c r="A2954">
        <v>9.9122991365903594</v>
      </c>
      <c r="B2954">
        <v>139.261238241233</v>
      </c>
      <c r="C2954">
        <v>2001</v>
      </c>
    </row>
    <row r="2955" spans="1:11" x14ac:dyDescent="0.25">
      <c r="A2955">
        <v>15.528610119139501</v>
      </c>
      <c r="B2955">
        <v>133.64492725868399</v>
      </c>
      <c r="C2955">
        <v>2001</v>
      </c>
    </row>
    <row r="2956" spans="1:11" x14ac:dyDescent="0.25">
      <c r="A2956">
        <v>19.235026628680099</v>
      </c>
      <c r="B2956">
        <v>129.93851074914301</v>
      </c>
      <c r="C2956">
        <v>2001</v>
      </c>
    </row>
    <row r="2957" spans="1:11" x14ac:dyDescent="0.25">
      <c r="A2957">
        <v>19.672042653128901</v>
      </c>
      <c r="B2957">
        <v>130.37552677359199</v>
      </c>
      <c r="C2957">
        <v>2000</v>
      </c>
    </row>
    <row r="2958" spans="1:11" x14ac:dyDescent="0.25">
      <c r="A2958" t="s">
        <v>87</v>
      </c>
    </row>
    <row r="2959" spans="1:11" x14ac:dyDescent="0.25">
      <c r="A2959">
        <v>595</v>
      </c>
      <c r="B2959">
        <v>0</v>
      </c>
      <c r="C2959">
        <v>9.7370767189546008</v>
      </c>
      <c r="D2959">
        <v>3.6563218067492498</v>
      </c>
      <c r="E2959">
        <v>6</v>
      </c>
      <c r="F2959">
        <v>1.01722196789785</v>
      </c>
      <c r="G2959" t="s">
        <v>85</v>
      </c>
      <c r="H2959" t="s">
        <v>89</v>
      </c>
      <c r="I2959">
        <v>628</v>
      </c>
      <c r="J2959">
        <v>567</v>
      </c>
      <c r="K2959">
        <v>0</v>
      </c>
    </row>
    <row r="2960" spans="1:11" x14ac:dyDescent="0.25">
      <c r="A2960" t="s">
        <v>86</v>
      </c>
    </row>
    <row r="2961" spans="1:11" x14ac:dyDescent="0.25">
      <c r="A2961">
        <v>142.81027525105199</v>
      </c>
      <c r="B2961">
        <v>91.168156770221799</v>
      </c>
      <c r="C2961">
        <v>2000</v>
      </c>
    </row>
    <row r="2962" spans="1:11" x14ac:dyDescent="0.25">
      <c r="A2962">
        <v>136.08397883879201</v>
      </c>
      <c r="B2962">
        <v>84.4418603579619</v>
      </c>
      <c r="C2962">
        <v>2000</v>
      </c>
    </row>
    <row r="2963" spans="1:11" x14ac:dyDescent="0.25">
      <c r="A2963">
        <v>136.08397883879201</v>
      </c>
      <c r="B2963">
        <v>83.567828309064296</v>
      </c>
      <c r="C2963">
        <v>2001</v>
      </c>
    </row>
    <row r="2964" spans="1:11" x14ac:dyDescent="0.25">
      <c r="A2964">
        <v>143.12798838034499</v>
      </c>
      <c r="B2964">
        <v>90.611837850617306</v>
      </c>
      <c r="C2964">
        <v>2001</v>
      </c>
    </row>
    <row r="2965" spans="1:11" x14ac:dyDescent="0.25">
      <c r="A2965">
        <v>145.773049771676</v>
      </c>
      <c r="B2965">
        <v>93.256899241947806</v>
      </c>
      <c r="C2965">
        <v>2001</v>
      </c>
    </row>
    <row r="2966" spans="1:11" x14ac:dyDescent="0.25">
      <c r="A2966">
        <v>145.33603374722699</v>
      </c>
      <c r="B2966">
        <v>93.693915266396601</v>
      </c>
      <c r="C2966">
        <v>2000</v>
      </c>
    </row>
    <row r="2967" spans="1:11" x14ac:dyDescent="0.25">
      <c r="A2967" t="s">
        <v>87</v>
      </c>
    </row>
    <row r="2968" spans="1:11" x14ac:dyDescent="0.25">
      <c r="A2968">
        <v>438</v>
      </c>
      <c r="B2968">
        <v>0</v>
      </c>
      <c r="C2968">
        <v>3.5314364140140002</v>
      </c>
      <c r="D2968">
        <v>9.8511209708946694</v>
      </c>
      <c r="E2968">
        <v>6</v>
      </c>
      <c r="F2968">
        <v>1.01722196789785</v>
      </c>
      <c r="G2968" t="s">
        <v>85</v>
      </c>
      <c r="H2968" t="s">
        <v>85</v>
      </c>
      <c r="I2968">
        <v>468</v>
      </c>
      <c r="J2968">
        <v>464</v>
      </c>
      <c r="K2968">
        <v>0</v>
      </c>
    </row>
    <row r="2969" spans="1:11" x14ac:dyDescent="0.25">
      <c r="A2969" t="s">
        <v>86</v>
      </c>
    </row>
    <row r="2970" spans="1:11" x14ac:dyDescent="0.25">
      <c r="A2970">
        <v>77.695855666750603</v>
      </c>
      <c r="B2970">
        <v>14.6612647523457</v>
      </c>
      <c r="C2970">
        <v>2000</v>
      </c>
    </row>
    <row r="2971" spans="1:11" x14ac:dyDescent="0.25">
      <c r="A2971">
        <v>75.198753031072201</v>
      </c>
      <c r="B2971">
        <v>12.164162116667301</v>
      </c>
      <c r="C2971">
        <v>2000</v>
      </c>
    </row>
    <row r="2972" spans="1:11" x14ac:dyDescent="0.25">
      <c r="A2972">
        <v>76.072785079969805</v>
      </c>
      <c r="B2972">
        <v>12.164162116667301</v>
      </c>
      <c r="C2972">
        <v>2001</v>
      </c>
    </row>
    <row r="2973" spans="1:11" x14ac:dyDescent="0.25">
      <c r="A2973">
        <v>78.569887715648207</v>
      </c>
      <c r="B2973">
        <v>14.6612647523457</v>
      </c>
      <c r="C2973">
        <v>2001</v>
      </c>
    </row>
    <row r="2974" spans="1:11" x14ac:dyDescent="0.25">
      <c r="A2974">
        <v>85.5356821564569</v>
      </c>
      <c r="B2974">
        <v>21.627059193154398</v>
      </c>
      <c r="C2974">
        <v>2001</v>
      </c>
    </row>
    <row r="2975" spans="1:11" x14ac:dyDescent="0.25">
      <c r="A2975">
        <v>84.661650107559197</v>
      </c>
      <c r="B2975">
        <v>21.627059193154398</v>
      </c>
      <c r="C2975">
        <v>2000</v>
      </c>
    </row>
    <row r="2976" spans="1:11" x14ac:dyDescent="0.25">
      <c r="A2976" t="s">
        <v>87</v>
      </c>
    </row>
    <row r="2977" spans="1:11" x14ac:dyDescent="0.25">
      <c r="A2977">
        <v>1161</v>
      </c>
      <c r="B2977">
        <v>0</v>
      </c>
      <c r="C2977">
        <v>4.2796445723847398</v>
      </c>
      <c r="D2977">
        <v>9.1029128125239307</v>
      </c>
      <c r="E2977">
        <v>6</v>
      </c>
      <c r="F2977">
        <v>1.01722196789785</v>
      </c>
      <c r="G2977" t="s">
        <v>85</v>
      </c>
      <c r="H2977" t="s">
        <v>85</v>
      </c>
      <c r="I2977">
        <v>468</v>
      </c>
      <c r="J2977">
        <v>464</v>
      </c>
      <c r="K2977">
        <v>9.5300933138239702E-2</v>
      </c>
    </row>
    <row r="2978" spans="1:11" x14ac:dyDescent="0.25">
      <c r="A2978" t="s">
        <v>86</v>
      </c>
    </row>
    <row r="2979" spans="1:11" x14ac:dyDescent="0.25">
      <c r="A2979">
        <v>82.285247657589807</v>
      </c>
      <c r="B2979">
        <v>11.129998886552601</v>
      </c>
      <c r="C2979">
        <v>2000</v>
      </c>
    </row>
    <row r="2980" spans="1:11" x14ac:dyDescent="0.25">
      <c r="A2980">
        <v>79.259081959388396</v>
      </c>
      <c r="B2980">
        <v>8.1038331883511692</v>
      </c>
      <c r="C2980">
        <v>2000</v>
      </c>
    </row>
    <row r="2981" spans="1:11" x14ac:dyDescent="0.25">
      <c r="A2981">
        <v>80.133114008286</v>
      </c>
      <c r="B2981">
        <v>8.1038331883511692</v>
      </c>
      <c r="C2981">
        <v>2001</v>
      </c>
    </row>
    <row r="2982" spans="1:11" x14ac:dyDescent="0.25">
      <c r="A2982">
        <v>83.159279706487396</v>
      </c>
      <c r="B2982">
        <v>11.129998886552601</v>
      </c>
      <c r="C2982">
        <v>2001</v>
      </c>
    </row>
    <row r="2983" spans="1:11" x14ac:dyDescent="0.25">
      <c r="A2983">
        <v>89.596011084772996</v>
      </c>
      <c r="B2983">
        <v>17.566730264838199</v>
      </c>
      <c r="C2983">
        <v>2001</v>
      </c>
    </row>
    <row r="2984" spans="1:11" x14ac:dyDescent="0.25">
      <c r="A2984">
        <v>88.721979035875407</v>
      </c>
      <c r="B2984">
        <v>17.566730264838199</v>
      </c>
      <c r="C2984">
        <v>2000</v>
      </c>
    </row>
    <row r="2985" spans="1:11" x14ac:dyDescent="0.25">
      <c r="A2985" t="s">
        <v>87</v>
      </c>
    </row>
    <row r="2986" spans="1:11" x14ac:dyDescent="0.25">
      <c r="A2986">
        <v>440</v>
      </c>
      <c r="B2986">
        <v>0</v>
      </c>
      <c r="C2986">
        <v>1.0446399997307501</v>
      </c>
      <c r="D2986">
        <v>12.337917385177899</v>
      </c>
      <c r="E2986">
        <v>6</v>
      </c>
      <c r="F2986">
        <v>1.01722196789785</v>
      </c>
      <c r="G2986" t="s">
        <v>85</v>
      </c>
      <c r="H2986" t="s">
        <v>85</v>
      </c>
      <c r="I2986">
        <v>468</v>
      </c>
      <c r="J2986">
        <v>464</v>
      </c>
      <c r="K2986">
        <v>0</v>
      </c>
    </row>
    <row r="2987" spans="1:11" x14ac:dyDescent="0.25">
      <c r="A2987" t="s">
        <v>86</v>
      </c>
    </row>
    <row r="2988" spans="1:11" x14ac:dyDescent="0.25">
      <c r="A2988">
        <v>77.181118995501194</v>
      </c>
      <c r="B2988">
        <v>11.6591402076549</v>
      </c>
      <c r="C2988">
        <v>2000</v>
      </c>
    </row>
    <row r="2989" spans="1:11" x14ac:dyDescent="0.25">
      <c r="A2989">
        <v>76.442446967792904</v>
      </c>
      <c r="B2989">
        <v>10.920468179946599</v>
      </c>
      <c r="C2989">
        <v>2000</v>
      </c>
    </row>
    <row r="2990" spans="1:11" x14ac:dyDescent="0.25">
      <c r="A2990">
        <v>76.442446967792904</v>
      </c>
      <c r="B2990">
        <v>11.794500228844299</v>
      </c>
      <c r="C2990">
        <v>2001</v>
      </c>
    </row>
    <row r="2991" spans="1:11" x14ac:dyDescent="0.25">
      <c r="A2991">
        <v>77.181118995501194</v>
      </c>
      <c r="B2991">
        <v>12.5331722565526</v>
      </c>
      <c r="C2991">
        <v>2001</v>
      </c>
    </row>
    <row r="2992" spans="1:11" x14ac:dyDescent="0.25">
      <c r="A2992">
        <v>85.9053440442799</v>
      </c>
      <c r="B2992">
        <v>21.257397305331299</v>
      </c>
      <c r="C2992">
        <v>2001</v>
      </c>
    </row>
    <row r="2993" spans="1:11" x14ac:dyDescent="0.25">
      <c r="A2993">
        <v>85.9053440442799</v>
      </c>
      <c r="B2993">
        <v>20.383365256433599</v>
      </c>
      <c r="C2993">
        <v>2000</v>
      </c>
    </row>
    <row r="2994" spans="1:11" x14ac:dyDescent="0.25">
      <c r="A2994" t="s">
        <v>87</v>
      </c>
    </row>
    <row r="2995" spans="1:11" x14ac:dyDescent="0.25">
      <c r="A2995">
        <v>431</v>
      </c>
      <c r="B2995">
        <v>0</v>
      </c>
      <c r="C2995">
        <v>7.0112196261025304</v>
      </c>
      <c r="D2995">
        <v>6.3713377588061304</v>
      </c>
      <c r="E2995">
        <v>6</v>
      </c>
      <c r="F2995">
        <v>1.01722196789785</v>
      </c>
      <c r="G2995" t="s">
        <v>85</v>
      </c>
      <c r="H2995" t="s">
        <v>85</v>
      </c>
      <c r="I2995">
        <v>468</v>
      </c>
      <c r="J2995">
        <v>464</v>
      </c>
      <c r="K2995">
        <v>0</v>
      </c>
    </row>
    <row r="2996" spans="1:11" x14ac:dyDescent="0.25">
      <c r="A2996" t="s">
        <v>86</v>
      </c>
    </row>
    <row r="2997" spans="1:11" x14ac:dyDescent="0.25">
      <c r="A2997">
        <v>79.671702710758794</v>
      </c>
      <c r="B2997">
        <v>17.606574320991399</v>
      </c>
      <c r="C2997">
        <v>2000</v>
      </c>
    </row>
    <row r="2998" spans="1:11" x14ac:dyDescent="0.25">
      <c r="A2998">
        <v>74.714021768753398</v>
      </c>
      <c r="B2998">
        <v>12.6488933789861</v>
      </c>
      <c r="C2998">
        <v>2000</v>
      </c>
    </row>
    <row r="2999" spans="1:11" x14ac:dyDescent="0.25">
      <c r="A2999">
        <v>74.714021768753398</v>
      </c>
      <c r="B2999">
        <v>13.522925427883701</v>
      </c>
      <c r="C2999">
        <v>2001</v>
      </c>
    </row>
    <row r="3000" spans="1:11" x14ac:dyDescent="0.25">
      <c r="A3000">
        <v>79.671702710758694</v>
      </c>
      <c r="B3000">
        <v>18.480606369888999</v>
      </c>
      <c r="C3000">
        <v>2001</v>
      </c>
    </row>
    <row r="3001" spans="1:11" x14ac:dyDescent="0.25">
      <c r="A3001">
        <v>84.176918845240493</v>
      </c>
      <c r="B3001">
        <v>22.985822504370802</v>
      </c>
      <c r="C3001">
        <v>2001</v>
      </c>
    </row>
    <row r="3002" spans="1:11" x14ac:dyDescent="0.25">
      <c r="A3002">
        <v>84.176918845240493</v>
      </c>
      <c r="B3002">
        <v>22.111790455473098</v>
      </c>
      <c r="C3002">
        <v>2000</v>
      </c>
    </row>
    <row r="3003" spans="1:11" x14ac:dyDescent="0.25">
      <c r="A3003" t="s">
        <v>87</v>
      </c>
    </row>
    <row r="3004" spans="1:11" x14ac:dyDescent="0.25">
      <c r="A3004">
        <v>1048</v>
      </c>
      <c r="B3004">
        <v>1</v>
      </c>
      <c r="C3004">
        <v>9.9683454495104904</v>
      </c>
      <c r="D3004">
        <v>3.3922951625720201</v>
      </c>
      <c r="E3004">
        <v>6</v>
      </c>
      <c r="F3004">
        <v>1.01722196789785</v>
      </c>
      <c r="G3004" t="s">
        <v>88</v>
      </c>
      <c r="H3004" t="s">
        <v>85</v>
      </c>
      <c r="I3004">
        <v>0</v>
      </c>
      <c r="J3004">
        <v>181</v>
      </c>
      <c r="K3004">
        <v>9.4036209728977305E-2</v>
      </c>
    </row>
    <row r="3005" spans="1:11" x14ac:dyDescent="0.25">
      <c r="A3005" t="s">
        <v>86</v>
      </c>
    </row>
    <row r="3006" spans="1:11" x14ac:dyDescent="0.25">
      <c r="A3006">
        <v>71.847928076902704</v>
      </c>
      <c r="B3006">
        <v>142.951315335441</v>
      </c>
      <c r="C3006">
        <v>2000</v>
      </c>
    </row>
    <row r="3007" spans="1:11" x14ac:dyDescent="0.25">
      <c r="A3007">
        <v>64.799243412343799</v>
      </c>
      <c r="B3007">
        <v>150</v>
      </c>
      <c r="C3007">
        <v>2000</v>
      </c>
    </row>
    <row r="3008" spans="1:11" x14ac:dyDescent="0.25">
      <c r="A3008">
        <v>63.925211363446202</v>
      </c>
      <c r="B3008">
        <v>150</v>
      </c>
      <c r="C3008">
        <v>2001</v>
      </c>
    </row>
    <row r="3009" spans="1:11" x14ac:dyDescent="0.25">
      <c r="A3009">
        <v>70.9738960280051</v>
      </c>
      <c r="B3009">
        <v>142.951315335441</v>
      </c>
      <c r="C3009">
        <v>2001</v>
      </c>
    </row>
    <row r="3010" spans="1:11" x14ac:dyDescent="0.25">
      <c r="A3010">
        <v>73.372610941246094</v>
      </c>
      <c r="B3010">
        <v>140.55260042219999</v>
      </c>
      <c r="C3010">
        <v>2001</v>
      </c>
    </row>
    <row r="3011" spans="1:11" x14ac:dyDescent="0.25">
      <c r="A3011">
        <v>74.246642990143698</v>
      </c>
      <c r="B3011">
        <v>140.55260042219999</v>
      </c>
      <c r="C3011">
        <v>2000</v>
      </c>
    </row>
    <row r="3012" spans="1:11" x14ac:dyDescent="0.25">
      <c r="A3012" t="s">
        <v>87</v>
      </c>
    </row>
    <row r="3013" spans="1:11" x14ac:dyDescent="0.25">
      <c r="A3013">
        <v>549</v>
      </c>
      <c r="B3013">
        <v>1</v>
      </c>
      <c r="C3013">
        <v>6.1467726820722701</v>
      </c>
      <c r="D3013">
        <v>7.2071891197795699</v>
      </c>
      <c r="E3013">
        <v>8</v>
      </c>
      <c r="F3013">
        <v>1.01722196789785</v>
      </c>
      <c r="G3013" t="s">
        <v>85</v>
      </c>
      <c r="H3013" t="s">
        <v>89</v>
      </c>
      <c r="I3013">
        <v>192</v>
      </c>
      <c r="J3013">
        <v>523</v>
      </c>
      <c r="K3013">
        <v>0</v>
      </c>
    </row>
    <row r="3014" spans="1:11" x14ac:dyDescent="0.25">
      <c r="A3014" t="s">
        <v>86</v>
      </c>
    </row>
    <row r="3015" spans="1:11" x14ac:dyDescent="0.25">
      <c r="A3015">
        <v>102.75321156231099</v>
      </c>
      <c r="B3015">
        <v>110.053920367397</v>
      </c>
      <c r="C3015">
        <v>2000</v>
      </c>
    </row>
    <row r="3016" spans="1:11" x14ac:dyDescent="0.25">
      <c r="A3016">
        <v>99.627254425358899</v>
      </c>
      <c r="B3016">
        <v>113.17987750434899</v>
      </c>
      <c r="C3016">
        <v>2000</v>
      </c>
    </row>
    <row r="3017" spans="1:11" x14ac:dyDescent="0.25">
      <c r="A3017">
        <v>98.284556405760299</v>
      </c>
      <c r="B3017">
        <v>114.52257552394801</v>
      </c>
      <c r="C3017">
        <v>2000</v>
      </c>
    </row>
    <row r="3018" spans="1:11" x14ac:dyDescent="0.25">
      <c r="A3018">
        <v>99.158588454657902</v>
      </c>
      <c r="B3018">
        <v>114.52257552394801</v>
      </c>
      <c r="C3018">
        <v>2001</v>
      </c>
    </row>
    <row r="3019" spans="1:11" x14ac:dyDescent="0.25">
      <c r="A3019">
        <v>100.372745574641</v>
      </c>
      <c r="B3019">
        <v>113.308418403964</v>
      </c>
      <c r="C3019">
        <v>2001</v>
      </c>
    </row>
    <row r="3020" spans="1:11" x14ac:dyDescent="0.25">
      <c r="A3020">
        <v>103.382782589919</v>
      </c>
      <c r="B3020">
        <v>110.29838138868701</v>
      </c>
      <c r="C3020">
        <v>2001</v>
      </c>
    </row>
    <row r="3021" spans="1:11" x14ac:dyDescent="0.25">
      <c r="A3021">
        <v>108.382757388229</v>
      </c>
      <c r="B3021">
        <v>105.298406590376</v>
      </c>
      <c r="C3021">
        <v>2001</v>
      </c>
    </row>
    <row r="3022" spans="1:11" x14ac:dyDescent="0.25">
      <c r="A3022">
        <v>107.94574136378</v>
      </c>
      <c r="B3022">
        <v>104.86139056592801</v>
      </c>
      <c r="C3022">
        <v>2000</v>
      </c>
    </row>
    <row r="3023" spans="1:11" x14ac:dyDescent="0.25">
      <c r="A3023" t="s">
        <v>87</v>
      </c>
    </row>
    <row r="3024" spans="1:11" x14ac:dyDescent="0.25">
      <c r="A3024">
        <v>65</v>
      </c>
      <c r="B3024">
        <v>1</v>
      </c>
      <c r="C3024">
        <v>5.8717822925760297</v>
      </c>
      <c r="D3024">
        <v>7.4783059340145304</v>
      </c>
      <c r="E3024">
        <v>6</v>
      </c>
      <c r="F3024">
        <v>1.01722196789785</v>
      </c>
      <c r="G3024" t="s">
        <v>85</v>
      </c>
      <c r="H3024" t="s">
        <v>85</v>
      </c>
      <c r="I3024">
        <v>769</v>
      </c>
      <c r="J3024">
        <v>22</v>
      </c>
      <c r="K3024">
        <v>0</v>
      </c>
    </row>
    <row r="3025" spans="1:11" x14ac:dyDescent="0.25">
      <c r="A3025" t="s">
        <v>86</v>
      </c>
    </row>
    <row r="3026" spans="1:11" x14ac:dyDescent="0.25">
      <c r="A3026">
        <v>36.9217266185575</v>
      </c>
      <c r="B3026">
        <v>25.6520895880249</v>
      </c>
      <c r="C3026">
        <v>2000</v>
      </c>
    </row>
    <row r="3027" spans="1:11" x14ac:dyDescent="0.25">
      <c r="A3027">
        <v>32.961962725018097</v>
      </c>
      <c r="B3027">
        <v>29.6118534815642</v>
      </c>
      <c r="C3027">
        <v>2000</v>
      </c>
    </row>
    <row r="3028" spans="1:11" x14ac:dyDescent="0.25">
      <c r="A3028">
        <v>32.961962725018097</v>
      </c>
      <c r="B3028">
        <v>30.4858855304619</v>
      </c>
      <c r="C3028">
        <v>2001</v>
      </c>
    </row>
    <row r="3029" spans="1:11" x14ac:dyDescent="0.25">
      <c r="A3029">
        <v>37.306152984942003</v>
      </c>
      <c r="B3029">
        <v>26.141695270538001</v>
      </c>
      <c r="C3029">
        <v>2001</v>
      </c>
    </row>
    <row r="3030" spans="1:11" x14ac:dyDescent="0.25">
      <c r="A3030">
        <v>42.838916663927797</v>
      </c>
      <c r="B3030">
        <v>20.608931591552199</v>
      </c>
      <c r="C3030">
        <v>2001</v>
      </c>
    </row>
    <row r="3031" spans="1:11" x14ac:dyDescent="0.25">
      <c r="A3031">
        <v>41.964884615030201</v>
      </c>
      <c r="B3031">
        <v>20.608931591552199</v>
      </c>
      <c r="C3031">
        <v>2000</v>
      </c>
    </row>
    <row r="3032" spans="1:11" x14ac:dyDescent="0.25">
      <c r="A3032" t="s">
        <v>87</v>
      </c>
    </row>
    <row r="3033" spans="1:11" x14ac:dyDescent="0.25">
      <c r="A3033">
        <v>22</v>
      </c>
      <c r="B3033">
        <v>0</v>
      </c>
      <c r="C3033">
        <v>7.8121676342282997</v>
      </c>
      <c r="D3033">
        <v>5.5041303279060498</v>
      </c>
      <c r="E3033">
        <v>8</v>
      </c>
      <c r="F3033">
        <v>1.01722196789785</v>
      </c>
      <c r="G3033" t="s">
        <v>85</v>
      </c>
      <c r="H3033" t="s">
        <v>85</v>
      </c>
      <c r="I3033">
        <v>75</v>
      </c>
      <c r="J3033">
        <v>68</v>
      </c>
      <c r="K3033">
        <v>0</v>
      </c>
    </row>
    <row r="3034" spans="1:11" x14ac:dyDescent="0.25">
      <c r="A3034" t="s">
        <v>86</v>
      </c>
    </row>
    <row r="3035" spans="1:11" x14ac:dyDescent="0.25">
      <c r="A3035">
        <v>46.525556103321598</v>
      </c>
      <c r="B3035">
        <v>25.169603079843601</v>
      </c>
      <c r="C3035">
        <v>2000</v>
      </c>
    </row>
    <row r="3036" spans="1:11" x14ac:dyDescent="0.25">
      <c r="A3036">
        <v>41.253783410067598</v>
      </c>
      <c r="B3036">
        <v>19.8978303865896</v>
      </c>
      <c r="C3036">
        <v>2000</v>
      </c>
    </row>
    <row r="3037" spans="1:11" x14ac:dyDescent="0.25">
      <c r="A3037">
        <v>41.253783410067598</v>
      </c>
      <c r="B3037">
        <v>19.0237983376919</v>
      </c>
      <c r="C3037">
        <v>2001</v>
      </c>
    </row>
    <row r="3038" spans="1:11" x14ac:dyDescent="0.25">
      <c r="A3038">
        <v>47.030084136671299</v>
      </c>
      <c r="B3038">
        <v>24.800099064295701</v>
      </c>
      <c r="C3038">
        <v>2001</v>
      </c>
    </row>
    <row r="3039" spans="1:11" x14ac:dyDescent="0.25">
      <c r="A3039">
        <v>50.3994100407985</v>
      </c>
      <c r="B3039">
        <v>28.169424968422799</v>
      </c>
      <c r="C3039">
        <v>2001</v>
      </c>
    </row>
    <row r="3040" spans="1:11" x14ac:dyDescent="0.25">
      <c r="A3040">
        <v>51.1068440238422</v>
      </c>
      <c r="B3040">
        <v>28.876858951466598</v>
      </c>
      <c r="C3040">
        <v>2001</v>
      </c>
    </row>
    <row r="3041" spans="1:11" x14ac:dyDescent="0.25">
      <c r="A3041">
        <v>50.232811974944497</v>
      </c>
      <c r="B3041">
        <v>28.876858951466598</v>
      </c>
      <c r="C3041">
        <v>2000</v>
      </c>
    </row>
    <row r="3042" spans="1:11" x14ac:dyDescent="0.25">
      <c r="A3042">
        <v>49.6005899592015</v>
      </c>
      <c r="B3042">
        <v>28.244636935723499</v>
      </c>
      <c r="C3042">
        <v>2000</v>
      </c>
    </row>
    <row r="3043" spans="1:11" x14ac:dyDescent="0.25">
      <c r="A3043" t="s">
        <v>87</v>
      </c>
    </row>
    <row r="3044" spans="1:11" x14ac:dyDescent="0.25">
      <c r="A3044">
        <v>724</v>
      </c>
      <c r="B3044">
        <v>1</v>
      </c>
      <c r="C3044">
        <v>6.4817057848102602</v>
      </c>
      <c r="D3044">
        <v>6.8219143723588997</v>
      </c>
      <c r="E3044">
        <v>6</v>
      </c>
      <c r="F3044">
        <v>1.01722196789785</v>
      </c>
      <c r="G3044" t="s">
        <v>85</v>
      </c>
      <c r="H3044" t="s">
        <v>85</v>
      </c>
      <c r="I3044">
        <v>722</v>
      </c>
      <c r="J3044">
        <v>120</v>
      </c>
      <c r="K3044">
        <v>8.8543832116719706E-2</v>
      </c>
    </row>
    <row r="3045" spans="1:11" x14ac:dyDescent="0.25">
      <c r="A3045" t="s">
        <v>86</v>
      </c>
    </row>
    <row r="3046" spans="1:11" x14ac:dyDescent="0.25">
      <c r="A3046">
        <v>111.499081564825</v>
      </c>
      <c r="B3046">
        <v>34.947340346382703</v>
      </c>
      <c r="C3046">
        <v>2000</v>
      </c>
    </row>
    <row r="3047" spans="1:11" x14ac:dyDescent="0.25">
      <c r="A3047">
        <v>106.91582345073</v>
      </c>
      <c r="B3047">
        <v>39.530598460478103</v>
      </c>
      <c r="C3047">
        <v>2000</v>
      </c>
    </row>
    <row r="3048" spans="1:11" x14ac:dyDescent="0.25">
      <c r="A3048">
        <v>106.041791401832</v>
      </c>
      <c r="B3048">
        <v>39.530598460478103</v>
      </c>
      <c r="C3048">
        <v>2001</v>
      </c>
    </row>
    <row r="3049" spans="1:11" x14ac:dyDescent="0.25">
      <c r="A3049">
        <v>110.625049515927</v>
      </c>
      <c r="B3049">
        <v>34.947340346382703</v>
      </c>
      <c r="C3049">
        <v>2001</v>
      </c>
    </row>
    <row r="3050" spans="1:11" x14ac:dyDescent="0.25">
      <c r="A3050">
        <v>115.44887142929601</v>
      </c>
      <c r="B3050">
        <v>30.1235184330137</v>
      </c>
      <c r="C3050">
        <v>2001</v>
      </c>
    </row>
    <row r="3051" spans="1:11" x14ac:dyDescent="0.25">
      <c r="A3051">
        <v>116.32290347819399</v>
      </c>
      <c r="B3051">
        <v>30.1235184330137</v>
      </c>
      <c r="C3051">
        <v>2000</v>
      </c>
    </row>
    <row r="3052" spans="1:11" x14ac:dyDescent="0.25">
      <c r="A3052" t="s">
        <v>87</v>
      </c>
    </row>
    <row r="3053" spans="1:11" x14ac:dyDescent="0.25">
      <c r="A3053">
        <v>806</v>
      </c>
      <c r="B3053">
        <v>1</v>
      </c>
      <c r="C3053">
        <v>10.549380734435699</v>
      </c>
      <c r="D3053">
        <v>2.7446300400501502</v>
      </c>
      <c r="E3053">
        <v>6</v>
      </c>
      <c r="F3053">
        <v>1.01722196789785</v>
      </c>
      <c r="G3053" t="s">
        <v>85</v>
      </c>
      <c r="H3053" t="s">
        <v>85</v>
      </c>
      <c r="I3053">
        <v>117</v>
      </c>
      <c r="J3053">
        <v>111</v>
      </c>
      <c r="K3053">
        <v>8.9816640118045604E-2</v>
      </c>
    </row>
    <row r="3054" spans="1:11" x14ac:dyDescent="0.25">
      <c r="A3054" t="s">
        <v>86</v>
      </c>
    </row>
    <row r="3055" spans="1:11" x14ac:dyDescent="0.25">
      <c r="A3055">
        <v>141.08200426729499</v>
      </c>
      <c r="B3055">
        <v>25.082281259401501</v>
      </c>
      <c r="C3055">
        <v>2000</v>
      </c>
    </row>
    <row r="3056" spans="1:11" x14ac:dyDescent="0.25">
      <c r="A3056">
        <v>133.62246561265701</v>
      </c>
      <c r="B3056">
        <v>32.541819914039699</v>
      </c>
      <c r="C3056">
        <v>2000</v>
      </c>
    </row>
    <row r="3057" spans="1:11" x14ac:dyDescent="0.25">
      <c r="A3057">
        <v>133.62246561265701</v>
      </c>
      <c r="B3057">
        <v>33.415851962937403</v>
      </c>
      <c r="C3057">
        <v>2001</v>
      </c>
    </row>
    <row r="3058" spans="1:11" x14ac:dyDescent="0.25">
      <c r="A3058">
        <v>141.08200426729499</v>
      </c>
      <c r="B3058">
        <v>25.956313308299201</v>
      </c>
      <c r="C3058">
        <v>2001</v>
      </c>
    </row>
    <row r="3059" spans="1:11" x14ac:dyDescent="0.25">
      <c r="A3059">
        <v>143.02275078046301</v>
      </c>
      <c r="B3059">
        <v>24.015566795131399</v>
      </c>
      <c r="C3059">
        <v>2001</v>
      </c>
    </row>
    <row r="3060" spans="1:11" x14ac:dyDescent="0.25">
      <c r="A3060">
        <v>143.02275078046301</v>
      </c>
      <c r="B3060">
        <v>23.141534746233699</v>
      </c>
      <c r="C3060">
        <v>2000</v>
      </c>
    </row>
    <row r="3061" spans="1:11" x14ac:dyDescent="0.25">
      <c r="A3061" t="s">
        <v>87</v>
      </c>
    </row>
    <row r="3062" spans="1:11" x14ac:dyDescent="0.25">
      <c r="A3062">
        <v>428</v>
      </c>
      <c r="B3062">
        <v>0</v>
      </c>
      <c r="C3062">
        <v>6.15554392813267</v>
      </c>
      <c r="D3062">
        <v>7.1058301143577198</v>
      </c>
      <c r="E3062">
        <v>8</v>
      </c>
      <c r="F3062">
        <v>1.01722196789785</v>
      </c>
      <c r="G3062" t="s">
        <v>89</v>
      </c>
      <c r="H3062" t="s">
        <v>85</v>
      </c>
      <c r="I3062">
        <v>827</v>
      </c>
      <c r="J3062">
        <v>461</v>
      </c>
      <c r="K3062">
        <v>0</v>
      </c>
    </row>
    <row r="3063" spans="1:11" x14ac:dyDescent="0.25">
      <c r="A3063" t="s">
        <v>86</v>
      </c>
    </row>
    <row r="3064" spans="1:11" x14ac:dyDescent="0.25">
      <c r="A3064">
        <v>85.312595595376706</v>
      </c>
      <c r="B3064">
        <v>49.595938594905903</v>
      </c>
      <c r="C3064">
        <v>2000</v>
      </c>
    </row>
    <row r="3065" spans="1:11" x14ac:dyDescent="0.25">
      <c r="A3065">
        <v>80.935471066560595</v>
      </c>
      <c r="B3065">
        <v>45.218814066089699</v>
      </c>
      <c r="C3065">
        <v>2000</v>
      </c>
    </row>
    <row r="3066" spans="1:11" x14ac:dyDescent="0.25">
      <c r="A3066">
        <v>81.372487091009404</v>
      </c>
      <c r="B3066">
        <v>44.781798041640897</v>
      </c>
      <c r="C3066">
        <v>2001</v>
      </c>
    </row>
    <row r="3067" spans="1:11" x14ac:dyDescent="0.25">
      <c r="A3067">
        <v>85.700616269141804</v>
      </c>
      <c r="B3067">
        <v>49.109927219773297</v>
      </c>
      <c r="C3067">
        <v>2001</v>
      </c>
    </row>
    <row r="3068" spans="1:11" x14ac:dyDescent="0.25">
      <c r="A3068">
        <v>86.344041505954195</v>
      </c>
      <c r="B3068">
        <v>49.753352456585702</v>
      </c>
      <c r="C3068">
        <v>2001</v>
      </c>
    </row>
    <row r="3069" spans="1:11" x14ac:dyDescent="0.25">
      <c r="A3069">
        <v>90.531186592081198</v>
      </c>
      <c r="B3069">
        <v>53.940497542712698</v>
      </c>
      <c r="C3069">
        <v>2001</v>
      </c>
    </row>
    <row r="3070" spans="1:11" x14ac:dyDescent="0.25">
      <c r="A3070">
        <v>90.531186592081198</v>
      </c>
      <c r="B3070">
        <v>54.814529591610302</v>
      </c>
      <c r="C3070">
        <v>2000</v>
      </c>
    </row>
    <row r="3071" spans="1:11" x14ac:dyDescent="0.25">
      <c r="A3071">
        <v>85.963304543885101</v>
      </c>
      <c r="B3071">
        <v>50.246647543414298</v>
      </c>
      <c r="C3071">
        <v>2000</v>
      </c>
    </row>
    <row r="3072" spans="1:11" x14ac:dyDescent="0.25">
      <c r="A3072" t="s">
        <v>87</v>
      </c>
    </row>
    <row r="3073" spans="1:11" x14ac:dyDescent="0.25">
      <c r="A3073">
        <v>1187</v>
      </c>
      <c r="B3073">
        <v>1</v>
      </c>
      <c r="C3073">
        <v>5.4108092204072999</v>
      </c>
      <c r="D3073">
        <v>7.8440273589948601</v>
      </c>
      <c r="E3073">
        <v>6</v>
      </c>
      <c r="F3073">
        <v>1.01722196789785</v>
      </c>
      <c r="G3073" t="s">
        <v>85</v>
      </c>
      <c r="H3073" t="s">
        <v>85</v>
      </c>
      <c r="I3073">
        <v>35</v>
      </c>
      <c r="J3073">
        <v>22</v>
      </c>
      <c r="K3073">
        <v>9.5800019506126696E-2</v>
      </c>
    </row>
    <row r="3074" spans="1:11" x14ac:dyDescent="0.25">
      <c r="A3074" t="s">
        <v>86</v>
      </c>
    </row>
    <row r="3075" spans="1:11" x14ac:dyDescent="0.25">
      <c r="A3075">
        <v>43.948861294411103</v>
      </c>
      <c r="B3075">
        <v>33.686038145649299</v>
      </c>
      <c r="C3075">
        <v>2000</v>
      </c>
    </row>
    <row r="3076" spans="1:11" x14ac:dyDescent="0.25">
      <c r="A3076">
        <v>40.122841402954499</v>
      </c>
      <c r="B3076">
        <v>37.512058037106002</v>
      </c>
      <c r="C3076">
        <v>2000</v>
      </c>
    </row>
    <row r="3077" spans="1:11" x14ac:dyDescent="0.25">
      <c r="A3077">
        <v>40.996873451852103</v>
      </c>
      <c r="B3077">
        <v>37.512058037106002</v>
      </c>
      <c r="C3077">
        <v>2001</v>
      </c>
    </row>
    <row r="3078" spans="1:11" x14ac:dyDescent="0.25">
      <c r="A3078">
        <v>44.822893343308799</v>
      </c>
      <c r="B3078">
        <v>33.686038145649299</v>
      </c>
      <c r="C3078">
        <v>2001</v>
      </c>
    </row>
    <row r="3079" spans="1:11" x14ac:dyDescent="0.25">
      <c r="A3079">
        <v>50.369458280666798</v>
      </c>
      <c r="B3079">
        <v>28.1394732082912</v>
      </c>
      <c r="C3079">
        <v>2001</v>
      </c>
    </row>
    <row r="3080" spans="1:11" x14ac:dyDescent="0.25">
      <c r="A3080">
        <v>49.495426231769201</v>
      </c>
      <c r="B3080">
        <v>28.1394732082912</v>
      </c>
      <c r="C3080">
        <v>2000</v>
      </c>
    </row>
    <row r="3081" spans="1:11" x14ac:dyDescent="0.25">
      <c r="A3081" t="s">
        <v>87</v>
      </c>
    </row>
    <row r="3082" spans="1:11" x14ac:dyDescent="0.25">
      <c r="A3082">
        <v>824</v>
      </c>
      <c r="B3082">
        <v>1</v>
      </c>
      <c r="C3082">
        <v>9.1534455503593097</v>
      </c>
      <c r="D3082">
        <v>4.0803219676349602</v>
      </c>
      <c r="E3082">
        <v>6</v>
      </c>
      <c r="F3082">
        <v>1.01722196789785</v>
      </c>
      <c r="G3082" t="s">
        <v>85</v>
      </c>
      <c r="H3082" t="s">
        <v>85</v>
      </c>
      <c r="I3082">
        <v>507</v>
      </c>
      <c r="J3082">
        <v>803</v>
      </c>
      <c r="K3082">
        <v>9.0097089164053304E-2</v>
      </c>
    </row>
    <row r="3083" spans="1:11" x14ac:dyDescent="0.25">
      <c r="A3083" t="s">
        <v>86</v>
      </c>
    </row>
    <row r="3084" spans="1:11" x14ac:dyDescent="0.25">
      <c r="A3084">
        <v>129.94001594191101</v>
      </c>
      <c r="B3084">
        <v>131.854013363674</v>
      </c>
      <c r="C3084">
        <v>2000</v>
      </c>
    </row>
    <row r="3085" spans="1:11" x14ac:dyDescent="0.25">
      <c r="A3085">
        <v>123.769824900548</v>
      </c>
      <c r="B3085">
        <v>138.02420440503599</v>
      </c>
      <c r="C3085">
        <v>2000</v>
      </c>
    </row>
    <row r="3086" spans="1:11" x14ac:dyDescent="0.25">
      <c r="A3086">
        <v>122.895792851651</v>
      </c>
      <c r="B3086">
        <v>138.02420440503599</v>
      </c>
      <c r="C3086">
        <v>2001</v>
      </c>
    </row>
    <row r="3087" spans="1:11" x14ac:dyDescent="0.25">
      <c r="A3087">
        <v>129.67052865004999</v>
      </c>
      <c r="B3087">
        <v>131.24946860663599</v>
      </c>
      <c r="C3087">
        <v>2001</v>
      </c>
    </row>
    <row r="3088" spans="1:11" x14ac:dyDescent="0.25">
      <c r="A3088">
        <v>132.69049562871899</v>
      </c>
      <c r="B3088">
        <v>128.22950162796701</v>
      </c>
      <c r="C3088">
        <v>2001</v>
      </c>
    </row>
    <row r="3089" spans="1:11" x14ac:dyDescent="0.25">
      <c r="A3089">
        <v>132.69049562871899</v>
      </c>
      <c r="B3089">
        <v>129.103533676865</v>
      </c>
      <c r="C3089">
        <v>2000</v>
      </c>
    </row>
    <row r="3090" spans="1:11" x14ac:dyDescent="0.25">
      <c r="A3090" t="s">
        <v>87</v>
      </c>
    </row>
    <row r="3091" spans="1:11" x14ac:dyDescent="0.25">
      <c r="A3091">
        <v>545</v>
      </c>
      <c r="B3091">
        <v>1</v>
      </c>
      <c r="C3091">
        <v>11.171170293210601</v>
      </c>
      <c r="D3091">
        <v>2.0625972247836599</v>
      </c>
      <c r="E3091">
        <v>6</v>
      </c>
      <c r="F3091">
        <v>1.01722196789785</v>
      </c>
      <c r="G3091" t="s">
        <v>85</v>
      </c>
      <c r="H3091" t="s">
        <v>85</v>
      </c>
      <c r="I3091">
        <v>507</v>
      </c>
      <c r="J3091">
        <v>803</v>
      </c>
      <c r="K3091">
        <v>0</v>
      </c>
    </row>
    <row r="3092" spans="1:11" x14ac:dyDescent="0.25">
      <c r="A3092" t="s">
        <v>86</v>
      </c>
    </row>
    <row r="3093" spans="1:11" x14ac:dyDescent="0.25">
      <c r="A3093">
        <v>128.74792971996001</v>
      </c>
      <c r="B3093">
        <v>127.94169527629499</v>
      </c>
      <c r="C3093">
        <v>2000</v>
      </c>
    </row>
    <row r="3094" spans="1:11" x14ac:dyDescent="0.25">
      <c r="A3094">
        <v>121.21762274588301</v>
      </c>
      <c r="B3094">
        <v>135.47200225037099</v>
      </c>
      <c r="C3094">
        <v>2000</v>
      </c>
    </row>
    <row r="3095" spans="1:11" x14ac:dyDescent="0.25">
      <c r="A3095">
        <v>121.21762274588301</v>
      </c>
      <c r="B3095">
        <v>136.34603429926901</v>
      </c>
      <c r="C3095">
        <v>2001</v>
      </c>
    </row>
    <row r="3096" spans="1:11" x14ac:dyDescent="0.25">
      <c r="A3096">
        <v>129.48573630804501</v>
      </c>
      <c r="B3096">
        <v>128.07792073710701</v>
      </c>
      <c r="C3096">
        <v>2001</v>
      </c>
    </row>
    <row r="3097" spans="1:11" x14ac:dyDescent="0.25">
      <c r="A3097">
        <v>131.01232552295201</v>
      </c>
      <c r="B3097">
        <v>126.5513315222</v>
      </c>
      <c r="C3097">
        <v>2001</v>
      </c>
    </row>
    <row r="3098" spans="1:11" x14ac:dyDescent="0.25">
      <c r="A3098">
        <v>130.13829347405499</v>
      </c>
      <c r="B3098">
        <v>126.5513315222</v>
      </c>
      <c r="C3098">
        <v>2000</v>
      </c>
    </row>
    <row r="3099" spans="1:11" x14ac:dyDescent="0.25">
      <c r="A3099" t="s">
        <v>87</v>
      </c>
    </row>
    <row r="3100" spans="1:11" x14ac:dyDescent="0.25">
      <c r="A3100">
        <v>275</v>
      </c>
      <c r="B3100">
        <v>0</v>
      </c>
      <c r="C3100">
        <v>4.3521324761912901</v>
      </c>
      <c r="D3100">
        <v>8.8797688089845508</v>
      </c>
      <c r="E3100">
        <v>6</v>
      </c>
      <c r="F3100">
        <v>1.01722196789785</v>
      </c>
      <c r="G3100" t="s">
        <v>85</v>
      </c>
      <c r="H3100" t="s">
        <v>85</v>
      </c>
      <c r="I3100">
        <v>310</v>
      </c>
      <c r="J3100">
        <v>830</v>
      </c>
      <c r="K3100">
        <v>0</v>
      </c>
    </row>
    <row r="3101" spans="1:11" x14ac:dyDescent="0.25">
      <c r="A3101" t="s">
        <v>86</v>
      </c>
    </row>
    <row r="3102" spans="1:11" x14ac:dyDescent="0.25">
      <c r="A3102">
        <v>36.723322019317798</v>
      </c>
      <c r="B3102">
        <v>136.30822186930499</v>
      </c>
      <c r="C3102">
        <v>2000</v>
      </c>
    </row>
    <row r="3103" spans="1:11" x14ac:dyDescent="0.25">
      <c r="A3103">
        <v>33.645899632780797</v>
      </c>
      <c r="B3103">
        <v>133.23079948276799</v>
      </c>
      <c r="C3103">
        <v>2000</v>
      </c>
    </row>
    <row r="3104" spans="1:11" x14ac:dyDescent="0.25">
      <c r="A3104">
        <v>33.645899632780797</v>
      </c>
      <c r="B3104">
        <v>132.356767433871</v>
      </c>
      <c r="C3104">
        <v>2001</v>
      </c>
    </row>
    <row r="3105" spans="1:11" x14ac:dyDescent="0.25">
      <c r="A3105">
        <v>36.723322019317798</v>
      </c>
      <c r="B3105">
        <v>135.43418982040799</v>
      </c>
      <c r="C3105">
        <v>2001</v>
      </c>
    </row>
    <row r="3106" spans="1:11" x14ac:dyDescent="0.25">
      <c r="A3106">
        <v>43.0022667595196</v>
      </c>
      <c r="B3106">
        <v>141.71313456060901</v>
      </c>
      <c r="C3106">
        <v>2001</v>
      </c>
    </row>
    <row r="3107" spans="1:11" x14ac:dyDescent="0.25">
      <c r="A3107">
        <v>43.0022667595196</v>
      </c>
      <c r="B3107">
        <v>142.58716660950699</v>
      </c>
      <c r="C3107">
        <v>2000</v>
      </c>
    </row>
    <row r="3108" spans="1:11" x14ac:dyDescent="0.25">
      <c r="A3108" t="s">
        <v>87</v>
      </c>
    </row>
    <row r="3109" spans="1:11" x14ac:dyDescent="0.25">
      <c r="A3109">
        <v>825</v>
      </c>
      <c r="B3109">
        <v>0</v>
      </c>
      <c r="C3109">
        <v>4.6782363080704501</v>
      </c>
      <c r="D3109">
        <v>8.5536649771053792</v>
      </c>
      <c r="E3109">
        <v>6</v>
      </c>
      <c r="F3109">
        <v>1.01722196789785</v>
      </c>
      <c r="G3109" t="s">
        <v>85</v>
      </c>
      <c r="H3109" t="s">
        <v>85</v>
      </c>
      <c r="I3109">
        <v>310</v>
      </c>
      <c r="J3109">
        <v>830</v>
      </c>
      <c r="K3109">
        <v>9.0097089164053304E-2</v>
      </c>
    </row>
    <row r="3110" spans="1:11" x14ac:dyDescent="0.25">
      <c r="A3110" t="s">
        <v>86</v>
      </c>
    </row>
    <row r="3111" spans="1:11" x14ac:dyDescent="0.25">
      <c r="A3111">
        <v>36.225120879814597</v>
      </c>
      <c r="B3111">
        <v>137.267603470594</v>
      </c>
      <c r="C3111">
        <v>2000</v>
      </c>
    </row>
    <row r="3112" spans="1:11" x14ac:dyDescent="0.25">
      <c r="A3112">
        <v>32.917108262384801</v>
      </c>
      <c r="B3112">
        <v>133.959590853164</v>
      </c>
      <c r="C3112">
        <v>2000</v>
      </c>
    </row>
    <row r="3113" spans="1:11" x14ac:dyDescent="0.25">
      <c r="A3113">
        <v>32.917108262384801</v>
      </c>
      <c r="B3113">
        <v>133.08555880426701</v>
      </c>
      <c r="C3113">
        <v>2001</v>
      </c>
    </row>
    <row r="3114" spans="1:11" x14ac:dyDescent="0.25">
      <c r="A3114">
        <v>36.225120879814597</v>
      </c>
      <c r="B3114">
        <v>136.39357142169601</v>
      </c>
      <c r="C3114">
        <v>2001</v>
      </c>
    </row>
    <row r="3115" spans="1:11" x14ac:dyDescent="0.25">
      <c r="A3115">
        <v>42.273475389123703</v>
      </c>
      <c r="B3115">
        <v>142.44192593100499</v>
      </c>
      <c r="C3115">
        <v>2001</v>
      </c>
    </row>
    <row r="3116" spans="1:11" x14ac:dyDescent="0.25">
      <c r="A3116">
        <v>42.273475389123703</v>
      </c>
      <c r="B3116">
        <v>143.315957979903</v>
      </c>
      <c r="C3116">
        <v>2000</v>
      </c>
    </row>
    <row r="3117" spans="1:11" x14ac:dyDescent="0.25">
      <c r="A3117" t="s">
        <v>87</v>
      </c>
    </row>
    <row r="3118" spans="1:11" x14ac:dyDescent="0.25">
      <c r="A3118">
        <v>359</v>
      </c>
      <c r="B3118">
        <v>0</v>
      </c>
      <c r="C3118">
        <v>0.88097262455733705</v>
      </c>
      <c r="D3118">
        <v>12.3312489799505</v>
      </c>
      <c r="E3118">
        <v>6</v>
      </c>
      <c r="F3118">
        <v>1.01722196789785</v>
      </c>
      <c r="G3118" t="s">
        <v>88</v>
      </c>
      <c r="H3118" t="s">
        <v>85</v>
      </c>
      <c r="I3118">
        <v>0</v>
      </c>
      <c r="J3118">
        <v>388</v>
      </c>
      <c r="K3118">
        <v>0</v>
      </c>
    </row>
    <row r="3119" spans="1:11" x14ac:dyDescent="0.25">
      <c r="A3119" t="s">
        <v>86</v>
      </c>
    </row>
    <row r="3120" spans="1:11" x14ac:dyDescent="0.25">
      <c r="A3120">
        <v>0.62294171686420496</v>
      </c>
      <c r="B3120">
        <v>75.052707367144507</v>
      </c>
      <c r="C3120">
        <v>2000</v>
      </c>
    </row>
    <row r="3121" spans="1:11" x14ac:dyDescent="0.25">
      <c r="A3121">
        <v>0</v>
      </c>
      <c r="B3121">
        <v>74.429765650280302</v>
      </c>
      <c r="C3121">
        <v>2000</v>
      </c>
    </row>
    <row r="3122" spans="1:11" x14ac:dyDescent="0.25">
      <c r="A3122">
        <v>0</v>
      </c>
      <c r="B3122">
        <v>75.303797699177906</v>
      </c>
      <c r="C3122">
        <v>2001</v>
      </c>
    </row>
    <row r="3123" spans="1:11" x14ac:dyDescent="0.25">
      <c r="A3123">
        <v>0.62294171686420496</v>
      </c>
      <c r="B3123">
        <v>75.926739416042096</v>
      </c>
      <c r="C3123">
        <v>2001</v>
      </c>
    </row>
    <row r="3124" spans="1:11" x14ac:dyDescent="0.25">
      <c r="A3124">
        <v>9.3424514910869494</v>
      </c>
      <c r="B3124">
        <v>84.646249190264896</v>
      </c>
      <c r="C3124">
        <v>2001</v>
      </c>
    </row>
    <row r="3125" spans="1:11" x14ac:dyDescent="0.25">
      <c r="A3125">
        <v>9.3424514910869494</v>
      </c>
      <c r="B3125">
        <v>83.772217141367193</v>
      </c>
      <c r="C3125">
        <v>2000</v>
      </c>
    </row>
    <row r="3126" spans="1:11" x14ac:dyDescent="0.25">
      <c r="A3126" t="s">
        <v>87</v>
      </c>
    </row>
    <row r="3127" spans="1:11" x14ac:dyDescent="0.25">
      <c r="A3127">
        <v>510</v>
      </c>
      <c r="B3127">
        <v>0</v>
      </c>
      <c r="C3127">
        <v>6.53728275955228</v>
      </c>
      <c r="D3127">
        <v>6.65508119263436</v>
      </c>
      <c r="E3127">
        <v>6</v>
      </c>
      <c r="F3127">
        <v>1.01722196789785</v>
      </c>
      <c r="G3127" t="s">
        <v>85</v>
      </c>
      <c r="H3127" t="s">
        <v>85</v>
      </c>
      <c r="I3127">
        <v>547</v>
      </c>
      <c r="J3127">
        <v>836</v>
      </c>
      <c r="K3127">
        <v>0</v>
      </c>
    </row>
    <row r="3128" spans="1:11" x14ac:dyDescent="0.25">
      <c r="A3128" t="s">
        <v>86</v>
      </c>
    </row>
    <row r="3129" spans="1:11" x14ac:dyDescent="0.25">
      <c r="A3129">
        <v>118.434238132262</v>
      </c>
      <c r="B3129">
        <v>115.167741027253</v>
      </c>
      <c r="C3129">
        <v>2000</v>
      </c>
    </row>
    <row r="3130" spans="1:11" x14ac:dyDescent="0.25">
      <c r="A3130">
        <v>114.028238053438</v>
      </c>
      <c r="B3130">
        <v>110.761740948428</v>
      </c>
      <c r="C3130">
        <v>2000</v>
      </c>
    </row>
    <row r="3131" spans="1:11" x14ac:dyDescent="0.25">
      <c r="A3131">
        <v>113.15420600454</v>
      </c>
      <c r="B3131">
        <v>110.761740948428</v>
      </c>
      <c r="C3131">
        <v>2001</v>
      </c>
    </row>
    <row r="3132" spans="1:11" x14ac:dyDescent="0.25">
      <c r="A3132">
        <v>117.993319865342</v>
      </c>
      <c r="B3132">
        <v>115.60085480923</v>
      </c>
      <c r="C3132">
        <v>2001</v>
      </c>
    </row>
    <row r="3133" spans="1:11" x14ac:dyDescent="0.25">
      <c r="A3133">
        <v>122.91963203946101</v>
      </c>
      <c r="B3133">
        <v>120.52716698334901</v>
      </c>
      <c r="C3133">
        <v>2001</v>
      </c>
    </row>
    <row r="3134" spans="1:11" x14ac:dyDescent="0.25">
      <c r="A3134">
        <v>122.91963203946101</v>
      </c>
      <c r="B3134">
        <v>119.653134934452</v>
      </c>
      <c r="C3134">
        <v>2000</v>
      </c>
    </row>
    <row r="3135" spans="1:11" x14ac:dyDescent="0.25">
      <c r="A3135" t="s">
        <v>87</v>
      </c>
    </row>
    <row r="3136" spans="1:11" x14ac:dyDescent="0.25">
      <c r="A3136">
        <v>560</v>
      </c>
      <c r="B3136">
        <v>1</v>
      </c>
      <c r="C3136">
        <v>3.0901401084537001</v>
      </c>
      <c r="D3136">
        <v>10.0774416449695</v>
      </c>
      <c r="E3136">
        <v>6</v>
      </c>
      <c r="F3136">
        <v>1.01722196789785</v>
      </c>
      <c r="G3136" t="s">
        <v>85</v>
      </c>
      <c r="H3136" t="s">
        <v>89</v>
      </c>
      <c r="I3136">
        <v>514</v>
      </c>
      <c r="J3136">
        <v>536</v>
      </c>
      <c r="K3136">
        <v>0</v>
      </c>
    </row>
    <row r="3137" spans="1:11" x14ac:dyDescent="0.25">
      <c r="A3137" t="s">
        <v>86</v>
      </c>
    </row>
    <row r="3138" spans="1:11" x14ac:dyDescent="0.25">
      <c r="A3138">
        <v>128.64258749600199</v>
      </c>
      <c r="B3138">
        <v>108.640197580303</v>
      </c>
      <c r="C3138">
        <v>2000</v>
      </c>
    </row>
    <row r="3139" spans="1:11" x14ac:dyDescent="0.25">
      <c r="A3139">
        <v>126.40624947445799</v>
      </c>
      <c r="B3139">
        <v>110.876535601847</v>
      </c>
      <c r="C3139">
        <v>2000</v>
      </c>
    </row>
    <row r="3140" spans="1:11" x14ac:dyDescent="0.25">
      <c r="A3140">
        <v>126.40624947445799</v>
      </c>
      <c r="B3140">
        <v>110.00250355295</v>
      </c>
      <c r="C3140">
        <v>2001</v>
      </c>
    </row>
    <row r="3141" spans="1:11" x14ac:dyDescent="0.25">
      <c r="A3141">
        <v>128.540029503922</v>
      </c>
      <c r="B3141">
        <v>107.868723523486</v>
      </c>
      <c r="C3141">
        <v>2001</v>
      </c>
    </row>
    <row r="3142" spans="1:11" x14ac:dyDescent="0.25">
      <c r="A3142">
        <v>135.498627811907</v>
      </c>
      <c r="B3142">
        <v>100.9101252155</v>
      </c>
      <c r="C3142">
        <v>2001</v>
      </c>
    </row>
    <row r="3143" spans="1:11" x14ac:dyDescent="0.25">
      <c r="A3143">
        <v>135.93564383635601</v>
      </c>
      <c r="B3143">
        <v>101.347141239949</v>
      </c>
      <c r="C3143">
        <v>2000</v>
      </c>
    </row>
    <row r="3144" spans="1:11" x14ac:dyDescent="0.25">
      <c r="A3144" t="s">
        <v>87</v>
      </c>
    </row>
    <row r="3145" spans="1:11" x14ac:dyDescent="0.25">
      <c r="A3145">
        <v>543</v>
      </c>
      <c r="B3145">
        <v>1</v>
      </c>
      <c r="C3145">
        <v>4.6772060316507504</v>
      </c>
      <c r="D3145">
        <v>8.4760745552034802</v>
      </c>
      <c r="E3145">
        <v>6</v>
      </c>
      <c r="F3145">
        <v>1.01722196789785</v>
      </c>
      <c r="G3145" t="s">
        <v>85</v>
      </c>
      <c r="H3145" t="s">
        <v>85</v>
      </c>
      <c r="I3145">
        <v>803</v>
      </c>
      <c r="J3145">
        <v>511</v>
      </c>
      <c r="K3145">
        <v>0</v>
      </c>
    </row>
    <row r="3146" spans="1:11" x14ac:dyDescent="0.25">
      <c r="A3146" t="s">
        <v>86</v>
      </c>
    </row>
    <row r="3147" spans="1:11" x14ac:dyDescent="0.25">
      <c r="A3147">
        <v>133.61991210492701</v>
      </c>
      <c r="B3147">
        <v>123.107582833702</v>
      </c>
      <c r="C3147">
        <v>2000</v>
      </c>
    </row>
    <row r="3148" spans="1:11" x14ac:dyDescent="0.25">
      <c r="A3148">
        <v>130.157228445242</v>
      </c>
      <c r="B3148">
        <v>126.570266493387</v>
      </c>
      <c r="C3148">
        <v>2000</v>
      </c>
    </row>
    <row r="3149" spans="1:11" x14ac:dyDescent="0.25">
      <c r="A3149">
        <v>130.157228445242</v>
      </c>
      <c r="B3149">
        <v>125.69623444448899</v>
      </c>
      <c r="C3149">
        <v>2001</v>
      </c>
    </row>
    <row r="3150" spans="1:11" x14ac:dyDescent="0.25">
      <c r="A3150">
        <v>133.30911298953001</v>
      </c>
      <c r="B3150">
        <v>122.544349900201</v>
      </c>
      <c r="C3150">
        <v>2001</v>
      </c>
    </row>
    <row r="3151" spans="1:11" x14ac:dyDescent="0.25">
      <c r="A3151">
        <v>139.02098631860699</v>
      </c>
      <c r="B3151">
        <v>116.832476571124</v>
      </c>
      <c r="C3151">
        <v>2001</v>
      </c>
    </row>
    <row r="3152" spans="1:11" x14ac:dyDescent="0.25">
      <c r="A3152">
        <v>139.895018367505</v>
      </c>
      <c r="B3152">
        <v>116.832476571124</v>
      </c>
      <c r="C3152">
        <v>2000</v>
      </c>
    </row>
    <row r="3153" spans="1:11" x14ac:dyDescent="0.25">
      <c r="A3153" t="s">
        <v>87</v>
      </c>
    </row>
    <row r="3154" spans="1:11" x14ac:dyDescent="0.25">
      <c r="A3154">
        <v>109</v>
      </c>
      <c r="B3154">
        <v>0</v>
      </c>
      <c r="C3154">
        <v>5.8691270246549401</v>
      </c>
      <c r="D3154">
        <v>7.2024297033728999</v>
      </c>
      <c r="E3154">
        <v>8</v>
      </c>
      <c r="F3154">
        <v>1.01722196789785</v>
      </c>
      <c r="G3154" t="s">
        <v>85</v>
      </c>
      <c r="H3154" t="s">
        <v>88</v>
      </c>
      <c r="I3154">
        <v>726</v>
      </c>
      <c r="J3154">
        <v>0</v>
      </c>
      <c r="K3154">
        <v>0</v>
      </c>
    </row>
    <row r="3155" spans="1:11" x14ac:dyDescent="0.25">
      <c r="A3155" t="s">
        <v>86</v>
      </c>
    </row>
    <row r="3156" spans="1:11" x14ac:dyDescent="0.25">
      <c r="A3156">
        <v>145.08864436527099</v>
      </c>
      <c r="B3156">
        <v>49.317758354896696</v>
      </c>
      <c r="C3156">
        <v>2000</v>
      </c>
    </row>
    <row r="3157" spans="1:11" x14ac:dyDescent="0.25">
      <c r="A3157">
        <v>140.75701359694699</v>
      </c>
      <c r="B3157">
        <v>44.986127586572103</v>
      </c>
      <c r="C3157">
        <v>2000</v>
      </c>
    </row>
    <row r="3158" spans="1:11" x14ac:dyDescent="0.25">
      <c r="A3158">
        <v>140.75701359694699</v>
      </c>
      <c r="B3158">
        <v>45.860159635469799</v>
      </c>
      <c r="C3158">
        <v>2001</v>
      </c>
    </row>
    <row r="3159" spans="1:11" x14ac:dyDescent="0.25">
      <c r="A3159">
        <v>144.72558186617999</v>
      </c>
      <c r="B3159">
        <v>49.828727904702802</v>
      </c>
      <c r="C3159">
        <v>2001</v>
      </c>
    </row>
    <row r="3160" spans="1:11" x14ac:dyDescent="0.25">
      <c r="A3160">
        <v>145.13367178452799</v>
      </c>
      <c r="B3160">
        <v>50.2368178230507</v>
      </c>
      <c r="C3160">
        <v>2001</v>
      </c>
    </row>
    <row r="3161" spans="1:11" x14ac:dyDescent="0.25">
      <c r="A3161">
        <v>150</v>
      </c>
      <c r="B3161">
        <v>55.103146038523001</v>
      </c>
      <c r="C3161">
        <v>2001</v>
      </c>
    </row>
    <row r="3162" spans="1:11" x14ac:dyDescent="0.25">
      <c r="A3162">
        <v>150</v>
      </c>
      <c r="B3162">
        <v>54.229113989625297</v>
      </c>
      <c r="C3162">
        <v>2000</v>
      </c>
    </row>
    <row r="3163" spans="1:11" x14ac:dyDescent="0.25">
      <c r="A3163">
        <v>145.53406818732401</v>
      </c>
      <c r="B3163">
        <v>49.7631821769493</v>
      </c>
      <c r="C3163">
        <v>2000</v>
      </c>
    </row>
    <row r="3164" spans="1:11" x14ac:dyDescent="0.25">
      <c r="A3164" t="s">
        <v>87</v>
      </c>
    </row>
    <row r="3165" spans="1:11" x14ac:dyDescent="0.25">
      <c r="A3165">
        <v>782</v>
      </c>
      <c r="B3165">
        <v>1</v>
      </c>
      <c r="C3165">
        <v>9.7959468113647095</v>
      </c>
      <c r="D3165">
        <v>3.2594816677467602</v>
      </c>
      <c r="E3165">
        <v>8</v>
      </c>
      <c r="F3165">
        <v>1.01722196789785</v>
      </c>
      <c r="G3165" t="s">
        <v>85</v>
      </c>
      <c r="H3165" t="s">
        <v>85</v>
      </c>
      <c r="I3165">
        <v>193</v>
      </c>
      <c r="J3165">
        <v>666</v>
      </c>
      <c r="K3165">
        <v>8.9537010595109504E-2</v>
      </c>
    </row>
    <row r="3166" spans="1:11" x14ac:dyDescent="0.25">
      <c r="A3166" t="s">
        <v>86</v>
      </c>
    </row>
    <row r="3167" spans="1:11" x14ac:dyDescent="0.25">
      <c r="A3167">
        <v>82.748903999661295</v>
      </c>
      <c r="B3167">
        <v>101.044555934434</v>
      </c>
      <c r="C3167">
        <v>2000</v>
      </c>
    </row>
    <row r="3168" spans="1:11" x14ac:dyDescent="0.25">
      <c r="A3168">
        <v>75.532862280752596</v>
      </c>
      <c r="B3168">
        <v>108.260597653343</v>
      </c>
      <c r="C3168">
        <v>2000</v>
      </c>
    </row>
    <row r="3169" spans="1:11" x14ac:dyDescent="0.25">
      <c r="A3169">
        <v>76.4068943296502</v>
      </c>
      <c r="B3169">
        <v>108.260597653343</v>
      </c>
      <c r="C3169">
        <v>2001</v>
      </c>
    </row>
    <row r="3170" spans="1:11" x14ac:dyDescent="0.25">
      <c r="A3170">
        <v>83.044413447658897</v>
      </c>
      <c r="B3170">
        <v>101.623078535334</v>
      </c>
      <c r="C3170">
        <v>2001</v>
      </c>
    </row>
    <row r="3171" spans="1:11" x14ac:dyDescent="0.25">
      <c r="A3171">
        <v>84.322530676967801</v>
      </c>
      <c r="B3171">
        <v>100.344961306025</v>
      </c>
      <c r="C3171">
        <v>2001</v>
      </c>
    </row>
    <row r="3172" spans="1:11" x14ac:dyDescent="0.25">
      <c r="A3172">
        <v>85.201460314077096</v>
      </c>
      <c r="B3172">
        <v>99.466031668915804</v>
      </c>
      <c r="C3172">
        <v>2001</v>
      </c>
    </row>
    <row r="3173" spans="1:11" x14ac:dyDescent="0.25">
      <c r="A3173">
        <v>85.201460314077096</v>
      </c>
      <c r="B3173">
        <v>98.5919996200182</v>
      </c>
      <c r="C3173">
        <v>2000</v>
      </c>
    </row>
    <row r="3174" spans="1:11" x14ac:dyDescent="0.25">
      <c r="A3174">
        <v>84.138421240120195</v>
      </c>
      <c r="B3174">
        <v>99.655038693975001</v>
      </c>
      <c r="C3174">
        <v>2000</v>
      </c>
    </row>
    <row r="3175" spans="1:11" x14ac:dyDescent="0.25">
      <c r="A3175" t="s">
        <v>87</v>
      </c>
    </row>
    <row r="3176" spans="1:11" x14ac:dyDescent="0.25">
      <c r="A3176">
        <v>1122</v>
      </c>
      <c r="B3176">
        <v>0</v>
      </c>
      <c r="C3176">
        <v>5.58386240240345</v>
      </c>
      <c r="D3176">
        <v>7.4371047883251302</v>
      </c>
      <c r="E3176">
        <v>6</v>
      </c>
      <c r="F3176">
        <v>1.01722196789785</v>
      </c>
      <c r="G3176" t="s">
        <v>85</v>
      </c>
      <c r="H3176" t="s">
        <v>85</v>
      </c>
      <c r="I3176">
        <v>478</v>
      </c>
      <c r="J3176">
        <v>701</v>
      </c>
      <c r="K3176">
        <v>9.4954792207050207E-2</v>
      </c>
    </row>
    <row r="3177" spans="1:11" x14ac:dyDescent="0.25">
      <c r="A3177" t="s">
        <v>86</v>
      </c>
    </row>
    <row r="3178" spans="1:11" x14ac:dyDescent="0.25">
      <c r="A3178">
        <v>66.507937749753196</v>
      </c>
      <c r="B3178">
        <v>43.974504010417803</v>
      </c>
      <c r="C3178">
        <v>2000</v>
      </c>
    </row>
    <row r="3179" spans="1:11" x14ac:dyDescent="0.25">
      <c r="A3179">
        <v>62.372142478065598</v>
      </c>
      <c r="B3179">
        <v>39.838708738730197</v>
      </c>
      <c r="C3179">
        <v>2000</v>
      </c>
    </row>
    <row r="3180" spans="1:11" x14ac:dyDescent="0.25">
      <c r="A3180">
        <v>62.372142478065598</v>
      </c>
      <c r="B3180">
        <v>40.712740787627901</v>
      </c>
      <c r="C3180">
        <v>2001</v>
      </c>
    </row>
    <row r="3181" spans="1:11" x14ac:dyDescent="0.25">
      <c r="A3181">
        <v>66.133121146282306</v>
      </c>
      <c r="B3181">
        <v>44.473719455844503</v>
      </c>
      <c r="C3181">
        <v>2001</v>
      </c>
    </row>
    <row r="3182" spans="1:11" x14ac:dyDescent="0.25">
      <c r="A3182">
        <v>71.142340651788501</v>
      </c>
      <c r="B3182">
        <v>49.482938961350797</v>
      </c>
      <c r="C3182">
        <v>2001</v>
      </c>
    </row>
    <row r="3183" spans="1:11" x14ac:dyDescent="0.25">
      <c r="A3183">
        <v>72.016372700686205</v>
      </c>
      <c r="B3183">
        <v>49.482938961350797</v>
      </c>
      <c r="C3183">
        <v>2000</v>
      </c>
    </row>
    <row r="3184" spans="1:11" x14ac:dyDescent="0.25">
      <c r="A3184" t="s">
        <v>87</v>
      </c>
    </row>
    <row r="3185" spans="1:11" x14ac:dyDescent="0.25">
      <c r="A3185">
        <v>1182</v>
      </c>
      <c r="B3185">
        <v>0</v>
      </c>
      <c r="C3185">
        <v>9.3073146887481197</v>
      </c>
      <c r="D3185">
        <v>3.7136525019804498</v>
      </c>
      <c r="E3185">
        <v>8</v>
      </c>
      <c r="F3185">
        <v>1.01722196789785</v>
      </c>
      <c r="G3185" t="s">
        <v>85</v>
      </c>
      <c r="H3185" t="s">
        <v>85</v>
      </c>
      <c r="I3185">
        <v>478</v>
      </c>
      <c r="J3185">
        <v>701</v>
      </c>
      <c r="K3185">
        <v>9.5636215209858197E-2</v>
      </c>
    </row>
    <row r="3186" spans="1:11" x14ac:dyDescent="0.25">
      <c r="A3186" t="s">
        <v>86</v>
      </c>
    </row>
    <row r="3187" spans="1:11" x14ac:dyDescent="0.25">
      <c r="A3187">
        <v>64.061565105742801</v>
      </c>
      <c r="B3187">
        <v>51.847483978437602</v>
      </c>
      <c r="C3187">
        <v>2000</v>
      </c>
    </row>
    <row r="3188" spans="1:11" x14ac:dyDescent="0.25">
      <c r="A3188">
        <v>62.3801423460541</v>
      </c>
      <c r="B3188">
        <v>50.166061218749</v>
      </c>
      <c r="C3188">
        <v>2000</v>
      </c>
    </row>
    <row r="3189" spans="1:11" x14ac:dyDescent="0.25">
      <c r="A3189">
        <v>57.212466172050497</v>
      </c>
      <c r="B3189">
        <v>44.998385044745397</v>
      </c>
      <c r="C3189">
        <v>2000</v>
      </c>
    </row>
    <row r="3190" spans="1:11" x14ac:dyDescent="0.25">
      <c r="A3190">
        <v>58.086498220948201</v>
      </c>
      <c r="B3190">
        <v>44.998385044745397</v>
      </c>
      <c r="C3190">
        <v>2001</v>
      </c>
    </row>
    <row r="3191" spans="1:11" x14ac:dyDescent="0.25">
      <c r="A3191">
        <v>62.922051957453903</v>
      </c>
      <c r="B3191">
        <v>49.833938781251</v>
      </c>
      <c r="C3191">
        <v>2001</v>
      </c>
    </row>
    <row r="3192" spans="1:11" x14ac:dyDescent="0.25">
      <c r="A3192">
        <v>64.399929949357798</v>
      </c>
      <c r="B3192">
        <v>51.311816773155002</v>
      </c>
      <c r="C3192">
        <v>2001</v>
      </c>
    </row>
    <row r="3193" spans="1:11" x14ac:dyDescent="0.25">
      <c r="A3193">
        <v>66.856696394671104</v>
      </c>
      <c r="B3193">
        <v>53.768583218468301</v>
      </c>
      <c r="C3193">
        <v>2001</v>
      </c>
    </row>
    <row r="3194" spans="1:11" x14ac:dyDescent="0.25">
      <c r="A3194">
        <v>66.856696394671104</v>
      </c>
      <c r="B3194">
        <v>54.642615267365898</v>
      </c>
      <c r="C3194">
        <v>2000</v>
      </c>
    </row>
    <row r="3195" spans="1:11" x14ac:dyDescent="0.25">
      <c r="A3195" t="s">
        <v>87</v>
      </c>
    </row>
    <row r="3196" spans="1:11" x14ac:dyDescent="0.25">
      <c r="A3196">
        <v>759</v>
      </c>
      <c r="B3196">
        <v>0</v>
      </c>
      <c r="C3196">
        <v>4.4990117079237297</v>
      </c>
      <c r="D3196">
        <v>8.5035088444106197</v>
      </c>
      <c r="E3196">
        <v>8</v>
      </c>
      <c r="F3196">
        <v>1.01722196789785</v>
      </c>
      <c r="G3196" t="s">
        <v>85</v>
      </c>
      <c r="H3196" t="s">
        <v>89</v>
      </c>
      <c r="I3196">
        <v>705</v>
      </c>
      <c r="J3196">
        <v>572</v>
      </c>
      <c r="K3196">
        <v>8.9259099568316694E-2</v>
      </c>
    </row>
    <row r="3197" spans="1:11" x14ac:dyDescent="0.25">
      <c r="A3197" t="s">
        <v>86</v>
      </c>
    </row>
    <row r="3198" spans="1:11" x14ac:dyDescent="0.25">
      <c r="A3198">
        <v>97.8050415280794</v>
      </c>
      <c r="B3198">
        <v>72.769624778300198</v>
      </c>
      <c r="C3198">
        <v>2000</v>
      </c>
    </row>
    <row r="3199" spans="1:11" x14ac:dyDescent="0.25">
      <c r="A3199">
        <v>94.497430578105806</v>
      </c>
      <c r="B3199">
        <v>69.462013828326604</v>
      </c>
      <c r="C3199">
        <v>2000</v>
      </c>
    </row>
    <row r="3200" spans="1:11" x14ac:dyDescent="0.25">
      <c r="A3200">
        <v>94.497430578105806</v>
      </c>
      <c r="B3200">
        <v>70.336045877224194</v>
      </c>
      <c r="C3200">
        <v>2001</v>
      </c>
    </row>
    <row r="3201" spans="1:11" x14ac:dyDescent="0.25">
      <c r="A3201">
        <v>97.552383002753302</v>
      </c>
      <c r="B3201">
        <v>73.390998301871704</v>
      </c>
      <c r="C3201">
        <v>2001</v>
      </c>
    </row>
    <row r="3202" spans="1:11" x14ac:dyDescent="0.25">
      <c r="A3202">
        <v>99.781491987775595</v>
      </c>
      <c r="B3202">
        <v>75.620107286893997</v>
      </c>
      <c r="C3202">
        <v>2001</v>
      </c>
    </row>
    <row r="3203" spans="1:11" x14ac:dyDescent="0.25">
      <c r="A3203">
        <v>103.473093020954</v>
      </c>
      <c r="B3203">
        <v>79.311708320072896</v>
      </c>
      <c r="C3203">
        <v>2001</v>
      </c>
    </row>
    <row r="3204" spans="1:11" x14ac:dyDescent="0.25">
      <c r="A3204">
        <v>103.910109045403</v>
      </c>
      <c r="B3204">
        <v>78.874692295624101</v>
      </c>
      <c r="C3204">
        <v>2000</v>
      </c>
    </row>
    <row r="3205" spans="1:11" x14ac:dyDescent="0.25">
      <c r="A3205">
        <v>100.21850801222401</v>
      </c>
      <c r="B3205">
        <v>75.183091262445203</v>
      </c>
      <c r="C3205">
        <v>2000</v>
      </c>
    </row>
    <row r="3206" spans="1:11" x14ac:dyDescent="0.25">
      <c r="A3206" t="s">
        <v>87</v>
      </c>
    </row>
    <row r="3207" spans="1:11" x14ac:dyDescent="0.25">
      <c r="A3207">
        <v>546</v>
      </c>
      <c r="B3207">
        <v>1</v>
      </c>
      <c r="C3207">
        <v>6.2577438689916098</v>
      </c>
      <c r="D3207">
        <v>6.7218501971491502</v>
      </c>
      <c r="E3207">
        <v>6</v>
      </c>
      <c r="F3207">
        <v>1.01722196789785</v>
      </c>
      <c r="G3207" t="s">
        <v>85</v>
      </c>
      <c r="H3207" t="s">
        <v>88</v>
      </c>
      <c r="I3207">
        <v>511</v>
      </c>
      <c r="J3207">
        <v>0</v>
      </c>
      <c r="K3207">
        <v>0</v>
      </c>
    </row>
    <row r="3208" spans="1:11" x14ac:dyDescent="0.25">
      <c r="A3208" t="s">
        <v>86</v>
      </c>
    </row>
    <row r="3209" spans="1:11" x14ac:dyDescent="0.25">
      <c r="A3209">
        <v>145.47325526223599</v>
      </c>
      <c r="B3209">
        <v>113.982317027848</v>
      </c>
      <c r="C3209">
        <v>2000</v>
      </c>
    </row>
    <row r="3210" spans="1:11" x14ac:dyDescent="0.25">
      <c r="A3210">
        <v>141.25905704323199</v>
      </c>
      <c r="B3210">
        <v>118.196515246852</v>
      </c>
      <c r="C3210">
        <v>2000</v>
      </c>
    </row>
    <row r="3211" spans="1:11" x14ac:dyDescent="0.25">
      <c r="A3211">
        <v>140.385024994334</v>
      </c>
      <c r="B3211">
        <v>118.196515246852</v>
      </c>
      <c r="C3211">
        <v>2001</v>
      </c>
    </row>
    <row r="3212" spans="1:11" x14ac:dyDescent="0.25">
      <c r="A3212">
        <v>145.020613024716</v>
      </c>
      <c r="B3212">
        <v>113.56092721647001</v>
      </c>
      <c r="C3212">
        <v>2001</v>
      </c>
    </row>
    <row r="3213" spans="1:11" x14ac:dyDescent="0.25">
      <c r="A3213">
        <v>150</v>
      </c>
      <c r="B3213">
        <v>108.581540241186</v>
      </c>
      <c r="C3213">
        <v>2001</v>
      </c>
    </row>
    <row r="3214" spans="1:11" x14ac:dyDescent="0.25">
      <c r="A3214">
        <v>150</v>
      </c>
      <c r="B3214">
        <v>109.45557229008401</v>
      </c>
      <c r="C3214">
        <v>2000</v>
      </c>
    </row>
    <row r="3215" spans="1:11" x14ac:dyDescent="0.25">
      <c r="A3215" t="s">
        <v>87</v>
      </c>
    </row>
    <row r="3216" spans="1:11" x14ac:dyDescent="0.25">
      <c r="A3216">
        <v>622</v>
      </c>
      <c r="B3216">
        <v>1</v>
      </c>
      <c r="C3216">
        <v>4.8485511138285498</v>
      </c>
      <c r="D3216">
        <v>8.11174231339972</v>
      </c>
      <c r="E3216">
        <v>6</v>
      </c>
      <c r="F3216">
        <v>1.01722196789785</v>
      </c>
      <c r="G3216" t="s">
        <v>85</v>
      </c>
      <c r="H3216" t="s">
        <v>85</v>
      </c>
      <c r="I3216">
        <v>587</v>
      </c>
      <c r="J3216">
        <v>597</v>
      </c>
      <c r="K3216">
        <v>0</v>
      </c>
    </row>
    <row r="3217" spans="1:11" x14ac:dyDescent="0.25">
      <c r="A3217" t="s">
        <v>86</v>
      </c>
    </row>
    <row r="3218" spans="1:11" x14ac:dyDescent="0.25">
      <c r="A3218">
        <v>119.065019739793</v>
      </c>
      <c r="B3218">
        <v>55.6180411571167</v>
      </c>
      <c r="C3218">
        <v>2000</v>
      </c>
    </row>
    <row r="3219" spans="1:11" x14ac:dyDescent="0.25">
      <c r="A3219">
        <v>115.800067615137</v>
      </c>
      <c r="B3219">
        <v>58.882993281773402</v>
      </c>
      <c r="C3219">
        <v>2000</v>
      </c>
    </row>
    <row r="3220" spans="1:11" x14ac:dyDescent="0.25">
      <c r="A3220">
        <v>115.800067615137</v>
      </c>
      <c r="B3220">
        <v>59.757025330670999</v>
      </c>
      <c r="C3220">
        <v>2001</v>
      </c>
    </row>
    <row r="3221" spans="1:11" x14ac:dyDescent="0.25">
      <c r="A3221">
        <v>119.392002233515</v>
      </c>
      <c r="B3221">
        <v>56.165090712292198</v>
      </c>
      <c r="C3221">
        <v>2001</v>
      </c>
    </row>
    <row r="3222" spans="1:11" x14ac:dyDescent="0.25">
      <c r="A3222">
        <v>125.401395008146</v>
      </c>
      <c r="B3222">
        <v>50.1556979376616</v>
      </c>
      <c r="C3222">
        <v>2001</v>
      </c>
    </row>
    <row r="3223" spans="1:11" x14ac:dyDescent="0.25">
      <c r="A3223">
        <v>124.52736295924799</v>
      </c>
      <c r="B3223">
        <v>50.1556979376616</v>
      </c>
      <c r="C3223">
        <v>2000</v>
      </c>
    </row>
    <row r="3224" spans="1:11" x14ac:dyDescent="0.25">
      <c r="A3224" t="s">
        <v>87</v>
      </c>
    </row>
    <row r="3225" spans="1:11" x14ac:dyDescent="0.25">
      <c r="A3225">
        <v>1019</v>
      </c>
      <c r="B3225">
        <v>0</v>
      </c>
      <c r="C3225">
        <v>1.7386247722054899</v>
      </c>
      <c r="D3225">
        <v>11.212637507345001</v>
      </c>
      <c r="E3225">
        <v>6</v>
      </c>
      <c r="F3225">
        <v>1.01722196789785</v>
      </c>
      <c r="G3225" t="s">
        <v>85</v>
      </c>
      <c r="H3225" t="s">
        <v>85</v>
      </c>
      <c r="I3225">
        <v>74</v>
      </c>
      <c r="J3225">
        <v>773</v>
      </c>
      <c r="K3225">
        <v>9.3644784593262795E-2</v>
      </c>
    </row>
    <row r="3226" spans="1:11" x14ac:dyDescent="0.25">
      <c r="A3226" t="s">
        <v>86</v>
      </c>
    </row>
    <row r="3227" spans="1:11" x14ac:dyDescent="0.25">
      <c r="A3227">
        <v>13.834482398729399</v>
      </c>
      <c r="B3227">
        <v>14.707973699415099</v>
      </c>
      <c r="C3227">
        <v>2000</v>
      </c>
    </row>
    <row r="3228" spans="1:11" x14ac:dyDescent="0.25">
      <c r="A3228">
        <v>12.605089032364001</v>
      </c>
      <c r="B3228">
        <v>13.478580333049701</v>
      </c>
      <c r="C3228">
        <v>2000</v>
      </c>
    </row>
    <row r="3229" spans="1:11" x14ac:dyDescent="0.25">
      <c r="A3229">
        <v>11.7310569834664</v>
      </c>
      <c r="B3229">
        <v>13.478580333049701</v>
      </c>
      <c r="C3229">
        <v>2001</v>
      </c>
    </row>
    <row r="3230" spans="1:11" x14ac:dyDescent="0.25">
      <c r="A3230">
        <v>12.960450349831801</v>
      </c>
      <c r="B3230">
        <v>14.707973699415099</v>
      </c>
      <c r="C3230">
        <v>2001</v>
      </c>
    </row>
    <row r="3231" spans="1:11" x14ac:dyDescent="0.25">
      <c r="A3231">
        <v>20.888982366262098</v>
      </c>
      <c r="B3231">
        <v>22.636505715845399</v>
      </c>
      <c r="C3231">
        <v>2001</v>
      </c>
    </row>
    <row r="3232" spans="1:11" x14ac:dyDescent="0.25">
      <c r="A3232">
        <v>21.763014415159699</v>
      </c>
      <c r="B3232">
        <v>22.636505715845399</v>
      </c>
      <c r="C3232">
        <v>2000</v>
      </c>
    </row>
    <row r="3233" spans="1:11" x14ac:dyDescent="0.25">
      <c r="A3233" t="s">
        <v>87</v>
      </c>
    </row>
    <row r="3234" spans="1:11" x14ac:dyDescent="0.25">
      <c r="A3234">
        <v>239</v>
      </c>
      <c r="B3234">
        <v>1</v>
      </c>
      <c r="C3234">
        <v>2.2624716075133402</v>
      </c>
      <c r="D3234">
        <v>10.6736644315174</v>
      </c>
      <c r="E3234">
        <v>6</v>
      </c>
      <c r="F3234">
        <v>1.01722196789785</v>
      </c>
      <c r="G3234" t="s">
        <v>88</v>
      </c>
      <c r="H3234" t="s">
        <v>89</v>
      </c>
      <c r="I3234">
        <v>0</v>
      </c>
      <c r="J3234">
        <v>215</v>
      </c>
      <c r="K3234">
        <v>0</v>
      </c>
    </row>
    <row r="3235" spans="1:11" x14ac:dyDescent="0.25">
      <c r="A3235" t="s">
        <v>86</v>
      </c>
    </row>
    <row r="3236" spans="1:11" x14ac:dyDescent="0.25">
      <c r="A3236">
        <v>64.067837624991398</v>
      </c>
      <c r="B3236">
        <v>148.43840704583499</v>
      </c>
      <c r="C3236">
        <v>2000</v>
      </c>
    </row>
    <row r="3237" spans="1:11" x14ac:dyDescent="0.25">
      <c r="A3237">
        <v>62.506244670826497</v>
      </c>
      <c r="B3237">
        <v>150</v>
      </c>
      <c r="C3237">
        <v>2000</v>
      </c>
    </row>
    <row r="3238" spans="1:11" x14ac:dyDescent="0.25">
      <c r="A3238">
        <v>61.632212621928801</v>
      </c>
      <c r="B3238">
        <v>150</v>
      </c>
      <c r="C3238">
        <v>2001</v>
      </c>
    </row>
    <row r="3239" spans="1:11" x14ac:dyDescent="0.25">
      <c r="A3239">
        <v>63.270237699593402</v>
      </c>
      <c r="B3239">
        <v>148.36197492233501</v>
      </c>
      <c r="C3239">
        <v>2001</v>
      </c>
    </row>
    <row r="3240" spans="1:11" x14ac:dyDescent="0.25">
      <c r="A3240">
        <v>70.997950149703598</v>
      </c>
      <c r="B3240">
        <v>140.634262472225</v>
      </c>
      <c r="C3240">
        <v>2001</v>
      </c>
    </row>
    <row r="3241" spans="1:11" x14ac:dyDescent="0.25">
      <c r="A3241">
        <v>71.434966174152393</v>
      </c>
      <c r="B3241">
        <v>141.07127849667401</v>
      </c>
      <c r="C3241">
        <v>2000</v>
      </c>
    </row>
    <row r="3242" spans="1:11" x14ac:dyDescent="0.25">
      <c r="A3242" t="s">
        <v>87</v>
      </c>
    </row>
    <row r="3243" spans="1:11" x14ac:dyDescent="0.25">
      <c r="A3243">
        <v>349</v>
      </c>
      <c r="B3243">
        <v>0</v>
      </c>
      <c r="C3243">
        <v>11.0153772335046</v>
      </c>
      <c r="D3243">
        <v>1.8945100775335999</v>
      </c>
      <c r="E3243">
        <v>6</v>
      </c>
      <c r="F3243">
        <v>1.01722196789785</v>
      </c>
      <c r="G3243" t="s">
        <v>85</v>
      </c>
      <c r="H3243" t="s">
        <v>85</v>
      </c>
      <c r="I3243">
        <v>742</v>
      </c>
      <c r="J3243">
        <v>394</v>
      </c>
      <c r="K3243">
        <v>0</v>
      </c>
    </row>
    <row r="3244" spans="1:11" x14ac:dyDescent="0.25">
      <c r="A3244" t="s">
        <v>86</v>
      </c>
    </row>
    <row r="3245" spans="1:11" x14ac:dyDescent="0.25">
      <c r="A3245">
        <v>22.537309353499001</v>
      </c>
      <c r="B3245">
        <v>69.447352071035397</v>
      </c>
      <c r="C3245">
        <v>2000</v>
      </c>
    </row>
    <row r="3246" spans="1:11" x14ac:dyDescent="0.25">
      <c r="A3246">
        <v>14.74826141436</v>
      </c>
      <c r="B3246">
        <v>61.658304131896401</v>
      </c>
      <c r="C3246">
        <v>2000</v>
      </c>
    </row>
    <row r="3247" spans="1:11" x14ac:dyDescent="0.25">
      <c r="A3247">
        <v>15.6222934632576</v>
      </c>
      <c r="B3247">
        <v>61.658304131896401</v>
      </c>
      <c r="C3247">
        <v>2001</v>
      </c>
    </row>
    <row r="3248" spans="1:11" x14ac:dyDescent="0.25">
      <c r="A3248">
        <v>23.411341402396602</v>
      </c>
      <c r="B3248">
        <v>69.447352071035397</v>
      </c>
      <c r="C3248">
        <v>2001</v>
      </c>
    </row>
    <row r="3249" spans="1:11" x14ac:dyDescent="0.25">
      <c r="A3249">
        <v>24.750962325246899</v>
      </c>
      <c r="B3249">
        <v>70.786972993885598</v>
      </c>
      <c r="C3249">
        <v>2001</v>
      </c>
    </row>
    <row r="3250" spans="1:11" x14ac:dyDescent="0.25">
      <c r="A3250">
        <v>23.876930276349199</v>
      </c>
      <c r="B3250">
        <v>70.786972993885598</v>
      </c>
      <c r="C3250">
        <v>2000</v>
      </c>
    </row>
    <row r="3251" spans="1:11" x14ac:dyDescent="0.25">
      <c r="A3251" t="s">
        <v>87</v>
      </c>
    </row>
    <row r="3252" spans="1:11" x14ac:dyDescent="0.25">
      <c r="A3252">
        <v>969</v>
      </c>
      <c r="B3252">
        <v>0</v>
      </c>
      <c r="C3252">
        <v>5.7413100551866902</v>
      </c>
      <c r="D3252">
        <v>7.1685772558514698</v>
      </c>
      <c r="E3252">
        <v>6</v>
      </c>
      <c r="F3252">
        <v>1.01722196789785</v>
      </c>
      <c r="G3252" t="s">
        <v>85</v>
      </c>
      <c r="H3252" t="s">
        <v>85</v>
      </c>
      <c r="I3252">
        <v>742</v>
      </c>
      <c r="J3252">
        <v>394</v>
      </c>
      <c r="K3252">
        <v>9.2813824447879903E-2</v>
      </c>
    </row>
    <row r="3253" spans="1:11" x14ac:dyDescent="0.25">
      <c r="A3253" t="s">
        <v>86</v>
      </c>
    </row>
    <row r="3254" spans="1:11" x14ac:dyDescent="0.25">
      <c r="A3254">
        <v>19.799845038828899</v>
      </c>
      <c r="B3254">
        <v>64.726159053261497</v>
      </c>
      <c r="C3254">
        <v>2000</v>
      </c>
    </row>
    <row r="3255" spans="1:11" x14ac:dyDescent="0.25">
      <c r="A3255">
        <v>15.7401257659119</v>
      </c>
      <c r="B3255">
        <v>60.666439780344497</v>
      </c>
      <c r="C3255">
        <v>2000</v>
      </c>
    </row>
    <row r="3256" spans="1:11" x14ac:dyDescent="0.25">
      <c r="A3256">
        <v>16.614157814809602</v>
      </c>
      <c r="B3256">
        <v>60.666439780344497</v>
      </c>
      <c r="C3256">
        <v>2001</v>
      </c>
    </row>
    <row r="3257" spans="1:11" x14ac:dyDescent="0.25">
      <c r="A3257">
        <v>20.673877087726598</v>
      </c>
      <c r="B3257">
        <v>64.726159053261497</v>
      </c>
      <c r="C3257">
        <v>2001</v>
      </c>
    </row>
    <row r="3258" spans="1:11" x14ac:dyDescent="0.25">
      <c r="A3258">
        <v>25.742826676798799</v>
      </c>
      <c r="B3258">
        <v>69.795108642333702</v>
      </c>
      <c r="C3258">
        <v>2001</v>
      </c>
    </row>
    <row r="3259" spans="1:11" x14ac:dyDescent="0.25">
      <c r="A3259">
        <v>24.868794627901199</v>
      </c>
      <c r="B3259">
        <v>69.795108642333702</v>
      </c>
      <c r="C3259">
        <v>2000</v>
      </c>
    </row>
    <row r="3260" spans="1:11" x14ac:dyDescent="0.25">
      <c r="A3260" t="s">
        <v>87</v>
      </c>
    </row>
    <row r="3261" spans="1:11" x14ac:dyDescent="0.25">
      <c r="A3261">
        <v>199</v>
      </c>
      <c r="B3261">
        <v>0</v>
      </c>
      <c r="C3261">
        <v>5.7107570967515402</v>
      </c>
      <c r="D3261">
        <v>7.1868008287571001</v>
      </c>
      <c r="E3261">
        <v>8</v>
      </c>
      <c r="F3261">
        <v>1.01722196789785</v>
      </c>
      <c r="G3261" t="s">
        <v>85</v>
      </c>
      <c r="H3261" t="s">
        <v>85</v>
      </c>
      <c r="I3261">
        <v>224</v>
      </c>
      <c r="J3261">
        <v>548</v>
      </c>
      <c r="K3261">
        <v>0</v>
      </c>
    </row>
    <row r="3262" spans="1:11" x14ac:dyDescent="0.25">
      <c r="A3262" t="s">
        <v>86</v>
      </c>
    </row>
    <row r="3263" spans="1:11" x14ac:dyDescent="0.25">
      <c r="A3263">
        <v>99.244879855087206</v>
      </c>
      <c r="B3263">
        <v>133.96593361963801</v>
      </c>
      <c r="C3263">
        <v>2000</v>
      </c>
    </row>
    <row r="3264" spans="1:11" x14ac:dyDescent="0.25">
      <c r="A3264">
        <v>95.030990431108606</v>
      </c>
      <c r="B3264">
        <v>129.75204419565901</v>
      </c>
      <c r="C3264">
        <v>2000</v>
      </c>
    </row>
    <row r="3265" spans="1:11" x14ac:dyDescent="0.25">
      <c r="A3265">
        <v>95.905022480006195</v>
      </c>
      <c r="B3265">
        <v>129.75204419565901</v>
      </c>
      <c r="C3265">
        <v>2001</v>
      </c>
    </row>
    <row r="3266" spans="1:11" x14ac:dyDescent="0.25">
      <c r="A3266">
        <v>99.767363193672097</v>
      </c>
      <c r="B3266">
        <v>133.614384909325</v>
      </c>
      <c r="C3266">
        <v>2001</v>
      </c>
    </row>
    <row r="3267" spans="1:11" x14ac:dyDescent="0.25">
      <c r="A3267">
        <v>100.239743725549</v>
      </c>
      <c r="B3267">
        <v>134.086765441203</v>
      </c>
      <c r="C3267">
        <v>2001</v>
      </c>
    </row>
    <row r="3268" spans="1:11" x14ac:dyDescent="0.25">
      <c r="A3268">
        <v>105.02497314988</v>
      </c>
      <c r="B3268">
        <v>138.871994865533</v>
      </c>
      <c r="C3268">
        <v>2001</v>
      </c>
    </row>
    <row r="3269" spans="1:11" x14ac:dyDescent="0.25">
      <c r="A3269">
        <v>104.150941100982</v>
      </c>
      <c r="B3269">
        <v>138.871994865533</v>
      </c>
      <c r="C3269">
        <v>2000</v>
      </c>
    </row>
    <row r="3270" spans="1:11" x14ac:dyDescent="0.25">
      <c r="A3270">
        <v>99.760256274450697</v>
      </c>
      <c r="B3270">
        <v>134.48131003900201</v>
      </c>
      <c r="C3270">
        <v>2000</v>
      </c>
    </row>
    <row r="3271" spans="1:11" x14ac:dyDescent="0.25">
      <c r="A3271" t="s">
        <v>87</v>
      </c>
    </row>
    <row r="3272" spans="1:11" x14ac:dyDescent="0.25">
      <c r="A3272">
        <v>157</v>
      </c>
      <c r="B3272">
        <v>1</v>
      </c>
      <c r="C3272">
        <v>8.7396396419983997</v>
      </c>
      <c r="D3272">
        <v>4.1214096625691701</v>
      </c>
      <c r="E3272">
        <v>8</v>
      </c>
      <c r="F3272">
        <v>1.01722196789785</v>
      </c>
      <c r="G3272" t="s">
        <v>85</v>
      </c>
      <c r="H3272" t="s">
        <v>85</v>
      </c>
      <c r="I3272">
        <v>598</v>
      </c>
      <c r="J3272">
        <v>104</v>
      </c>
      <c r="K3272">
        <v>0</v>
      </c>
    </row>
    <row r="3273" spans="1:11" x14ac:dyDescent="0.25">
      <c r="A3273" t="s">
        <v>86</v>
      </c>
    </row>
    <row r="3274" spans="1:11" x14ac:dyDescent="0.25">
      <c r="A3274">
        <v>113.99662398266901</v>
      </c>
      <c r="B3274">
        <v>46.737269807963898</v>
      </c>
      <c r="C3274">
        <v>2000</v>
      </c>
    </row>
    <row r="3275" spans="1:11" x14ac:dyDescent="0.25">
      <c r="A3275">
        <v>110.84682995961801</v>
      </c>
      <c r="B3275">
        <v>49.887063831015503</v>
      </c>
      <c r="C3275">
        <v>2000</v>
      </c>
    </row>
    <row r="3276" spans="1:11" x14ac:dyDescent="0.25">
      <c r="A3276">
        <v>107.539825381971</v>
      </c>
      <c r="B3276">
        <v>53.1940684086616</v>
      </c>
      <c r="C3276">
        <v>2000</v>
      </c>
    </row>
    <row r="3277" spans="1:11" x14ac:dyDescent="0.25">
      <c r="A3277">
        <v>108.413857430869</v>
      </c>
      <c r="B3277">
        <v>53.1940684086616</v>
      </c>
      <c r="C3277">
        <v>2001</v>
      </c>
    </row>
    <row r="3278" spans="1:11" x14ac:dyDescent="0.25">
      <c r="A3278">
        <v>111.494989670546</v>
      </c>
      <c r="B3278">
        <v>50.112936168984497</v>
      </c>
      <c r="C3278">
        <v>2001</v>
      </c>
    </row>
    <row r="3279" spans="1:11" x14ac:dyDescent="0.25">
      <c r="A3279">
        <v>114.316775742139</v>
      </c>
      <c r="B3279">
        <v>47.291150097391501</v>
      </c>
      <c r="C3279">
        <v>2001</v>
      </c>
    </row>
    <row r="3280" spans="1:11" x14ac:dyDescent="0.25">
      <c r="A3280">
        <v>117.070976582855</v>
      </c>
      <c r="B3280">
        <v>44.536949256676102</v>
      </c>
      <c r="C3280">
        <v>2001</v>
      </c>
    </row>
    <row r="3281" spans="1:11" x14ac:dyDescent="0.25">
      <c r="A3281">
        <v>117.070976582855</v>
      </c>
      <c r="B3281">
        <v>43.662917207778499</v>
      </c>
      <c r="C3281">
        <v>2000</v>
      </c>
    </row>
    <row r="3282" spans="1:11" x14ac:dyDescent="0.25">
      <c r="A3282" t="s">
        <v>87</v>
      </c>
    </row>
    <row r="3283" spans="1:11" x14ac:dyDescent="0.25">
      <c r="A3283">
        <v>856</v>
      </c>
      <c r="B3283">
        <v>1</v>
      </c>
      <c r="C3283">
        <v>10.9666988088319</v>
      </c>
      <c r="D3283">
        <v>1.8908000682645201</v>
      </c>
      <c r="E3283">
        <v>6</v>
      </c>
      <c r="F3283">
        <v>1.01722196789785</v>
      </c>
      <c r="G3283" t="s">
        <v>85</v>
      </c>
      <c r="H3283" t="s">
        <v>85</v>
      </c>
      <c r="I3283">
        <v>855</v>
      </c>
      <c r="J3283">
        <v>678</v>
      </c>
      <c r="K3283">
        <v>9.0645505931922193E-2</v>
      </c>
    </row>
    <row r="3284" spans="1:11" x14ac:dyDescent="0.25">
      <c r="A3284" t="s">
        <v>86</v>
      </c>
    </row>
    <row r="3285" spans="1:11" x14ac:dyDescent="0.25">
      <c r="A3285">
        <v>69.906883771217394</v>
      </c>
      <c r="B3285">
        <v>74.982059117212103</v>
      </c>
      <c r="C3285">
        <v>2000</v>
      </c>
    </row>
    <row r="3286" spans="1:11" x14ac:dyDescent="0.25">
      <c r="A3286">
        <v>61.779507422260401</v>
      </c>
      <c r="B3286">
        <v>83.109435466169103</v>
      </c>
      <c r="C3286">
        <v>2000</v>
      </c>
    </row>
    <row r="3287" spans="1:11" x14ac:dyDescent="0.25">
      <c r="A3287">
        <v>62.653539471157998</v>
      </c>
      <c r="B3287">
        <v>83.109435466169103</v>
      </c>
      <c r="C3287">
        <v>2001</v>
      </c>
    </row>
    <row r="3288" spans="1:11" x14ac:dyDescent="0.25">
      <c r="A3288">
        <v>70.035417312111903</v>
      </c>
      <c r="B3288">
        <v>75.727557625215198</v>
      </c>
      <c r="C3288">
        <v>2001</v>
      </c>
    </row>
    <row r="3289" spans="1:11" x14ac:dyDescent="0.25">
      <c r="A3289">
        <v>71.308148091802394</v>
      </c>
      <c r="B3289">
        <v>74.454826845524707</v>
      </c>
      <c r="C3289">
        <v>2001</v>
      </c>
    </row>
    <row r="3290" spans="1:11" x14ac:dyDescent="0.25">
      <c r="A3290">
        <v>71.308148091802494</v>
      </c>
      <c r="B3290">
        <v>73.580794796627004</v>
      </c>
      <c r="C3290">
        <v>2000</v>
      </c>
    </row>
    <row r="3291" spans="1:11" x14ac:dyDescent="0.25">
      <c r="A3291" t="s">
        <v>87</v>
      </c>
    </row>
    <row r="3292" spans="1:11" x14ac:dyDescent="0.25">
      <c r="A3292">
        <v>1150</v>
      </c>
      <c r="B3292">
        <v>0</v>
      </c>
      <c r="C3292">
        <v>1.8825242546740799</v>
      </c>
      <c r="D3292">
        <v>10.9011198107072</v>
      </c>
      <c r="E3292">
        <v>6</v>
      </c>
      <c r="F3292">
        <v>1.01722196789785</v>
      </c>
      <c r="G3292" t="s">
        <v>85</v>
      </c>
      <c r="H3292" t="s">
        <v>85</v>
      </c>
      <c r="I3292">
        <v>1028</v>
      </c>
      <c r="J3292">
        <v>852</v>
      </c>
      <c r="K3292">
        <v>9.5300933138239702E-2</v>
      </c>
    </row>
    <row r="3293" spans="1:11" x14ac:dyDescent="0.25">
      <c r="A3293" t="s">
        <v>86</v>
      </c>
    </row>
    <row r="3294" spans="1:11" x14ac:dyDescent="0.25">
      <c r="A3294">
        <v>110.95481967374999</v>
      </c>
      <c r="B3294">
        <v>13.4438650611032</v>
      </c>
      <c r="C3294">
        <v>2000</v>
      </c>
    </row>
    <row r="3295" spans="1:11" x14ac:dyDescent="0.25">
      <c r="A3295">
        <v>109.559318862659</v>
      </c>
      <c r="B3295">
        <v>12.0483642500119</v>
      </c>
      <c r="C3295">
        <v>2000</v>
      </c>
    </row>
    <row r="3296" spans="1:11" x14ac:dyDescent="0.25">
      <c r="A3296">
        <v>110.433350911557</v>
      </c>
      <c r="B3296">
        <v>12.0483642500119</v>
      </c>
      <c r="C3296">
        <v>2001</v>
      </c>
    </row>
    <row r="3297" spans="1:11" x14ac:dyDescent="0.25">
      <c r="A3297">
        <v>111.700141432922</v>
      </c>
      <c r="B3297">
        <v>13.315154771376999</v>
      </c>
      <c r="C3297">
        <v>2001</v>
      </c>
    </row>
    <row r="3298" spans="1:11" x14ac:dyDescent="0.25">
      <c r="A3298">
        <v>119.035736294014</v>
      </c>
      <c r="B3298">
        <v>20.650749632469399</v>
      </c>
      <c r="C3298">
        <v>2001</v>
      </c>
    </row>
    <row r="3299" spans="1:11" x14ac:dyDescent="0.25">
      <c r="A3299">
        <v>119.035736294014</v>
      </c>
      <c r="B3299">
        <v>21.524781681366999</v>
      </c>
      <c r="C3299">
        <v>2000</v>
      </c>
    </row>
    <row r="3300" spans="1:11" x14ac:dyDescent="0.25">
      <c r="A3300" t="s">
        <v>87</v>
      </c>
    </row>
    <row r="3301" spans="1:11" x14ac:dyDescent="0.25">
      <c r="A3301">
        <v>634</v>
      </c>
      <c r="B3301">
        <v>1</v>
      </c>
      <c r="C3301">
        <v>6.2643276018588203</v>
      </c>
      <c r="D3301">
        <v>6.48619564248619</v>
      </c>
      <c r="E3301">
        <v>8</v>
      </c>
      <c r="F3301">
        <v>1.01722196789785</v>
      </c>
      <c r="G3301" t="s">
        <v>85</v>
      </c>
      <c r="H3301" t="s">
        <v>85</v>
      </c>
      <c r="I3301">
        <v>597</v>
      </c>
      <c r="J3301">
        <v>723</v>
      </c>
      <c r="K3301">
        <v>0</v>
      </c>
    </row>
    <row r="3302" spans="1:11" x14ac:dyDescent="0.25">
      <c r="A3302" t="s">
        <v>86</v>
      </c>
    </row>
    <row r="3303" spans="1:11" x14ac:dyDescent="0.25">
      <c r="A3303">
        <v>136.15703167755601</v>
      </c>
      <c r="B3303">
        <v>52.792986350674902</v>
      </c>
      <c r="C3303">
        <v>2000</v>
      </c>
    </row>
    <row r="3304" spans="1:11" x14ac:dyDescent="0.25">
      <c r="A3304">
        <v>131.66084152490899</v>
      </c>
      <c r="B3304">
        <v>57.289176503322103</v>
      </c>
      <c r="C3304">
        <v>2000</v>
      </c>
    </row>
    <row r="3305" spans="1:11" x14ac:dyDescent="0.25">
      <c r="A3305">
        <v>131.66084152490899</v>
      </c>
      <c r="B3305">
        <v>56.4151444544244</v>
      </c>
      <c r="C3305">
        <v>2001</v>
      </c>
    </row>
    <row r="3306" spans="1:11" x14ac:dyDescent="0.25">
      <c r="A3306">
        <v>136.02374842595799</v>
      </c>
      <c r="B3306">
        <v>52.052237553374702</v>
      </c>
      <c r="C3306">
        <v>2001</v>
      </c>
    </row>
    <row r="3307" spans="1:11" x14ac:dyDescent="0.25">
      <c r="A3307">
        <v>138.40991269077901</v>
      </c>
      <c r="B3307">
        <v>49.666073288554202</v>
      </c>
      <c r="C3307">
        <v>2001</v>
      </c>
    </row>
    <row r="3308" spans="1:11" x14ac:dyDescent="0.25">
      <c r="A3308">
        <v>140.676822974662</v>
      </c>
      <c r="B3308">
        <v>47.399163004671401</v>
      </c>
      <c r="C3308">
        <v>2001</v>
      </c>
    </row>
    <row r="3309" spans="1:11" x14ac:dyDescent="0.25">
      <c r="A3309">
        <v>140.676822974662</v>
      </c>
      <c r="B3309">
        <v>48.273195053568998</v>
      </c>
      <c r="C3309">
        <v>2000</v>
      </c>
    </row>
    <row r="3310" spans="1:11" x14ac:dyDescent="0.25">
      <c r="A3310">
        <v>138.616091316785</v>
      </c>
      <c r="B3310">
        <v>50.333926711445898</v>
      </c>
      <c r="C3310">
        <v>2000</v>
      </c>
    </row>
    <row r="3311" spans="1:11" x14ac:dyDescent="0.25">
      <c r="A3311" t="s">
        <v>87</v>
      </c>
    </row>
    <row r="3312" spans="1:11" x14ac:dyDescent="0.25">
      <c r="A3312">
        <v>633</v>
      </c>
      <c r="B3312">
        <v>1</v>
      </c>
      <c r="C3312">
        <v>1.64244281565379</v>
      </c>
      <c r="D3312">
        <v>11.101625918720201</v>
      </c>
      <c r="E3312">
        <v>6</v>
      </c>
      <c r="F3312">
        <v>1.01722196789785</v>
      </c>
      <c r="G3312" t="s">
        <v>85</v>
      </c>
      <c r="H3312" t="s">
        <v>85</v>
      </c>
      <c r="I3312">
        <v>585</v>
      </c>
      <c r="J3312">
        <v>594</v>
      </c>
      <c r="K3312">
        <v>0</v>
      </c>
    </row>
    <row r="3313" spans="1:11" x14ac:dyDescent="0.25">
      <c r="A3313" t="s">
        <v>86</v>
      </c>
    </row>
    <row r="3314" spans="1:11" x14ac:dyDescent="0.25">
      <c r="A3314">
        <v>101.21780999527201</v>
      </c>
      <c r="B3314">
        <v>85.724144461445306</v>
      </c>
      <c r="C3314">
        <v>2000</v>
      </c>
    </row>
    <row r="3315" spans="1:11" x14ac:dyDescent="0.25">
      <c r="A3315">
        <v>100.056427542612</v>
      </c>
      <c r="B3315">
        <v>86.885526914105199</v>
      </c>
      <c r="C3315">
        <v>2000</v>
      </c>
    </row>
    <row r="3316" spans="1:11" x14ac:dyDescent="0.25">
      <c r="A3316">
        <v>100.056427542612</v>
      </c>
      <c r="B3316">
        <v>87.759558963002803</v>
      </c>
      <c r="C3316">
        <v>2001</v>
      </c>
    </row>
    <row r="3317" spans="1:11" x14ac:dyDescent="0.25">
      <c r="A3317">
        <v>101.21780999527201</v>
      </c>
      <c r="B3317">
        <v>86.598176510342896</v>
      </c>
      <c r="C3317">
        <v>2001</v>
      </c>
    </row>
    <row r="3318" spans="1:11" x14ac:dyDescent="0.25">
      <c r="A3318">
        <v>109.067844964595</v>
      </c>
      <c r="B3318">
        <v>78.748141541019507</v>
      </c>
      <c r="C3318">
        <v>2001</v>
      </c>
    </row>
    <row r="3319" spans="1:11" x14ac:dyDescent="0.25">
      <c r="A3319">
        <v>109.067844964595</v>
      </c>
      <c r="B3319">
        <v>77.874109492121903</v>
      </c>
      <c r="C3319">
        <v>2000</v>
      </c>
    </row>
    <row r="3320" spans="1:11" x14ac:dyDescent="0.25">
      <c r="A3320" t="s">
        <v>87</v>
      </c>
    </row>
    <row r="3321" spans="1:11" x14ac:dyDescent="0.25">
      <c r="A3321">
        <v>974</v>
      </c>
      <c r="B3321">
        <v>1</v>
      </c>
      <c r="C3321">
        <v>7.14582966327358</v>
      </c>
      <c r="D3321">
        <v>5.5296836987523497</v>
      </c>
      <c r="E3321">
        <v>8</v>
      </c>
      <c r="F3321">
        <v>1.01722196789785</v>
      </c>
      <c r="G3321" t="s">
        <v>85</v>
      </c>
      <c r="H3321" t="s">
        <v>85</v>
      </c>
      <c r="I3321">
        <v>280</v>
      </c>
      <c r="J3321">
        <v>278</v>
      </c>
      <c r="K3321">
        <v>9.2813824447879903E-2</v>
      </c>
    </row>
    <row r="3322" spans="1:11" x14ac:dyDescent="0.25">
      <c r="A3322" t="s">
        <v>86</v>
      </c>
    </row>
    <row r="3323" spans="1:11" x14ac:dyDescent="0.25">
      <c r="A3323">
        <v>51.838939288152297</v>
      </c>
      <c r="B3323">
        <v>123.23806122415</v>
      </c>
      <c r="C3323">
        <v>2000</v>
      </c>
    </row>
    <row r="3324" spans="1:11" x14ac:dyDescent="0.25">
      <c r="A3324">
        <v>50.289212700908003</v>
      </c>
      <c r="B3324">
        <v>124.78778781139501</v>
      </c>
      <c r="C3324">
        <v>2000</v>
      </c>
    </row>
    <row r="3325" spans="1:11" x14ac:dyDescent="0.25">
      <c r="A3325">
        <v>47.019154246896498</v>
      </c>
      <c r="B3325">
        <v>128.057846265406</v>
      </c>
      <c r="C3325">
        <v>2000</v>
      </c>
    </row>
    <row r="3326" spans="1:11" x14ac:dyDescent="0.25">
      <c r="A3326">
        <v>46.145122197998901</v>
      </c>
      <c r="B3326">
        <v>128.057846265406</v>
      </c>
      <c r="C3326">
        <v>2001</v>
      </c>
    </row>
    <row r="3327" spans="1:11" x14ac:dyDescent="0.25">
      <c r="A3327">
        <v>49.710787299091997</v>
      </c>
      <c r="B3327">
        <v>124.492181164313</v>
      </c>
      <c r="C3327">
        <v>2001</v>
      </c>
    </row>
    <row r="3328" spans="1:11" x14ac:dyDescent="0.25">
      <c r="A3328">
        <v>51.431066380952501</v>
      </c>
      <c r="B3328">
        <v>122.771902082453</v>
      </c>
      <c r="C3328">
        <v>2001</v>
      </c>
    </row>
    <row r="3329" spans="1:11" x14ac:dyDescent="0.25">
      <c r="A3329">
        <v>55.545079675756902</v>
      </c>
      <c r="B3329">
        <v>118.65788878764801</v>
      </c>
      <c r="C3329">
        <v>2001</v>
      </c>
    </row>
    <row r="3330" spans="1:11" x14ac:dyDescent="0.25">
      <c r="A3330">
        <v>55.545079675756902</v>
      </c>
      <c r="B3330">
        <v>119.53192083654601</v>
      </c>
      <c r="C3330">
        <v>2000</v>
      </c>
    </row>
    <row r="3331" spans="1:11" x14ac:dyDescent="0.25">
      <c r="A3331" t="s">
        <v>87</v>
      </c>
    </row>
    <row r="3332" spans="1:11" x14ac:dyDescent="0.25">
      <c r="A3332">
        <v>237</v>
      </c>
      <c r="B3332">
        <v>1</v>
      </c>
      <c r="C3332">
        <v>4.9936547284669501</v>
      </c>
      <c r="D3332">
        <v>7.6191887064087904</v>
      </c>
      <c r="E3332">
        <v>6</v>
      </c>
      <c r="F3332">
        <v>1.01722196789785</v>
      </c>
      <c r="G3332" t="s">
        <v>85</v>
      </c>
      <c r="H3332" t="s">
        <v>85</v>
      </c>
      <c r="I3332">
        <v>186</v>
      </c>
      <c r="J3332">
        <v>729</v>
      </c>
      <c r="K3332">
        <v>0</v>
      </c>
    </row>
    <row r="3333" spans="1:11" x14ac:dyDescent="0.25">
      <c r="A3333" t="s">
        <v>86</v>
      </c>
    </row>
    <row r="3334" spans="1:11" x14ac:dyDescent="0.25">
      <c r="A3334">
        <v>66.725834047759804</v>
      </c>
      <c r="B3334">
        <v>132.16092805291601</v>
      </c>
      <c r="C3334">
        <v>2000</v>
      </c>
    </row>
    <row r="3335" spans="1:11" x14ac:dyDescent="0.25">
      <c r="A3335">
        <v>63.1947869263565</v>
      </c>
      <c r="B3335">
        <v>135.691975174319</v>
      </c>
      <c r="C3335">
        <v>2000</v>
      </c>
    </row>
    <row r="3336" spans="1:11" x14ac:dyDescent="0.25">
      <c r="A3336">
        <v>63.1947869263565</v>
      </c>
      <c r="B3336">
        <v>134.817943125422</v>
      </c>
      <c r="C3336">
        <v>2001</v>
      </c>
    </row>
    <row r="3337" spans="1:11" x14ac:dyDescent="0.25">
      <c r="A3337">
        <v>66.725834047759804</v>
      </c>
      <c r="B3337">
        <v>131.28689600401799</v>
      </c>
      <c r="C3337">
        <v>2001</v>
      </c>
    </row>
    <row r="3338" spans="1:11" x14ac:dyDescent="0.25">
      <c r="A3338">
        <v>72.113414049201396</v>
      </c>
      <c r="B3338">
        <v>125.899316002577</v>
      </c>
      <c r="C3338">
        <v>2001</v>
      </c>
    </row>
    <row r="3339" spans="1:11" x14ac:dyDescent="0.25">
      <c r="A3339">
        <v>72.113414049201396</v>
      </c>
      <c r="B3339">
        <v>126.773348051475</v>
      </c>
      <c r="C3339">
        <v>2000</v>
      </c>
    </row>
    <row r="3340" spans="1:11" x14ac:dyDescent="0.25">
      <c r="A3340" t="s">
        <v>87</v>
      </c>
    </row>
    <row r="3341" spans="1:11" x14ac:dyDescent="0.25">
      <c r="A3341">
        <v>600</v>
      </c>
      <c r="B3341">
        <v>0</v>
      </c>
      <c r="C3341">
        <v>5.9148228189315502</v>
      </c>
      <c r="D3341">
        <v>6.6742476032161697</v>
      </c>
      <c r="E3341">
        <v>10</v>
      </c>
      <c r="F3341">
        <v>1.01722196789785</v>
      </c>
      <c r="G3341" t="s">
        <v>85</v>
      </c>
      <c r="H3341" t="s">
        <v>89</v>
      </c>
      <c r="I3341">
        <v>707</v>
      </c>
      <c r="J3341">
        <v>506</v>
      </c>
      <c r="K3341">
        <v>0</v>
      </c>
    </row>
    <row r="3342" spans="1:11" x14ac:dyDescent="0.25">
      <c r="A3342" t="s">
        <v>86</v>
      </c>
    </row>
    <row r="3343" spans="1:11" x14ac:dyDescent="0.25">
      <c r="A3343">
        <v>103.19975219042</v>
      </c>
      <c r="B3343">
        <v>97.847767423487099</v>
      </c>
      <c r="C3343">
        <v>2000</v>
      </c>
    </row>
    <row r="3344" spans="1:11" x14ac:dyDescent="0.25">
      <c r="A3344">
        <v>100.37102625132501</v>
      </c>
      <c r="B3344">
        <v>95.019041484392304</v>
      </c>
      <c r="C3344">
        <v>2000</v>
      </c>
    </row>
    <row r="3345" spans="1:11" x14ac:dyDescent="0.25">
      <c r="A3345">
        <v>99.1739210394</v>
      </c>
      <c r="B3345">
        <v>93.821936272467397</v>
      </c>
      <c r="C3345">
        <v>2000</v>
      </c>
    </row>
    <row r="3346" spans="1:11" x14ac:dyDescent="0.25">
      <c r="A3346">
        <v>98.299888990502396</v>
      </c>
      <c r="B3346">
        <v>93.821936272467497</v>
      </c>
      <c r="C3346">
        <v>2001</v>
      </c>
    </row>
    <row r="3347" spans="1:11" x14ac:dyDescent="0.25">
      <c r="A3347">
        <v>99.628973748675193</v>
      </c>
      <c r="B3347">
        <v>95.151021030640194</v>
      </c>
      <c r="C3347">
        <v>2001</v>
      </c>
    </row>
    <row r="3348" spans="1:11" x14ac:dyDescent="0.25">
      <c r="A3348">
        <v>102.63888048905</v>
      </c>
      <c r="B3348">
        <v>98.160927771014599</v>
      </c>
      <c r="C3348">
        <v>2001</v>
      </c>
    </row>
    <row r="3349" spans="1:11" x14ac:dyDescent="0.25">
      <c r="A3349">
        <v>104.69646073025901</v>
      </c>
      <c r="B3349">
        <v>100.21850801222401</v>
      </c>
      <c r="C3349">
        <v>2001</v>
      </c>
    </row>
    <row r="3350" spans="1:11" x14ac:dyDescent="0.25">
      <c r="A3350">
        <v>107.42021406706201</v>
      </c>
      <c r="B3350">
        <v>102.942261349028</v>
      </c>
      <c r="C3350">
        <v>2001</v>
      </c>
    </row>
    <row r="3351" spans="1:11" x14ac:dyDescent="0.25">
      <c r="A3351">
        <v>107.857230091511</v>
      </c>
      <c r="B3351">
        <v>102.50524532457899</v>
      </c>
      <c r="C3351">
        <v>2000</v>
      </c>
    </row>
    <row r="3352" spans="1:11" x14ac:dyDescent="0.25">
      <c r="A3352">
        <v>105.133476754708</v>
      </c>
      <c r="B3352">
        <v>99.781491987775595</v>
      </c>
      <c r="C3352">
        <v>2000</v>
      </c>
    </row>
    <row r="3353" spans="1:11" x14ac:dyDescent="0.25">
      <c r="A3353" t="s">
        <v>87</v>
      </c>
    </row>
    <row r="3354" spans="1:11" x14ac:dyDescent="0.25">
      <c r="A3354">
        <v>845</v>
      </c>
      <c r="B3354">
        <v>0</v>
      </c>
      <c r="C3354">
        <v>12.1148380013184</v>
      </c>
      <c r="D3354">
        <v>0.45671500659563702</v>
      </c>
      <c r="E3354">
        <v>6</v>
      </c>
      <c r="F3354">
        <v>1.01722196789785</v>
      </c>
      <c r="G3354" t="s">
        <v>85</v>
      </c>
      <c r="H3354" t="s">
        <v>89</v>
      </c>
      <c r="I3354">
        <v>475</v>
      </c>
      <c r="J3354">
        <v>437</v>
      </c>
      <c r="K3354">
        <v>9.0645505931922193E-2</v>
      </c>
    </row>
    <row r="3355" spans="1:11" x14ac:dyDescent="0.25">
      <c r="A3355" t="s">
        <v>86</v>
      </c>
    </row>
    <row r="3356" spans="1:11" x14ac:dyDescent="0.25">
      <c r="A3356">
        <v>58.391835724959002</v>
      </c>
      <c r="B3356">
        <v>12.020040566875</v>
      </c>
      <c r="C3356">
        <v>2000</v>
      </c>
    </row>
    <row r="3357" spans="1:11" x14ac:dyDescent="0.25">
      <c r="A3357">
        <v>50.035921402757999</v>
      </c>
      <c r="B3357">
        <v>3.6641262446739402</v>
      </c>
      <c r="C3357">
        <v>2000</v>
      </c>
    </row>
    <row r="3358" spans="1:11" x14ac:dyDescent="0.25">
      <c r="A3358">
        <v>50.035921402757999</v>
      </c>
      <c r="B3358">
        <v>2.7900941957762901</v>
      </c>
      <c r="C3358">
        <v>2001</v>
      </c>
    </row>
    <row r="3359" spans="1:11" x14ac:dyDescent="0.25">
      <c r="A3359">
        <v>58.812975287974403</v>
      </c>
      <c r="B3359">
        <v>11.5671480809927</v>
      </c>
      <c r="C3359">
        <v>2001</v>
      </c>
    </row>
    <row r="3360" spans="1:11" x14ac:dyDescent="0.25">
      <c r="A3360">
        <v>59.143859796924602</v>
      </c>
      <c r="B3360">
        <v>11.8980325899429</v>
      </c>
      <c r="C3360">
        <v>2001</v>
      </c>
    </row>
    <row r="3361" spans="1:11" x14ac:dyDescent="0.25">
      <c r="A3361">
        <v>58.7068437724757</v>
      </c>
      <c r="B3361">
        <v>12.335048614391701</v>
      </c>
      <c r="C3361">
        <v>2000</v>
      </c>
    </row>
    <row r="3362" spans="1:11" x14ac:dyDescent="0.25">
      <c r="A3362" t="s">
        <v>87</v>
      </c>
    </row>
    <row r="3363" spans="1:11" x14ac:dyDescent="0.25">
      <c r="A3363">
        <v>224</v>
      </c>
      <c r="B3363">
        <v>1</v>
      </c>
      <c r="C3363">
        <v>8.2754256582773706</v>
      </c>
      <c r="D3363">
        <v>4.2893815645302302</v>
      </c>
      <c r="E3363">
        <v>8</v>
      </c>
      <c r="F3363">
        <v>1.01722196789785</v>
      </c>
      <c r="G3363" t="s">
        <v>85</v>
      </c>
      <c r="H3363" t="s">
        <v>85</v>
      </c>
      <c r="I3363">
        <v>191</v>
      </c>
      <c r="J3363">
        <v>505</v>
      </c>
      <c r="K3363">
        <v>0</v>
      </c>
    </row>
    <row r="3364" spans="1:11" x14ac:dyDescent="0.25">
      <c r="A3364" t="s">
        <v>86</v>
      </c>
    </row>
    <row r="3365" spans="1:11" x14ac:dyDescent="0.25">
      <c r="A3365">
        <v>98.871692963034704</v>
      </c>
      <c r="B3365">
        <v>125.911341663733</v>
      </c>
      <c r="C3365">
        <v>2000</v>
      </c>
    </row>
    <row r="3366" spans="1:11" x14ac:dyDescent="0.25">
      <c r="A3366">
        <v>92.881108355661993</v>
      </c>
      <c r="B3366">
        <v>131.90192627110599</v>
      </c>
      <c r="C3366">
        <v>2000</v>
      </c>
    </row>
    <row r="3367" spans="1:11" x14ac:dyDescent="0.25">
      <c r="A3367">
        <v>93.755140404559697</v>
      </c>
      <c r="B3367">
        <v>131.90192627110599</v>
      </c>
      <c r="C3367">
        <v>2001</v>
      </c>
    </row>
    <row r="3368" spans="1:11" x14ac:dyDescent="0.25">
      <c r="A3368">
        <v>99.467774997533198</v>
      </c>
      <c r="B3368">
        <v>126.189291678133</v>
      </c>
      <c r="C3368">
        <v>2001</v>
      </c>
    </row>
    <row r="3369" spans="1:11" x14ac:dyDescent="0.25">
      <c r="A3369">
        <v>100.278322301554</v>
      </c>
      <c r="B3369">
        <v>125.378744374112</v>
      </c>
      <c r="C3369">
        <v>2001</v>
      </c>
    </row>
    <row r="3370" spans="1:11" x14ac:dyDescent="0.25">
      <c r="A3370">
        <v>102.639800796109</v>
      </c>
      <c r="B3370">
        <v>123.017265879557</v>
      </c>
      <c r="C3370">
        <v>2001</v>
      </c>
    </row>
    <row r="3371" spans="1:11" x14ac:dyDescent="0.25">
      <c r="A3371">
        <v>101.765768747211</v>
      </c>
      <c r="B3371">
        <v>123.017265879557</v>
      </c>
      <c r="C3371">
        <v>2000</v>
      </c>
    </row>
    <row r="3372" spans="1:11" x14ac:dyDescent="0.25">
      <c r="A3372">
        <v>99.7216776984463</v>
      </c>
      <c r="B3372">
        <v>125.061356928322</v>
      </c>
      <c r="C3372">
        <v>2000</v>
      </c>
    </row>
    <row r="3373" spans="1:11" x14ac:dyDescent="0.25">
      <c r="A3373" t="s">
        <v>87</v>
      </c>
    </row>
    <row r="3374" spans="1:11" x14ac:dyDescent="0.25">
      <c r="A3374">
        <v>265</v>
      </c>
      <c r="B3374">
        <v>0</v>
      </c>
      <c r="C3374">
        <v>3.8429166394693799</v>
      </c>
      <c r="D3374">
        <v>8.6968633566268405</v>
      </c>
      <c r="E3374">
        <v>6</v>
      </c>
      <c r="F3374">
        <v>1.01722196789785</v>
      </c>
      <c r="G3374" t="s">
        <v>85</v>
      </c>
      <c r="H3374" t="s">
        <v>85</v>
      </c>
      <c r="I3374">
        <v>738</v>
      </c>
      <c r="J3374">
        <v>313</v>
      </c>
      <c r="K3374">
        <v>0</v>
      </c>
    </row>
    <row r="3375" spans="1:11" x14ac:dyDescent="0.25">
      <c r="A3375" t="s">
        <v>86</v>
      </c>
    </row>
    <row r="3376" spans="1:11" x14ac:dyDescent="0.25">
      <c r="A3376">
        <v>2.4266235792765198</v>
      </c>
      <c r="B3376">
        <v>137.19556778999899</v>
      </c>
      <c r="C3376">
        <v>2000</v>
      </c>
    </row>
    <row r="3377" spans="1:11" x14ac:dyDescent="0.25">
      <c r="A3377">
        <v>-0.42465591868639602</v>
      </c>
      <c r="B3377">
        <v>134.344288292036</v>
      </c>
      <c r="C3377">
        <v>2000</v>
      </c>
    </row>
    <row r="3378" spans="1:11" x14ac:dyDescent="0.25">
      <c r="A3378">
        <v>0.44937613021126199</v>
      </c>
      <c r="B3378">
        <v>134.344288292036</v>
      </c>
      <c r="C3378">
        <v>2001</v>
      </c>
    </row>
    <row r="3379" spans="1:11" x14ac:dyDescent="0.25">
      <c r="A3379">
        <v>3.03280146285518</v>
      </c>
      <c r="B3379">
        <v>136.92771362468</v>
      </c>
      <c r="C3379">
        <v>2001</v>
      </c>
    </row>
    <row r="3380" spans="1:11" x14ac:dyDescent="0.25">
      <c r="A3380">
        <v>8.8793235755894901</v>
      </c>
      <c r="B3380">
        <v>142.77423573741399</v>
      </c>
      <c r="C3380">
        <v>2001</v>
      </c>
    </row>
    <row r="3381" spans="1:11" x14ac:dyDescent="0.25">
      <c r="A3381">
        <v>8.8793235755894901</v>
      </c>
      <c r="B3381">
        <v>143.64826778631101</v>
      </c>
      <c r="C3381">
        <v>2000</v>
      </c>
    </row>
    <row r="3382" spans="1:11" x14ac:dyDescent="0.25">
      <c r="A3382" t="s">
        <v>87</v>
      </c>
    </row>
    <row r="3383" spans="1:11" x14ac:dyDescent="0.25">
      <c r="A3383">
        <v>276</v>
      </c>
      <c r="B3383">
        <v>0</v>
      </c>
      <c r="C3383">
        <v>3.9761151029505402</v>
      </c>
      <c r="D3383">
        <v>8.5490399860964299</v>
      </c>
      <c r="E3383">
        <v>6</v>
      </c>
      <c r="F3383">
        <v>1.01722196789785</v>
      </c>
      <c r="G3383" t="s">
        <v>85</v>
      </c>
      <c r="H3383" t="s">
        <v>85</v>
      </c>
      <c r="I3383">
        <v>306</v>
      </c>
      <c r="J3383">
        <v>310</v>
      </c>
      <c r="K3383">
        <v>0</v>
      </c>
    </row>
    <row r="3384" spans="1:11" x14ac:dyDescent="0.25">
      <c r="A3384" t="s">
        <v>86</v>
      </c>
    </row>
    <row r="3385" spans="1:11" x14ac:dyDescent="0.25">
      <c r="A3385">
        <v>26.830454168828499</v>
      </c>
      <c r="B3385">
        <v>127.359506400527</v>
      </c>
      <c r="C3385">
        <v>2000</v>
      </c>
    </row>
    <row r="3386" spans="1:11" x14ac:dyDescent="0.25">
      <c r="A3386">
        <v>23.880185318598301</v>
      </c>
      <c r="B3386">
        <v>124.409237550296</v>
      </c>
      <c r="C3386">
        <v>2000</v>
      </c>
    </row>
    <row r="3387" spans="1:11" x14ac:dyDescent="0.25">
      <c r="A3387">
        <v>24.754217367495901</v>
      </c>
      <c r="B3387">
        <v>124.409237550296</v>
      </c>
      <c r="C3387">
        <v>2001</v>
      </c>
    </row>
    <row r="3388" spans="1:11" x14ac:dyDescent="0.25">
      <c r="A3388">
        <v>27.427024421414799</v>
      </c>
      <c r="B3388">
        <v>127.082044604215</v>
      </c>
      <c r="C3388">
        <v>2001</v>
      </c>
    </row>
    <row r="3389" spans="1:11" x14ac:dyDescent="0.25">
      <c r="A3389">
        <v>33.1738234419254</v>
      </c>
      <c r="B3389">
        <v>132.82884362472601</v>
      </c>
      <c r="C3389">
        <v>2001</v>
      </c>
    </row>
    <row r="3390" spans="1:11" x14ac:dyDescent="0.25">
      <c r="A3390">
        <v>33.1738234419254</v>
      </c>
      <c r="B3390">
        <v>133.70287567362399</v>
      </c>
      <c r="C3390">
        <v>2000</v>
      </c>
    </row>
    <row r="3391" spans="1:11" x14ac:dyDescent="0.25">
      <c r="A3391" t="s">
        <v>87</v>
      </c>
    </row>
    <row r="3392" spans="1:11" x14ac:dyDescent="0.25">
      <c r="A3392">
        <v>740</v>
      </c>
      <c r="B3392">
        <v>0</v>
      </c>
      <c r="C3392">
        <v>0.74206000398746097</v>
      </c>
      <c r="D3392">
        <v>11.7114115446615</v>
      </c>
      <c r="E3392">
        <v>6</v>
      </c>
      <c r="F3392">
        <v>1.01722196789785</v>
      </c>
      <c r="G3392" t="s">
        <v>89</v>
      </c>
      <c r="H3392" t="s">
        <v>85</v>
      </c>
      <c r="I3392">
        <v>350</v>
      </c>
      <c r="J3392">
        <v>382</v>
      </c>
      <c r="K3392">
        <v>8.8948032773117705E-2</v>
      </c>
    </row>
    <row r="3393" spans="1:11" x14ac:dyDescent="0.25">
      <c r="A3393" t="s">
        <v>86</v>
      </c>
    </row>
    <row r="3394" spans="1:11" x14ac:dyDescent="0.25">
      <c r="A3394">
        <v>34.109352945274303</v>
      </c>
      <c r="B3394">
        <v>64.248402947539901</v>
      </c>
      <c r="C3394">
        <v>2000</v>
      </c>
    </row>
    <row r="3395" spans="1:11" x14ac:dyDescent="0.25">
      <c r="A3395">
        <v>33.597657433511202</v>
      </c>
      <c r="B3395">
        <v>63.7367074357768</v>
      </c>
      <c r="C3395">
        <v>2000</v>
      </c>
    </row>
    <row r="3396" spans="1:11" x14ac:dyDescent="0.25">
      <c r="A3396">
        <v>34.034673457959997</v>
      </c>
      <c r="B3396">
        <v>63.299691411327998</v>
      </c>
      <c r="C3396">
        <v>2001</v>
      </c>
    </row>
    <row r="3397" spans="1:11" x14ac:dyDescent="0.25">
      <c r="A3397">
        <v>34.572409267930603</v>
      </c>
      <c r="B3397">
        <v>63.837427221298597</v>
      </c>
      <c r="C3397">
        <v>2001</v>
      </c>
    </row>
    <row r="3398" spans="1:11" x14ac:dyDescent="0.25">
      <c r="A3398">
        <v>43.059115651547899</v>
      </c>
      <c r="B3398">
        <v>72.3241336049159</v>
      </c>
      <c r="C3398">
        <v>2001</v>
      </c>
    </row>
    <row r="3399" spans="1:11" x14ac:dyDescent="0.25">
      <c r="A3399">
        <v>42.185083602650202</v>
      </c>
      <c r="B3399">
        <v>72.3241336049159</v>
      </c>
      <c r="C3399">
        <v>2000</v>
      </c>
    </row>
    <row r="3400" spans="1:11" x14ac:dyDescent="0.25">
      <c r="A3400" t="s">
        <v>87</v>
      </c>
    </row>
    <row r="3401" spans="1:11" x14ac:dyDescent="0.25">
      <c r="A3401">
        <v>830</v>
      </c>
      <c r="B3401">
        <v>1</v>
      </c>
      <c r="C3401">
        <v>4.1787079080196303</v>
      </c>
      <c r="D3401">
        <v>8.2265396933030797</v>
      </c>
      <c r="E3401">
        <v>6</v>
      </c>
      <c r="F3401">
        <v>1.01722196789785</v>
      </c>
      <c r="G3401" t="s">
        <v>88</v>
      </c>
      <c r="H3401" t="s">
        <v>85</v>
      </c>
      <c r="I3401">
        <v>0</v>
      </c>
      <c r="J3401">
        <v>266</v>
      </c>
      <c r="K3401">
        <v>9.0374042336346896E-2</v>
      </c>
    </row>
    <row r="3402" spans="1:11" x14ac:dyDescent="0.25">
      <c r="A3402" t="s">
        <v>86</v>
      </c>
    </row>
    <row r="3403" spans="1:11" x14ac:dyDescent="0.25">
      <c r="A3403">
        <v>38.544226067385203</v>
      </c>
      <c r="B3403">
        <v>147.045207301641</v>
      </c>
      <c r="C3403">
        <v>2000</v>
      </c>
    </row>
    <row r="3404" spans="1:11" x14ac:dyDescent="0.25">
      <c r="A3404">
        <v>35.5894333690267</v>
      </c>
      <c r="B3404">
        <v>150</v>
      </c>
      <c r="C3404">
        <v>2000</v>
      </c>
    </row>
    <row r="3405" spans="1:11" x14ac:dyDescent="0.25">
      <c r="A3405">
        <v>34.715401320128997</v>
      </c>
      <c r="B3405">
        <v>150</v>
      </c>
      <c r="C3405">
        <v>2001</v>
      </c>
    </row>
    <row r="3406" spans="1:11" x14ac:dyDescent="0.25">
      <c r="A3406">
        <v>37.6701940184875</v>
      </c>
      <c r="B3406">
        <v>147.045207301641</v>
      </c>
      <c r="C3406">
        <v>2001</v>
      </c>
    </row>
    <row r="3407" spans="1:11" x14ac:dyDescent="0.25">
      <c r="A3407">
        <v>43.487236021322403</v>
      </c>
      <c r="B3407">
        <v>141.228165298807</v>
      </c>
      <c r="C3407">
        <v>2001</v>
      </c>
    </row>
    <row r="3408" spans="1:11" x14ac:dyDescent="0.25">
      <c r="A3408">
        <v>44.36126807022</v>
      </c>
      <c r="B3408">
        <v>141.228165298807</v>
      </c>
      <c r="C3408">
        <v>2000</v>
      </c>
    </row>
    <row r="3409" spans="1:11" x14ac:dyDescent="0.25">
      <c r="A3409" t="s">
        <v>87</v>
      </c>
    </row>
    <row r="3410" spans="1:11" x14ac:dyDescent="0.25">
      <c r="A3410">
        <v>764</v>
      </c>
      <c r="B3410">
        <v>0</v>
      </c>
      <c r="C3410">
        <v>3.6404595439597598</v>
      </c>
      <c r="D3410">
        <v>8.7562228793155903</v>
      </c>
      <c r="E3410">
        <v>6</v>
      </c>
      <c r="F3410">
        <v>1.01722196789785</v>
      </c>
      <c r="G3410" t="s">
        <v>85</v>
      </c>
      <c r="H3410" t="s">
        <v>85</v>
      </c>
      <c r="I3410">
        <v>802</v>
      </c>
      <c r="J3410">
        <v>471</v>
      </c>
      <c r="K3410">
        <v>8.8948032773117705E-2</v>
      </c>
    </row>
    <row r="3411" spans="1:11" x14ac:dyDescent="0.25">
      <c r="A3411" t="s">
        <v>86</v>
      </c>
    </row>
    <row r="3412" spans="1:11" x14ac:dyDescent="0.25">
      <c r="A3412">
        <v>67.434562843961004</v>
      </c>
      <c r="B3412">
        <v>29.3944149489399</v>
      </c>
      <c r="C3412">
        <v>2000</v>
      </c>
    </row>
    <row r="3413" spans="1:11" x14ac:dyDescent="0.25">
      <c r="A3413">
        <v>64.860369213791699</v>
      </c>
      <c r="B3413">
        <v>26.820221318770699</v>
      </c>
      <c r="C3413">
        <v>2000</v>
      </c>
    </row>
    <row r="3414" spans="1:11" x14ac:dyDescent="0.25">
      <c r="A3414">
        <v>64.860369213791699</v>
      </c>
      <c r="B3414">
        <v>25.946189269872999</v>
      </c>
      <c r="C3414">
        <v>2001</v>
      </c>
    </row>
    <row r="3415" spans="1:11" x14ac:dyDescent="0.25">
      <c r="A3415">
        <v>67.434562843961004</v>
      </c>
      <c r="B3415">
        <v>28.5203829000423</v>
      </c>
      <c r="C3415">
        <v>2001</v>
      </c>
    </row>
    <row r="3416" spans="1:11" x14ac:dyDescent="0.25">
      <c r="A3416">
        <v>73.626147419505799</v>
      </c>
      <c r="B3416">
        <v>34.711967475587102</v>
      </c>
      <c r="C3416">
        <v>2001</v>
      </c>
    </row>
    <row r="3417" spans="1:11" x14ac:dyDescent="0.25">
      <c r="A3417">
        <v>73.626147419505799</v>
      </c>
      <c r="B3417">
        <v>35.585999524484698</v>
      </c>
      <c r="C3417">
        <v>2000</v>
      </c>
    </row>
    <row r="3418" spans="1:11" x14ac:dyDescent="0.25">
      <c r="A3418" t="s">
        <v>87</v>
      </c>
    </row>
    <row r="3419" spans="1:11" x14ac:dyDescent="0.25">
      <c r="A3419">
        <v>348</v>
      </c>
      <c r="B3419">
        <v>0</v>
      </c>
      <c r="C3419">
        <v>6.4943957728489004</v>
      </c>
      <c r="D3419">
        <v>5.8016347900975402</v>
      </c>
      <c r="E3419">
        <v>6</v>
      </c>
      <c r="F3419">
        <v>1.01722196789785</v>
      </c>
      <c r="G3419" t="s">
        <v>88</v>
      </c>
      <c r="H3419" t="s">
        <v>85</v>
      </c>
      <c r="I3419">
        <v>0</v>
      </c>
      <c r="J3419">
        <v>389</v>
      </c>
      <c r="K3419">
        <v>0</v>
      </c>
    </row>
    <row r="3420" spans="1:11" x14ac:dyDescent="0.25">
      <c r="A3420" t="s">
        <v>86</v>
      </c>
    </row>
    <row r="3421" spans="1:11" x14ac:dyDescent="0.25">
      <c r="A3421">
        <v>4.3614124904837404</v>
      </c>
      <c r="B3421">
        <v>64.839408771114194</v>
      </c>
      <c r="C3421">
        <v>2000</v>
      </c>
    </row>
    <row r="3422" spans="1:11" x14ac:dyDescent="0.25">
      <c r="A3422">
        <v>0</v>
      </c>
      <c r="B3422">
        <v>60.477996280630499</v>
      </c>
      <c r="C3422">
        <v>2000</v>
      </c>
    </row>
    <row r="3423" spans="1:11" x14ac:dyDescent="0.25">
      <c r="A3423">
        <v>0</v>
      </c>
      <c r="B3423">
        <v>59.603964231732803</v>
      </c>
      <c r="C3423">
        <v>2001</v>
      </c>
    </row>
    <row r="3424" spans="1:11" x14ac:dyDescent="0.25">
      <c r="A3424">
        <v>4.8230500908976897</v>
      </c>
      <c r="B3424">
        <v>64.427014322630498</v>
      </c>
      <c r="C3424">
        <v>2001</v>
      </c>
    </row>
    <row r="3425" spans="1:11" x14ac:dyDescent="0.25">
      <c r="A3425">
        <v>9.1316226171853003</v>
      </c>
      <c r="B3425">
        <v>68.735586848918103</v>
      </c>
      <c r="C3425">
        <v>2001</v>
      </c>
    </row>
    <row r="3426" spans="1:11" x14ac:dyDescent="0.25">
      <c r="A3426">
        <v>8.2575905682876698</v>
      </c>
      <c r="B3426">
        <v>68.735586848918103</v>
      </c>
      <c r="C3426">
        <v>2000</v>
      </c>
    </row>
    <row r="3427" spans="1:11" x14ac:dyDescent="0.25">
      <c r="A3427" t="s">
        <v>87</v>
      </c>
    </row>
    <row r="3428" spans="1:11" x14ac:dyDescent="0.25">
      <c r="A3428">
        <v>341</v>
      </c>
      <c r="B3428">
        <v>0</v>
      </c>
      <c r="C3428">
        <v>9.4894430585860903</v>
      </c>
      <c r="D3428">
        <v>2.8002586582623801</v>
      </c>
      <c r="E3428">
        <v>6</v>
      </c>
      <c r="F3428">
        <v>1.01722196789785</v>
      </c>
      <c r="G3428" t="s">
        <v>85</v>
      </c>
      <c r="H3428" t="s">
        <v>89</v>
      </c>
      <c r="I3428">
        <v>388</v>
      </c>
      <c r="J3428">
        <v>847</v>
      </c>
      <c r="K3428">
        <v>0</v>
      </c>
    </row>
    <row r="3429" spans="1:11" x14ac:dyDescent="0.25">
      <c r="A3429" t="s">
        <v>86</v>
      </c>
    </row>
    <row r="3430" spans="1:11" x14ac:dyDescent="0.25">
      <c r="A3430">
        <v>13.551413619810999</v>
      </c>
      <c r="B3430">
        <v>93.320794226423402</v>
      </c>
      <c r="C3430">
        <v>2000</v>
      </c>
    </row>
    <row r="3431" spans="1:11" x14ac:dyDescent="0.25">
      <c r="A3431">
        <v>6.6726440129208502</v>
      </c>
      <c r="B3431">
        <v>86.442024619533299</v>
      </c>
      <c r="C3431">
        <v>2000</v>
      </c>
    </row>
    <row r="3432" spans="1:11" x14ac:dyDescent="0.25">
      <c r="A3432">
        <v>6.6726440129208502</v>
      </c>
      <c r="B3432">
        <v>87.316056668431003</v>
      </c>
      <c r="C3432">
        <v>2001</v>
      </c>
    </row>
    <row r="3433" spans="1:11" x14ac:dyDescent="0.25">
      <c r="A3433">
        <v>13.2139734788504</v>
      </c>
      <c r="B3433">
        <v>93.857386134360496</v>
      </c>
      <c r="C3433">
        <v>2001</v>
      </c>
    </row>
    <row r="3434" spans="1:11" x14ac:dyDescent="0.25">
      <c r="A3434">
        <v>15.144267423439899</v>
      </c>
      <c r="B3434">
        <v>95.787680078950004</v>
      </c>
      <c r="C3434">
        <v>2001</v>
      </c>
    </row>
    <row r="3435" spans="1:11" x14ac:dyDescent="0.25">
      <c r="A3435">
        <v>15.581283447888801</v>
      </c>
      <c r="B3435">
        <v>95.350664054501195</v>
      </c>
      <c r="C3435">
        <v>2000</v>
      </c>
    </row>
    <row r="3436" spans="1:11" x14ac:dyDescent="0.25">
      <c r="A3436" t="s">
        <v>87</v>
      </c>
    </row>
    <row r="3437" spans="1:11" x14ac:dyDescent="0.25">
      <c r="A3437">
        <v>827</v>
      </c>
      <c r="B3437">
        <v>0</v>
      </c>
      <c r="C3437">
        <v>6.9908045652458402</v>
      </c>
      <c r="D3437">
        <v>5.29811323012997</v>
      </c>
      <c r="E3437">
        <v>6</v>
      </c>
      <c r="F3437">
        <v>1.01722196789785</v>
      </c>
      <c r="G3437" t="s">
        <v>85</v>
      </c>
      <c r="H3437" t="s">
        <v>89</v>
      </c>
      <c r="I3437">
        <v>471</v>
      </c>
      <c r="J3437">
        <v>428</v>
      </c>
      <c r="K3437">
        <v>9.0097089164053304E-2</v>
      </c>
    </row>
    <row r="3438" spans="1:11" x14ac:dyDescent="0.25">
      <c r="A3438" t="s">
        <v>86</v>
      </c>
    </row>
    <row r="3439" spans="1:11" x14ac:dyDescent="0.25">
      <c r="A3439">
        <v>77.640543285567801</v>
      </c>
      <c r="B3439">
        <v>41.209488699762701</v>
      </c>
      <c r="C3439">
        <v>2000</v>
      </c>
    </row>
    <row r="3440" spans="1:11" x14ac:dyDescent="0.25">
      <c r="A3440">
        <v>72.821600764897795</v>
      </c>
      <c r="B3440">
        <v>36.390546179092802</v>
      </c>
      <c r="C3440">
        <v>2000</v>
      </c>
    </row>
    <row r="3441" spans="1:11" x14ac:dyDescent="0.25">
      <c r="A3441">
        <v>71.947568716000205</v>
      </c>
      <c r="B3441">
        <v>36.390546179092802</v>
      </c>
      <c r="C3441">
        <v>2001</v>
      </c>
    </row>
    <row r="3442" spans="1:11" x14ac:dyDescent="0.25">
      <c r="A3442">
        <v>77.015116823400703</v>
      </c>
      <c r="B3442">
        <v>41.4580942864932</v>
      </c>
      <c r="C3442">
        <v>2001</v>
      </c>
    </row>
    <row r="3443" spans="1:11" x14ac:dyDescent="0.25">
      <c r="A3443">
        <v>80.855653834778906</v>
      </c>
      <c r="B3443">
        <v>45.298631297871403</v>
      </c>
      <c r="C3443">
        <v>2001</v>
      </c>
    </row>
    <row r="3444" spans="1:11" x14ac:dyDescent="0.25">
      <c r="A3444">
        <v>81.292669859227701</v>
      </c>
      <c r="B3444">
        <v>44.861615273422601</v>
      </c>
      <c r="C3444">
        <v>2000</v>
      </c>
    </row>
    <row r="3445" spans="1:11" x14ac:dyDescent="0.25">
      <c r="A3445" t="s">
        <v>87</v>
      </c>
    </row>
    <row r="3446" spans="1:11" x14ac:dyDescent="0.25">
      <c r="A3446">
        <v>755</v>
      </c>
      <c r="B3446">
        <v>1</v>
      </c>
      <c r="C3446">
        <v>2.65510481602435</v>
      </c>
      <c r="D3446">
        <v>9.6298512014895508</v>
      </c>
      <c r="E3446">
        <v>8</v>
      </c>
      <c r="F3446">
        <v>1.01722196789785</v>
      </c>
      <c r="G3446" t="s">
        <v>85</v>
      </c>
      <c r="H3446" t="s">
        <v>85</v>
      </c>
      <c r="I3446">
        <v>598</v>
      </c>
      <c r="J3446">
        <v>101</v>
      </c>
      <c r="K3446">
        <v>8.8948032773117705E-2</v>
      </c>
    </row>
    <row r="3447" spans="1:11" x14ac:dyDescent="0.25">
      <c r="A3447" t="s">
        <v>86</v>
      </c>
    </row>
    <row r="3448" spans="1:11" x14ac:dyDescent="0.25">
      <c r="A3448">
        <v>111.12066360081801</v>
      </c>
      <c r="B3448">
        <v>52.902726965182403</v>
      </c>
      <c r="C3448">
        <v>2000</v>
      </c>
    </row>
    <row r="3449" spans="1:11" x14ac:dyDescent="0.25">
      <c r="A3449">
        <v>109.184573769655</v>
      </c>
      <c r="B3449">
        <v>54.838816796345498</v>
      </c>
      <c r="C3449">
        <v>2000</v>
      </c>
    </row>
    <row r="3450" spans="1:11" x14ac:dyDescent="0.25">
      <c r="A3450">
        <v>109.184573769655</v>
      </c>
      <c r="B3450">
        <v>53.964784747447801</v>
      </c>
      <c r="C3450">
        <v>2001</v>
      </c>
    </row>
    <row r="3451" spans="1:11" x14ac:dyDescent="0.25">
      <c r="A3451">
        <v>111.003369178836</v>
      </c>
      <c r="B3451">
        <v>52.1459893382671</v>
      </c>
      <c r="C3451">
        <v>2001</v>
      </c>
    </row>
    <row r="3452" spans="1:11" x14ac:dyDescent="0.25">
      <c r="A3452">
        <v>113.448871889893</v>
      </c>
      <c r="B3452">
        <v>49.700486627209798</v>
      </c>
      <c r="C3452">
        <v>2001</v>
      </c>
    </row>
    <row r="3453" spans="1:11" x14ac:dyDescent="0.25">
      <c r="A3453">
        <v>117.871349476218</v>
      </c>
      <c r="B3453">
        <v>45.278009040885202</v>
      </c>
      <c r="C3453">
        <v>2001</v>
      </c>
    </row>
    <row r="3454" spans="1:11" x14ac:dyDescent="0.25">
      <c r="A3454">
        <v>117.871349476218</v>
      </c>
      <c r="B3454">
        <v>46.152041089782898</v>
      </c>
      <c r="C3454">
        <v>2000</v>
      </c>
    </row>
    <row r="3455" spans="1:11" x14ac:dyDescent="0.25">
      <c r="A3455">
        <v>113.723877193211</v>
      </c>
      <c r="B3455">
        <v>50.299513372790202</v>
      </c>
      <c r="C3455">
        <v>2000</v>
      </c>
    </row>
    <row r="3456" spans="1:11" x14ac:dyDescent="0.25">
      <c r="A3456" t="s">
        <v>87</v>
      </c>
    </row>
    <row r="3457" spans="1:11" x14ac:dyDescent="0.25">
      <c r="A3457">
        <v>883</v>
      </c>
      <c r="B3457">
        <v>0</v>
      </c>
      <c r="C3457">
        <v>6.0531774883492604</v>
      </c>
      <c r="D3457">
        <v>6.14230225145951</v>
      </c>
      <c r="E3457">
        <v>6</v>
      </c>
      <c r="F3457">
        <v>1.01722196789785</v>
      </c>
      <c r="G3457" t="s">
        <v>85</v>
      </c>
      <c r="H3457" t="s">
        <v>85</v>
      </c>
      <c r="I3457">
        <v>631</v>
      </c>
      <c r="J3457">
        <v>748</v>
      </c>
      <c r="K3457">
        <v>9.1169371169763397E-2</v>
      </c>
    </row>
    <row r="3458" spans="1:11" x14ac:dyDescent="0.25">
      <c r="A3458" t="s">
        <v>86</v>
      </c>
    </row>
    <row r="3459" spans="1:11" x14ac:dyDescent="0.25">
      <c r="A3459">
        <v>127.52639176861599</v>
      </c>
      <c r="B3459">
        <v>95.299514008359793</v>
      </c>
      <c r="C3459">
        <v>2000</v>
      </c>
    </row>
    <row r="3460" spans="1:11" x14ac:dyDescent="0.25">
      <c r="A3460">
        <v>123.246148918879</v>
      </c>
      <c r="B3460">
        <v>91.019271158622203</v>
      </c>
      <c r="C3460">
        <v>2000</v>
      </c>
    </row>
    <row r="3461" spans="1:11" x14ac:dyDescent="0.25">
      <c r="A3461">
        <v>124.120180967777</v>
      </c>
      <c r="B3461">
        <v>91.019271158622203</v>
      </c>
      <c r="C3461">
        <v>2001</v>
      </c>
    </row>
    <row r="3462" spans="1:11" x14ac:dyDescent="0.25">
      <c r="A3462">
        <v>128.400423817514</v>
      </c>
      <c r="B3462">
        <v>95.299514008359793</v>
      </c>
      <c r="C3462">
        <v>2001</v>
      </c>
    </row>
    <row r="3463" spans="1:11" x14ac:dyDescent="0.25">
      <c r="A3463">
        <v>132.74368739161801</v>
      </c>
      <c r="B3463">
        <v>99.642777582464106</v>
      </c>
      <c r="C3463">
        <v>2001</v>
      </c>
    </row>
    <row r="3464" spans="1:11" x14ac:dyDescent="0.25">
      <c r="A3464">
        <v>131.86965534272099</v>
      </c>
      <c r="B3464">
        <v>99.642777582464106</v>
      </c>
      <c r="C3464">
        <v>2000</v>
      </c>
    </row>
    <row r="3465" spans="1:11" x14ac:dyDescent="0.25">
      <c r="A3465" t="s">
        <v>87</v>
      </c>
    </row>
    <row r="3466" spans="1:11" x14ac:dyDescent="0.25">
      <c r="A3466">
        <v>69</v>
      </c>
      <c r="B3466">
        <v>1</v>
      </c>
      <c r="C3466">
        <v>6.2805782083448696</v>
      </c>
      <c r="D3466">
        <v>5.8961230031011098</v>
      </c>
      <c r="E3466">
        <v>6</v>
      </c>
      <c r="F3466">
        <v>1.01722196789785</v>
      </c>
      <c r="G3466" t="s">
        <v>85</v>
      </c>
      <c r="H3466" t="s">
        <v>88</v>
      </c>
      <c r="I3466">
        <v>771</v>
      </c>
      <c r="J3466">
        <v>0</v>
      </c>
      <c r="K3466">
        <v>0</v>
      </c>
    </row>
    <row r="3467" spans="1:11" x14ac:dyDescent="0.25">
      <c r="A3467" t="s">
        <v>86</v>
      </c>
    </row>
    <row r="3468" spans="1:11" x14ac:dyDescent="0.25">
      <c r="A3468">
        <v>10.1969972607576</v>
      </c>
      <c r="B3468">
        <v>4.1691885582027899</v>
      </c>
      <c r="C3468">
        <v>2000</v>
      </c>
    </row>
    <row r="3469" spans="1:11" x14ac:dyDescent="0.25">
      <c r="A3469">
        <v>5.75595781986451</v>
      </c>
      <c r="B3469">
        <v>8.6102279990959101</v>
      </c>
      <c r="C3469">
        <v>2000</v>
      </c>
    </row>
    <row r="3470" spans="1:11" x14ac:dyDescent="0.25">
      <c r="A3470">
        <v>4.8819257709668697</v>
      </c>
      <c r="B3470">
        <v>8.6102279990959207</v>
      </c>
      <c r="C3470">
        <v>2001</v>
      </c>
    </row>
    <row r="3471" spans="1:11" x14ac:dyDescent="0.25">
      <c r="A3471">
        <v>9.3229652118599908</v>
      </c>
      <c r="B3471">
        <v>4.1691885582027899</v>
      </c>
      <c r="C3471">
        <v>2001</v>
      </c>
    </row>
    <row r="3472" spans="1:11" x14ac:dyDescent="0.25">
      <c r="A3472">
        <v>13.492153770062799</v>
      </c>
      <c r="B3472">
        <v>0</v>
      </c>
      <c r="C3472">
        <v>2001</v>
      </c>
    </row>
    <row r="3473" spans="1:11" x14ac:dyDescent="0.25">
      <c r="A3473">
        <v>14.3661858189604</v>
      </c>
      <c r="B3473">
        <v>0</v>
      </c>
      <c r="C3473">
        <v>2000</v>
      </c>
    </row>
    <row r="3474" spans="1:11" x14ac:dyDescent="0.25">
      <c r="A3474" t="s">
        <v>87</v>
      </c>
    </row>
    <row r="3475" spans="1:11" x14ac:dyDescent="0.25">
      <c r="A3475">
        <v>754</v>
      </c>
      <c r="B3475">
        <v>1</v>
      </c>
      <c r="C3475">
        <v>6.8997039875109296</v>
      </c>
      <c r="D3475">
        <v>5.2244562216943304</v>
      </c>
      <c r="E3475">
        <v>6</v>
      </c>
      <c r="F3475">
        <v>1.01722196789785</v>
      </c>
      <c r="G3475" t="s">
        <v>85</v>
      </c>
      <c r="H3475" t="s">
        <v>85</v>
      </c>
      <c r="I3475">
        <v>599</v>
      </c>
      <c r="J3475">
        <v>596</v>
      </c>
      <c r="K3475">
        <v>8.8543832116719706E-2</v>
      </c>
    </row>
    <row r="3476" spans="1:11" x14ac:dyDescent="0.25">
      <c r="A3476" t="s">
        <v>86</v>
      </c>
    </row>
    <row r="3477" spans="1:11" x14ac:dyDescent="0.25">
      <c r="A3477">
        <v>134.159060334852</v>
      </c>
      <c r="B3477">
        <v>78.990054493299795</v>
      </c>
      <c r="C3477">
        <v>2000</v>
      </c>
    </row>
    <row r="3478" spans="1:11" x14ac:dyDescent="0.25">
      <c r="A3478">
        <v>129.28023285710299</v>
      </c>
      <c r="B3478">
        <v>83.868881971048594</v>
      </c>
      <c r="C3478">
        <v>2000</v>
      </c>
    </row>
    <row r="3479" spans="1:11" x14ac:dyDescent="0.25">
      <c r="A3479">
        <v>128.406200808205</v>
      </c>
      <c r="B3479">
        <v>83.868881971048594</v>
      </c>
      <c r="C3479">
        <v>2001</v>
      </c>
    </row>
    <row r="3480" spans="1:11" x14ac:dyDescent="0.25">
      <c r="A3480">
        <v>133.28502828595401</v>
      </c>
      <c r="B3480">
        <v>78.990054493299695</v>
      </c>
      <c r="C3480">
        <v>2001</v>
      </c>
    </row>
    <row r="3481" spans="1:11" x14ac:dyDescent="0.25">
      <c r="A3481">
        <v>136.97927670832701</v>
      </c>
      <c r="B3481">
        <v>75.295806070927398</v>
      </c>
      <c r="C3481">
        <v>2001</v>
      </c>
    </row>
    <row r="3482" spans="1:11" x14ac:dyDescent="0.25">
      <c r="A3482">
        <v>137.853308757224</v>
      </c>
      <c r="B3482">
        <v>75.295806070927398</v>
      </c>
      <c r="C3482">
        <v>2000</v>
      </c>
    </row>
    <row r="3483" spans="1:11" x14ac:dyDescent="0.25">
      <c r="A3483" t="s">
        <v>87</v>
      </c>
    </row>
    <row r="3484" spans="1:11" x14ac:dyDescent="0.25">
      <c r="A3484">
        <v>868</v>
      </c>
      <c r="B3484">
        <v>0</v>
      </c>
      <c r="C3484">
        <v>10.3242614924983</v>
      </c>
      <c r="D3484">
        <v>1.77913854560072</v>
      </c>
      <c r="E3484">
        <v>8</v>
      </c>
      <c r="F3484">
        <v>1.01722196789785</v>
      </c>
      <c r="G3484" t="s">
        <v>85</v>
      </c>
      <c r="H3484" t="s">
        <v>85</v>
      </c>
      <c r="I3484">
        <v>79</v>
      </c>
      <c r="J3484">
        <v>71</v>
      </c>
      <c r="K3484">
        <v>9.0910684189608806E-2</v>
      </c>
    </row>
    <row r="3485" spans="1:11" x14ac:dyDescent="0.25">
      <c r="A3485" t="s">
        <v>86</v>
      </c>
    </row>
    <row r="3486" spans="1:11" x14ac:dyDescent="0.25">
      <c r="A3486">
        <v>12.928767369224801</v>
      </c>
      <c r="B3486">
        <v>49.185875694474298</v>
      </c>
      <c r="C3486">
        <v>2000</v>
      </c>
    </row>
    <row r="3487" spans="1:11" x14ac:dyDescent="0.25">
      <c r="A3487">
        <v>5.2640329065188904</v>
      </c>
      <c r="B3487">
        <v>41.521141231768397</v>
      </c>
      <c r="C3487">
        <v>2000</v>
      </c>
    </row>
    <row r="3488" spans="1:11" x14ac:dyDescent="0.25">
      <c r="A3488">
        <v>6.1380649554165299</v>
      </c>
      <c r="B3488">
        <v>41.521141231768397</v>
      </c>
      <c r="C3488">
        <v>2001</v>
      </c>
    </row>
    <row r="3489" spans="1:11" x14ac:dyDescent="0.25">
      <c r="A3489">
        <v>13.074041116888001</v>
      </c>
      <c r="B3489">
        <v>48.457117393239798</v>
      </c>
      <c r="C3489">
        <v>2001</v>
      </c>
    </row>
    <row r="3490" spans="1:11" x14ac:dyDescent="0.25">
      <c r="A3490">
        <v>14.193722492462101</v>
      </c>
      <c r="B3490">
        <v>49.576798768814001</v>
      </c>
      <c r="C3490">
        <v>2001</v>
      </c>
    </row>
    <row r="3491" spans="1:11" x14ac:dyDescent="0.25">
      <c r="A3491">
        <v>14.259445173321</v>
      </c>
      <c r="B3491">
        <v>49.642521449672898</v>
      </c>
      <c r="C3491">
        <v>2001</v>
      </c>
    </row>
    <row r="3492" spans="1:11" x14ac:dyDescent="0.25">
      <c r="A3492">
        <v>14.259445173321</v>
      </c>
      <c r="B3492">
        <v>50.516553498570502</v>
      </c>
      <c r="C3492">
        <v>2000</v>
      </c>
    </row>
    <row r="3493" spans="1:11" x14ac:dyDescent="0.25">
      <c r="A3493">
        <v>14.166092905936599</v>
      </c>
      <c r="B3493">
        <v>50.423201231186098</v>
      </c>
      <c r="C3493">
        <v>2000</v>
      </c>
    </row>
    <row r="3494" spans="1:11" x14ac:dyDescent="0.25">
      <c r="A3494" t="s">
        <v>87</v>
      </c>
    </row>
    <row r="3495" spans="1:11" x14ac:dyDescent="0.25">
      <c r="A3495">
        <v>399</v>
      </c>
      <c r="B3495">
        <v>1</v>
      </c>
      <c r="C3495">
        <v>7.5016840994226301</v>
      </c>
      <c r="D3495">
        <v>4.5611654678883902</v>
      </c>
      <c r="E3495">
        <v>8</v>
      </c>
      <c r="F3495">
        <v>1.01722196789785</v>
      </c>
      <c r="G3495" t="s">
        <v>85</v>
      </c>
      <c r="H3495" t="s">
        <v>85</v>
      </c>
      <c r="I3495">
        <v>269</v>
      </c>
      <c r="J3495">
        <v>739</v>
      </c>
      <c r="K3495">
        <v>0</v>
      </c>
    </row>
    <row r="3496" spans="1:11" x14ac:dyDescent="0.25">
      <c r="A3496" t="s">
        <v>86</v>
      </c>
    </row>
    <row r="3497" spans="1:11" x14ac:dyDescent="0.25">
      <c r="A3497">
        <v>5.8743488782552902</v>
      </c>
      <c r="B3497">
        <v>95.966276251301693</v>
      </c>
      <c r="C3497">
        <v>2000</v>
      </c>
    </row>
    <row r="3498" spans="1:11" x14ac:dyDescent="0.25">
      <c r="A3498">
        <v>1.7892163320172001</v>
      </c>
      <c r="B3498">
        <v>100.05140879754001</v>
      </c>
      <c r="C3498">
        <v>2000</v>
      </c>
    </row>
    <row r="3499" spans="1:11" x14ac:dyDescent="0.25">
      <c r="A3499">
        <v>0.59262723269566797</v>
      </c>
      <c r="B3499">
        <v>101.24799789686099</v>
      </c>
      <c r="C3499">
        <v>2000</v>
      </c>
    </row>
    <row r="3500" spans="1:11" x14ac:dyDescent="0.25">
      <c r="A3500">
        <v>-0.28140481620196101</v>
      </c>
      <c r="B3500">
        <v>101.24799789686099</v>
      </c>
      <c r="C3500">
        <v>2001</v>
      </c>
    </row>
    <row r="3501" spans="1:11" x14ac:dyDescent="0.25">
      <c r="A3501">
        <v>1.0180018781990601</v>
      </c>
      <c r="B3501">
        <v>99.948591202460307</v>
      </c>
      <c r="C3501">
        <v>2001</v>
      </c>
    </row>
    <row r="3502" spans="1:11" x14ac:dyDescent="0.25">
      <c r="A3502">
        <v>5.04585693228048</v>
      </c>
      <c r="B3502">
        <v>95.920736148378793</v>
      </c>
      <c r="C3502">
        <v>2001</v>
      </c>
    </row>
    <row r="3503" spans="1:11" x14ac:dyDescent="0.25">
      <c r="A3503">
        <v>8.2483179132768605</v>
      </c>
      <c r="B3503">
        <v>92.718275167382401</v>
      </c>
      <c r="C3503">
        <v>2001</v>
      </c>
    </row>
    <row r="3504" spans="1:11" x14ac:dyDescent="0.25">
      <c r="A3504">
        <v>9.1223499621744892</v>
      </c>
      <c r="B3504">
        <v>92.718275167382401</v>
      </c>
      <c r="C3504">
        <v>2000</v>
      </c>
    </row>
    <row r="3505" spans="1:11" x14ac:dyDescent="0.25">
      <c r="A3505" t="s">
        <v>87</v>
      </c>
    </row>
    <row r="3506" spans="1:11" x14ac:dyDescent="0.25">
      <c r="A3506">
        <v>1045</v>
      </c>
      <c r="B3506">
        <v>1</v>
      </c>
      <c r="C3506">
        <v>3.04991637452355</v>
      </c>
      <c r="D3506">
        <v>9.0129331927874698</v>
      </c>
      <c r="E3506">
        <v>8</v>
      </c>
      <c r="F3506">
        <v>1.01722196789785</v>
      </c>
      <c r="G3506" t="s">
        <v>85</v>
      </c>
      <c r="H3506" t="s">
        <v>85</v>
      </c>
      <c r="I3506">
        <v>269</v>
      </c>
      <c r="J3506">
        <v>739</v>
      </c>
      <c r="K3506">
        <v>9.3842356677082794E-2</v>
      </c>
    </row>
    <row r="3507" spans="1:11" x14ac:dyDescent="0.25">
      <c r="A3507" t="s">
        <v>86</v>
      </c>
    </row>
    <row r="3508" spans="1:11" x14ac:dyDescent="0.25">
      <c r="A3508">
        <v>3.11635832730297</v>
      </c>
      <c r="B3508">
        <v>99.800554858383705</v>
      </c>
      <c r="C3508">
        <v>2000</v>
      </c>
    </row>
    <row r="3509" spans="1:11" x14ac:dyDescent="0.25">
      <c r="A3509">
        <v>2.73594159781682</v>
      </c>
      <c r="B3509">
        <v>100.18097158787</v>
      </c>
      <c r="C3509">
        <v>2000</v>
      </c>
    </row>
    <row r="3510" spans="1:11" x14ac:dyDescent="0.25">
      <c r="A3510">
        <v>1.13077126076052</v>
      </c>
      <c r="B3510">
        <v>101.786141924926</v>
      </c>
      <c r="C3510">
        <v>2000</v>
      </c>
    </row>
    <row r="3511" spans="1:11" x14ac:dyDescent="0.25">
      <c r="A3511">
        <v>0.25673921186288301</v>
      </c>
      <c r="B3511">
        <v>101.786141924926</v>
      </c>
      <c r="C3511">
        <v>2001</v>
      </c>
    </row>
    <row r="3512" spans="1:11" x14ac:dyDescent="0.25">
      <c r="A3512">
        <v>2.2238527246588702</v>
      </c>
      <c r="B3512">
        <v>99.819028412130194</v>
      </c>
      <c r="C3512">
        <v>2001</v>
      </c>
    </row>
    <row r="3513" spans="1:11" x14ac:dyDescent="0.25">
      <c r="A3513">
        <v>2.5843852462754402</v>
      </c>
      <c r="B3513">
        <v>99.458495890513603</v>
      </c>
      <c r="C3513">
        <v>2001</v>
      </c>
    </row>
    <row r="3514" spans="1:11" x14ac:dyDescent="0.25">
      <c r="A3514">
        <v>8.7864619413417095</v>
      </c>
      <c r="B3514">
        <v>93.256419195447293</v>
      </c>
      <c r="C3514">
        <v>2001</v>
      </c>
    </row>
    <row r="3515" spans="1:11" x14ac:dyDescent="0.25">
      <c r="A3515">
        <v>9.6604939902393401</v>
      </c>
      <c r="B3515">
        <v>93.256419195447293</v>
      </c>
      <c r="C3515">
        <v>2000</v>
      </c>
    </row>
    <row r="3516" spans="1:11" x14ac:dyDescent="0.25">
      <c r="A3516" t="s">
        <v>87</v>
      </c>
    </row>
    <row r="3517" spans="1:11" x14ac:dyDescent="0.25">
      <c r="A3517">
        <v>670</v>
      </c>
      <c r="B3517">
        <v>0</v>
      </c>
      <c r="C3517">
        <v>3.4697904906469699</v>
      </c>
      <c r="D3517">
        <v>8.5856537601319793</v>
      </c>
      <c r="E3517">
        <v>6</v>
      </c>
      <c r="F3517">
        <v>1.01722196789785</v>
      </c>
      <c r="G3517" t="s">
        <v>85</v>
      </c>
      <c r="H3517" t="s">
        <v>85</v>
      </c>
      <c r="I3517">
        <v>714</v>
      </c>
      <c r="J3517">
        <v>705</v>
      </c>
      <c r="K3517">
        <v>0</v>
      </c>
    </row>
    <row r="3518" spans="1:11" x14ac:dyDescent="0.25">
      <c r="A3518" t="s">
        <v>86</v>
      </c>
    </row>
    <row r="3519" spans="1:11" x14ac:dyDescent="0.25">
      <c r="A3519">
        <v>86.396914929540003</v>
      </c>
      <c r="B3519">
        <v>66.043050173902699</v>
      </c>
      <c r="C3519">
        <v>2000</v>
      </c>
    </row>
    <row r="3520" spans="1:11" x14ac:dyDescent="0.25">
      <c r="A3520">
        <v>84.069184225541505</v>
      </c>
      <c r="B3520">
        <v>63.715319469904202</v>
      </c>
      <c r="C3520">
        <v>2000</v>
      </c>
    </row>
    <row r="3521" spans="1:11" x14ac:dyDescent="0.25">
      <c r="A3521">
        <v>83.195152176643901</v>
      </c>
      <c r="B3521">
        <v>63.715319469904202</v>
      </c>
      <c r="C3521">
        <v>2001</v>
      </c>
    </row>
    <row r="3522" spans="1:11" x14ac:dyDescent="0.25">
      <c r="A3522">
        <v>85.774446243111598</v>
      </c>
      <c r="B3522">
        <v>66.294613536371898</v>
      </c>
      <c r="C3522">
        <v>2001</v>
      </c>
    </row>
    <row r="3523" spans="1:11" x14ac:dyDescent="0.25">
      <c r="A3523">
        <v>92.1566545810349</v>
      </c>
      <c r="B3523">
        <v>72.6768218742952</v>
      </c>
      <c r="C3523">
        <v>2001</v>
      </c>
    </row>
    <row r="3524" spans="1:11" x14ac:dyDescent="0.25">
      <c r="A3524">
        <v>92.1566545810349</v>
      </c>
      <c r="B3524">
        <v>71.802789825397596</v>
      </c>
      <c r="C3524">
        <v>2000</v>
      </c>
    </row>
    <row r="3525" spans="1:11" x14ac:dyDescent="0.25">
      <c r="A3525" t="s">
        <v>87</v>
      </c>
    </row>
    <row r="3526" spans="1:11" x14ac:dyDescent="0.25">
      <c r="A3526">
        <v>115</v>
      </c>
      <c r="B3526">
        <v>0</v>
      </c>
      <c r="C3526">
        <v>4.5090461152326897</v>
      </c>
      <c r="D3526">
        <v>7.51045000183613</v>
      </c>
      <c r="E3526">
        <v>6</v>
      </c>
      <c r="F3526">
        <v>1.01722196789785</v>
      </c>
      <c r="G3526" t="s">
        <v>89</v>
      </c>
      <c r="H3526" t="s">
        <v>85</v>
      </c>
      <c r="I3526">
        <v>837</v>
      </c>
      <c r="J3526">
        <v>157</v>
      </c>
      <c r="K3526">
        <v>0</v>
      </c>
    </row>
    <row r="3527" spans="1:11" x14ac:dyDescent="0.25">
      <c r="A3527" t="s">
        <v>86</v>
      </c>
    </row>
    <row r="3528" spans="1:11" x14ac:dyDescent="0.25">
      <c r="A3528">
        <v>107.90537107265899</v>
      </c>
      <c r="B3528">
        <v>42.480214395794299</v>
      </c>
      <c r="C3528">
        <v>2000</v>
      </c>
    </row>
    <row r="3529" spans="1:11" x14ac:dyDescent="0.25">
      <c r="A3529">
        <v>104.79896603514899</v>
      </c>
      <c r="B3529">
        <v>39.373809358283602</v>
      </c>
      <c r="C3529">
        <v>2000</v>
      </c>
    </row>
    <row r="3530" spans="1:11" x14ac:dyDescent="0.25">
      <c r="A3530">
        <v>104.3619500107</v>
      </c>
      <c r="B3530">
        <v>39.810825382732403</v>
      </c>
      <c r="C3530">
        <v>2001</v>
      </c>
    </row>
    <row r="3531" spans="1:11" x14ac:dyDescent="0.25">
      <c r="A3531">
        <v>107.632299142717</v>
      </c>
      <c r="B3531">
        <v>43.081174514749499</v>
      </c>
      <c r="C3531">
        <v>2001</v>
      </c>
    </row>
    <row r="3532" spans="1:11" x14ac:dyDescent="0.25">
      <c r="A3532">
        <v>113.079525233749</v>
      </c>
      <c r="B3532">
        <v>48.528400605781599</v>
      </c>
      <c r="C3532">
        <v>2001</v>
      </c>
    </row>
    <row r="3533" spans="1:11" x14ac:dyDescent="0.25">
      <c r="A3533">
        <v>113.079525233749</v>
      </c>
      <c r="B3533">
        <v>47.654368556883902</v>
      </c>
      <c r="C3533">
        <v>2000</v>
      </c>
    </row>
    <row r="3534" spans="1:11" x14ac:dyDescent="0.25">
      <c r="A3534" t="s">
        <v>87</v>
      </c>
    </row>
    <row r="3535" spans="1:11" x14ac:dyDescent="0.25">
      <c r="A3535">
        <v>753</v>
      </c>
      <c r="B3535">
        <v>0</v>
      </c>
      <c r="C3535">
        <v>3.9533774214675099</v>
      </c>
      <c r="D3535">
        <v>8.0568213806968707</v>
      </c>
      <c r="E3535">
        <v>6</v>
      </c>
      <c r="F3535">
        <v>1.01722196789785</v>
      </c>
      <c r="G3535" t="s">
        <v>85</v>
      </c>
      <c r="H3535" t="s">
        <v>85</v>
      </c>
      <c r="I3535">
        <v>812</v>
      </c>
      <c r="J3535">
        <v>784</v>
      </c>
      <c r="K3535">
        <v>8.9259099568316694E-2</v>
      </c>
    </row>
    <row r="3536" spans="1:11" x14ac:dyDescent="0.25">
      <c r="A3536" t="s">
        <v>86</v>
      </c>
    </row>
    <row r="3537" spans="1:11" x14ac:dyDescent="0.25">
      <c r="A3537">
        <v>127.473335744392</v>
      </c>
      <c r="B3537">
        <v>62.924839480112198</v>
      </c>
      <c r="C3537">
        <v>2000</v>
      </c>
    </row>
    <row r="3538" spans="1:11" x14ac:dyDescent="0.25">
      <c r="A3538">
        <v>124.53402391380401</v>
      </c>
      <c r="B3538">
        <v>59.985527649524002</v>
      </c>
      <c r="C3538">
        <v>2000</v>
      </c>
    </row>
    <row r="3539" spans="1:11" x14ac:dyDescent="0.25">
      <c r="A3539">
        <v>124.53402391380401</v>
      </c>
      <c r="B3539">
        <v>60.859559698421698</v>
      </c>
      <c r="C3539">
        <v>2001</v>
      </c>
    </row>
    <row r="3540" spans="1:11" x14ac:dyDescent="0.25">
      <c r="A3540">
        <v>127.185632049834</v>
      </c>
      <c r="B3540">
        <v>63.5111678344525</v>
      </c>
      <c r="C3540">
        <v>2001</v>
      </c>
    </row>
    <row r="3541" spans="1:11" x14ac:dyDescent="0.25">
      <c r="A3541">
        <v>132.589500905764</v>
      </c>
      <c r="B3541">
        <v>68.915036690381797</v>
      </c>
      <c r="C3541">
        <v>2001</v>
      </c>
    </row>
    <row r="3542" spans="1:11" x14ac:dyDescent="0.25">
      <c r="A3542">
        <v>133.46353295466099</v>
      </c>
      <c r="B3542">
        <v>68.915036690381797</v>
      </c>
      <c r="C3542">
        <v>2000</v>
      </c>
    </row>
    <row r="3543" spans="1:11" x14ac:dyDescent="0.25">
      <c r="A3543" t="s">
        <v>87</v>
      </c>
    </row>
    <row r="3544" spans="1:11" x14ac:dyDescent="0.25">
      <c r="A3544">
        <v>229</v>
      </c>
      <c r="B3544">
        <v>1</v>
      </c>
      <c r="C3544">
        <v>6.7173093681283502</v>
      </c>
      <c r="D3544">
        <v>5.2720741427544304</v>
      </c>
      <c r="E3544">
        <v>8</v>
      </c>
      <c r="F3544">
        <v>1.01722196789785</v>
      </c>
      <c r="G3544" t="s">
        <v>85</v>
      </c>
      <c r="H3544" t="s">
        <v>85</v>
      </c>
      <c r="I3544">
        <v>193</v>
      </c>
      <c r="J3544">
        <v>817</v>
      </c>
      <c r="K3544">
        <v>0</v>
      </c>
    </row>
    <row r="3545" spans="1:11" x14ac:dyDescent="0.25">
      <c r="A3545" t="s">
        <v>86</v>
      </c>
    </row>
    <row r="3546" spans="1:11" x14ac:dyDescent="0.25">
      <c r="A3546">
        <v>78.530153299092404</v>
      </c>
      <c r="B3546">
        <v>101.579558886306</v>
      </c>
      <c r="C3546">
        <v>2000</v>
      </c>
    </row>
    <row r="3547" spans="1:11" x14ac:dyDescent="0.25">
      <c r="A3547">
        <v>73.690988406404003</v>
      </c>
      <c r="B3547">
        <v>106.41872377899401</v>
      </c>
      <c r="C3547">
        <v>2000</v>
      </c>
    </row>
    <row r="3548" spans="1:11" x14ac:dyDescent="0.25">
      <c r="A3548">
        <v>74.565020455301607</v>
      </c>
      <c r="B3548">
        <v>106.41872377899401</v>
      </c>
      <c r="C3548">
        <v>2001</v>
      </c>
    </row>
    <row r="3549" spans="1:11" x14ac:dyDescent="0.25">
      <c r="A3549">
        <v>79.225565573676207</v>
      </c>
      <c r="B3549">
        <v>101.75817866062</v>
      </c>
      <c r="C3549">
        <v>2001</v>
      </c>
    </row>
    <row r="3550" spans="1:11" x14ac:dyDescent="0.25">
      <c r="A3550">
        <v>80.863055182582499</v>
      </c>
      <c r="B3550">
        <v>100.120689051713</v>
      </c>
      <c r="C3550">
        <v>2001</v>
      </c>
    </row>
    <row r="3551" spans="1:11" x14ac:dyDescent="0.25">
      <c r="A3551">
        <v>83.042794838093002</v>
      </c>
      <c r="B3551">
        <v>97.940949396202797</v>
      </c>
      <c r="C3551">
        <v>2001</v>
      </c>
    </row>
    <row r="3552" spans="1:11" x14ac:dyDescent="0.25">
      <c r="A3552">
        <v>82.168762789195398</v>
      </c>
      <c r="B3552">
        <v>97.940949396202797</v>
      </c>
      <c r="C3552">
        <v>2000</v>
      </c>
    </row>
    <row r="3553" spans="1:11" x14ac:dyDescent="0.25">
      <c r="A3553">
        <v>80.230401237111494</v>
      </c>
      <c r="B3553">
        <v>99.879310948286701</v>
      </c>
      <c r="C3553">
        <v>2000</v>
      </c>
    </row>
    <row r="3554" spans="1:11" x14ac:dyDescent="0.25">
      <c r="A3554" t="s">
        <v>87</v>
      </c>
    </row>
    <row r="3555" spans="1:11" x14ac:dyDescent="0.25">
      <c r="A3555">
        <v>849</v>
      </c>
      <c r="B3555">
        <v>0</v>
      </c>
      <c r="C3555">
        <v>1.7814987691184601</v>
      </c>
      <c r="D3555">
        <v>10.2042020785559</v>
      </c>
      <c r="E3555">
        <v>6</v>
      </c>
      <c r="F3555">
        <v>1.01722196789785</v>
      </c>
      <c r="G3555" t="s">
        <v>85</v>
      </c>
      <c r="H3555" t="s">
        <v>85</v>
      </c>
      <c r="I3555">
        <v>552</v>
      </c>
      <c r="J3555">
        <v>553</v>
      </c>
      <c r="K3555">
        <v>9.0645505931922193E-2</v>
      </c>
    </row>
    <row r="3556" spans="1:11" x14ac:dyDescent="0.25">
      <c r="A3556" t="s">
        <v>86</v>
      </c>
    </row>
    <row r="3557" spans="1:11" x14ac:dyDescent="0.25">
      <c r="A3557">
        <v>116.683149857765</v>
      </c>
      <c r="B3557">
        <v>120.387292888205</v>
      </c>
      <c r="C3557">
        <v>2000</v>
      </c>
    </row>
    <row r="3558" spans="1:11" x14ac:dyDescent="0.25">
      <c r="A3558">
        <v>115.423439997446</v>
      </c>
      <c r="B3558">
        <v>119.127583027886</v>
      </c>
      <c r="C3558">
        <v>2000</v>
      </c>
    </row>
    <row r="3559" spans="1:11" x14ac:dyDescent="0.25">
      <c r="A3559">
        <v>115.423439997446</v>
      </c>
      <c r="B3559">
        <v>120.001615076783</v>
      </c>
      <c r="C3559">
        <v>2001</v>
      </c>
    </row>
    <row r="3560" spans="1:11" x14ac:dyDescent="0.25">
      <c r="A3560">
        <v>116.683149857765</v>
      </c>
      <c r="B3560">
        <v>121.261324937102</v>
      </c>
      <c r="C3560">
        <v>2001</v>
      </c>
    </row>
    <row r="3561" spans="1:11" x14ac:dyDescent="0.25">
      <c r="A3561">
        <v>123.898610344109</v>
      </c>
      <c r="B3561">
        <v>128.47678542344701</v>
      </c>
      <c r="C3561">
        <v>2001</v>
      </c>
    </row>
    <row r="3562" spans="1:11" x14ac:dyDescent="0.25">
      <c r="A3562">
        <v>123.898610344109</v>
      </c>
      <c r="B3562">
        <v>127.60275337455001</v>
      </c>
      <c r="C3562">
        <v>2000</v>
      </c>
    </row>
    <row r="3563" spans="1:11" x14ac:dyDescent="0.25">
      <c r="A3563" t="s">
        <v>87</v>
      </c>
    </row>
    <row r="3564" spans="1:11" x14ac:dyDescent="0.25">
      <c r="A3564">
        <v>62</v>
      </c>
      <c r="B3564">
        <v>1</v>
      </c>
      <c r="C3564">
        <v>5.9551078468918304</v>
      </c>
      <c r="D3564">
        <v>6.0157039186037702</v>
      </c>
      <c r="E3564">
        <v>6</v>
      </c>
      <c r="F3564">
        <v>1.01722196789785</v>
      </c>
      <c r="G3564" t="s">
        <v>85</v>
      </c>
      <c r="H3564" t="s">
        <v>85</v>
      </c>
      <c r="I3564">
        <v>36</v>
      </c>
      <c r="J3564">
        <v>23</v>
      </c>
      <c r="K3564">
        <v>0</v>
      </c>
    </row>
    <row r="3565" spans="1:11" x14ac:dyDescent="0.25">
      <c r="A3565" t="s">
        <v>86</v>
      </c>
    </row>
    <row r="3566" spans="1:11" x14ac:dyDescent="0.25">
      <c r="A3566">
        <v>27.200626331476499</v>
      </c>
      <c r="B3566">
        <v>6.7904793600402504</v>
      </c>
      <c r="C3566">
        <v>2000</v>
      </c>
    </row>
    <row r="3567" spans="1:11" x14ac:dyDescent="0.25">
      <c r="A3567">
        <v>22.7723272623365</v>
      </c>
      <c r="B3567">
        <v>11.218778429180199</v>
      </c>
      <c r="C3567">
        <v>2000</v>
      </c>
    </row>
    <row r="3568" spans="1:11" x14ac:dyDescent="0.25">
      <c r="A3568">
        <v>22.7723272623365</v>
      </c>
      <c r="B3568">
        <v>10.344746380282499</v>
      </c>
      <c r="C3568">
        <v>2001</v>
      </c>
    </row>
    <row r="3569" spans="1:11" x14ac:dyDescent="0.25">
      <c r="A3569">
        <v>26.765822475665502</v>
      </c>
      <c r="B3569">
        <v>6.3512511669536202</v>
      </c>
      <c r="C3569">
        <v>2001</v>
      </c>
    </row>
    <row r="3570" spans="1:11" x14ac:dyDescent="0.25">
      <c r="A3570">
        <v>30.799953413577398</v>
      </c>
      <c r="B3570">
        <v>2.3171202290417199</v>
      </c>
      <c r="C3570">
        <v>2001</v>
      </c>
    </row>
    <row r="3571" spans="1:11" x14ac:dyDescent="0.25">
      <c r="A3571">
        <v>31.673985462474999</v>
      </c>
      <c r="B3571">
        <v>2.3171202290417199</v>
      </c>
      <c r="C3571">
        <v>2000</v>
      </c>
    </row>
    <row r="3572" spans="1:11" x14ac:dyDescent="0.25">
      <c r="A3572" t="s">
        <v>87</v>
      </c>
    </row>
    <row r="3573" spans="1:11" x14ac:dyDescent="0.25">
      <c r="A3573">
        <v>72</v>
      </c>
      <c r="B3573">
        <v>1</v>
      </c>
      <c r="C3573">
        <v>8.4310310986531594</v>
      </c>
      <c r="D3573">
        <v>3.5397806668424399</v>
      </c>
      <c r="E3573">
        <v>6</v>
      </c>
      <c r="F3573">
        <v>1.01722196789785</v>
      </c>
      <c r="G3573" t="s">
        <v>85</v>
      </c>
      <c r="H3573" t="s">
        <v>85</v>
      </c>
      <c r="I3573">
        <v>36</v>
      </c>
      <c r="J3573">
        <v>23</v>
      </c>
      <c r="K3573">
        <v>0</v>
      </c>
    </row>
    <row r="3574" spans="1:11" x14ac:dyDescent="0.25">
      <c r="A3574" t="s">
        <v>86</v>
      </c>
    </row>
    <row r="3575" spans="1:11" x14ac:dyDescent="0.25">
      <c r="A3575">
        <v>29.753838676428899</v>
      </c>
      <c r="B3575">
        <v>5.6614313957157698</v>
      </c>
      <c r="C3575">
        <v>2000</v>
      </c>
    </row>
    <row r="3576" spans="1:11" x14ac:dyDescent="0.25">
      <c r="A3576">
        <v>23.4844094526505</v>
      </c>
      <c r="B3576">
        <v>11.930860619494201</v>
      </c>
      <c r="C3576">
        <v>2000</v>
      </c>
    </row>
    <row r="3577" spans="1:11" x14ac:dyDescent="0.25">
      <c r="A3577">
        <v>24.358441501548199</v>
      </c>
      <c r="B3577">
        <v>11.930860619494201</v>
      </c>
      <c r="C3577">
        <v>2001</v>
      </c>
    </row>
    <row r="3578" spans="1:11" x14ac:dyDescent="0.25">
      <c r="A3578">
        <v>30.0122908022744</v>
      </c>
      <c r="B3578">
        <v>6.2770113187679204</v>
      </c>
      <c r="C3578">
        <v>2001</v>
      </c>
    </row>
    <row r="3579" spans="1:11" x14ac:dyDescent="0.25">
      <c r="A3579">
        <v>32.386067652789002</v>
      </c>
      <c r="B3579">
        <v>3.90323446825334</v>
      </c>
      <c r="C3579">
        <v>2001</v>
      </c>
    </row>
    <row r="3580" spans="1:11" x14ac:dyDescent="0.25">
      <c r="A3580">
        <v>32.386067652789002</v>
      </c>
      <c r="B3580">
        <v>3.0292024193557001</v>
      </c>
      <c r="C3580">
        <v>2000</v>
      </c>
    </row>
    <row r="3581" spans="1:11" x14ac:dyDescent="0.25">
      <c r="A3581" t="s">
        <v>87</v>
      </c>
    </row>
    <row r="3582" spans="1:11" x14ac:dyDescent="0.25">
      <c r="A3582">
        <v>63</v>
      </c>
      <c r="B3582">
        <v>1</v>
      </c>
      <c r="C3582">
        <v>9.1136262615389292</v>
      </c>
      <c r="D3582">
        <v>2.8571855039566598</v>
      </c>
      <c r="E3582">
        <v>6</v>
      </c>
      <c r="F3582">
        <v>1.01722196789785</v>
      </c>
      <c r="G3582" t="s">
        <v>85</v>
      </c>
      <c r="H3582" t="s">
        <v>85</v>
      </c>
      <c r="I3582">
        <v>36</v>
      </c>
      <c r="J3582">
        <v>23</v>
      </c>
      <c r="K3582">
        <v>0</v>
      </c>
    </row>
    <row r="3583" spans="1:11" x14ac:dyDescent="0.25">
      <c r="A3583" t="s">
        <v>86</v>
      </c>
    </row>
    <row r="3584" spans="1:11" x14ac:dyDescent="0.25">
      <c r="A3584">
        <v>27.5995065061933</v>
      </c>
      <c r="B3584">
        <v>2.4919251590745901</v>
      </c>
      <c r="C3584">
        <v>2000</v>
      </c>
    </row>
    <row r="3585" spans="1:11" x14ac:dyDescent="0.25">
      <c r="A3585">
        <v>20.822490249212098</v>
      </c>
      <c r="B3585">
        <v>9.2689414160557799</v>
      </c>
      <c r="C3585">
        <v>2000</v>
      </c>
    </row>
    <row r="3586" spans="1:11" x14ac:dyDescent="0.25">
      <c r="A3586">
        <v>20.822490249212098</v>
      </c>
      <c r="B3586">
        <v>8.3949093671581405</v>
      </c>
      <c r="C3586">
        <v>2001</v>
      </c>
    </row>
    <row r="3587" spans="1:11" x14ac:dyDescent="0.25">
      <c r="A3587">
        <v>26.934087853698902</v>
      </c>
      <c r="B3587">
        <v>2.2833117626713499</v>
      </c>
      <c r="C3587">
        <v>2001</v>
      </c>
    </row>
    <row r="3588" spans="1:11" x14ac:dyDescent="0.25">
      <c r="A3588">
        <v>28.850116400452901</v>
      </c>
      <c r="B3588">
        <v>0.367283215917315</v>
      </c>
      <c r="C3588">
        <v>2001</v>
      </c>
    </row>
    <row r="3589" spans="1:11" x14ac:dyDescent="0.25">
      <c r="A3589">
        <v>29.724148449350601</v>
      </c>
      <c r="B3589">
        <v>0.367283215917314</v>
      </c>
      <c r="C3589">
        <v>2000</v>
      </c>
    </row>
    <row r="3590" spans="1:11" x14ac:dyDescent="0.25">
      <c r="A3590" t="s">
        <v>87</v>
      </c>
    </row>
    <row r="3591" spans="1:11" x14ac:dyDescent="0.25">
      <c r="A3591">
        <v>1081</v>
      </c>
      <c r="B3591">
        <v>1</v>
      </c>
      <c r="C3591">
        <v>2.1605780450504599</v>
      </c>
      <c r="D3591">
        <v>9.7871782089188493</v>
      </c>
      <c r="E3591">
        <v>6</v>
      </c>
      <c r="F3591">
        <v>1.01722196789785</v>
      </c>
      <c r="G3591" t="s">
        <v>88</v>
      </c>
      <c r="H3591" t="s">
        <v>85</v>
      </c>
      <c r="I3591">
        <v>0</v>
      </c>
      <c r="J3591">
        <v>359</v>
      </c>
      <c r="K3591">
        <v>9.4413370804653396E-2</v>
      </c>
    </row>
    <row r="3592" spans="1:11" x14ac:dyDescent="0.25">
      <c r="A3592" t="s">
        <v>86</v>
      </c>
    </row>
    <row r="3593" spans="1:11" x14ac:dyDescent="0.25">
      <c r="A3593">
        <v>1.6067873824618499</v>
      </c>
      <c r="B3593">
        <v>90.593689251007405</v>
      </c>
      <c r="C3593">
        <v>2000</v>
      </c>
    </row>
    <row r="3594" spans="1:11" x14ac:dyDescent="0.25">
      <c r="A3594">
        <v>0</v>
      </c>
      <c r="B3594">
        <v>92.200476633469194</v>
      </c>
      <c r="C3594">
        <v>2000</v>
      </c>
    </row>
    <row r="3595" spans="1:11" x14ac:dyDescent="0.25">
      <c r="A3595">
        <v>0</v>
      </c>
      <c r="B3595">
        <v>91.326444584571604</v>
      </c>
      <c r="C3595">
        <v>2001</v>
      </c>
    </row>
    <row r="3596" spans="1:11" x14ac:dyDescent="0.25">
      <c r="A3596">
        <v>1.4487313914140501</v>
      </c>
      <c r="B3596">
        <v>89.877713193157604</v>
      </c>
      <c r="C3596">
        <v>2001</v>
      </c>
    </row>
    <row r="3597" spans="1:11" x14ac:dyDescent="0.25">
      <c r="A3597">
        <v>8.0113234426968507</v>
      </c>
      <c r="B3597">
        <v>83.315121141874698</v>
      </c>
      <c r="C3597">
        <v>2001</v>
      </c>
    </row>
    <row r="3598" spans="1:11" x14ac:dyDescent="0.25">
      <c r="A3598">
        <v>8.8853554915944706</v>
      </c>
      <c r="B3598">
        <v>83.315121141874698</v>
      </c>
      <c r="C3598">
        <v>2000</v>
      </c>
    </row>
    <row r="3599" spans="1:11" x14ac:dyDescent="0.25">
      <c r="A3599" t="s">
        <v>87</v>
      </c>
    </row>
    <row r="3600" spans="1:11" x14ac:dyDescent="0.25">
      <c r="A3600">
        <v>1165</v>
      </c>
      <c r="B3600">
        <v>0</v>
      </c>
      <c r="C3600">
        <v>4.1743678692194504</v>
      </c>
      <c r="D3600">
        <v>7.6664710331873902</v>
      </c>
      <c r="E3600">
        <v>8</v>
      </c>
      <c r="F3600">
        <v>1.01722196789785</v>
      </c>
      <c r="G3600" t="s">
        <v>88</v>
      </c>
      <c r="H3600" t="s">
        <v>85</v>
      </c>
      <c r="I3600">
        <v>0</v>
      </c>
      <c r="J3600">
        <v>71</v>
      </c>
      <c r="K3600">
        <v>9.5469883166703101E-2</v>
      </c>
    </row>
    <row r="3601" spans="1:11" x14ac:dyDescent="0.25">
      <c r="A3601" t="s">
        <v>86</v>
      </c>
    </row>
    <row r="3602" spans="1:11" x14ac:dyDescent="0.25">
      <c r="A3602">
        <v>2.7898578662328699</v>
      </c>
      <c r="B3602">
        <v>50.820381572465699</v>
      </c>
      <c r="C3602">
        <v>2000</v>
      </c>
    </row>
    <row r="3603" spans="1:11" x14ac:dyDescent="0.25">
      <c r="A3603">
        <v>2.2283462979179598</v>
      </c>
      <c r="B3603">
        <v>50.258870004150801</v>
      </c>
      <c r="C3603">
        <v>2000</v>
      </c>
    </row>
    <row r="3604" spans="1:11" x14ac:dyDescent="0.25">
      <c r="A3604">
        <v>0</v>
      </c>
      <c r="B3604">
        <v>48.030523706232799</v>
      </c>
      <c r="C3604">
        <v>2000</v>
      </c>
    </row>
    <row r="3605" spans="1:11" x14ac:dyDescent="0.25">
      <c r="A3605">
        <v>0</v>
      </c>
      <c r="B3605">
        <v>47.156491657335202</v>
      </c>
      <c r="C3605">
        <v>2001</v>
      </c>
    </row>
    <row r="3606" spans="1:11" x14ac:dyDescent="0.25">
      <c r="A3606">
        <v>2.5846383385140599</v>
      </c>
      <c r="B3606">
        <v>49.741129995849199</v>
      </c>
      <c r="C3606">
        <v>2001</v>
      </c>
    </row>
    <row r="3607" spans="1:11" x14ac:dyDescent="0.25">
      <c r="A3607">
        <v>3.1135897887517698</v>
      </c>
      <c r="B3607">
        <v>50.270081446086898</v>
      </c>
      <c r="C3607">
        <v>2001</v>
      </c>
    </row>
    <row r="3608" spans="1:11" x14ac:dyDescent="0.25">
      <c r="A3608">
        <v>8.3727374828293701</v>
      </c>
      <c r="B3608">
        <v>55.529229140164503</v>
      </c>
      <c r="C3608">
        <v>2001</v>
      </c>
    </row>
    <row r="3609" spans="1:11" x14ac:dyDescent="0.25">
      <c r="A3609">
        <v>8.3727374828293701</v>
      </c>
      <c r="B3609">
        <v>56.403261189062199</v>
      </c>
      <c r="C3609">
        <v>2000</v>
      </c>
    </row>
    <row r="3610" spans="1:11" x14ac:dyDescent="0.25">
      <c r="A3610" t="s">
        <v>87</v>
      </c>
    </row>
    <row r="3611" spans="1:11" x14ac:dyDescent="0.25">
      <c r="A3611">
        <v>625</v>
      </c>
      <c r="B3611">
        <v>1</v>
      </c>
      <c r="C3611">
        <v>0.122058164532554</v>
      </c>
      <c r="D3611">
        <v>11.698005257761301</v>
      </c>
      <c r="E3611">
        <v>6</v>
      </c>
      <c r="F3611">
        <v>1.01722196789785</v>
      </c>
      <c r="G3611" t="s">
        <v>89</v>
      </c>
      <c r="H3611" t="s">
        <v>85</v>
      </c>
      <c r="I3611">
        <v>621</v>
      </c>
      <c r="J3611">
        <v>581</v>
      </c>
      <c r="K3611">
        <v>0</v>
      </c>
    </row>
    <row r="3612" spans="1:11" x14ac:dyDescent="0.25">
      <c r="A3612" t="s">
        <v>86</v>
      </c>
    </row>
    <row r="3613" spans="1:11" x14ac:dyDescent="0.25">
      <c r="A3613">
        <v>113.55688317852901</v>
      </c>
      <c r="B3613">
        <v>95.616579171948104</v>
      </c>
      <c r="C3613">
        <v>2000</v>
      </c>
    </row>
    <row r="3614" spans="1:11" x14ac:dyDescent="0.25">
      <c r="A3614">
        <v>113.468318631504</v>
      </c>
      <c r="B3614">
        <v>95.705143718972906</v>
      </c>
      <c r="C3614">
        <v>2000</v>
      </c>
    </row>
    <row r="3615" spans="1:11" x14ac:dyDescent="0.25">
      <c r="A3615">
        <v>113.905334655953</v>
      </c>
      <c r="B3615">
        <v>96.142159743421701</v>
      </c>
      <c r="C3615">
        <v>2001</v>
      </c>
    </row>
    <row r="3616" spans="1:11" x14ac:dyDescent="0.25">
      <c r="A3616">
        <v>113.989386420608</v>
      </c>
      <c r="B3616">
        <v>96.058107978766202</v>
      </c>
      <c r="C3616">
        <v>2001</v>
      </c>
    </row>
    <row r="3617" spans="1:11" x14ac:dyDescent="0.25">
      <c r="A3617">
        <v>122.044873643687</v>
      </c>
      <c r="B3617">
        <v>88.002620755687005</v>
      </c>
      <c r="C3617">
        <v>2001</v>
      </c>
    </row>
    <row r="3618" spans="1:11" x14ac:dyDescent="0.25">
      <c r="A3618">
        <v>122.044873643687</v>
      </c>
      <c r="B3618">
        <v>87.128588706789401</v>
      </c>
      <c r="C3618">
        <v>2000</v>
      </c>
    </row>
    <row r="3619" spans="1:11" x14ac:dyDescent="0.25">
      <c r="A3619" t="s">
        <v>87</v>
      </c>
    </row>
    <row r="3620" spans="1:11" x14ac:dyDescent="0.25">
      <c r="A3620">
        <v>768</v>
      </c>
      <c r="B3620">
        <v>1</v>
      </c>
      <c r="C3620">
        <v>5.9641276182132001</v>
      </c>
      <c r="D3620">
        <v>5.85473891374731</v>
      </c>
      <c r="E3620">
        <v>6</v>
      </c>
      <c r="F3620">
        <v>1.01722196789785</v>
      </c>
      <c r="G3620" t="s">
        <v>85</v>
      </c>
      <c r="H3620" t="s">
        <v>89</v>
      </c>
      <c r="I3620">
        <v>437</v>
      </c>
      <c r="J3620">
        <v>455</v>
      </c>
      <c r="K3620">
        <v>8.9259099568316694E-2</v>
      </c>
    </row>
    <row r="3621" spans="1:11" x14ac:dyDescent="0.25">
      <c r="A3621" t="s">
        <v>86</v>
      </c>
    </row>
    <row r="3622" spans="1:11" x14ac:dyDescent="0.25">
      <c r="A3622">
        <v>64.397035268423195</v>
      </c>
      <c r="B3622">
        <v>9.8686224648861103</v>
      </c>
      <c r="C3622">
        <v>2000</v>
      </c>
    </row>
    <row r="3623" spans="1:11" x14ac:dyDescent="0.25">
      <c r="A3623">
        <v>60.290025384757101</v>
      </c>
      <c r="B3623">
        <v>13.9756323485522</v>
      </c>
      <c r="C3623">
        <v>2000</v>
      </c>
    </row>
    <row r="3624" spans="1:11" x14ac:dyDescent="0.25">
      <c r="A3624">
        <v>59.415993335859497</v>
      </c>
      <c r="B3624">
        <v>13.9756323485522</v>
      </c>
      <c r="C3624">
        <v>2001</v>
      </c>
    </row>
    <row r="3625" spans="1:11" x14ac:dyDescent="0.25">
      <c r="A3625">
        <v>63.743533617594501</v>
      </c>
      <c r="B3625">
        <v>9.6480920668171599</v>
      </c>
      <c r="C3625">
        <v>2001</v>
      </c>
    </row>
    <row r="3626" spans="1:11" x14ac:dyDescent="0.25">
      <c r="A3626">
        <v>67.991702018771903</v>
      </c>
      <c r="B3626">
        <v>5.3999236656397303</v>
      </c>
      <c r="C3626">
        <v>2001</v>
      </c>
    </row>
    <row r="3627" spans="1:11" x14ac:dyDescent="0.25">
      <c r="A3627">
        <v>68.428718043220698</v>
      </c>
      <c r="B3627">
        <v>5.83693969008855</v>
      </c>
      <c r="C3627">
        <v>2000</v>
      </c>
    </row>
    <row r="3628" spans="1:11" x14ac:dyDescent="0.25">
      <c r="A3628" t="s">
        <v>87</v>
      </c>
    </row>
    <row r="3629" spans="1:11" x14ac:dyDescent="0.25">
      <c r="A3629">
        <v>925</v>
      </c>
      <c r="B3629">
        <v>0</v>
      </c>
      <c r="C3629">
        <v>9.2895889590271601</v>
      </c>
      <c r="D3629">
        <v>2.5247100399328102</v>
      </c>
      <c r="E3629">
        <v>6</v>
      </c>
      <c r="F3629">
        <v>1.01722196789785</v>
      </c>
      <c r="G3629" t="s">
        <v>85</v>
      </c>
      <c r="H3629" t="s">
        <v>85</v>
      </c>
      <c r="I3629">
        <v>810</v>
      </c>
      <c r="J3629">
        <v>65</v>
      </c>
      <c r="K3629">
        <v>9.2142179589674397E-2</v>
      </c>
    </row>
    <row r="3630" spans="1:11" x14ac:dyDescent="0.25">
      <c r="A3630" t="s">
        <v>86</v>
      </c>
    </row>
    <row r="3631" spans="1:11" x14ac:dyDescent="0.25">
      <c r="A3631">
        <v>33.252667734612899</v>
      </c>
      <c r="B3631">
        <v>25.937449522839898</v>
      </c>
      <c r="C3631">
        <v>2000</v>
      </c>
    </row>
    <row r="3632" spans="1:11" x14ac:dyDescent="0.25">
      <c r="A3632">
        <v>27.027562296496502</v>
      </c>
      <c r="B3632">
        <v>19.712344084723401</v>
      </c>
      <c r="C3632">
        <v>2000</v>
      </c>
    </row>
    <row r="3633" spans="1:11" x14ac:dyDescent="0.25">
      <c r="A3633">
        <v>27.027562296496502</v>
      </c>
      <c r="B3633">
        <v>18.838312035825801</v>
      </c>
      <c r="C3633">
        <v>2001</v>
      </c>
    </row>
    <row r="3634" spans="1:11" x14ac:dyDescent="0.25">
      <c r="A3634">
        <v>33.9399195531076</v>
      </c>
      <c r="B3634">
        <v>25.7506692924369</v>
      </c>
      <c r="C3634">
        <v>2001</v>
      </c>
    </row>
    <row r="3635" spans="1:11" x14ac:dyDescent="0.25">
      <c r="A3635">
        <v>35.818549258075301</v>
      </c>
      <c r="B3635">
        <v>27.6292989974047</v>
      </c>
      <c r="C3635">
        <v>2001</v>
      </c>
    </row>
    <row r="3636" spans="1:11" x14ac:dyDescent="0.25">
      <c r="A3636">
        <v>34.944517209177697</v>
      </c>
      <c r="B3636">
        <v>27.6292989974047</v>
      </c>
      <c r="C3636">
        <v>2000</v>
      </c>
    </row>
    <row r="3637" spans="1:11" x14ac:dyDescent="0.25">
      <c r="A3637" t="s">
        <v>87</v>
      </c>
    </row>
    <row r="3638" spans="1:11" x14ac:dyDescent="0.25">
      <c r="A3638">
        <v>385</v>
      </c>
      <c r="B3638">
        <v>1</v>
      </c>
      <c r="C3638">
        <v>8.3790768595692899</v>
      </c>
      <c r="D3638">
        <v>3.4335687106576001</v>
      </c>
      <c r="E3638">
        <v>8</v>
      </c>
      <c r="F3638">
        <v>1.01722196789785</v>
      </c>
      <c r="G3638" t="s">
        <v>85</v>
      </c>
      <c r="H3638" t="s">
        <v>89</v>
      </c>
      <c r="I3638">
        <v>278</v>
      </c>
      <c r="J3638">
        <v>387</v>
      </c>
      <c r="K3638">
        <v>0</v>
      </c>
    </row>
    <row r="3639" spans="1:11" x14ac:dyDescent="0.25">
      <c r="A3639" t="s">
        <v>86</v>
      </c>
    </row>
    <row r="3640" spans="1:11" x14ac:dyDescent="0.25">
      <c r="A3640">
        <v>43.856131095243903</v>
      </c>
      <c r="B3640">
        <v>95.669321637583906</v>
      </c>
      <c r="C3640">
        <v>2000</v>
      </c>
    </row>
    <row r="3641" spans="1:11" x14ac:dyDescent="0.25">
      <c r="A3641">
        <v>39.590218727970097</v>
      </c>
      <c r="B3641">
        <v>99.935234004857804</v>
      </c>
      <c r="C3641">
        <v>2000</v>
      </c>
    </row>
    <row r="3642" spans="1:11" x14ac:dyDescent="0.25">
      <c r="A3642">
        <v>37.769305786019402</v>
      </c>
      <c r="B3642">
        <v>101.756146946808</v>
      </c>
      <c r="C3642">
        <v>2000</v>
      </c>
    </row>
    <row r="3643" spans="1:11" x14ac:dyDescent="0.25">
      <c r="A3643">
        <v>38.643337834917098</v>
      </c>
      <c r="B3643">
        <v>101.756146946808</v>
      </c>
      <c r="C3643">
        <v>2001</v>
      </c>
    </row>
    <row r="3644" spans="1:11" x14ac:dyDescent="0.25">
      <c r="A3644">
        <v>40.334718786583203</v>
      </c>
      <c r="B3644">
        <v>100.064765995142</v>
      </c>
      <c r="C3644">
        <v>2001</v>
      </c>
    </row>
    <row r="3645" spans="1:11" x14ac:dyDescent="0.25">
      <c r="A3645">
        <v>44.4063166606621</v>
      </c>
      <c r="B3645">
        <v>95.993168121063306</v>
      </c>
      <c r="C3645">
        <v>2001</v>
      </c>
    </row>
    <row r="3646" spans="1:11" x14ac:dyDescent="0.25">
      <c r="A3646">
        <v>46.777631609153403</v>
      </c>
      <c r="B3646">
        <v>93.621853172572102</v>
      </c>
      <c r="C3646">
        <v>2001</v>
      </c>
    </row>
    <row r="3647" spans="1:11" x14ac:dyDescent="0.25">
      <c r="A3647">
        <v>46.340615584704501</v>
      </c>
      <c r="B3647">
        <v>93.184837148123293</v>
      </c>
      <c r="C3647">
        <v>2000</v>
      </c>
    </row>
    <row r="3648" spans="1:11" x14ac:dyDescent="0.25">
      <c r="A3648" t="s">
        <v>87</v>
      </c>
    </row>
    <row r="3649" spans="1:11" x14ac:dyDescent="0.25">
      <c r="A3649">
        <v>915</v>
      </c>
      <c r="B3649">
        <v>1</v>
      </c>
      <c r="C3649">
        <v>8.9900635060577301</v>
      </c>
      <c r="D3649">
        <v>2.8166143054803401</v>
      </c>
      <c r="E3649">
        <v>8</v>
      </c>
      <c r="F3649">
        <v>1.01722196789785</v>
      </c>
      <c r="G3649" t="s">
        <v>85</v>
      </c>
      <c r="H3649" t="s">
        <v>85</v>
      </c>
      <c r="I3649">
        <v>514</v>
      </c>
      <c r="J3649">
        <v>883</v>
      </c>
      <c r="K3649">
        <v>9.1907793175489E-2</v>
      </c>
    </row>
    <row r="3650" spans="1:11" x14ac:dyDescent="0.25">
      <c r="A3650" t="s">
        <v>86</v>
      </c>
    </row>
    <row r="3651" spans="1:11" x14ac:dyDescent="0.25">
      <c r="A3651">
        <v>122.213541228625</v>
      </c>
      <c r="B3651">
        <v>93.964427149645502</v>
      </c>
      <c r="C3651">
        <v>2000</v>
      </c>
    </row>
    <row r="3652" spans="1:11" x14ac:dyDescent="0.25">
      <c r="A3652">
        <v>116.18910965990899</v>
      </c>
      <c r="B3652">
        <v>99.988858718361996</v>
      </c>
      <c r="C3652">
        <v>2000</v>
      </c>
    </row>
    <row r="3653" spans="1:11" x14ac:dyDescent="0.25">
      <c r="A3653">
        <v>115.85384112544</v>
      </c>
      <c r="B3653">
        <v>100.32412725283</v>
      </c>
      <c r="C3653">
        <v>2000</v>
      </c>
    </row>
    <row r="3654" spans="1:11" x14ac:dyDescent="0.25">
      <c r="A3654">
        <v>116.727873174338</v>
      </c>
      <c r="B3654">
        <v>100.32412725283</v>
      </c>
      <c r="C3654">
        <v>2001</v>
      </c>
    </row>
    <row r="3655" spans="1:11" x14ac:dyDescent="0.25">
      <c r="A3655">
        <v>117.04085914553001</v>
      </c>
      <c r="B3655">
        <v>100.011141281638</v>
      </c>
      <c r="C3655">
        <v>2001</v>
      </c>
    </row>
    <row r="3656" spans="1:11" x14ac:dyDescent="0.25">
      <c r="A3656">
        <v>123.082042808015</v>
      </c>
      <c r="B3656">
        <v>93.969957619152794</v>
      </c>
      <c r="C3656">
        <v>2001</v>
      </c>
    </row>
    <row r="3657" spans="1:11" x14ac:dyDescent="0.25">
      <c r="A3657">
        <v>125.07645511816099</v>
      </c>
      <c r="B3657">
        <v>91.975545309006904</v>
      </c>
      <c r="C3657">
        <v>2001</v>
      </c>
    </row>
    <row r="3658" spans="1:11" x14ac:dyDescent="0.25">
      <c r="A3658">
        <v>124.202423069264</v>
      </c>
      <c r="B3658">
        <v>91.975545309006904</v>
      </c>
      <c r="C3658">
        <v>2000</v>
      </c>
    </row>
    <row r="3659" spans="1:11" x14ac:dyDescent="0.25">
      <c r="A3659" t="s">
        <v>87</v>
      </c>
    </row>
    <row r="3660" spans="1:11" x14ac:dyDescent="0.25">
      <c r="A3660">
        <v>1115</v>
      </c>
      <c r="B3660">
        <v>1</v>
      </c>
      <c r="C3660">
        <v>1.5178565996886699</v>
      </c>
      <c r="D3660">
        <v>10.288821211849401</v>
      </c>
      <c r="E3660">
        <v>8</v>
      </c>
      <c r="F3660">
        <v>1.01722196789785</v>
      </c>
      <c r="G3660" t="s">
        <v>85</v>
      </c>
      <c r="H3660" t="s">
        <v>85</v>
      </c>
      <c r="I3660">
        <v>514</v>
      </c>
      <c r="J3660">
        <v>883</v>
      </c>
      <c r="K3660">
        <v>9.4777393206033497E-2</v>
      </c>
    </row>
    <row r="3661" spans="1:11" x14ac:dyDescent="0.25">
      <c r="A3661" t="s">
        <v>86</v>
      </c>
    </row>
    <row r="3662" spans="1:11" x14ac:dyDescent="0.25">
      <c r="A3662">
        <v>122.702457253125</v>
      </c>
      <c r="B3662">
        <v>104.995326871598</v>
      </c>
      <c r="C3662">
        <v>2000</v>
      </c>
    </row>
    <row r="3663" spans="1:11" x14ac:dyDescent="0.25">
      <c r="A3663">
        <v>121.61374899866701</v>
      </c>
      <c r="B3663">
        <v>106.084035126057</v>
      </c>
      <c r="C3663">
        <v>2000</v>
      </c>
    </row>
    <row r="3664" spans="1:11" x14ac:dyDescent="0.25">
      <c r="A3664">
        <v>121.61374899866701</v>
      </c>
      <c r="B3664">
        <v>105.210003077159</v>
      </c>
      <c r="C3664">
        <v>2001</v>
      </c>
    </row>
    <row r="3665" spans="1:11" x14ac:dyDescent="0.25">
      <c r="A3665">
        <v>122.671614133226</v>
      </c>
      <c r="B3665">
        <v>104.15213794260001</v>
      </c>
      <c r="C3665">
        <v>2001</v>
      </c>
    </row>
    <row r="3666" spans="1:11" x14ac:dyDescent="0.25">
      <c r="A3666">
        <v>127.179628695437</v>
      </c>
      <c r="B3666">
        <v>99.644123380389402</v>
      </c>
      <c r="C3666">
        <v>2001</v>
      </c>
    </row>
    <row r="3667" spans="1:11" x14ac:dyDescent="0.25">
      <c r="A3667">
        <v>129.96233094249001</v>
      </c>
      <c r="B3667">
        <v>96.861421133335995</v>
      </c>
      <c r="C3667">
        <v>2001</v>
      </c>
    </row>
    <row r="3668" spans="1:11" x14ac:dyDescent="0.25">
      <c r="A3668">
        <v>129.96233094249001</v>
      </c>
      <c r="B3668">
        <v>97.735453182233599</v>
      </c>
      <c r="C3668">
        <v>2000</v>
      </c>
    </row>
    <row r="3669" spans="1:11" x14ac:dyDescent="0.25">
      <c r="A3669">
        <v>127.341907505113</v>
      </c>
      <c r="B3669">
        <v>100.355876619611</v>
      </c>
      <c r="C3669">
        <v>2000</v>
      </c>
    </row>
    <row r="3670" spans="1:11" x14ac:dyDescent="0.25">
      <c r="A3670" t="s">
        <v>87</v>
      </c>
    </row>
    <row r="3671" spans="1:11" x14ac:dyDescent="0.25">
      <c r="A3671">
        <v>1090</v>
      </c>
      <c r="B3671">
        <v>1</v>
      </c>
      <c r="C3671">
        <v>2.3427889963696602</v>
      </c>
      <c r="D3671">
        <v>9.4638888151683798</v>
      </c>
      <c r="E3671">
        <v>8</v>
      </c>
      <c r="F3671">
        <v>1.01722196789785</v>
      </c>
      <c r="G3671" t="s">
        <v>85</v>
      </c>
      <c r="H3671" t="s">
        <v>85</v>
      </c>
      <c r="I3671">
        <v>514</v>
      </c>
      <c r="J3671">
        <v>883</v>
      </c>
      <c r="K3671">
        <v>9.4413370804653396E-2</v>
      </c>
    </row>
    <row r="3672" spans="1:11" x14ac:dyDescent="0.25">
      <c r="A3672" t="s">
        <v>86</v>
      </c>
    </row>
    <row r="3673" spans="1:11" x14ac:dyDescent="0.25">
      <c r="A3673">
        <v>119.6074192941</v>
      </c>
      <c r="B3673">
        <v>100.366764595916</v>
      </c>
      <c r="C3673">
        <v>2000</v>
      </c>
    </row>
    <row r="3674" spans="1:11" x14ac:dyDescent="0.25">
      <c r="A3674">
        <v>117.751948881313</v>
      </c>
      <c r="B3674">
        <v>102.222235008703</v>
      </c>
      <c r="C3674">
        <v>2000</v>
      </c>
    </row>
    <row r="3675" spans="1:11" x14ac:dyDescent="0.25">
      <c r="A3675">
        <v>117.751948881313</v>
      </c>
      <c r="B3675">
        <v>101.34820295980499</v>
      </c>
      <c r="C3675">
        <v>2001</v>
      </c>
    </row>
    <row r="3676" spans="1:11" x14ac:dyDescent="0.25">
      <c r="A3676">
        <v>119.20968244097099</v>
      </c>
      <c r="B3676">
        <v>99.890469400147595</v>
      </c>
      <c r="C3676">
        <v>2001</v>
      </c>
    </row>
    <row r="3677" spans="1:11" x14ac:dyDescent="0.25">
      <c r="A3677">
        <v>119.32285948405899</v>
      </c>
      <c r="B3677">
        <v>99.777292357060006</v>
      </c>
      <c r="C3677">
        <v>2001</v>
      </c>
    </row>
    <row r="3678" spans="1:11" x14ac:dyDescent="0.25">
      <c r="A3678">
        <v>126.100530825136</v>
      </c>
      <c r="B3678">
        <v>92.9996210159822</v>
      </c>
      <c r="C3678">
        <v>2001</v>
      </c>
    </row>
    <row r="3679" spans="1:11" x14ac:dyDescent="0.25">
      <c r="A3679">
        <v>126.100530825136</v>
      </c>
      <c r="B3679">
        <v>93.873653064879804</v>
      </c>
      <c r="C3679">
        <v>2000</v>
      </c>
    </row>
    <row r="3680" spans="1:11" x14ac:dyDescent="0.25">
      <c r="A3680">
        <v>119.751476247076</v>
      </c>
      <c r="B3680">
        <v>100.22270764293999</v>
      </c>
      <c r="C3680">
        <v>2000</v>
      </c>
    </row>
    <row r="3681" spans="1:11" x14ac:dyDescent="0.25">
      <c r="A3681" t="s">
        <v>87</v>
      </c>
    </row>
    <row r="3682" spans="1:11" x14ac:dyDescent="0.25">
      <c r="A3682">
        <v>1128</v>
      </c>
      <c r="B3682">
        <v>1</v>
      </c>
      <c r="C3682">
        <v>10.7348555805105</v>
      </c>
      <c r="D3682">
        <v>1.0718222310275001</v>
      </c>
      <c r="E3682">
        <v>8</v>
      </c>
      <c r="F3682">
        <v>1.01722196789785</v>
      </c>
      <c r="G3682" t="s">
        <v>85</v>
      </c>
      <c r="H3682" t="s">
        <v>85</v>
      </c>
      <c r="I3682">
        <v>514</v>
      </c>
      <c r="J3682">
        <v>883</v>
      </c>
      <c r="K3682">
        <v>9.4954792207050207E-2</v>
      </c>
    </row>
    <row r="3683" spans="1:11" x14ac:dyDescent="0.25">
      <c r="A3683" t="s">
        <v>86</v>
      </c>
    </row>
    <row r="3684" spans="1:11" x14ac:dyDescent="0.25">
      <c r="A3684">
        <v>127.227048695166</v>
      </c>
      <c r="B3684">
        <v>96.482016441189401</v>
      </c>
      <c r="C3684">
        <v>2000</v>
      </c>
    </row>
    <row r="3685" spans="1:11" x14ac:dyDescent="0.25">
      <c r="A3685">
        <v>123.377195742422</v>
      </c>
      <c r="B3685">
        <v>100.331869393933</v>
      </c>
      <c r="C3685">
        <v>2000</v>
      </c>
    </row>
    <row r="3686" spans="1:11" x14ac:dyDescent="0.25">
      <c r="A3686">
        <v>119.619389504483</v>
      </c>
      <c r="B3686">
        <v>104.08967563187301</v>
      </c>
      <c r="C3686">
        <v>2000</v>
      </c>
    </row>
    <row r="3687" spans="1:11" x14ac:dyDescent="0.25">
      <c r="A3687">
        <v>119.619389504483</v>
      </c>
      <c r="B3687">
        <v>103.21564358297501</v>
      </c>
      <c r="C3687">
        <v>2001</v>
      </c>
    </row>
    <row r="3688" spans="1:11" x14ac:dyDescent="0.25">
      <c r="A3688">
        <v>123.16690248139101</v>
      </c>
      <c r="B3688">
        <v>99.668130606066697</v>
      </c>
      <c r="C3688">
        <v>2001</v>
      </c>
    </row>
    <row r="3689" spans="1:11" x14ac:dyDescent="0.25">
      <c r="A3689">
        <v>127.19310866587401</v>
      </c>
      <c r="B3689">
        <v>95.641924421583596</v>
      </c>
      <c r="C3689">
        <v>2001</v>
      </c>
    </row>
    <row r="3690" spans="1:11" x14ac:dyDescent="0.25">
      <c r="A3690">
        <v>127.967971448306</v>
      </c>
      <c r="B3690">
        <v>94.867061639151601</v>
      </c>
      <c r="C3690">
        <v>2001</v>
      </c>
    </row>
    <row r="3691" spans="1:11" x14ac:dyDescent="0.25">
      <c r="A3691">
        <v>127.967971448306</v>
      </c>
      <c r="B3691">
        <v>95.741093688049304</v>
      </c>
      <c r="C3691">
        <v>2000</v>
      </c>
    </row>
    <row r="3692" spans="1:11" x14ac:dyDescent="0.25">
      <c r="A3692" t="s">
        <v>87</v>
      </c>
    </row>
    <row r="3693" spans="1:11" x14ac:dyDescent="0.25">
      <c r="A3693">
        <v>77</v>
      </c>
      <c r="B3693">
        <v>1</v>
      </c>
      <c r="C3693">
        <v>7.1400946978050799</v>
      </c>
      <c r="D3693">
        <v>4.61546149124369</v>
      </c>
      <c r="E3693">
        <v>6</v>
      </c>
      <c r="F3693">
        <v>1.01722196789785</v>
      </c>
      <c r="G3693" t="s">
        <v>89</v>
      </c>
      <c r="H3693" t="s">
        <v>85</v>
      </c>
      <c r="I3693">
        <v>79</v>
      </c>
      <c r="J3693">
        <v>819</v>
      </c>
      <c r="K3693">
        <v>0</v>
      </c>
    </row>
    <row r="3694" spans="1:11" x14ac:dyDescent="0.25">
      <c r="A3694" t="s">
        <v>86</v>
      </c>
    </row>
    <row r="3695" spans="1:11" x14ac:dyDescent="0.25">
      <c r="A3695">
        <v>15.970679451866999</v>
      </c>
      <c r="B3695">
        <v>30.909104557039701</v>
      </c>
      <c r="C3695">
        <v>2000</v>
      </c>
    </row>
    <row r="3696" spans="1:11" x14ac:dyDescent="0.25">
      <c r="A3696">
        <v>10.7891525837092</v>
      </c>
      <c r="B3696">
        <v>36.0906314251975</v>
      </c>
      <c r="C3696">
        <v>2000</v>
      </c>
    </row>
    <row r="3697" spans="1:11" x14ac:dyDescent="0.25">
      <c r="A3697">
        <v>11.226168608158</v>
      </c>
      <c r="B3697">
        <v>36.527647449646302</v>
      </c>
      <c r="C3697">
        <v>2001</v>
      </c>
    </row>
    <row r="3698" spans="1:11" x14ac:dyDescent="0.25">
      <c r="A3698">
        <v>16.142260498264299</v>
      </c>
      <c r="B3698">
        <v>31.611555559540001</v>
      </c>
      <c r="C3698">
        <v>2001</v>
      </c>
    </row>
    <row r="3699" spans="1:11" x14ac:dyDescent="0.25">
      <c r="A3699">
        <v>19.3200940938294</v>
      </c>
      <c r="B3699">
        <v>28.4337219639749</v>
      </c>
      <c r="C3699">
        <v>2001</v>
      </c>
    </row>
    <row r="3700" spans="1:11" x14ac:dyDescent="0.25">
      <c r="A3700">
        <v>19.3200940938294</v>
      </c>
      <c r="B3700">
        <v>27.5596899150772</v>
      </c>
      <c r="C3700">
        <v>2000</v>
      </c>
    </row>
    <row r="3701" spans="1:11" x14ac:dyDescent="0.25">
      <c r="A3701" t="s">
        <v>87</v>
      </c>
    </row>
    <row r="3702" spans="1:11" x14ac:dyDescent="0.25">
      <c r="A3702">
        <v>425</v>
      </c>
      <c r="B3702">
        <v>0</v>
      </c>
      <c r="C3702">
        <v>7.5614375140453802</v>
      </c>
      <c r="D3702">
        <v>4.1895617443444699</v>
      </c>
      <c r="E3702">
        <v>6</v>
      </c>
      <c r="F3702">
        <v>1.01722196789785</v>
      </c>
      <c r="G3702" t="s">
        <v>85</v>
      </c>
      <c r="H3702" t="s">
        <v>89</v>
      </c>
      <c r="I3702">
        <v>68</v>
      </c>
      <c r="J3702">
        <v>843</v>
      </c>
      <c r="K3702">
        <v>0</v>
      </c>
    </row>
    <row r="3703" spans="1:11" x14ac:dyDescent="0.25">
      <c r="A3703" t="s">
        <v>86</v>
      </c>
    </row>
    <row r="3704" spans="1:11" x14ac:dyDescent="0.25">
      <c r="A3704">
        <v>56.055711387467497</v>
      </c>
      <c r="B3704">
        <v>34.028654542558797</v>
      </c>
      <c r="C3704">
        <v>2000</v>
      </c>
    </row>
    <row r="3705" spans="1:11" x14ac:dyDescent="0.25">
      <c r="A3705">
        <v>50.568363885659899</v>
      </c>
      <c r="B3705">
        <v>28.5413070407512</v>
      </c>
      <c r="C3705">
        <v>2000</v>
      </c>
    </row>
    <row r="3706" spans="1:11" x14ac:dyDescent="0.25">
      <c r="A3706">
        <v>50.568363885659899</v>
      </c>
      <c r="B3706">
        <v>29.415339089648899</v>
      </c>
      <c r="C3706">
        <v>2001</v>
      </c>
    </row>
    <row r="3707" spans="1:11" x14ac:dyDescent="0.25">
      <c r="A3707">
        <v>55.774503867252001</v>
      </c>
      <c r="B3707">
        <v>34.621479071240898</v>
      </c>
      <c r="C3707">
        <v>2001</v>
      </c>
    </row>
    <row r="3708" spans="1:11" x14ac:dyDescent="0.25">
      <c r="A3708">
        <v>58.659067134761003</v>
      </c>
      <c r="B3708">
        <v>37.506042338749999</v>
      </c>
      <c r="C3708">
        <v>2001</v>
      </c>
    </row>
    <row r="3709" spans="1:11" x14ac:dyDescent="0.25">
      <c r="A3709">
        <v>59.096083159209897</v>
      </c>
      <c r="B3709">
        <v>37.069026314301198</v>
      </c>
      <c r="C3709">
        <v>2000</v>
      </c>
    </row>
    <row r="3710" spans="1:11" x14ac:dyDescent="0.25">
      <c r="A3710" t="s">
        <v>87</v>
      </c>
    </row>
    <row r="3711" spans="1:11" x14ac:dyDescent="0.25">
      <c r="A3711">
        <v>869</v>
      </c>
      <c r="B3711">
        <v>1</v>
      </c>
      <c r="C3711">
        <v>6.2868926952898301</v>
      </c>
      <c r="D3711">
        <v>5.4475507685410296</v>
      </c>
      <c r="E3711">
        <v>6</v>
      </c>
      <c r="F3711">
        <v>1.01722196789785</v>
      </c>
      <c r="G3711" t="s">
        <v>85</v>
      </c>
      <c r="H3711" t="s">
        <v>85</v>
      </c>
      <c r="I3711">
        <v>26</v>
      </c>
      <c r="J3711">
        <v>30</v>
      </c>
      <c r="K3711">
        <v>9.0910684189608806E-2</v>
      </c>
    </row>
    <row r="3712" spans="1:11" x14ac:dyDescent="0.25">
      <c r="A3712" t="s">
        <v>86</v>
      </c>
    </row>
    <row r="3713" spans="1:11" x14ac:dyDescent="0.25">
      <c r="A3713">
        <v>10.5499067551312</v>
      </c>
      <c r="B3713">
        <v>21.569976243921602</v>
      </c>
      <c r="C3713">
        <v>2000</v>
      </c>
    </row>
    <row r="3714" spans="1:11" x14ac:dyDescent="0.25">
      <c r="A3714">
        <v>6.1044022976996404</v>
      </c>
      <c r="B3714">
        <v>26.015480701353201</v>
      </c>
      <c r="C3714">
        <v>2000</v>
      </c>
    </row>
    <row r="3715" spans="1:11" x14ac:dyDescent="0.25">
      <c r="A3715">
        <v>6.9784343465972896</v>
      </c>
      <c r="B3715">
        <v>26.015480701353201</v>
      </c>
      <c r="C3715">
        <v>2001</v>
      </c>
    </row>
    <row r="3716" spans="1:11" x14ac:dyDescent="0.25">
      <c r="A3716">
        <v>11.4239388040289</v>
      </c>
      <c r="B3716">
        <v>21.569976243921602</v>
      </c>
      <c r="C3716">
        <v>2001</v>
      </c>
    </row>
    <row r="3717" spans="1:11" x14ac:dyDescent="0.25">
      <c r="A3717">
        <v>15.2759388933222</v>
      </c>
      <c r="B3717">
        <v>17.7179761546282</v>
      </c>
      <c r="C3717">
        <v>2001</v>
      </c>
    </row>
    <row r="3718" spans="1:11" x14ac:dyDescent="0.25">
      <c r="A3718">
        <v>14.4019068444246</v>
      </c>
      <c r="B3718">
        <v>17.7179761546282</v>
      </c>
      <c r="C3718">
        <v>2000</v>
      </c>
    </row>
    <row r="3719" spans="1:11" x14ac:dyDescent="0.25">
      <c r="A3719" t="s">
        <v>87</v>
      </c>
    </row>
    <row r="3720" spans="1:11" x14ac:dyDescent="0.25">
      <c r="A3720">
        <v>1125</v>
      </c>
      <c r="B3720">
        <v>0</v>
      </c>
      <c r="C3720">
        <v>2.1207772942579202</v>
      </c>
      <c r="D3720">
        <v>9.6100336380652003</v>
      </c>
      <c r="E3720">
        <v>6</v>
      </c>
      <c r="F3720">
        <v>1.01722196789785</v>
      </c>
      <c r="G3720" t="s">
        <v>85</v>
      </c>
      <c r="H3720" t="s">
        <v>85</v>
      </c>
      <c r="I3720">
        <v>790</v>
      </c>
      <c r="J3720">
        <v>816</v>
      </c>
      <c r="K3720">
        <v>9.4954792207050207E-2</v>
      </c>
    </row>
    <row r="3721" spans="1:11" x14ac:dyDescent="0.25">
      <c r="A3721" t="s">
        <v>86</v>
      </c>
    </row>
    <row r="3722" spans="1:11" x14ac:dyDescent="0.25">
      <c r="A3722">
        <v>132.67985039049799</v>
      </c>
      <c r="B3722">
        <v>9.9675056878236497</v>
      </c>
      <c r="C3722">
        <v>2000</v>
      </c>
    </row>
    <row r="3723" spans="1:11" x14ac:dyDescent="0.25">
      <c r="A3723">
        <v>131.18023438434099</v>
      </c>
      <c r="B3723">
        <v>8.4678896816674207</v>
      </c>
      <c r="C3723">
        <v>2000</v>
      </c>
    </row>
    <row r="3724" spans="1:11" x14ac:dyDescent="0.25">
      <c r="A3724">
        <v>131.18023438434099</v>
      </c>
      <c r="B3724">
        <v>7.59385763276976</v>
      </c>
      <c r="C3724">
        <v>2001</v>
      </c>
    </row>
    <row r="3725" spans="1:11" x14ac:dyDescent="0.25">
      <c r="A3725">
        <v>132.67985039049799</v>
      </c>
      <c r="B3725">
        <v>9.0934736389259907</v>
      </c>
      <c r="C3725">
        <v>2001</v>
      </c>
    </row>
    <row r="3726" spans="1:11" x14ac:dyDescent="0.25">
      <c r="A3726">
        <v>139.47517034340399</v>
      </c>
      <c r="B3726">
        <v>15.8887935918327</v>
      </c>
      <c r="C3726">
        <v>2001</v>
      </c>
    </row>
    <row r="3727" spans="1:11" x14ac:dyDescent="0.25">
      <c r="A3727">
        <v>139.47517034340399</v>
      </c>
      <c r="B3727">
        <v>16.762825640730401</v>
      </c>
      <c r="C3727">
        <v>2000</v>
      </c>
    </row>
    <row r="3728" spans="1:11" x14ac:dyDescent="0.25">
      <c r="A3728" t="s">
        <v>87</v>
      </c>
    </row>
    <row r="3729" spans="1:11" x14ac:dyDescent="0.25">
      <c r="A3729">
        <v>354</v>
      </c>
      <c r="B3729">
        <v>0</v>
      </c>
      <c r="C3729">
        <v>6.4319903501004596</v>
      </c>
      <c r="D3729">
        <v>5.2688925825259103</v>
      </c>
      <c r="E3729">
        <v>6</v>
      </c>
      <c r="F3729">
        <v>1.01722196789785</v>
      </c>
      <c r="G3729" t="s">
        <v>85</v>
      </c>
      <c r="H3729" t="s">
        <v>85</v>
      </c>
      <c r="I3729">
        <v>386</v>
      </c>
      <c r="J3729">
        <v>776</v>
      </c>
      <c r="K3729">
        <v>0</v>
      </c>
    </row>
    <row r="3730" spans="1:11" x14ac:dyDescent="0.25">
      <c r="A3730" t="s">
        <v>86</v>
      </c>
    </row>
    <row r="3731" spans="1:11" x14ac:dyDescent="0.25">
      <c r="A3731">
        <v>44.456729253446198</v>
      </c>
      <c r="B3731">
        <v>66.400872964069194</v>
      </c>
      <c r="C3731">
        <v>2000</v>
      </c>
    </row>
    <row r="3732" spans="1:11" x14ac:dyDescent="0.25">
      <c r="A3732">
        <v>40.148853529314003</v>
      </c>
      <c r="B3732">
        <v>62.092997239936999</v>
      </c>
      <c r="C3732">
        <v>2000</v>
      </c>
    </row>
    <row r="3733" spans="1:11" x14ac:dyDescent="0.25">
      <c r="A3733">
        <v>40.148853529314003</v>
      </c>
      <c r="B3733">
        <v>61.218965191039302</v>
      </c>
      <c r="C3733">
        <v>2001</v>
      </c>
    </row>
    <row r="3734" spans="1:11" x14ac:dyDescent="0.25">
      <c r="A3734">
        <v>44.9371857913467</v>
      </c>
      <c r="B3734">
        <v>66.007297453071999</v>
      </c>
      <c r="C3734">
        <v>2001</v>
      </c>
    </row>
    <row r="3735" spans="1:11" x14ac:dyDescent="0.25">
      <c r="A3735">
        <v>48.859643221292799</v>
      </c>
      <c r="B3735">
        <v>69.929754883018205</v>
      </c>
      <c r="C3735">
        <v>2001</v>
      </c>
    </row>
    <row r="3736" spans="1:11" x14ac:dyDescent="0.25">
      <c r="A3736">
        <v>47.985611172395203</v>
      </c>
      <c r="B3736">
        <v>69.929754883018205</v>
      </c>
      <c r="C3736">
        <v>2000</v>
      </c>
    </row>
    <row r="3737" spans="1:11" x14ac:dyDescent="0.25">
      <c r="A3737" t="s">
        <v>87</v>
      </c>
    </row>
    <row r="3738" spans="1:11" x14ac:dyDescent="0.25">
      <c r="A3738">
        <v>1193</v>
      </c>
      <c r="B3738">
        <v>0</v>
      </c>
      <c r="C3738">
        <v>2.7206274427391999</v>
      </c>
      <c r="D3738">
        <v>8.9802554898871705</v>
      </c>
      <c r="E3738">
        <v>6</v>
      </c>
      <c r="F3738">
        <v>1.01722196789785</v>
      </c>
      <c r="G3738" t="s">
        <v>85</v>
      </c>
      <c r="H3738" t="s">
        <v>85</v>
      </c>
      <c r="I3738">
        <v>386</v>
      </c>
      <c r="J3738">
        <v>776</v>
      </c>
      <c r="K3738">
        <v>9.5800019506126696E-2</v>
      </c>
    </row>
    <row r="3739" spans="1:11" x14ac:dyDescent="0.25">
      <c r="A3739" t="s">
        <v>86</v>
      </c>
    </row>
    <row r="3740" spans="1:11" x14ac:dyDescent="0.25">
      <c r="A3740">
        <v>42.598403746315903</v>
      </c>
      <c r="B3740">
        <v>63.287769939184898</v>
      </c>
      <c r="C3740">
        <v>2000</v>
      </c>
    </row>
    <row r="3741" spans="1:11" x14ac:dyDescent="0.25">
      <c r="A3741">
        <v>40.776242288191</v>
      </c>
      <c r="B3741">
        <v>61.465608481060002</v>
      </c>
      <c r="C3741">
        <v>2000</v>
      </c>
    </row>
    <row r="3742" spans="1:11" x14ac:dyDescent="0.25">
      <c r="A3742">
        <v>40.776242288191</v>
      </c>
      <c r="B3742">
        <v>60.591576432162299</v>
      </c>
      <c r="C3742">
        <v>2001</v>
      </c>
    </row>
    <row r="3743" spans="1:11" x14ac:dyDescent="0.25">
      <c r="A3743">
        <v>42.801629057752301</v>
      </c>
      <c r="B3743">
        <v>62.616963201723699</v>
      </c>
      <c r="C3743">
        <v>2001</v>
      </c>
    </row>
    <row r="3744" spans="1:11" x14ac:dyDescent="0.25">
      <c r="A3744">
        <v>49.487031980169903</v>
      </c>
      <c r="B3744">
        <v>69.302366124141201</v>
      </c>
      <c r="C3744">
        <v>2001</v>
      </c>
    </row>
    <row r="3745" spans="1:11" x14ac:dyDescent="0.25">
      <c r="A3745">
        <v>48.612999931272199</v>
      </c>
      <c r="B3745">
        <v>69.302366124141201</v>
      </c>
      <c r="C3745">
        <v>2000</v>
      </c>
    </row>
    <row r="3746" spans="1:11" x14ac:dyDescent="0.25">
      <c r="A3746" t="s">
        <v>87</v>
      </c>
    </row>
    <row r="3747" spans="1:11" x14ac:dyDescent="0.25">
      <c r="A3747">
        <v>722</v>
      </c>
      <c r="B3747">
        <v>0</v>
      </c>
      <c r="C3747">
        <v>5.9330348014538004</v>
      </c>
      <c r="D3747">
        <v>5.7312422761348101</v>
      </c>
      <c r="E3747">
        <v>6</v>
      </c>
      <c r="F3747">
        <v>1.01722196789785</v>
      </c>
      <c r="G3747" t="s">
        <v>85</v>
      </c>
      <c r="H3747" t="s">
        <v>85</v>
      </c>
      <c r="I3747">
        <v>151</v>
      </c>
      <c r="J3747">
        <v>157</v>
      </c>
      <c r="K3747">
        <v>8.8948032773117705E-2</v>
      </c>
    </row>
    <row r="3748" spans="1:11" x14ac:dyDescent="0.25">
      <c r="A3748" t="s">
        <v>86</v>
      </c>
    </row>
    <row r="3749" spans="1:11" x14ac:dyDescent="0.25">
      <c r="A3749">
        <v>110.006959112364</v>
      </c>
      <c r="B3749">
        <v>42.621734122112798</v>
      </c>
      <c r="C3749">
        <v>2000</v>
      </c>
    </row>
    <row r="3750" spans="1:11" x14ac:dyDescent="0.25">
      <c r="A3750">
        <v>105.811669971241</v>
      </c>
      <c r="B3750">
        <v>38.426444980989103</v>
      </c>
      <c r="C3750">
        <v>2000</v>
      </c>
    </row>
    <row r="3751" spans="1:11" x14ac:dyDescent="0.25">
      <c r="A3751">
        <v>105.811669971241</v>
      </c>
      <c r="B3751">
        <v>39.3004770298867</v>
      </c>
      <c r="C3751">
        <v>2001</v>
      </c>
    </row>
    <row r="3752" spans="1:11" x14ac:dyDescent="0.25">
      <c r="A3752">
        <v>110.006959112364</v>
      </c>
      <c r="B3752">
        <v>43.495766171010501</v>
      </c>
      <c r="C3752">
        <v>2001</v>
      </c>
    </row>
    <row r="3753" spans="1:11" x14ac:dyDescent="0.25">
      <c r="A3753">
        <v>114.059559390442</v>
      </c>
      <c r="B3753">
        <v>47.548366449088398</v>
      </c>
      <c r="C3753">
        <v>2001</v>
      </c>
    </row>
    <row r="3754" spans="1:11" x14ac:dyDescent="0.25">
      <c r="A3754">
        <v>114.059559390442</v>
      </c>
      <c r="B3754">
        <v>46.674334400190801</v>
      </c>
      <c r="C3754">
        <v>2000</v>
      </c>
    </row>
    <row r="3755" spans="1:11" x14ac:dyDescent="0.25">
      <c r="A3755" t="s">
        <v>87</v>
      </c>
    </row>
    <row r="3756" spans="1:11" x14ac:dyDescent="0.25">
      <c r="A3756">
        <v>833</v>
      </c>
      <c r="B3756">
        <v>1</v>
      </c>
      <c r="C3756">
        <v>8.1353399881560104</v>
      </c>
      <c r="D3756">
        <v>3.4998346411314301</v>
      </c>
      <c r="E3756">
        <v>6</v>
      </c>
      <c r="F3756">
        <v>1.01722196789785</v>
      </c>
      <c r="G3756" t="s">
        <v>85</v>
      </c>
      <c r="H3756" t="s">
        <v>85</v>
      </c>
      <c r="I3756">
        <v>751</v>
      </c>
      <c r="J3756">
        <v>581</v>
      </c>
      <c r="K3756">
        <v>9.0374042336346896E-2</v>
      </c>
    </row>
    <row r="3757" spans="1:11" x14ac:dyDescent="0.25">
      <c r="A3757" t="s">
        <v>86</v>
      </c>
    </row>
    <row r="3758" spans="1:11" x14ac:dyDescent="0.25">
      <c r="A3758">
        <v>115.313529183768</v>
      </c>
      <c r="B3758">
        <v>85.346757862421697</v>
      </c>
      <c r="C3758">
        <v>2000</v>
      </c>
    </row>
    <row r="3759" spans="1:11" x14ac:dyDescent="0.25">
      <c r="A3759">
        <v>109.560975110885</v>
      </c>
      <c r="B3759">
        <v>91.099311935304897</v>
      </c>
      <c r="C3759">
        <v>2000</v>
      </c>
    </row>
    <row r="3760" spans="1:11" x14ac:dyDescent="0.25">
      <c r="A3760">
        <v>109.560975110885</v>
      </c>
      <c r="B3760">
        <v>91.973343984202501</v>
      </c>
      <c r="C3760">
        <v>2001</v>
      </c>
    </row>
    <row r="3761" spans="1:11" x14ac:dyDescent="0.25">
      <c r="A3761">
        <v>115.313529183768</v>
      </c>
      <c r="B3761">
        <v>86.220789911319301</v>
      </c>
      <c r="C3761">
        <v>2001</v>
      </c>
    </row>
    <row r="3762" spans="1:11" x14ac:dyDescent="0.25">
      <c r="A3762">
        <v>117.788285991544</v>
      </c>
      <c r="B3762">
        <v>83.746033103543695</v>
      </c>
      <c r="C3762">
        <v>2001</v>
      </c>
    </row>
    <row r="3763" spans="1:11" x14ac:dyDescent="0.25">
      <c r="A3763">
        <v>117.788285991544</v>
      </c>
      <c r="B3763">
        <v>82.872001054646105</v>
      </c>
      <c r="C3763">
        <v>2000</v>
      </c>
    </row>
    <row r="3764" spans="1:11" x14ac:dyDescent="0.25">
      <c r="A3764" t="s">
        <v>87</v>
      </c>
    </row>
    <row r="3765" spans="1:11" x14ac:dyDescent="0.25">
      <c r="A3765">
        <v>471</v>
      </c>
      <c r="B3765">
        <v>1</v>
      </c>
      <c r="C3765">
        <v>10.2122510070995</v>
      </c>
      <c r="D3765">
        <v>1.4003221277092299</v>
      </c>
      <c r="E3765">
        <v>6</v>
      </c>
      <c r="F3765">
        <v>1.01722196789785</v>
      </c>
      <c r="G3765" t="s">
        <v>85</v>
      </c>
      <c r="H3765" t="s">
        <v>85</v>
      </c>
      <c r="I3765">
        <v>429</v>
      </c>
      <c r="J3765">
        <v>426</v>
      </c>
      <c r="K3765">
        <v>0</v>
      </c>
    </row>
    <row r="3766" spans="1:11" x14ac:dyDescent="0.25">
      <c r="A3766" t="s">
        <v>86</v>
      </c>
    </row>
    <row r="3767" spans="1:11" x14ac:dyDescent="0.25">
      <c r="A3767">
        <v>76.862577525149305</v>
      </c>
      <c r="B3767">
        <v>32.349569418841298</v>
      </c>
      <c r="C3767">
        <v>2000</v>
      </c>
    </row>
    <row r="3768" spans="1:11" x14ac:dyDescent="0.25">
      <c r="A3768">
        <v>70.025743281471804</v>
      </c>
      <c r="B3768">
        <v>39.186403662518799</v>
      </c>
      <c r="C3768">
        <v>2000</v>
      </c>
    </row>
    <row r="3769" spans="1:11" x14ac:dyDescent="0.25">
      <c r="A3769">
        <v>69.1517112325742</v>
      </c>
      <c r="B3769">
        <v>39.186403662518799</v>
      </c>
      <c r="C3769">
        <v>2001</v>
      </c>
    </row>
    <row r="3770" spans="1:11" x14ac:dyDescent="0.25">
      <c r="A3770">
        <v>76.757180865495101</v>
      </c>
      <c r="B3770">
        <v>31.580934029597799</v>
      </c>
      <c r="C3770">
        <v>2001</v>
      </c>
    </row>
    <row r="3771" spans="1:11" x14ac:dyDescent="0.25">
      <c r="A3771">
        <v>77.800056467670998</v>
      </c>
      <c r="B3771">
        <v>30.538058427422001</v>
      </c>
      <c r="C3771">
        <v>2001</v>
      </c>
    </row>
    <row r="3772" spans="1:11" x14ac:dyDescent="0.25">
      <c r="A3772">
        <v>77.800056467670998</v>
      </c>
      <c r="B3772">
        <v>31.412090476319602</v>
      </c>
      <c r="C3772">
        <v>2000</v>
      </c>
    </row>
    <row r="3773" spans="1:11" x14ac:dyDescent="0.25">
      <c r="A3773" t="s">
        <v>87</v>
      </c>
    </row>
    <row r="3774" spans="1:11" x14ac:dyDescent="0.25">
      <c r="A3774">
        <v>1120</v>
      </c>
      <c r="B3774">
        <v>1</v>
      </c>
      <c r="C3774">
        <v>8.0448805035000106</v>
      </c>
      <c r="D3774">
        <v>3.56398976724754</v>
      </c>
      <c r="E3774">
        <v>6</v>
      </c>
      <c r="F3774">
        <v>1.01722196789785</v>
      </c>
      <c r="G3774" t="s">
        <v>85</v>
      </c>
      <c r="H3774" t="s">
        <v>85</v>
      </c>
      <c r="I3774">
        <v>843</v>
      </c>
      <c r="J3774">
        <v>764</v>
      </c>
      <c r="K3774">
        <v>9.4777393206033497E-2</v>
      </c>
    </row>
    <row r="3775" spans="1:11" x14ac:dyDescent="0.25">
      <c r="A3775" t="s">
        <v>86</v>
      </c>
    </row>
    <row r="3776" spans="1:11" x14ac:dyDescent="0.25">
      <c r="A3776">
        <v>66.967257821806001</v>
      </c>
      <c r="B3776">
        <v>33.699019738900702</v>
      </c>
      <c r="C3776">
        <v>2000</v>
      </c>
    </row>
    <row r="3777" spans="1:11" x14ac:dyDescent="0.25">
      <c r="A3777">
        <v>61.5815178619522</v>
      </c>
      <c r="B3777">
        <v>39.084759698754503</v>
      </c>
      <c r="C3777">
        <v>2000</v>
      </c>
    </row>
    <row r="3778" spans="1:11" x14ac:dyDescent="0.25">
      <c r="A3778">
        <v>60.707485813054603</v>
      </c>
      <c r="B3778">
        <v>39.084759698754503</v>
      </c>
      <c r="C3778">
        <v>2001</v>
      </c>
    </row>
    <row r="3779" spans="1:11" x14ac:dyDescent="0.25">
      <c r="A3779">
        <v>66.698924968921403</v>
      </c>
      <c r="B3779">
        <v>33.093320542887803</v>
      </c>
      <c r="C3779">
        <v>2001</v>
      </c>
    </row>
    <row r="3780" spans="1:11" x14ac:dyDescent="0.25">
      <c r="A3780">
        <v>69.353212727863905</v>
      </c>
      <c r="B3780">
        <v>30.439032783945201</v>
      </c>
      <c r="C3780">
        <v>2001</v>
      </c>
    </row>
    <row r="3781" spans="1:11" x14ac:dyDescent="0.25">
      <c r="A3781">
        <v>69.353212727863905</v>
      </c>
      <c r="B3781">
        <v>31.313064832842802</v>
      </c>
      <c r="C3781">
        <v>2000</v>
      </c>
    </row>
    <row r="3782" spans="1:11" x14ac:dyDescent="0.25">
      <c r="A3782" t="s">
        <v>87</v>
      </c>
    </row>
    <row r="3783" spans="1:11" x14ac:dyDescent="0.25">
      <c r="A3783">
        <v>1097</v>
      </c>
      <c r="B3783">
        <v>1</v>
      </c>
      <c r="C3783">
        <v>1.5539519016328001</v>
      </c>
      <c r="D3783">
        <v>10.0549183691148</v>
      </c>
      <c r="E3783">
        <v>6</v>
      </c>
      <c r="F3783">
        <v>1.01722196789785</v>
      </c>
      <c r="G3783" t="s">
        <v>85</v>
      </c>
      <c r="H3783" t="s">
        <v>85</v>
      </c>
      <c r="I3783">
        <v>843</v>
      </c>
      <c r="J3783">
        <v>764</v>
      </c>
      <c r="K3783">
        <v>9.4596959481043894E-2</v>
      </c>
    </row>
    <row r="3784" spans="1:11" x14ac:dyDescent="0.25">
      <c r="A3784" t="s">
        <v>86</v>
      </c>
    </row>
    <row r="3785" spans="1:11" x14ac:dyDescent="0.25">
      <c r="A3785">
        <v>61.557508834753797</v>
      </c>
      <c r="B3785">
        <v>36.980127883268999</v>
      </c>
      <c r="C3785">
        <v>2000</v>
      </c>
    </row>
    <row r="3786" spans="1:11" x14ac:dyDescent="0.25">
      <c r="A3786">
        <v>60.517197440610303</v>
      </c>
      <c r="B3786">
        <v>38.020439277412599</v>
      </c>
      <c r="C3786">
        <v>2000</v>
      </c>
    </row>
    <row r="3787" spans="1:11" x14ac:dyDescent="0.25">
      <c r="A3787">
        <v>59.6431653917126</v>
      </c>
      <c r="B3787">
        <v>38.020439277412599</v>
      </c>
      <c r="C3787">
        <v>2001</v>
      </c>
    </row>
    <row r="3788" spans="1:11" x14ac:dyDescent="0.25">
      <c r="A3788">
        <v>60.800473852133599</v>
      </c>
      <c r="B3788">
        <v>36.8631308169916</v>
      </c>
      <c r="C3788">
        <v>2001</v>
      </c>
    </row>
    <row r="3789" spans="1:11" x14ac:dyDescent="0.25">
      <c r="A3789">
        <v>68.288892306521902</v>
      </c>
      <c r="B3789">
        <v>29.374712362603201</v>
      </c>
      <c r="C3789">
        <v>2001</v>
      </c>
    </row>
    <row r="3790" spans="1:11" x14ac:dyDescent="0.25">
      <c r="A3790">
        <v>68.288892306521902</v>
      </c>
      <c r="B3790">
        <v>30.248744411500901</v>
      </c>
      <c r="C3790">
        <v>2000</v>
      </c>
    </row>
    <row r="3791" spans="1:11" x14ac:dyDescent="0.25">
      <c r="A3791" t="s">
        <v>87</v>
      </c>
    </row>
    <row r="3792" spans="1:11" x14ac:dyDescent="0.25">
      <c r="A3792">
        <v>730</v>
      </c>
      <c r="B3792">
        <v>1</v>
      </c>
      <c r="C3792">
        <v>6.96663446713921</v>
      </c>
      <c r="D3792">
        <v>4.5789101046001601</v>
      </c>
      <c r="E3792">
        <v>6</v>
      </c>
      <c r="F3792">
        <v>1.01722196789785</v>
      </c>
      <c r="G3792" t="s">
        <v>85</v>
      </c>
      <c r="H3792" t="s">
        <v>89</v>
      </c>
      <c r="I3792">
        <v>187</v>
      </c>
      <c r="J3792">
        <v>732</v>
      </c>
      <c r="K3792">
        <v>8.8543832116719706E-2</v>
      </c>
    </row>
    <row r="3793" spans="1:11" x14ac:dyDescent="0.25">
      <c r="A3793" t="s">
        <v>86</v>
      </c>
    </row>
    <row r="3794" spans="1:11" x14ac:dyDescent="0.25">
      <c r="A3794">
        <v>60.107190191228</v>
      </c>
      <c r="B3794">
        <v>128.29021501424299</v>
      </c>
      <c r="C3794">
        <v>2000</v>
      </c>
    </row>
    <row r="3795" spans="1:11" x14ac:dyDescent="0.25">
      <c r="A3795">
        <v>55.049186982237401</v>
      </c>
      <c r="B3795">
        <v>133.348218223233</v>
      </c>
      <c r="C3795">
        <v>2000</v>
      </c>
    </row>
    <row r="3796" spans="1:11" x14ac:dyDescent="0.25">
      <c r="A3796">
        <v>55.049186982237401</v>
      </c>
      <c r="B3796">
        <v>132.47418617433601</v>
      </c>
      <c r="C3796">
        <v>2001</v>
      </c>
    </row>
    <row r="3797" spans="1:11" x14ac:dyDescent="0.25">
      <c r="A3797">
        <v>59.843492720770897</v>
      </c>
      <c r="B3797">
        <v>127.679880435802</v>
      </c>
      <c r="C3797">
        <v>2001</v>
      </c>
    </row>
    <row r="3798" spans="1:11" x14ac:dyDescent="0.25">
      <c r="A3798">
        <v>62.994611829181402</v>
      </c>
      <c r="B3798">
        <v>124.528761327392</v>
      </c>
      <c r="C3798">
        <v>2001</v>
      </c>
    </row>
    <row r="3799" spans="1:11" x14ac:dyDescent="0.25">
      <c r="A3799">
        <v>63.431627853630303</v>
      </c>
      <c r="B3799">
        <v>124.96577735184</v>
      </c>
      <c r="C3799">
        <v>2000</v>
      </c>
    </row>
    <row r="3800" spans="1:11" x14ac:dyDescent="0.25">
      <c r="A3800" t="s">
        <v>87</v>
      </c>
    </row>
    <row r="3801" spans="1:11" x14ac:dyDescent="0.25">
      <c r="A3801">
        <v>477</v>
      </c>
      <c r="B3801">
        <v>1</v>
      </c>
      <c r="C3801">
        <v>1.9683919622053501</v>
      </c>
      <c r="D3801">
        <v>9.5710478525653304</v>
      </c>
      <c r="E3801">
        <v>6</v>
      </c>
      <c r="F3801">
        <v>1.01722196789785</v>
      </c>
      <c r="G3801" t="s">
        <v>89</v>
      </c>
      <c r="H3801" t="s">
        <v>85</v>
      </c>
      <c r="I3801">
        <v>766</v>
      </c>
      <c r="J3801">
        <v>787</v>
      </c>
      <c r="K3801">
        <v>0</v>
      </c>
    </row>
    <row r="3802" spans="1:11" x14ac:dyDescent="0.25">
      <c r="A3802" t="s">
        <v>86</v>
      </c>
    </row>
    <row r="3803" spans="1:11" x14ac:dyDescent="0.25">
      <c r="A3803">
        <v>88.595248451580204</v>
      </c>
      <c r="B3803">
        <v>25.022889514161101</v>
      </c>
      <c r="C3803">
        <v>2000</v>
      </c>
    </row>
    <row r="3804" spans="1:11" x14ac:dyDescent="0.25">
      <c r="A3804">
        <v>87.166112157927998</v>
      </c>
      <c r="B3804">
        <v>26.4520258078133</v>
      </c>
      <c r="C3804">
        <v>2000</v>
      </c>
    </row>
    <row r="3805" spans="1:11" x14ac:dyDescent="0.25">
      <c r="A3805">
        <v>87.603128182376807</v>
      </c>
      <c r="B3805">
        <v>26.889041832262102</v>
      </c>
      <c r="C3805">
        <v>2001</v>
      </c>
    </row>
    <row r="3806" spans="1:11" x14ac:dyDescent="0.25">
      <c r="A3806">
        <v>88.957718497741595</v>
      </c>
      <c r="B3806">
        <v>25.534451516897299</v>
      </c>
      <c r="C3806">
        <v>2001</v>
      </c>
    </row>
    <row r="3807" spans="1:11" x14ac:dyDescent="0.25">
      <c r="A3807">
        <v>95.544236314270705</v>
      </c>
      <c r="B3807">
        <v>18.9479337003681</v>
      </c>
      <c r="C3807">
        <v>2001</v>
      </c>
    </row>
    <row r="3808" spans="1:11" x14ac:dyDescent="0.25">
      <c r="A3808">
        <v>95.544236314270705</v>
      </c>
      <c r="B3808">
        <v>18.0739016514705</v>
      </c>
      <c r="C3808">
        <v>2000</v>
      </c>
    </row>
    <row r="3809" spans="1:11" x14ac:dyDescent="0.25">
      <c r="A3809" t="s">
        <v>87</v>
      </c>
    </row>
    <row r="3810" spans="1:11" x14ac:dyDescent="0.25">
      <c r="A3810">
        <v>819</v>
      </c>
      <c r="B3810">
        <v>0</v>
      </c>
      <c r="C3810">
        <v>4.4060040511473701</v>
      </c>
      <c r="D3810">
        <v>7.0557173962096096</v>
      </c>
      <c r="E3810">
        <v>6</v>
      </c>
      <c r="F3810">
        <v>1.01722196789785</v>
      </c>
      <c r="G3810" t="s">
        <v>85</v>
      </c>
      <c r="H3810" t="s">
        <v>85</v>
      </c>
      <c r="I3810">
        <v>810</v>
      </c>
      <c r="J3810">
        <v>61</v>
      </c>
      <c r="K3810">
        <v>9.0097089164053304E-2</v>
      </c>
    </row>
    <row r="3811" spans="1:11" x14ac:dyDescent="0.25">
      <c r="A3811" t="s">
        <v>86</v>
      </c>
    </row>
    <row r="3812" spans="1:11" x14ac:dyDescent="0.25">
      <c r="A3812">
        <v>22.197677151089799</v>
      </c>
      <c r="B3812">
        <v>30.437272972337599</v>
      </c>
      <c r="C3812">
        <v>2000</v>
      </c>
    </row>
    <row r="3813" spans="1:11" x14ac:dyDescent="0.25">
      <c r="A3813">
        <v>19.2501552799861</v>
      </c>
      <c r="B3813">
        <v>27.4897511012339</v>
      </c>
      <c r="C3813">
        <v>2000</v>
      </c>
    </row>
    <row r="3814" spans="1:11" x14ac:dyDescent="0.25">
      <c r="A3814">
        <v>18.3761232310884</v>
      </c>
      <c r="B3814">
        <v>27.4897511012339</v>
      </c>
      <c r="C3814">
        <v>2001</v>
      </c>
    </row>
    <row r="3815" spans="1:11" x14ac:dyDescent="0.25">
      <c r="A3815">
        <v>21.659632044988101</v>
      </c>
      <c r="B3815">
        <v>30.773259915133501</v>
      </c>
      <c r="C3815">
        <v>2001</v>
      </c>
    </row>
    <row r="3816" spans="1:11" x14ac:dyDescent="0.25">
      <c r="A3816">
        <v>26.917800215034699</v>
      </c>
      <c r="B3816">
        <v>36.031428085180103</v>
      </c>
      <c r="C3816">
        <v>2001</v>
      </c>
    </row>
    <row r="3817" spans="1:11" x14ac:dyDescent="0.25">
      <c r="A3817">
        <v>26.917800215034699</v>
      </c>
      <c r="B3817">
        <v>35.157396036282499</v>
      </c>
      <c r="C3817">
        <v>2000</v>
      </c>
    </row>
    <row r="3818" spans="1:11" x14ac:dyDescent="0.25">
      <c r="A3818" t="s">
        <v>87</v>
      </c>
    </row>
    <row r="3819" spans="1:11" x14ac:dyDescent="0.25">
      <c r="A3819">
        <v>389</v>
      </c>
      <c r="B3819">
        <v>1</v>
      </c>
      <c r="C3819">
        <v>4.7309565990535196</v>
      </c>
      <c r="D3819">
        <v>6.7303622805418</v>
      </c>
      <c r="E3819">
        <v>6</v>
      </c>
      <c r="F3819">
        <v>1.01722196789785</v>
      </c>
      <c r="G3819" t="s">
        <v>85</v>
      </c>
      <c r="H3819" t="s">
        <v>89</v>
      </c>
      <c r="I3819">
        <v>359</v>
      </c>
      <c r="J3819">
        <v>742</v>
      </c>
      <c r="K3819">
        <v>0</v>
      </c>
    </row>
    <row r="3820" spans="1:11" x14ac:dyDescent="0.25">
      <c r="A3820" t="s">
        <v>86</v>
      </c>
    </row>
    <row r="3821" spans="1:11" x14ac:dyDescent="0.25">
      <c r="A3821">
        <v>4.5368025274412904</v>
      </c>
      <c r="B3821">
        <v>72.456374889764504</v>
      </c>
      <c r="C3821">
        <v>2000</v>
      </c>
    </row>
    <row r="3822" spans="1:11" x14ac:dyDescent="0.25">
      <c r="A3822">
        <v>1.2817058834627699</v>
      </c>
      <c r="B3822">
        <v>75.711471533743094</v>
      </c>
      <c r="C3822">
        <v>2000</v>
      </c>
    </row>
    <row r="3823" spans="1:11" x14ac:dyDescent="0.25">
      <c r="A3823">
        <v>1.2817058834627699</v>
      </c>
      <c r="B3823">
        <v>76.585503582640698</v>
      </c>
      <c r="C3823">
        <v>2001</v>
      </c>
    </row>
    <row r="3824" spans="1:11" x14ac:dyDescent="0.25">
      <c r="A3824">
        <v>4.7171922248642497</v>
      </c>
      <c r="B3824">
        <v>73.150017241239198</v>
      </c>
      <c r="C3824">
        <v>2001</v>
      </c>
    </row>
    <row r="3825" spans="1:11" x14ac:dyDescent="0.25">
      <c r="A3825">
        <v>9.6045901967904506</v>
      </c>
      <c r="B3825">
        <v>68.262619269313006</v>
      </c>
      <c r="C3825">
        <v>2001</v>
      </c>
    </row>
    <row r="3826" spans="1:11" x14ac:dyDescent="0.25">
      <c r="A3826">
        <v>9.1675741723416309</v>
      </c>
      <c r="B3826">
        <v>67.825603244864197</v>
      </c>
      <c r="C3826">
        <v>2000</v>
      </c>
    </row>
    <row r="3827" spans="1:11" x14ac:dyDescent="0.25">
      <c r="A3827" t="s">
        <v>87</v>
      </c>
    </row>
    <row r="3828" spans="1:11" x14ac:dyDescent="0.25">
      <c r="A3828">
        <v>318</v>
      </c>
      <c r="B3828">
        <v>1</v>
      </c>
      <c r="C3828">
        <v>6.9361225689542598</v>
      </c>
      <c r="D3828">
        <v>4.5203415529569799</v>
      </c>
      <c r="E3828">
        <v>6</v>
      </c>
      <c r="F3828">
        <v>1.01722196789785</v>
      </c>
      <c r="G3828" t="s">
        <v>88</v>
      </c>
      <c r="H3828" t="s">
        <v>85</v>
      </c>
      <c r="I3828">
        <v>0</v>
      </c>
      <c r="J3828">
        <v>274</v>
      </c>
      <c r="K3828">
        <v>0</v>
      </c>
    </row>
    <row r="3829" spans="1:11" x14ac:dyDescent="0.25">
      <c r="A3829" t="s">
        <v>86</v>
      </c>
    </row>
    <row r="3830" spans="1:11" x14ac:dyDescent="0.25">
      <c r="A3830">
        <v>21.987810846599</v>
      </c>
      <c r="B3830">
        <v>145.360004662043</v>
      </c>
      <c r="C3830">
        <v>2000</v>
      </c>
    </row>
    <row r="3831" spans="1:11" x14ac:dyDescent="0.25">
      <c r="A3831">
        <v>17.347815508641599</v>
      </c>
      <c r="B3831">
        <v>150</v>
      </c>
      <c r="C3831">
        <v>2000</v>
      </c>
    </row>
    <row r="3832" spans="1:11" x14ac:dyDescent="0.25">
      <c r="A3832">
        <v>16.473783459743899</v>
      </c>
      <c r="B3832">
        <v>150</v>
      </c>
      <c r="C3832">
        <v>2001</v>
      </c>
    </row>
    <row r="3833" spans="1:11" x14ac:dyDescent="0.25">
      <c r="A3833">
        <v>21.6429467290837</v>
      </c>
      <c r="B3833">
        <v>144.83083673066</v>
      </c>
      <c r="C3833">
        <v>2001</v>
      </c>
    </row>
    <row r="3834" spans="1:11" x14ac:dyDescent="0.25">
      <c r="A3834">
        <v>25.011742953216501</v>
      </c>
      <c r="B3834">
        <v>141.46204050652699</v>
      </c>
      <c r="C3834">
        <v>2001</v>
      </c>
    </row>
    <row r="3835" spans="1:11" x14ac:dyDescent="0.25">
      <c r="A3835">
        <v>25.011742953216501</v>
      </c>
      <c r="B3835">
        <v>142.33607255542501</v>
      </c>
      <c r="C3835">
        <v>2000</v>
      </c>
    </row>
    <row r="3836" spans="1:11" x14ac:dyDescent="0.25">
      <c r="A3836" t="s">
        <v>87</v>
      </c>
    </row>
    <row r="3837" spans="1:11" x14ac:dyDescent="0.25">
      <c r="A3837">
        <v>197</v>
      </c>
      <c r="B3837">
        <v>0</v>
      </c>
      <c r="C3837">
        <v>6.3568366581244202</v>
      </c>
      <c r="D3837">
        <v>5.07254870629595</v>
      </c>
      <c r="E3837">
        <v>6</v>
      </c>
      <c r="F3837">
        <v>1.01722196789785</v>
      </c>
      <c r="G3837" t="s">
        <v>85</v>
      </c>
      <c r="H3837" t="s">
        <v>85</v>
      </c>
      <c r="I3837">
        <v>236</v>
      </c>
      <c r="J3837">
        <v>225</v>
      </c>
      <c r="K3837">
        <v>0</v>
      </c>
    </row>
    <row r="3838" spans="1:11" x14ac:dyDescent="0.25">
      <c r="A3838" t="s">
        <v>86</v>
      </c>
    </row>
    <row r="3839" spans="1:11" x14ac:dyDescent="0.25">
      <c r="A3839">
        <v>62.7592841455523</v>
      </c>
      <c r="B3839">
        <v>137.64153922519699</v>
      </c>
      <c r="C3839">
        <v>2000</v>
      </c>
    </row>
    <row r="3840" spans="1:11" x14ac:dyDescent="0.25">
      <c r="A3840">
        <v>58.264321837697302</v>
      </c>
      <c r="B3840">
        <v>133.146576917342</v>
      </c>
      <c r="C3840">
        <v>2000</v>
      </c>
    </row>
    <row r="3841" spans="1:11" x14ac:dyDescent="0.25">
      <c r="A3841">
        <v>58.264321837697302</v>
      </c>
      <c r="B3841">
        <v>134.020608966239</v>
      </c>
      <c r="C3841">
        <v>2001</v>
      </c>
    </row>
    <row r="3842" spans="1:11" x14ac:dyDescent="0.25">
      <c r="A3842">
        <v>62.7592841455523</v>
      </c>
      <c r="B3842">
        <v>138.51557127409399</v>
      </c>
      <c r="C3842">
        <v>2001</v>
      </c>
    </row>
    <row r="3843" spans="1:11" x14ac:dyDescent="0.25">
      <c r="A3843">
        <v>66.346117733673196</v>
      </c>
      <c r="B3843">
        <v>142.102404862215</v>
      </c>
      <c r="C3843">
        <v>2001</v>
      </c>
    </row>
    <row r="3844" spans="1:11" x14ac:dyDescent="0.25">
      <c r="A3844">
        <v>66.346117733673196</v>
      </c>
      <c r="B3844">
        <v>141.228372813318</v>
      </c>
      <c r="C3844">
        <v>2000</v>
      </c>
    </row>
    <row r="3845" spans="1:11" x14ac:dyDescent="0.25">
      <c r="A3845" t="s">
        <v>87</v>
      </c>
    </row>
    <row r="3846" spans="1:11" x14ac:dyDescent="0.25">
      <c r="A3846">
        <v>186</v>
      </c>
      <c r="B3846">
        <v>0</v>
      </c>
      <c r="C3846">
        <v>3.5557780629650302</v>
      </c>
      <c r="D3846">
        <v>7.8736073014553396</v>
      </c>
      <c r="E3846">
        <v>6</v>
      </c>
      <c r="F3846">
        <v>1.01722196789785</v>
      </c>
      <c r="G3846" t="s">
        <v>85</v>
      </c>
      <c r="H3846" t="s">
        <v>85</v>
      </c>
      <c r="I3846">
        <v>236</v>
      </c>
      <c r="J3846">
        <v>225</v>
      </c>
      <c r="K3846">
        <v>0</v>
      </c>
    </row>
    <row r="3847" spans="1:11" x14ac:dyDescent="0.25">
      <c r="A3847" t="s">
        <v>86</v>
      </c>
    </row>
    <row r="3848" spans="1:11" x14ac:dyDescent="0.25">
      <c r="A3848">
        <v>61.971170034255103</v>
      </c>
      <c r="B3848">
        <v>134.46835828221799</v>
      </c>
      <c r="C3848">
        <v>2000</v>
      </c>
    </row>
    <row r="3849" spans="1:11" x14ac:dyDescent="0.25">
      <c r="A3849">
        <v>59.456855253538102</v>
      </c>
      <c r="B3849">
        <v>131.95404350150099</v>
      </c>
      <c r="C3849">
        <v>2000</v>
      </c>
    </row>
    <row r="3850" spans="1:11" x14ac:dyDescent="0.25">
      <c r="A3850">
        <v>60.330887302435798</v>
      </c>
      <c r="B3850">
        <v>131.95404350150099</v>
      </c>
      <c r="C3850">
        <v>2001</v>
      </c>
    </row>
    <row r="3851" spans="1:11" x14ac:dyDescent="0.25">
      <c r="A3851">
        <v>62.845202083152699</v>
      </c>
      <c r="B3851">
        <v>134.46835828221799</v>
      </c>
      <c r="C3851">
        <v>2001</v>
      </c>
    </row>
    <row r="3852" spans="1:11" x14ac:dyDescent="0.25">
      <c r="A3852">
        <v>68.412683198411699</v>
      </c>
      <c r="B3852">
        <v>140.03583939747699</v>
      </c>
      <c r="C3852">
        <v>2001</v>
      </c>
    </row>
    <row r="3853" spans="1:11" x14ac:dyDescent="0.25">
      <c r="A3853">
        <v>67.538651149514095</v>
      </c>
      <c r="B3853">
        <v>140.03583939747699</v>
      </c>
      <c r="C3853">
        <v>2000</v>
      </c>
    </row>
    <row r="3854" spans="1:11" x14ac:dyDescent="0.25">
      <c r="A3854" t="s">
        <v>87</v>
      </c>
    </row>
    <row r="3855" spans="1:11" x14ac:dyDescent="0.25">
      <c r="A3855">
        <v>104</v>
      </c>
      <c r="B3855">
        <v>0</v>
      </c>
      <c r="C3855">
        <v>8.8332968541505501</v>
      </c>
      <c r="D3855">
        <v>2.5386996947953002</v>
      </c>
      <c r="E3855">
        <v>6</v>
      </c>
      <c r="F3855">
        <v>1.01722196789785</v>
      </c>
      <c r="G3855" t="s">
        <v>85</v>
      </c>
      <c r="H3855" t="s">
        <v>89</v>
      </c>
      <c r="I3855">
        <v>724</v>
      </c>
      <c r="J3855">
        <v>101</v>
      </c>
      <c r="K3855">
        <v>0</v>
      </c>
    </row>
    <row r="3856" spans="1:11" x14ac:dyDescent="0.25">
      <c r="A3856" t="s">
        <v>86</v>
      </c>
    </row>
    <row r="3857" spans="1:11" x14ac:dyDescent="0.25">
      <c r="A3857">
        <v>116.00359675714699</v>
      </c>
      <c r="B3857">
        <v>42.595537382071299</v>
      </c>
      <c r="C3857">
        <v>2000</v>
      </c>
    </row>
    <row r="3858" spans="1:11" x14ac:dyDescent="0.25">
      <c r="A3858">
        <v>109.927240643142</v>
      </c>
      <c r="B3858">
        <v>36.5191812680658</v>
      </c>
      <c r="C3858">
        <v>2000</v>
      </c>
    </row>
    <row r="3859" spans="1:11" x14ac:dyDescent="0.25">
      <c r="A3859">
        <v>109.053208594244</v>
      </c>
      <c r="B3859">
        <v>36.5191812680658</v>
      </c>
      <c r="C3859">
        <v>2001</v>
      </c>
    </row>
    <row r="3860" spans="1:11" x14ac:dyDescent="0.25">
      <c r="A3860">
        <v>115.469020691846</v>
      </c>
      <c r="B3860">
        <v>42.934993365667601</v>
      </c>
      <c r="C3860">
        <v>2001</v>
      </c>
    </row>
    <row r="3861" spans="1:11" x14ac:dyDescent="0.25">
      <c r="A3861">
        <v>117.312932481858</v>
      </c>
      <c r="B3861">
        <v>44.778905155679801</v>
      </c>
      <c r="C3861">
        <v>2001</v>
      </c>
    </row>
    <row r="3862" spans="1:11" x14ac:dyDescent="0.25">
      <c r="A3862">
        <v>117.74994850630701</v>
      </c>
      <c r="B3862">
        <v>44.341889131231</v>
      </c>
      <c r="C3862">
        <v>2000</v>
      </c>
    </row>
    <row r="3863" spans="1:11" x14ac:dyDescent="0.25">
      <c r="A3863" t="s">
        <v>87</v>
      </c>
    </row>
    <row r="3864" spans="1:11" x14ac:dyDescent="0.25">
      <c r="A3864">
        <v>279</v>
      </c>
      <c r="B3864">
        <v>0</v>
      </c>
      <c r="C3864">
        <v>7.38077037215331</v>
      </c>
      <c r="D3864">
        <v>3.9766524917328598</v>
      </c>
      <c r="E3864">
        <v>6</v>
      </c>
      <c r="F3864">
        <v>1.01722196789785</v>
      </c>
      <c r="G3864" t="s">
        <v>88</v>
      </c>
      <c r="H3864" t="s">
        <v>85</v>
      </c>
      <c r="I3864">
        <v>0</v>
      </c>
      <c r="J3864">
        <v>313</v>
      </c>
      <c r="K3864">
        <v>0</v>
      </c>
    </row>
    <row r="3865" spans="1:11" x14ac:dyDescent="0.25">
      <c r="A3865" t="s">
        <v>86</v>
      </c>
    </row>
    <row r="3866" spans="1:11" x14ac:dyDescent="0.25">
      <c r="A3866">
        <v>5.5029933820809802</v>
      </c>
      <c r="B3866">
        <v>141.09473124736999</v>
      </c>
      <c r="C3866">
        <v>2000</v>
      </c>
    </row>
    <row r="3867" spans="1:11" x14ac:dyDescent="0.25">
      <c r="A3867">
        <v>0</v>
      </c>
      <c r="B3867">
        <v>135.59173786528899</v>
      </c>
      <c r="C3867">
        <v>2000</v>
      </c>
    </row>
    <row r="3868" spans="1:11" x14ac:dyDescent="0.25">
      <c r="A3868">
        <v>0</v>
      </c>
      <c r="B3868">
        <v>136.46576991418701</v>
      </c>
      <c r="C3868">
        <v>2001</v>
      </c>
    </row>
    <row r="3869" spans="1:11" x14ac:dyDescent="0.25">
      <c r="A3869">
        <v>4.9349921789797904</v>
      </c>
      <c r="B3869">
        <v>141.400762093167</v>
      </c>
      <c r="C3869">
        <v>2001</v>
      </c>
    </row>
    <row r="3870" spans="1:11" x14ac:dyDescent="0.25">
      <c r="A3870">
        <v>7.5938946994082501</v>
      </c>
      <c r="B3870">
        <v>144.059664613595</v>
      </c>
      <c r="C3870">
        <v>2001</v>
      </c>
    </row>
    <row r="3871" spans="1:11" x14ac:dyDescent="0.25">
      <c r="A3871">
        <v>8.46792674830591</v>
      </c>
      <c r="B3871">
        <v>144.059664613595</v>
      </c>
      <c r="C3871">
        <v>2000</v>
      </c>
    </row>
    <row r="3872" spans="1:11" x14ac:dyDescent="0.25">
      <c r="A3872" t="s">
        <v>87</v>
      </c>
    </row>
    <row r="3873" spans="1:11" x14ac:dyDescent="0.25">
      <c r="A3873">
        <v>860</v>
      </c>
      <c r="B3873">
        <v>1</v>
      </c>
      <c r="C3873">
        <v>9.4362849507501902</v>
      </c>
      <c r="D3873">
        <v>1.90268804787374</v>
      </c>
      <c r="E3873">
        <v>6</v>
      </c>
      <c r="F3873">
        <v>1.01722196789785</v>
      </c>
      <c r="G3873" t="s">
        <v>85</v>
      </c>
      <c r="H3873" t="s">
        <v>85</v>
      </c>
      <c r="I3873">
        <v>832</v>
      </c>
      <c r="J3873">
        <v>593</v>
      </c>
      <c r="K3873">
        <v>9.0645505931922193E-2</v>
      </c>
    </row>
    <row r="3874" spans="1:11" x14ac:dyDescent="0.25">
      <c r="A3874" t="s">
        <v>86</v>
      </c>
    </row>
    <row r="3875" spans="1:11" x14ac:dyDescent="0.25">
      <c r="A3875">
        <v>143.321594606199</v>
      </c>
      <c r="B3875">
        <v>61.895128339110499</v>
      </c>
      <c r="C3875">
        <v>2000</v>
      </c>
    </row>
    <row r="3876" spans="1:11" x14ac:dyDescent="0.25">
      <c r="A3876">
        <v>136.28544911569199</v>
      </c>
      <c r="B3876">
        <v>68.9312738296167</v>
      </c>
      <c r="C3876">
        <v>2000</v>
      </c>
    </row>
    <row r="3877" spans="1:11" x14ac:dyDescent="0.25">
      <c r="A3877">
        <v>136.28544911569199</v>
      </c>
      <c r="B3877">
        <v>68.057241780718996</v>
      </c>
      <c r="C3877">
        <v>2001</v>
      </c>
    </row>
    <row r="3878" spans="1:11" x14ac:dyDescent="0.25">
      <c r="A3878">
        <v>142.59422578095399</v>
      </c>
      <c r="B3878">
        <v>61.748465115457101</v>
      </c>
      <c r="C3878">
        <v>2001</v>
      </c>
    </row>
    <row r="3879" spans="1:11" x14ac:dyDescent="0.25">
      <c r="A3879">
        <v>143.866297790262</v>
      </c>
      <c r="B3879">
        <v>60.4763931061497</v>
      </c>
      <c r="C3879">
        <v>2001</v>
      </c>
    </row>
    <row r="3880" spans="1:11" x14ac:dyDescent="0.25">
      <c r="A3880">
        <v>144.74032983915899</v>
      </c>
      <c r="B3880">
        <v>60.4763931061497</v>
      </c>
      <c r="C3880">
        <v>2000</v>
      </c>
    </row>
    <row r="3881" spans="1:11" x14ac:dyDescent="0.25">
      <c r="A3881" t="s">
        <v>87</v>
      </c>
    </row>
    <row r="3882" spans="1:11" x14ac:dyDescent="0.25">
      <c r="A3882">
        <v>640</v>
      </c>
      <c r="B3882">
        <v>1</v>
      </c>
      <c r="C3882">
        <v>7.5938230866017298</v>
      </c>
      <c r="D3882">
        <v>3.7434847493057402</v>
      </c>
      <c r="E3882">
        <v>6</v>
      </c>
      <c r="F3882">
        <v>1.01722196789785</v>
      </c>
      <c r="G3882" t="s">
        <v>85</v>
      </c>
      <c r="H3882" t="s">
        <v>85</v>
      </c>
      <c r="I3882">
        <v>594</v>
      </c>
      <c r="J3882">
        <v>797</v>
      </c>
      <c r="K3882">
        <v>0</v>
      </c>
    </row>
    <row r="3883" spans="1:11" x14ac:dyDescent="0.25">
      <c r="A3883" t="s">
        <v>86</v>
      </c>
    </row>
    <row r="3884" spans="1:11" x14ac:dyDescent="0.25">
      <c r="A3884">
        <v>116.093038681938</v>
      </c>
      <c r="B3884">
        <v>74.160015610130202</v>
      </c>
      <c r="C3884">
        <v>2000</v>
      </c>
    </row>
    <row r="3885" spans="1:11" x14ac:dyDescent="0.25">
      <c r="A3885">
        <v>110.72339488227099</v>
      </c>
      <c r="B3885">
        <v>79.529659409797205</v>
      </c>
      <c r="C3885">
        <v>2000</v>
      </c>
    </row>
    <row r="3886" spans="1:11" x14ac:dyDescent="0.25">
      <c r="A3886">
        <v>110.72339488227099</v>
      </c>
      <c r="B3886">
        <v>80.403691458694894</v>
      </c>
      <c r="C3886">
        <v>2001</v>
      </c>
    </row>
    <row r="3887" spans="1:11" x14ac:dyDescent="0.25">
      <c r="A3887">
        <v>116.093038681938</v>
      </c>
      <c r="B3887">
        <v>75.034047659027806</v>
      </c>
      <c r="C3887">
        <v>2001</v>
      </c>
    </row>
    <row r="3888" spans="1:11" x14ac:dyDescent="0.25">
      <c r="A3888">
        <v>118.74008213344</v>
      </c>
      <c r="B3888">
        <v>72.387004207525294</v>
      </c>
      <c r="C3888">
        <v>2001</v>
      </c>
    </row>
    <row r="3889" spans="1:11" x14ac:dyDescent="0.25">
      <c r="A3889">
        <v>118.74008213344</v>
      </c>
      <c r="B3889">
        <v>71.512972158627704</v>
      </c>
      <c r="C3889">
        <v>2000</v>
      </c>
    </row>
    <row r="3890" spans="1:11" x14ac:dyDescent="0.25">
      <c r="A3890" t="s">
        <v>87</v>
      </c>
    </row>
    <row r="3891" spans="1:11" x14ac:dyDescent="0.25">
      <c r="A3891">
        <v>1230</v>
      </c>
      <c r="B3891">
        <v>1</v>
      </c>
      <c r="C3891">
        <v>1.2414307642640601</v>
      </c>
      <c r="D3891">
        <v>10.0646393092377</v>
      </c>
      <c r="E3891">
        <v>6</v>
      </c>
      <c r="F3891">
        <v>1.01722196789785</v>
      </c>
      <c r="G3891" t="s">
        <v>85</v>
      </c>
      <c r="H3891" t="s">
        <v>85</v>
      </c>
      <c r="I3891">
        <v>908</v>
      </c>
      <c r="J3891">
        <v>769</v>
      </c>
      <c r="K3891">
        <v>9.6277099271545E-2</v>
      </c>
    </row>
    <row r="3892" spans="1:11" x14ac:dyDescent="0.25">
      <c r="A3892" t="s">
        <v>86</v>
      </c>
    </row>
    <row r="3893" spans="1:11" x14ac:dyDescent="0.25">
      <c r="A3893">
        <v>29.725729094655001</v>
      </c>
      <c r="B3893">
        <v>41.3872307164049</v>
      </c>
      <c r="C3893">
        <v>2000</v>
      </c>
    </row>
    <row r="3894" spans="1:11" x14ac:dyDescent="0.25">
      <c r="A3894">
        <v>28.799919685264602</v>
      </c>
      <c r="B3894">
        <v>42.313040125795197</v>
      </c>
      <c r="C3894">
        <v>2000</v>
      </c>
    </row>
    <row r="3895" spans="1:11" x14ac:dyDescent="0.25">
      <c r="A3895">
        <v>29.673951734162301</v>
      </c>
      <c r="B3895">
        <v>42.313040125795197</v>
      </c>
      <c r="C3895">
        <v>2001</v>
      </c>
    </row>
    <row r="3896" spans="1:11" x14ac:dyDescent="0.25">
      <c r="A3896">
        <v>30.503790548341399</v>
      </c>
      <c r="B3896">
        <v>41.483201311616099</v>
      </c>
      <c r="C3896">
        <v>2001</v>
      </c>
    </row>
    <row r="3897" spans="1:11" x14ac:dyDescent="0.25">
      <c r="A3897">
        <v>37.231534527256898</v>
      </c>
      <c r="B3897">
        <v>34.755457332700601</v>
      </c>
      <c r="C3897">
        <v>2001</v>
      </c>
    </row>
    <row r="3898" spans="1:11" x14ac:dyDescent="0.25">
      <c r="A3898">
        <v>37.231534527256898</v>
      </c>
      <c r="B3898">
        <v>33.881425283802997</v>
      </c>
      <c r="C3898">
        <v>2000</v>
      </c>
    </row>
    <row r="3899" spans="1:11" x14ac:dyDescent="0.25">
      <c r="A3899" t="s">
        <v>87</v>
      </c>
    </row>
    <row r="3900" spans="1:11" x14ac:dyDescent="0.25">
      <c r="A3900">
        <v>434</v>
      </c>
      <c r="B3900">
        <v>0</v>
      </c>
      <c r="C3900">
        <v>7.3971895495698003</v>
      </c>
      <c r="D3900">
        <v>3.8983657536707899</v>
      </c>
      <c r="E3900">
        <v>6</v>
      </c>
      <c r="F3900">
        <v>1.01722196789785</v>
      </c>
      <c r="G3900" t="s">
        <v>85</v>
      </c>
      <c r="H3900" t="s">
        <v>89</v>
      </c>
      <c r="I3900">
        <v>867</v>
      </c>
      <c r="J3900">
        <v>787</v>
      </c>
      <c r="K3900">
        <v>0</v>
      </c>
    </row>
    <row r="3901" spans="1:11" x14ac:dyDescent="0.25">
      <c r="A3901" t="s">
        <v>86</v>
      </c>
    </row>
    <row r="3902" spans="1:11" x14ac:dyDescent="0.25">
      <c r="A3902">
        <v>86.307112510491606</v>
      </c>
      <c r="B3902">
        <v>9.47089748436583</v>
      </c>
      <c r="C3902">
        <v>2000</v>
      </c>
    </row>
    <row r="3903" spans="1:11" x14ac:dyDescent="0.25">
      <c r="A3903">
        <v>80.933413936725501</v>
      </c>
      <c r="B3903">
        <v>4.0971989105997704</v>
      </c>
      <c r="C3903">
        <v>2000</v>
      </c>
    </row>
    <row r="3904" spans="1:11" x14ac:dyDescent="0.25">
      <c r="A3904">
        <v>80.933413936725501</v>
      </c>
      <c r="B3904">
        <v>4.9712309594974</v>
      </c>
      <c r="C3904">
        <v>2001</v>
      </c>
    </row>
    <row r="3905" spans="1:11" x14ac:dyDescent="0.25">
      <c r="A3905">
        <v>86.020921147405602</v>
      </c>
      <c r="B3905">
        <v>10.0587381701775</v>
      </c>
      <c r="C3905">
        <v>2001</v>
      </c>
    </row>
    <row r="3906" spans="1:11" x14ac:dyDescent="0.25">
      <c r="A3906">
        <v>88.702069676690201</v>
      </c>
      <c r="B3906">
        <v>12.739886699462099</v>
      </c>
      <c r="C3906">
        <v>2001</v>
      </c>
    </row>
    <row r="3907" spans="1:11" x14ac:dyDescent="0.25">
      <c r="A3907">
        <v>89.139085701139095</v>
      </c>
      <c r="B3907">
        <v>12.302870675013301</v>
      </c>
      <c r="C3907">
        <v>2000</v>
      </c>
    </row>
    <row r="3908" spans="1:11" x14ac:dyDescent="0.25">
      <c r="A3908" t="s">
        <v>87</v>
      </c>
    </row>
    <row r="3909" spans="1:11" x14ac:dyDescent="0.25">
      <c r="A3909">
        <v>155</v>
      </c>
      <c r="B3909">
        <v>1</v>
      </c>
      <c r="C3909">
        <v>0.102502290232195</v>
      </c>
      <c r="D3909">
        <v>11.1836152203742</v>
      </c>
      <c r="E3909">
        <v>6</v>
      </c>
      <c r="F3909">
        <v>1.01722196789785</v>
      </c>
      <c r="G3909" t="s">
        <v>89</v>
      </c>
      <c r="H3909" t="s">
        <v>85</v>
      </c>
      <c r="I3909">
        <v>141</v>
      </c>
      <c r="J3909">
        <v>108</v>
      </c>
      <c r="K3909">
        <v>0</v>
      </c>
    </row>
    <row r="3910" spans="1:11" x14ac:dyDescent="0.25">
      <c r="A3910" t="s">
        <v>86</v>
      </c>
    </row>
    <row r="3911" spans="1:11" x14ac:dyDescent="0.25">
      <c r="A3911">
        <v>128.41442794466801</v>
      </c>
      <c r="B3911">
        <v>45.789504522334298</v>
      </c>
      <c r="C3911">
        <v>2000</v>
      </c>
    </row>
    <row r="3912" spans="1:11" x14ac:dyDescent="0.25">
      <c r="A3912">
        <v>128.34393240421301</v>
      </c>
      <c r="B3912">
        <v>45.860000062789702</v>
      </c>
      <c r="C3912">
        <v>2000</v>
      </c>
    </row>
    <row r="3913" spans="1:11" x14ac:dyDescent="0.25">
      <c r="A3913">
        <v>127.906916379764</v>
      </c>
      <c r="B3913">
        <v>45.4229840383409</v>
      </c>
      <c r="C3913">
        <v>2001</v>
      </c>
    </row>
    <row r="3914" spans="1:11" x14ac:dyDescent="0.25">
      <c r="A3914">
        <v>127.98138096833</v>
      </c>
      <c r="B3914">
        <v>45.348519449775601</v>
      </c>
      <c r="C3914">
        <v>2001</v>
      </c>
    </row>
    <row r="3915" spans="1:11" x14ac:dyDescent="0.25">
      <c r="A3915">
        <v>136.10591461700699</v>
      </c>
      <c r="B3915">
        <v>37.2239858010985</v>
      </c>
      <c r="C3915">
        <v>2001</v>
      </c>
    </row>
    <row r="3916" spans="1:11" x14ac:dyDescent="0.25">
      <c r="A3916">
        <v>136.10591461700699</v>
      </c>
      <c r="B3916">
        <v>38.098017849996097</v>
      </c>
      <c r="C3916">
        <v>2000</v>
      </c>
    </row>
    <row r="3917" spans="1:11" x14ac:dyDescent="0.25">
      <c r="A3917" t="s">
        <v>87</v>
      </c>
    </row>
    <row r="3918" spans="1:11" x14ac:dyDescent="0.25">
      <c r="A3918">
        <v>852</v>
      </c>
      <c r="B3918">
        <v>1</v>
      </c>
      <c r="C3918">
        <v>8.5693311747311007</v>
      </c>
      <c r="D3918">
        <v>2.6867678500099599</v>
      </c>
      <c r="E3918">
        <v>6</v>
      </c>
      <c r="F3918">
        <v>1.01722196789785</v>
      </c>
      <c r="G3918" t="s">
        <v>85</v>
      </c>
      <c r="H3918" t="s">
        <v>85</v>
      </c>
      <c r="I3918">
        <v>789</v>
      </c>
      <c r="J3918">
        <v>103</v>
      </c>
      <c r="K3918">
        <v>9.0645505931922193E-2</v>
      </c>
    </row>
    <row r="3919" spans="1:11" x14ac:dyDescent="0.25">
      <c r="A3919" t="s">
        <v>86</v>
      </c>
    </row>
    <row r="3920" spans="1:11" x14ac:dyDescent="0.25">
      <c r="A3920">
        <v>121.47529150240899</v>
      </c>
      <c r="B3920">
        <v>19.0852264729726</v>
      </c>
      <c r="C3920">
        <v>2000</v>
      </c>
    </row>
    <row r="3921" spans="1:11" x14ac:dyDescent="0.25">
      <c r="A3921">
        <v>115.415859318523</v>
      </c>
      <c r="B3921">
        <v>25.144658656858201</v>
      </c>
      <c r="C3921">
        <v>2000</v>
      </c>
    </row>
    <row r="3922" spans="1:11" x14ac:dyDescent="0.25">
      <c r="A3922">
        <v>114.541827269625</v>
      </c>
      <c r="B3922">
        <v>25.144658656858201</v>
      </c>
      <c r="C3922">
        <v>2001</v>
      </c>
    </row>
    <row r="3923" spans="1:11" x14ac:dyDescent="0.25">
      <c r="A3923">
        <v>120.60125945351101</v>
      </c>
      <c r="B3923">
        <v>19.0852264729726</v>
      </c>
      <c r="C3923">
        <v>2001</v>
      </c>
    </row>
    <row r="3924" spans="1:11" x14ac:dyDescent="0.25">
      <c r="A3924">
        <v>122.501091219727</v>
      </c>
      <c r="B3924">
        <v>17.185394706756501</v>
      </c>
      <c r="C3924">
        <v>2001</v>
      </c>
    </row>
    <row r="3925" spans="1:11" x14ac:dyDescent="0.25">
      <c r="A3925">
        <v>123.375123268625</v>
      </c>
      <c r="B3925">
        <v>17.185394706756501</v>
      </c>
      <c r="C3925">
        <v>2000</v>
      </c>
    </row>
    <row r="3926" spans="1:11" x14ac:dyDescent="0.25">
      <c r="A3926" t="s">
        <v>87</v>
      </c>
    </row>
    <row r="3927" spans="1:11" x14ac:dyDescent="0.25">
      <c r="A3927">
        <v>228</v>
      </c>
      <c r="B3927">
        <v>1</v>
      </c>
      <c r="C3927">
        <v>7.0502208873983498</v>
      </c>
      <c r="D3927">
        <v>4.2026501991172696</v>
      </c>
      <c r="E3927">
        <v>6</v>
      </c>
      <c r="F3927">
        <v>1.01722196789785</v>
      </c>
      <c r="G3927" t="s">
        <v>85</v>
      </c>
      <c r="H3927" t="s">
        <v>85</v>
      </c>
      <c r="I3927">
        <v>184</v>
      </c>
      <c r="J3927">
        <v>196</v>
      </c>
      <c r="K3927">
        <v>0</v>
      </c>
    </row>
    <row r="3928" spans="1:11" x14ac:dyDescent="0.25">
      <c r="A3928" t="s">
        <v>86</v>
      </c>
    </row>
    <row r="3929" spans="1:11" x14ac:dyDescent="0.25">
      <c r="A3929">
        <v>69.695569460147397</v>
      </c>
      <c r="B3929">
        <v>115.63632852194699</v>
      </c>
      <c r="C3929">
        <v>2000</v>
      </c>
    </row>
    <row r="3930" spans="1:11" x14ac:dyDescent="0.25">
      <c r="A3930">
        <v>64.710310461804994</v>
      </c>
      <c r="B3930">
        <v>120.621587520289</v>
      </c>
      <c r="C3930">
        <v>2000</v>
      </c>
    </row>
    <row r="3931" spans="1:11" x14ac:dyDescent="0.25">
      <c r="A3931">
        <v>65.584342510702598</v>
      </c>
      <c r="B3931">
        <v>120.621587520289</v>
      </c>
      <c r="C3931">
        <v>2001</v>
      </c>
    </row>
    <row r="3932" spans="1:11" x14ac:dyDescent="0.25">
      <c r="A3932">
        <v>70.569601509045</v>
      </c>
      <c r="B3932">
        <v>115.63632852194699</v>
      </c>
      <c r="C3932">
        <v>2001</v>
      </c>
    </row>
    <row r="3933" spans="1:11" x14ac:dyDescent="0.25">
      <c r="A3933">
        <v>73.541323963795804</v>
      </c>
      <c r="B3933">
        <v>112.664606067196</v>
      </c>
      <c r="C3933">
        <v>2001</v>
      </c>
    </row>
    <row r="3934" spans="1:11" x14ac:dyDescent="0.25">
      <c r="A3934">
        <v>72.6672919148982</v>
      </c>
      <c r="B3934">
        <v>112.664606067196</v>
      </c>
      <c r="C3934">
        <v>2000</v>
      </c>
    </row>
    <row r="3935" spans="1:11" x14ac:dyDescent="0.25">
      <c r="A3935" t="s">
        <v>87</v>
      </c>
    </row>
    <row r="3936" spans="1:11" x14ac:dyDescent="0.25">
      <c r="A3936">
        <v>1014</v>
      </c>
      <c r="B3936">
        <v>0</v>
      </c>
      <c r="C3936">
        <v>2.9239197208578398</v>
      </c>
      <c r="D3936">
        <v>8.3164750753121108</v>
      </c>
      <c r="E3936">
        <v>6</v>
      </c>
      <c r="F3936">
        <v>1.01722196789785</v>
      </c>
      <c r="G3936" t="s">
        <v>85</v>
      </c>
      <c r="H3936" t="s">
        <v>85</v>
      </c>
      <c r="I3936">
        <v>711</v>
      </c>
      <c r="J3936">
        <v>761</v>
      </c>
      <c r="K3936">
        <v>9.3443328339296097E-2</v>
      </c>
    </row>
    <row r="3937" spans="1:11" x14ac:dyDescent="0.25">
      <c r="A3937" t="s">
        <v>86</v>
      </c>
    </row>
    <row r="3938" spans="1:11" x14ac:dyDescent="0.25">
      <c r="A3938">
        <v>61.3812385395536</v>
      </c>
      <c r="B3938">
        <v>92.223994063447407</v>
      </c>
      <c r="C3938">
        <v>2000</v>
      </c>
    </row>
    <row r="3939" spans="1:11" x14ac:dyDescent="0.25">
      <c r="A3939">
        <v>59.427394338151203</v>
      </c>
      <c r="B3939">
        <v>90.270149862044903</v>
      </c>
      <c r="C3939">
        <v>2000</v>
      </c>
    </row>
    <row r="3940" spans="1:11" x14ac:dyDescent="0.25">
      <c r="A3940">
        <v>59.427394338151203</v>
      </c>
      <c r="B3940">
        <v>89.396117813147299</v>
      </c>
      <c r="C3940">
        <v>2001</v>
      </c>
    </row>
    <row r="3941" spans="1:11" x14ac:dyDescent="0.25">
      <c r="A3941">
        <v>61.608597061276001</v>
      </c>
      <c r="B3941">
        <v>91.577320536272197</v>
      </c>
      <c r="C3941">
        <v>2001</v>
      </c>
    </row>
    <row r="3942" spans="1:11" x14ac:dyDescent="0.25">
      <c r="A3942">
        <v>67.812569746185702</v>
      </c>
      <c r="B3942">
        <v>97.781293221181897</v>
      </c>
      <c r="C3942">
        <v>2001</v>
      </c>
    </row>
    <row r="3943" spans="1:11" x14ac:dyDescent="0.25">
      <c r="A3943">
        <v>66.938537697288098</v>
      </c>
      <c r="B3943">
        <v>97.781293221181897</v>
      </c>
      <c r="C3943">
        <v>2000</v>
      </c>
    </row>
    <row r="3944" spans="1:11" x14ac:dyDescent="0.25">
      <c r="A3944" t="s">
        <v>87</v>
      </c>
    </row>
    <row r="3945" spans="1:11" x14ac:dyDescent="0.25">
      <c r="A3945">
        <v>873</v>
      </c>
      <c r="B3945">
        <v>0</v>
      </c>
      <c r="C3945">
        <v>4.2097937442072899</v>
      </c>
      <c r="D3945">
        <v>7.0306010519626598</v>
      </c>
      <c r="E3945">
        <v>6</v>
      </c>
      <c r="F3945">
        <v>1.01722196789785</v>
      </c>
      <c r="G3945" t="s">
        <v>85</v>
      </c>
      <c r="H3945" t="s">
        <v>85</v>
      </c>
      <c r="I3945">
        <v>711</v>
      </c>
      <c r="J3945">
        <v>761</v>
      </c>
      <c r="K3945">
        <v>9.0910684189608806E-2</v>
      </c>
    </row>
    <row r="3946" spans="1:11" x14ac:dyDescent="0.25">
      <c r="A3946" t="s">
        <v>86</v>
      </c>
    </row>
    <row r="3947" spans="1:11" x14ac:dyDescent="0.25">
      <c r="A3947">
        <v>65.076352618743599</v>
      </c>
      <c r="B3947">
        <v>90.247393311646704</v>
      </c>
      <c r="C3947">
        <v>2000</v>
      </c>
    </row>
    <row r="3948" spans="1:11" x14ac:dyDescent="0.25">
      <c r="A3948">
        <v>62.2632517536465</v>
      </c>
      <c r="B3948">
        <v>87.434292446549506</v>
      </c>
      <c r="C3948">
        <v>2000</v>
      </c>
    </row>
    <row r="3949" spans="1:11" x14ac:dyDescent="0.25">
      <c r="A3949">
        <v>62.2632517536465</v>
      </c>
      <c r="B3949">
        <v>86.560260397651902</v>
      </c>
      <c r="C3949">
        <v>2001</v>
      </c>
    </row>
    <row r="3950" spans="1:11" x14ac:dyDescent="0.25">
      <c r="A3950">
        <v>65.403698296400805</v>
      </c>
      <c r="B3950">
        <v>89.700706940406207</v>
      </c>
      <c r="C3950">
        <v>2001</v>
      </c>
    </row>
    <row r="3951" spans="1:11" x14ac:dyDescent="0.25">
      <c r="A3951">
        <v>70.648427161681099</v>
      </c>
      <c r="B3951">
        <v>94.9454358056865</v>
      </c>
      <c r="C3951">
        <v>2001</v>
      </c>
    </row>
    <row r="3952" spans="1:11" x14ac:dyDescent="0.25">
      <c r="A3952">
        <v>69.774395112783495</v>
      </c>
      <c r="B3952">
        <v>94.9454358056865</v>
      </c>
      <c r="C3952">
        <v>2000</v>
      </c>
    </row>
    <row r="3953" spans="1:11" x14ac:dyDescent="0.25">
      <c r="A3953" t="s">
        <v>87</v>
      </c>
    </row>
    <row r="3954" spans="1:11" x14ac:dyDescent="0.25">
      <c r="A3954">
        <v>897</v>
      </c>
      <c r="B3954">
        <v>1</v>
      </c>
      <c r="C3954">
        <v>10.3165585797028</v>
      </c>
      <c r="D3954">
        <v>0.91459509187287602</v>
      </c>
      <c r="E3954">
        <v>6</v>
      </c>
      <c r="F3954">
        <v>1.01722196789785</v>
      </c>
      <c r="G3954" t="s">
        <v>85</v>
      </c>
      <c r="H3954" t="s">
        <v>85</v>
      </c>
      <c r="I3954">
        <v>873</v>
      </c>
      <c r="J3954">
        <v>680</v>
      </c>
      <c r="K3954">
        <v>9.142164214173E-2</v>
      </c>
    </row>
    <row r="3955" spans="1:11" x14ac:dyDescent="0.25">
      <c r="A3955" t="s">
        <v>86</v>
      </c>
    </row>
    <row r="3956" spans="1:11" x14ac:dyDescent="0.25">
      <c r="A3956">
        <v>72.693171269583104</v>
      </c>
      <c r="B3956">
        <v>83.274394902053899</v>
      </c>
      <c r="C3956">
        <v>2000</v>
      </c>
    </row>
    <row r="3957" spans="1:11" x14ac:dyDescent="0.25">
      <c r="A3957">
        <v>65.398262739366999</v>
      </c>
      <c r="B3957">
        <v>90.569303432270004</v>
      </c>
      <c r="C3957">
        <v>2000</v>
      </c>
    </row>
    <row r="3958" spans="1:11" x14ac:dyDescent="0.25">
      <c r="A3958">
        <v>65.398262739366999</v>
      </c>
      <c r="B3958">
        <v>89.6952713833724</v>
      </c>
      <c r="C3958">
        <v>2001</v>
      </c>
    </row>
    <row r="3959" spans="1:11" x14ac:dyDescent="0.25">
      <c r="A3959">
        <v>72.693171269583104</v>
      </c>
      <c r="B3959">
        <v>82.400362853156196</v>
      </c>
      <c r="C3959">
        <v>2001</v>
      </c>
    </row>
    <row r="3960" spans="1:11" x14ac:dyDescent="0.25">
      <c r="A3960">
        <v>73.339887661086294</v>
      </c>
      <c r="B3960">
        <v>81.753646461653005</v>
      </c>
      <c r="C3960">
        <v>2001</v>
      </c>
    </row>
    <row r="3961" spans="1:11" x14ac:dyDescent="0.25">
      <c r="A3961">
        <v>73.339887661086294</v>
      </c>
      <c r="B3961">
        <v>82.627678510550595</v>
      </c>
      <c r="C3961">
        <v>2000</v>
      </c>
    </row>
    <row r="3962" spans="1:11" x14ac:dyDescent="0.25">
      <c r="A3962" t="s">
        <v>87</v>
      </c>
    </row>
    <row r="3963" spans="1:11" x14ac:dyDescent="0.25">
      <c r="A3963">
        <v>223</v>
      </c>
      <c r="B3963">
        <v>1</v>
      </c>
      <c r="C3963">
        <v>9.3640346168750508</v>
      </c>
      <c r="D3963">
        <v>1.8486562490387599</v>
      </c>
      <c r="E3963">
        <v>6</v>
      </c>
      <c r="F3963">
        <v>1.01722196789785</v>
      </c>
      <c r="G3963" t="s">
        <v>85</v>
      </c>
      <c r="H3963" t="s">
        <v>85</v>
      </c>
      <c r="I3963">
        <v>193</v>
      </c>
      <c r="J3963">
        <v>188</v>
      </c>
      <c r="K3963">
        <v>0</v>
      </c>
    </row>
    <row r="3964" spans="1:11" x14ac:dyDescent="0.25">
      <c r="A3964" t="s">
        <v>86</v>
      </c>
    </row>
    <row r="3965" spans="1:11" x14ac:dyDescent="0.25">
      <c r="A3965">
        <v>85.857719246480201</v>
      </c>
      <c r="B3965">
        <v>104.61278103203399</v>
      </c>
      <c r="C3965">
        <v>2000</v>
      </c>
    </row>
    <row r="3966" spans="1:11" x14ac:dyDescent="0.25">
      <c r="A3966">
        <v>78.871382452962294</v>
      </c>
      <c r="B3966">
        <v>111.599117825552</v>
      </c>
      <c r="C3966">
        <v>2000</v>
      </c>
    </row>
    <row r="3967" spans="1:11" x14ac:dyDescent="0.25">
      <c r="A3967">
        <v>79.745414501859898</v>
      </c>
      <c r="B3967">
        <v>111.599117825552</v>
      </c>
      <c r="C3967">
        <v>2001</v>
      </c>
    </row>
    <row r="3968" spans="1:11" x14ac:dyDescent="0.25">
      <c r="A3968">
        <v>86.001822462057703</v>
      </c>
      <c r="B3968">
        <v>105.342709865355</v>
      </c>
      <c r="C3968">
        <v>2001</v>
      </c>
    </row>
    <row r="3969" spans="1:11" x14ac:dyDescent="0.25">
      <c r="A3969">
        <v>87.236968224047203</v>
      </c>
      <c r="B3969">
        <v>104.10756410336499</v>
      </c>
      <c r="C3969">
        <v>2001</v>
      </c>
    </row>
    <row r="3970" spans="1:11" x14ac:dyDescent="0.25">
      <c r="A3970">
        <v>87.236968224047203</v>
      </c>
      <c r="B3970">
        <v>103.23353205446701</v>
      </c>
      <c r="C3970">
        <v>2000</v>
      </c>
    </row>
    <row r="3971" spans="1:11" x14ac:dyDescent="0.25">
      <c r="A3971" t="s">
        <v>87</v>
      </c>
    </row>
    <row r="3972" spans="1:11" x14ac:dyDescent="0.25">
      <c r="A3972">
        <v>780</v>
      </c>
      <c r="B3972">
        <v>1</v>
      </c>
      <c r="C3972">
        <v>8.6627185976618204</v>
      </c>
      <c r="D3972">
        <v>2.5295126403956898</v>
      </c>
      <c r="E3972">
        <v>6</v>
      </c>
      <c r="F3972">
        <v>1.01722196789785</v>
      </c>
      <c r="G3972" t="s">
        <v>85</v>
      </c>
      <c r="H3972" t="s">
        <v>85</v>
      </c>
      <c r="I3972">
        <v>266</v>
      </c>
      <c r="J3972">
        <v>280</v>
      </c>
      <c r="K3972">
        <v>8.9537010595109504E-2</v>
      </c>
    </row>
    <row r="3973" spans="1:11" x14ac:dyDescent="0.25">
      <c r="A3973" t="s">
        <v>86</v>
      </c>
    </row>
    <row r="3974" spans="1:11" x14ac:dyDescent="0.25">
      <c r="A3974">
        <v>42.895928999826197</v>
      </c>
      <c r="B3974">
        <v>127.511892100578</v>
      </c>
      <c r="C3974">
        <v>2000</v>
      </c>
    </row>
    <row r="3975" spans="1:11" x14ac:dyDescent="0.25">
      <c r="A3975">
        <v>36.770461935908799</v>
      </c>
      <c r="B3975">
        <v>133.637359164495</v>
      </c>
      <c r="C3975">
        <v>2000</v>
      </c>
    </row>
    <row r="3976" spans="1:11" x14ac:dyDescent="0.25">
      <c r="A3976">
        <v>36.770461935908799</v>
      </c>
      <c r="B3976">
        <v>134.51139121339301</v>
      </c>
      <c r="C3976">
        <v>2001</v>
      </c>
    </row>
    <row r="3977" spans="1:11" x14ac:dyDescent="0.25">
      <c r="A3977">
        <v>42.895928999826197</v>
      </c>
      <c r="B3977">
        <v>128.38592414947499</v>
      </c>
      <c r="C3977">
        <v>2001</v>
      </c>
    </row>
    <row r="3978" spans="1:11" x14ac:dyDescent="0.25">
      <c r="A3978">
        <v>44.6845645409471</v>
      </c>
      <c r="B3978">
        <v>126.597288608355</v>
      </c>
      <c r="C3978">
        <v>2001</v>
      </c>
    </row>
    <row r="3979" spans="1:11" x14ac:dyDescent="0.25">
      <c r="A3979">
        <v>44.6845645409471</v>
      </c>
      <c r="B3979">
        <v>125.723256559457</v>
      </c>
      <c r="C3979">
        <v>2000</v>
      </c>
    </row>
    <row r="3980" spans="1:11" x14ac:dyDescent="0.25">
      <c r="A3980" t="s">
        <v>87</v>
      </c>
    </row>
    <row r="3981" spans="1:11" x14ac:dyDescent="0.25">
      <c r="A3981">
        <v>705</v>
      </c>
      <c r="B3981">
        <v>1</v>
      </c>
      <c r="C3981">
        <v>9.39118316362012</v>
      </c>
      <c r="D3981">
        <v>1.79757314909411</v>
      </c>
      <c r="E3981">
        <v>6</v>
      </c>
      <c r="F3981">
        <v>1.01722196789785</v>
      </c>
      <c r="G3981" t="s">
        <v>85</v>
      </c>
      <c r="H3981" t="s">
        <v>85</v>
      </c>
      <c r="I3981">
        <v>672</v>
      </c>
      <c r="J3981">
        <v>676</v>
      </c>
      <c r="K3981">
        <v>0</v>
      </c>
    </row>
    <row r="3982" spans="1:11" x14ac:dyDescent="0.25">
      <c r="A3982" t="s">
        <v>86</v>
      </c>
    </row>
    <row r="3983" spans="1:11" x14ac:dyDescent="0.25">
      <c r="A3983">
        <v>96.663030888764098</v>
      </c>
      <c r="B3983">
        <v>67.296413517668299</v>
      </c>
      <c r="C3983">
        <v>2000</v>
      </c>
    </row>
    <row r="3984" spans="1:11" x14ac:dyDescent="0.25">
      <c r="A3984">
        <v>90.389267106256099</v>
      </c>
      <c r="B3984">
        <v>73.570177300176297</v>
      </c>
      <c r="C3984">
        <v>2000</v>
      </c>
    </row>
    <row r="3985" spans="1:11" x14ac:dyDescent="0.25">
      <c r="A3985">
        <v>90.389267106256099</v>
      </c>
      <c r="B3985">
        <v>74.444209349073901</v>
      </c>
      <c r="C3985">
        <v>2001</v>
      </c>
    </row>
    <row r="3986" spans="1:11" x14ac:dyDescent="0.25">
      <c r="A3986">
        <v>97.396641920469605</v>
      </c>
      <c r="B3986">
        <v>67.436834534860495</v>
      </c>
      <c r="C3986">
        <v>2001</v>
      </c>
    </row>
    <row r="3987" spans="1:11" x14ac:dyDescent="0.25">
      <c r="A3987">
        <v>98.737928592469004</v>
      </c>
      <c r="B3987">
        <v>66.095547862861096</v>
      </c>
      <c r="C3987">
        <v>2001</v>
      </c>
    </row>
    <row r="3988" spans="1:11" x14ac:dyDescent="0.25">
      <c r="A3988">
        <v>97.8638965435713</v>
      </c>
      <c r="B3988">
        <v>66.095547862861096</v>
      </c>
      <c r="C3988">
        <v>2000</v>
      </c>
    </row>
    <row r="3989" spans="1:11" x14ac:dyDescent="0.25">
      <c r="A3989" t="s">
        <v>87</v>
      </c>
    </row>
    <row r="3990" spans="1:11" x14ac:dyDescent="0.25">
      <c r="A3990">
        <v>927</v>
      </c>
      <c r="B3990">
        <v>0</v>
      </c>
      <c r="C3990">
        <v>1.55884561172837</v>
      </c>
      <c r="D3990">
        <v>9.6160438609836891</v>
      </c>
      <c r="E3990">
        <v>8</v>
      </c>
      <c r="F3990">
        <v>1.01722196789785</v>
      </c>
      <c r="G3990" t="s">
        <v>85</v>
      </c>
      <c r="H3990" t="s">
        <v>85</v>
      </c>
      <c r="I3990">
        <v>701</v>
      </c>
      <c r="J3990">
        <v>708</v>
      </c>
      <c r="K3990">
        <v>9.2142179589674397E-2</v>
      </c>
    </row>
    <row r="3991" spans="1:11" x14ac:dyDescent="0.25">
      <c r="A3991" t="s">
        <v>86</v>
      </c>
    </row>
    <row r="3992" spans="1:11" x14ac:dyDescent="0.25">
      <c r="A3992">
        <v>72.905154595592805</v>
      </c>
      <c r="B3992">
        <v>50.444472787188197</v>
      </c>
      <c r="C3992">
        <v>2000</v>
      </c>
    </row>
    <row r="3993" spans="1:11" x14ac:dyDescent="0.25">
      <c r="A3993">
        <v>72.715777806398293</v>
      </c>
      <c r="B3993">
        <v>50.255095997993699</v>
      </c>
      <c r="C3993">
        <v>2000</v>
      </c>
    </row>
    <row r="3994" spans="1:11" x14ac:dyDescent="0.25">
      <c r="A3994">
        <v>71.979996735220794</v>
      </c>
      <c r="B3994">
        <v>49.5193149268162</v>
      </c>
      <c r="C3994">
        <v>2000</v>
      </c>
    </row>
    <row r="3995" spans="1:11" x14ac:dyDescent="0.25">
      <c r="A3995">
        <v>71.979996735220794</v>
      </c>
      <c r="B3995">
        <v>48.645282877918604</v>
      </c>
      <c r="C3995">
        <v>2001</v>
      </c>
    </row>
    <row r="3996" spans="1:11" x14ac:dyDescent="0.25">
      <c r="A3996">
        <v>73.079617859308499</v>
      </c>
      <c r="B3996">
        <v>49.744904002006301</v>
      </c>
      <c r="C3996">
        <v>2001</v>
      </c>
    </row>
    <row r="3997" spans="1:11" x14ac:dyDescent="0.25">
      <c r="A3997">
        <v>73.259379480600899</v>
      </c>
      <c r="B3997">
        <v>49.924665623298601</v>
      </c>
      <c r="C3997">
        <v>2001</v>
      </c>
    </row>
    <row r="3998" spans="1:11" x14ac:dyDescent="0.25">
      <c r="A3998">
        <v>79.881836860385604</v>
      </c>
      <c r="B3998">
        <v>56.547123003083399</v>
      </c>
      <c r="C3998">
        <v>2001</v>
      </c>
    </row>
    <row r="3999" spans="1:11" x14ac:dyDescent="0.25">
      <c r="A3999">
        <v>79.881836860385604</v>
      </c>
      <c r="B3999">
        <v>57.421155051981103</v>
      </c>
      <c r="C3999">
        <v>2000</v>
      </c>
    </row>
    <row r="4000" spans="1:11" x14ac:dyDescent="0.25">
      <c r="A4000" t="s">
        <v>87</v>
      </c>
    </row>
    <row r="4001" spans="1:11" x14ac:dyDescent="0.25">
      <c r="A4001">
        <v>1104</v>
      </c>
      <c r="B4001">
        <v>0</v>
      </c>
      <c r="C4001">
        <v>10.800385204260801</v>
      </c>
      <c r="D4001">
        <v>0.374504268451261</v>
      </c>
      <c r="E4001">
        <v>8</v>
      </c>
      <c r="F4001">
        <v>1.01722196789785</v>
      </c>
      <c r="G4001" t="s">
        <v>85</v>
      </c>
      <c r="H4001" t="s">
        <v>85</v>
      </c>
      <c r="I4001">
        <v>701</v>
      </c>
      <c r="J4001">
        <v>708</v>
      </c>
      <c r="K4001">
        <v>9.4596959481043894E-2</v>
      </c>
    </row>
    <row r="4002" spans="1:11" x14ac:dyDescent="0.25">
      <c r="A4002" t="s">
        <v>86</v>
      </c>
    </row>
    <row r="4003" spans="1:11" x14ac:dyDescent="0.25">
      <c r="A4003">
        <v>82.651865323874006</v>
      </c>
      <c r="B4003">
        <v>54.106272988558203</v>
      </c>
      <c r="C4003">
        <v>2000</v>
      </c>
    </row>
    <row r="4004" spans="1:11" x14ac:dyDescent="0.25">
      <c r="A4004">
        <v>78.869301695898997</v>
      </c>
      <c r="B4004">
        <v>50.323709360583202</v>
      </c>
      <c r="C4004">
        <v>2000</v>
      </c>
    </row>
    <row r="4005" spans="1:11" x14ac:dyDescent="0.25">
      <c r="A4005">
        <v>75.022451998676402</v>
      </c>
      <c r="B4005">
        <v>46.476859663360599</v>
      </c>
      <c r="C4005">
        <v>2000</v>
      </c>
    </row>
    <row r="4006" spans="1:11" x14ac:dyDescent="0.25">
      <c r="A4006">
        <v>75.022451998676402</v>
      </c>
      <c r="B4006">
        <v>45.602827614463003</v>
      </c>
      <c r="C4006">
        <v>2001</v>
      </c>
    </row>
    <row r="4007" spans="1:11" x14ac:dyDescent="0.25">
      <c r="A4007">
        <v>79.095915023630198</v>
      </c>
      <c r="B4007">
        <v>49.676290639416798</v>
      </c>
      <c r="C4007">
        <v>2001</v>
      </c>
    </row>
    <row r="4008" spans="1:11" x14ac:dyDescent="0.25">
      <c r="A4008">
        <v>82.667089908198093</v>
      </c>
      <c r="B4008">
        <v>53.247465523984701</v>
      </c>
      <c r="C4008">
        <v>2001</v>
      </c>
    </row>
    <row r="4009" spans="1:11" x14ac:dyDescent="0.25">
      <c r="A4009">
        <v>82.924292123841298</v>
      </c>
      <c r="B4009">
        <v>53.504667739627799</v>
      </c>
      <c r="C4009">
        <v>2001</v>
      </c>
    </row>
    <row r="4010" spans="1:11" x14ac:dyDescent="0.25">
      <c r="A4010">
        <v>82.924292123841298</v>
      </c>
      <c r="B4010">
        <v>54.378699788525502</v>
      </c>
      <c r="C4010">
        <v>2000</v>
      </c>
    </row>
    <row r="4011" spans="1:11" x14ac:dyDescent="0.25">
      <c r="A4011" t="s">
        <v>87</v>
      </c>
    </row>
    <row r="4012" spans="1:11" x14ac:dyDescent="0.25">
      <c r="A4012">
        <v>1209</v>
      </c>
      <c r="B4012">
        <v>0</v>
      </c>
      <c r="C4012">
        <v>4.0091458680253096</v>
      </c>
      <c r="D4012">
        <v>7.1657436046867398</v>
      </c>
      <c r="E4012">
        <v>8</v>
      </c>
      <c r="F4012">
        <v>1.01722196789785</v>
      </c>
      <c r="G4012" t="s">
        <v>85</v>
      </c>
      <c r="H4012" t="s">
        <v>85</v>
      </c>
      <c r="I4012">
        <v>701</v>
      </c>
      <c r="J4012">
        <v>708</v>
      </c>
      <c r="K4012">
        <v>9.6120382487224904E-2</v>
      </c>
    </row>
    <row r="4013" spans="1:11" x14ac:dyDescent="0.25">
      <c r="A4013" t="s">
        <v>86</v>
      </c>
    </row>
    <row r="4014" spans="1:11" x14ac:dyDescent="0.25">
      <c r="A4014">
        <v>76.891425344077305</v>
      </c>
      <c r="B4014">
        <v>49.913880269425903</v>
      </c>
      <c r="C4014">
        <v>2000</v>
      </c>
    </row>
    <row r="4015" spans="1:11" x14ac:dyDescent="0.25">
      <c r="A4015">
        <v>74.238428368344202</v>
      </c>
      <c r="B4015">
        <v>47.2608832936928</v>
      </c>
      <c r="C4015">
        <v>2000</v>
      </c>
    </row>
    <row r="4016" spans="1:11" x14ac:dyDescent="0.25">
      <c r="A4016">
        <v>74.238428368344202</v>
      </c>
      <c r="B4016">
        <v>46.386851244795203</v>
      </c>
      <c r="C4016">
        <v>2001</v>
      </c>
    </row>
    <row r="4017" spans="1:11" x14ac:dyDescent="0.25">
      <c r="A4017">
        <v>77.255219852704499</v>
      </c>
      <c r="B4017">
        <v>49.4036427291555</v>
      </c>
      <c r="C4017">
        <v>2001</v>
      </c>
    </row>
    <row r="4018" spans="1:11" x14ac:dyDescent="0.25">
      <c r="A4018">
        <v>77.618353472352396</v>
      </c>
      <c r="B4018">
        <v>49.766776348803297</v>
      </c>
      <c r="C4018">
        <v>2001</v>
      </c>
    </row>
    <row r="4019" spans="1:11" x14ac:dyDescent="0.25">
      <c r="A4019">
        <v>82.140268493509097</v>
      </c>
      <c r="B4019">
        <v>54.288691369959999</v>
      </c>
      <c r="C4019">
        <v>2001</v>
      </c>
    </row>
    <row r="4020" spans="1:11" x14ac:dyDescent="0.25">
      <c r="A4020">
        <v>82.140268493509097</v>
      </c>
      <c r="B4020">
        <v>55.162723418857702</v>
      </c>
      <c r="C4020">
        <v>2000</v>
      </c>
    </row>
    <row r="4021" spans="1:11" x14ac:dyDescent="0.25">
      <c r="A4021">
        <v>77.210768725847998</v>
      </c>
      <c r="B4021">
        <v>50.233223651196703</v>
      </c>
      <c r="C4021">
        <v>2000</v>
      </c>
    </row>
    <row r="4022" spans="1:11" x14ac:dyDescent="0.25">
      <c r="A4022" t="s">
        <v>87</v>
      </c>
    </row>
    <row r="4023" spans="1:11" x14ac:dyDescent="0.25">
      <c r="A4023">
        <v>1199</v>
      </c>
      <c r="B4023">
        <v>0</v>
      </c>
      <c r="C4023">
        <v>3.7451781141906899</v>
      </c>
      <c r="D4023">
        <v>7.4075848228056902</v>
      </c>
      <c r="E4023">
        <v>8</v>
      </c>
      <c r="F4023">
        <v>1.01722196789785</v>
      </c>
      <c r="G4023" t="s">
        <v>88</v>
      </c>
      <c r="H4023" t="s">
        <v>85</v>
      </c>
      <c r="I4023">
        <v>0</v>
      </c>
      <c r="J4023">
        <v>71</v>
      </c>
      <c r="K4023">
        <v>9.5961381564156997E-2</v>
      </c>
    </row>
    <row r="4024" spans="1:11" x14ac:dyDescent="0.25">
      <c r="A4024" t="s">
        <v>86</v>
      </c>
    </row>
    <row r="4025" spans="1:11" x14ac:dyDescent="0.25">
      <c r="A4025">
        <v>2.5522359617563799</v>
      </c>
      <c r="B4025">
        <v>51.555846030215598</v>
      </c>
      <c r="C4025">
        <v>2000</v>
      </c>
    </row>
    <row r="4026" spans="1:11" x14ac:dyDescent="0.25">
      <c r="A4026">
        <v>1.3151347318358499</v>
      </c>
      <c r="B4026">
        <v>50.3187448002951</v>
      </c>
      <c r="C4026">
        <v>2000</v>
      </c>
    </row>
    <row r="4027" spans="1:11" x14ac:dyDescent="0.25">
      <c r="A4027">
        <v>0</v>
      </c>
      <c r="B4027">
        <v>49.003610068459302</v>
      </c>
      <c r="C4027">
        <v>2000</v>
      </c>
    </row>
    <row r="4028" spans="1:11" x14ac:dyDescent="0.25">
      <c r="A4028">
        <v>0</v>
      </c>
      <c r="B4028">
        <v>48.129578019561599</v>
      </c>
      <c r="C4028">
        <v>2001</v>
      </c>
    </row>
    <row r="4029" spans="1:11" x14ac:dyDescent="0.25">
      <c r="A4029">
        <v>1.55167718014329</v>
      </c>
      <c r="B4029">
        <v>49.6812551997049</v>
      </c>
      <c r="C4029">
        <v>2001</v>
      </c>
    </row>
    <row r="4030" spans="1:11" x14ac:dyDescent="0.25">
      <c r="A4030">
        <v>2.744245720835</v>
      </c>
      <c r="B4030">
        <v>50.873823740396602</v>
      </c>
      <c r="C4030">
        <v>2001</v>
      </c>
    </row>
    <row r="4031" spans="1:11" x14ac:dyDescent="0.25">
      <c r="A4031">
        <v>7.8861943017161504</v>
      </c>
      <c r="B4031">
        <v>56.015772321277801</v>
      </c>
      <c r="C4031">
        <v>2001</v>
      </c>
    </row>
    <row r="4032" spans="1:11" x14ac:dyDescent="0.25">
      <c r="A4032">
        <v>7.8861943017161504</v>
      </c>
      <c r="B4032">
        <v>56.889804370175398</v>
      </c>
      <c r="C4032">
        <v>2000</v>
      </c>
    </row>
    <row r="4033" spans="1:11" x14ac:dyDescent="0.25">
      <c r="A4033" t="s">
        <v>87</v>
      </c>
    </row>
    <row r="4034" spans="1:11" x14ac:dyDescent="0.25">
      <c r="A4034">
        <v>112</v>
      </c>
      <c r="B4034">
        <v>0</v>
      </c>
      <c r="C4034">
        <v>4.4349312442912199</v>
      </c>
      <c r="D4034">
        <v>6.6507197676012701</v>
      </c>
      <c r="E4034">
        <v>6</v>
      </c>
      <c r="F4034">
        <v>1.01722196789785</v>
      </c>
      <c r="G4034" t="s">
        <v>85</v>
      </c>
      <c r="H4034" t="s">
        <v>85</v>
      </c>
      <c r="I4034">
        <v>852</v>
      </c>
      <c r="J4034">
        <v>816</v>
      </c>
      <c r="K4034">
        <v>0</v>
      </c>
    </row>
    <row r="4035" spans="1:11" x14ac:dyDescent="0.25">
      <c r="A4035" t="s">
        <v>86</v>
      </c>
    </row>
    <row r="4036" spans="1:11" x14ac:dyDescent="0.25">
      <c r="A4036">
        <v>123.19410041589001</v>
      </c>
      <c r="B4036">
        <v>23.6383574733599</v>
      </c>
      <c r="C4036">
        <v>2000</v>
      </c>
    </row>
    <row r="4037" spans="1:11" x14ac:dyDescent="0.25">
      <c r="A4037">
        <v>120.058130458956</v>
      </c>
      <c r="B4037">
        <v>20.5023875164255</v>
      </c>
      <c r="C4037">
        <v>2000</v>
      </c>
    </row>
    <row r="4038" spans="1:11" x14ac:dyDescent="0.25">
      <c r="A4038">
        <v>120.058130458956</v>
      </c>
      <c r="B4038">
        <v>19.6283554675279</v>
      </c>
      <c r="C4038">
        <v>2001</v>
      </c>
    </row>
    <row r="4039" spans="1:11" x14ac:dyDescent="0.25">
      <c r="A4039">
        <v>123.19410041589001</v>
      </c>
      <c r="B4039">
        <v>22.764325424462299</v>
      </c>
      <c r="C4039">
        <v>2001</v>
      </c>
    </row>
    <row r="4040" spans="1:11" x14ac:dyDescent="0.25">
      <c r="A4040">
        <v>127.896869463332</v>
      </c>
      <c r="B4040">
        <v>27.467094471904598</v>
      </c>
      <c r="C4040">
        <v>2001</v>
      </c>
    </row>
    <row r="4041" spans="1:11" x14ac:dyDescent="0.25">
      <c r="A4041">
        <v>127.896869463332</v>
      </c>
      <c r="B4041">
        <v>28.341126520802199</v>
      </c>
      <c r="C4041">
        <v>2000</v>
      </c>
    </row>
    <row r="4042" spans="1:11" x14ac:dyDescent="0.25">
      <c r="A4042" t="s">
        <v>87</v>
      </c>
    </row>
    <row r="4043" spans="1:11" x14ac:dyDescent="0.25">
      <c r="A4043">
        <v>1132</v>
      </c>
      <c r="B4043">
        <v>0</v>
      </c>
      <c r="C4043">
        <v>5.4849156784426496</v>
      </c>
      <c r="D4043">
        <v>5.6007353334498502</v>
      </c>
      <c r="E4043">
        <v>6</v>
      </c>
      <c r="F4043">
        <v>1.01722196789785</v>
      </c>
      <c r="G4043" t="s">
        <v>85</v>
      </c>
      <c r="H4043" t="s">
        <v>85</v>
      </c>
      <c r="I4043">
        <v>852</v>
      </c>
      <c r="J4043">
        <v>816</v>
      </c>
      <c r="K4043">
        <v>9.5129269803373898E-2</v>
      </c>
    </row>
    <row r="4044" spans="1:11" x14ac:dyDescent="0.25">
      <c r="A4044" t="s">
        <v>86</v>
      </c>
    </row>
    <row r="4045" spans="1:11" x14ac:dyDescent="0.25">
      <c r="A4045">
        <v>126.535182675587</v>
      </c>
      <c r="B4045">
        <v>21.782177440720702</v>
      </c>
      <c r="C4045">
        <v>2000</v>
      </c>
    </row>
    <row r="4046" spans="1:11" x14ac:dyDescent="0.25">
      <c r="A4046">
        <v>122.656761605124</v>
      </c>
      <c r="B4046">
        <v>17.903756370257501</v>
      </c>
      <c r="C4046">
        <v>2000</v>
      </c>
    </row>
    <row r="4047" spans="1:11" x14ac:dyDescent="0.25">
      <c r="A4047">
        <v>121.782729556226</v>
      </c>
      <c r="B4047">
        <v>17.903756370257501</v>
      </c>
      <c r="C4047">
        <v>2001</v>
      </c>
    </row>
    <row r="4048" spans="1:11" x14ac:dyDescent="0.25">
      <c r="A4048">
        <v>125.66115062668899</v>
      </c>
      <c r="B4048">
        <v>21.782177440720702</v>
      </c>
      <c r="C4048">
        <v>2001</v>
      </c>
    </row>
    <row r="4049" spans="1:11" x14ac:dyDescent="0.25">
      <c r="A4049">
        <v>129.62146856060301</v>
      </c>
      <c r="B4049">
        <v>25.742495374634199</v>
      </c>
      <c r="C4049">
        <v>2001</v>
      </c>
    </row>
    <row r="4050" spans="1:11" x14ac:dyDescent="0.25">
      <c r="A4050">
        <v>130.4955006095</v>
      </c>
      <c r="B4050">
        <v>25.7424953746341</v>
      </c>
      <c r="C4050">
        <v>2000</v>
      </c>
    </row>
    <row r="4051" spans="1:11" x14ac:dyDescent="0.25">
      <c r="A4051" t="s">
        <v>87</v>
      </c>
    </row>
    <row r="4052" spans="1:11" x14ac:dyDescent="0.25">
      <c r="A4052">
        <v>799</v>
      </c>
      <c r="B4052">
        <v>0</v>
      </c>
      <c r="C4052">
        <v>4.0498307806746503</v>
      </c>
      <c r="D4052">
        <v>6.9982911132430399</v>
      </c>
      <c r="E4052">
        <v>6</v>
      </c>
      <c r="F4052">
        <v>1.01722196789785</v>
      </c>
      <c r="G4052" t="s">
        <v>85</v>
      </c>
      <c r="H4052" t="s">
        <v>85</v>
      </c>
      <c r="I4052">
        <v>716</v>
      </c>
      <c r="J4052">
        <v>702</v>
      </c>
      <c r="K4052">
        <v>8.9816640118045604E-2</v>
      </c>
    </row>
    <row r="4053" spans="1:11" x14ac:dyDescent="0.25">
      <c r="A4053" t="s">
        <v>86</v>
      </c>
    </row>
    <row r="4054" spans="1:11" x14ac:dyDescent="0.25">
      <c r="A4054">
        <v>80.301208937560801</v>
      </c>
      <c r="B4054">
        <v>73.709141432992396</v>
      </c>
      <c r="C4054">
        <v>2000</v>
      </c>
    </row>
    <row r="4055" spans="1:11" x14ac:dyDescent="0.25">
      <c r="A4055">
        <v>77.277352301067396</v>
      </c>
      <c r="B4055">
        <v>70.685284796499005</v>
      </c>
      <c r="C4055">
        <v>2000</v>
      </c>
    </row>
    <row r="4056" spans="1:11" x14ac:dyDescent="0.25">
      <c r="A4056">
        <v>77.277352301067396</v>
      </c>
      <c r="B4056">
        <v>71.559316845396594</v>
      </c>
      <c r="C4056">
        <v>2001</v>
      </c>
    </row>
    <row r="4057" spans="1:11" x14ac:dyDescent="0.25">
      <c r="A4057">
        <v>79.980821279920093</v>
      </c>
      <c r="B4057">
        <v>74.262785824249207</v>
      </c>
      <c r="C4057">
        <v>2001</v>
      </c>
    </row>
    <row r="4058" spans="1:11" x14ac:dyDescent="0.25">
      <c r="A4058">
        <v>84.652538187183296</v>
      </c>
      <c r="B4058">
        <v>78.934502731512495</v>
      </c>
      <c r="C4058">
        <v>2001</v>
      </c>
    </row>
    <row r="4059" spans="1:11" x14ac:dyDescent="0.25">
      <c r="A4059">
        <v>85.526570236081</v>
      </c>
      <c r="B4059">
        <v>78.934502731512495</v>
      </c>
      <c r="C4059">
        <v>2000</v>
      </c>
    </row>
    <row r="4060" spans="1:11" x14ac:dyDescent="0.25">
      <c r="A4060" t="s">
        <v>87</v>
      </c>
    </row>
    <row r="4061" spans="1:11" x14ac:dyDescent="0.25">
      <c r="A4061">
        <v>902</v>
      </c>
      <c r="B4061">
        <v>1</v>
      </c>
      <c r="C4061">
        <v>3.8975299660322702</v>
      </c>
      <c r="D4061">
        <v>7.0733411667772002</v>
      </c>
      <c r="E4061">
        <v>6</v>
      </c>
      <c r="F4061">
        <v>1.01722196789785</v>
      </c>
      <c r="G4061" t="s">
        <v>85</v>
      </c>
      <c r="H4061" t="s">
        <v>85</v>
      </c>
      <c r="I4061">
        <v>502</v>
      </c>
      <c r="J4061">
        <v>511</v>
      </c>
      <c r="K4061">
        <v>9.1667699418773299E-2</v>
      </c>
    </row>
    <row r="4062" spans="1:11" x14ac:dyDescent="0.25">
      <c r="A4062" t="s">
        <v>86</v>
      </c>
    </row>
    <row r="4063" spans="1:11" x14ac:dyDescent="0.25">
      <c r="A4063">
        <v>137.767332280098</v>
      </c>
      <c r="B4063">
        <v>125.27152745934499</v>
      </c>
      <c r="C4063">
        <v>2000</v>
      </c>
    </row>
    <row r="4064" spans="1:11" x14ac:dyDescent="0.25">
      <c r="A4064">
        <v>134.85610736992999</v>
      </c>
      <c r="B4064">
        <v>128.18275236951399</v>
      </c>
      <c r="C4064">
        <v>2000</v>
      </c>
    </row>
    <row r="4065" spans="1:11" x14ac:dyDescent="0.25">
      <c r="A4065">
        <v>134.85610736992999</v>
      </c>
      <c r="B4065">
        <v>127.308720320616</v>
      </c>
      <c r="C4065">
        <v>2001</v>
      </c>
    </row>
    <row r="4066" spans="1:11" x14ac:dyDescent="0.25">
      <c r="A4066">
        <v>137.456822197479</v>
      </c>
      <c r="B4066">
        <v>124.708005493066</v>
      </c>
      <c r="C4066">
        <v>2001</v>
      </c>
    </row>
    <row r="4067" spans="1:11" x14ac:dyDescent="0.25">
      <c r="A4067">
        <v>142.176668719014</v>
      </c>
      <c r="B4067">
        <v>119.98815897153101</v>
      </c>
      <c r="C4067">
        <v>2001</v>
      </c>
    </row>
    <row r="4068" spans="1:11" x14ac:dyDescent="0.25">
      <c r="A4068">
        <v>143.05070076791199</v>
      </c>
      <c r="B4068">
        <v>119.98815897153101</v>
      </c>
      <c r="C4068">
        <v>2000</v>
      </c>
    </row>
    <row r="4069" spans="1:11" x14ac:dyDescent="0.25">
      <c r="A4069" t="s">
        <v>87</v>
      </c>
    </row>
    <row r="4070" spans="1:11" x14ac:dyDescent="0.25">
      <c r="A4070">
        <v>1053</v>
      </c>
      <c r="B4070">
        <v>0</v>
      </c>
      <c r="C4070">
        <v>1.9866997726398701</v>
      </c>
      <c r="D4070">
        <v>8.9580975580620805</v>
      </c>
      <c r="E4070">
        <v>8</v>
      </c>
      <c r="F4070">
        <v>1.01722196789785</v>
      </c>
      <c r="G4070" t="s">
        <v>85</v>
      </c>
      <c r="H4070" t="s">
        <v>85</v>
      </c>
      <c r="I4070">
        <v>718</v>
      </c>
      <c r="J4070">
        <v>756</v>
      </c>
      <c r="K4070">
        <v>9.4036209728977305E-2</v>
      </c>
    </row>
    <row r="4071" spans="1:11" x14ac:dyDescent="0.25">
      <c r="A4071" t="s">
        <v>86</v>
      </c>
    </row>
    <row r="4072" spans="1:11" x14ac:dyDescent="0.25">
      <c r="A4072">
        <v>99.269061681295298</v>
      </c>
      <c r="B4072">
        <v>59.253246969025803</v>
      </c>
      <c r="C4072">
        <v>2000</v>
      </c>
    </row>
    <row r="4073" spans="1:11" x14ac:dyDescent="0.25">
      <c r="A4073">
        <v>97.967670701420104</v>
      </c>
      <c r="B4073">
        <v>57.951855989150602</v>
      </c>
      <c r="C4073">
        <v>2000</v>
      </c>
    </row>
    <row r="4074" spans="1:11" x14ac:dyDescent="0.25">
      <c r="A4074">
        <v>97.0936386525225</v>
      </c>
      <c r="B4074">
        <v>57.951855989150602</v>
      </c>
      <c r="C4074">
        <v>2001</v>
      </c>
    </row>
    <row r="4075" spans="1:11" x14ac:dyDescent="0.25">
      <c r="A4075">
        <v>98.601865435478203</v>
      </c>
      <c r="B4075">
        <v>59.460082772106297</v>
      </c>
      <c r="C4075">
        <v>2001</v>
      </c>
    </row>
    <row r="4076" spans="1:11" x14ac:dyDescent="0.25">
      <c r="A4076">
        <v>99.744769921571503</v>
      </c>
      <c r="B4076">
        <v>60.602987258199597</v>
      </c>
      <c r="C4076">
        <v>2001</v>
      </c>
    </row>
    <row r="4077" spans="1:11" x14ac:dyDescent="0.25">
      <c r="A4077">
        <v>104.832779063774</v>
      </c>
      <c r="B4077">
        <v>65.690996400402398</v>
      </c>
      <c r="C4077">
        <v>2001</v>
      </c>
    </row>
    <row r="4078" spans="1:11" x14ac:dyDescent="0.25">
      <c r="A4078">
        <v>105.706811112672</v>
      </c>
      <c r="B4078">
        <v>65.690996400402398</v>
      </c>
      <c r="C4078">
        <v>2000</v>
      </c>
    </row>
    <row r="4079" spans="1:11" x14ac:dyDescent="0.25">
      <c r="A4079">
        <v>100.255230078428</v>
      </c>
      <c r="B4079">
        <v>60.239415366159001</v>
      </c>
      <c r="C4079">
        <v>2000</v>
      </c>
    </row>
    <row r="4080" spans="1:11" x14ac:dyDescent="0.25">
      <c r="A4080" t="s">
        <v>87</v>
      </c>
    </row>
    <row r="4081" spans="1:11" x14ac:dyDescent="0.25">
      <c r="A4081">
        <v>1202</v>
      </c>
      <c r="B4081">
        <v>1</v>
      </c>
      <c r="C4081">
        <v>6.3457277860593599</v>
      </c>
      <c r="D4081">
        <v>4.5868146240333596</v>
      </c>
      <c r="E4081">
        <v>6</v>
      </c>
      <c r="F4081">
        <v>1.01722196789785</v>
      </c>
      <c r="G4081" t="s">
        <v>85</v>
      </c>
      <c r="H4081" t="s">
        <v>85</v>
      </c>
      <c r="I4081">
        <v>1107</v>
      </c>
      <c r="J4081">
        <v>30</v>
      </c>
      <c r="K4081">
        <v>9.5961381564156997E-2</v>
      </c>
    </row>
    <row r="4082" spans="1:11" x14ac:dyDescent="0.25">
      <c r="A4082" t="s">
        <v>86</v>
      </c>
    </row>
    <row r="4083" spans="1:11" x14ac:dyDescent="0.25">
      <c r="A4083">
        <v>16.681842273427701</v>
      </c>
      <c r="B4083">
        <v>26.484647033030502</v>
      </c>
      <c r="C4083">
        <v>2000</v>
      </c>
    </row>
    <row r="4084" spans="1:11" x14ac:dyDescent="0.25">
      <c r="A4084">
        <v>12.1947351243412</v>
      </c>
      <c r="B4084">
        <v>30.9717541821169</v>
      </c>
      <c r="C4084">
        <v>2000</v>
      </c>
    </row>
    <row r="4085" spans="1:11" x14ac:dyDescent="0.25">
      <c r="A4085">
        <v>13.0687671732388</v>
      </c>
      <c r="B4085">
        <v>30.971754182116999</v>
      </c>
      <c r="C4085">
        <v>2001</v>
      </c>
    </row>
    <row r="4086" spans="1:11" x14ac:dyDescent="0.25">
      <c r="A4086">
        <v>17.555874322325302</v>
      </c>
      <c r="B4086">
        <v>26.484647033030502</v>
      </c>
      <c r="C4086">
        <v>2001</v>
      </c>
    </row>
    <row r="4087" spans="1:11" x14ac:dyDescent="0.25">
      <c r="A4087">
        <v>20.799242047024901</v>
      </c>
      <c r="B4087">
        <v>23.241279308330899</v>
      </c>
      <c r="C4087">
        <v>2001</v>
      </c>
    </row>
    <row r="4088" spans="1:11" x14ac:dyDescent="0.25">
      <c r="A4088">
        <v>19.925209998127301</v>
      </c>
      <c r="B4088">
        <v>23.241279308330899</v>
      </c>
      <c r="C4088">
        <v>2000</v>
      </c>
    </row>
    <row r="4089" spans="1:11" x14ac:dyDescent="0.25">
      <c r="A4089" t="s">
        <v>87</v>
      </c>
    </row>
    <row r="4090" spans="1:11" x14ac:dyDescent="0.25">
      <c r="A4090">
        <v>704</v>
      </c>
      <c r="B4090">
        <v>1</v>
      </c>
      <c r="C4090">
        <v>7.0275537987841599</v>
      </c>
      <c r="D4090">
        <v>3.8983657536707099</v>
      </c>
      <c r="E4090">
        <v>6</v>
      </c>
      <c r="F4090">
        <v>1.01722196789785</v>
      </c>
      <c r="G4090" t="s">
        <v>89</v>
      </c>
      <c r="H4090" t="s">
        <v>89</v>
      </c>
      <c r="I4090">
        <v>711</v>
      </c>
      <c r="J4090">
        <v>706</v>
      </c>
      <c r="K4090">
        <v>0</v>
      </c>
    </row>
    <row r="4091" spans="1:11" x14ac:dyDescent="0.25">
      <c r="A4091" t="s">
        <v>86</v>
      </c>
    </row>
    <row r="4092" spans="1:11" x14ac:dyDescent="0.25">
      <c r="A4092">
        <v>68.488776963892903</v>
      </c>
      <c r="B4092">
        <v>81.929049764256703</v>
      </c>
      <c r="C4092">
        <v>2000</v>
      </c>
    </row>
    <row r="4093" spans="1:11" x14ac:dyDescent="0.25">
      <c r="A4093">
        <v>63.519546017619398</v>
      </c>
      <c r="B4093">
        <v>86.898280710530202</v>
      </c>
      <c r="C4093">
        <v>2000</v>
      </c>
    </row>
    <row r="4094" spans="1:11" x14ac:dyDescent="0.25">
      <c r="A4094">
        <v>63.082529993170603</v>
      </c>
      <c r="B4094">
        <v>86.461264686081407</v>
      </c>
      <c r="C4094">
        <v>2001</v>
      </c>
    </row>
    <row r="4095" spans="1:11" x14ac:dyDescent="0.25">
      <c r="A4095">
        <v>68.051760939444094</v>
      </c>
      <c r="B4095">
        <v>81.492033739807894</v>
      </c>
      <c r="C4095">
        <v>2001</v>
      </c>
    </row>
    <row r="4096" spans="1:11" x14ac:dyDescent="0.25">
      <c r="A4096">
        <v>70.808321799410095</v>
      </c>
      <c r="B4096">
        <v>78.735472879841893</v>
      </c>
      <c r="C4096">
        <v>2001</v>
      </c>
    </row>
    <row r="4097" spans="1:11" x14ac:dyDescent="0.25">
      <c r="A4097">
        <v>71.245337823858904</v>
      </c>
      <c r="B4097">
        <v>79.172488904290702</v>
      </c>
      <c r="C4097">
        <v>2000</v>
      </c>
    </row>
    <row r="4098" spans="1:11" x14ac:dyDescent="0.25">
      <c r="A4098" t="s">
        <v>87</v>
      </c>
    </row>
    <row r="4099" spans="1:11" x14ac:dyDescent="0.25">
      <c r="A4099">
        <v>743</v>
      </c>
      <c r="B4099">
        <v>1</v>
      </c>
      <c r="C4099">
        <v>7.6237921136213602</v>
      </c>
      <c r="D4099">
        <v>3.2993503524046202</v>
      </c>
      <c r="E4099">
        <v>6</v>
      </c>
      <c r="F4099">
        <v>1.01722196789785</v>
      </c>
      <c r="G4099" t="s">
        <v>85</v>
      </c>
      <c r="H4099" t="s">
        <v>89</v>
      </c>
      <c r="I4099">
        <v>360</v>
      </c>
      <c r="J4099">
        <v>776</v>
      </c>
      <c r="K4099">
        <v>8.8948032773117705E-2</v>
      </c>
    </row>
    <row r="4100" spans="1:11" x14ac:dyDescent="0.25">
      <c r="A4100" t="s">
        <v>86</v>
      </c>
    </row>
    <row r="4101" spans="1:11" x14ac:dyDescent="0.25">
      <c r="A4101">
        <v>42.7641294413651</v>
      </c>
      <c r="B4101">
        <v>75.122024307781103</v>
      </c>
      <c r="C4101">
        <v>2000</v>
      </c>
    </row>
    <row r="4102" spans="1:11" x14ac:dyDescent="0.25">
      <c r="A4102">
        <v>37.220786975808501</v>
      </c>
      <c r="B4102">
        <v>80.665366773337794</v>
      </c>
      <c r="C4102">
        <v>2000</v>
      </c>
    </row>
    <row r="4103" spans="1:11" x14ac:dyDescent="0.25">
      <c r="A4103">
        <v>38.094819024706098</v>
      </c>
      <c r="B4103">
        <v>80.665366773337794</v>
      </c>
      <c r="C4103">
        <v>2001</v>
      </c>
    </row>
    <row r="4104" spans="1:11" x14ac:dyDescent="0.25">
      <c r="A4104">
        <v>43.333146762945802</v>
      </c>
      <c r="B4104">
        <v>75.427039035098005</v>
      </c>
      <c r="C4104">
        <v>2001</v>
      </c>
    </row>
    <row r="4105" spans="1:11" x14ac:dyDescent="0.25">
      <c r="A4105">
        <v>45.600139122075397</v>
      </c>
      <c r="B4105">
        <v>73.160046675968402</v>
      </c>
      <c r="C4105">
        <v>2001</v>
      </c>
    </row>
    <row r="4106" spans="1:11" x14ac:dyDescent="0.25">
      <c r="A4106">
        <v>45.163123097626602</v>
      </c>
      <c r="B4106">
        <v>72.723030651519593</v>
      </c>
      <c r="C4106">
        <v>2000</v>
      </c>
    </row>
    <row r="4107" spans="1:11" x14ac:dyDescent="0.25">
      <c r="A4107" t="s">
        <v>87</v>
      </c>
    </row>
    <row r="4108" spans="1:11" x14ac:dyDescent="0.25">
      <c r="A4108">
        <v>1043</v>
      </c>
      <c r="B4108">
        <v>1</v>
      </c>
      <c r="C4108">
        <v>4.4481927831085502</v>
      </c>
      <c r="D4108">
        <v>6.4553731582474301</v>
      </c>
      <c r="E4108">
        <v>6</v>
      </c>
      <c r="F4108">
        <v>1.01722196789785</v>
      </c>
      <c r="G4108" t="s">
        <v>85</v>
      </c>
      <c r="H4108" t="s">
        <v>85</v>
      </c>
      <c r="I4108">
        <v>733</v>
      </c>
      <c r="J4108">
        <v>272</v>
      </c>
      <c r="K4108">
        <v>9.3842356677082794E-2</v>
      </c>
    </row>
    <row r="4109" spans="1:11" x14ac:dyDescent="0.25">
      <c r="A4109" t="s">
        <v>86</v>
      </c>
    </row>
    <row r="4110" spans="1:11" x14ac:dyDescent="0.25">
      <c r="A4110">
        <v>36.557653633206002</v>
      </c>
      <c r="B4110">
        <v>124.44314188718</v>
      </c>
      <c r="C4110">
        <v>2000</v>
      </c>
    </row>
    <row r="4111" spans="1:11" x14ac:dyDescent="0.25">
      <c r="A4111">
        <v>33.412306352244798</v>
      </c>
      <c r="B4111">
        <v>127.588489168141</v>
      </c>
      <c r="C4111">
        <v>2000</v>
      </c>
    </row>
    <row r="4112" spans="1:11" x14ac:dyDescent="0.25">
      <c r="A4112">
        <v>33.412306352244798</v>
      </c>
      <c r="B4112">
        <v>128.46252121703901</v>
      </c>
      <c r="C4112">
        <v>2001</v>
      </c>
    </row>
    <row r="4113" spans="1:11" x14ac:dyDescent="0.25">
      <c r="A4113">
        <v>36.557653633206002</v>
      </c>
      <c r="B4113">
        <v>125.317173936077</v>
      </c>
      <c r="C4113">
        <v>2001</v>
      </c>
    </row>
    <row r="4114" spans="1:11" x14ac:dyDescent="0.25">
      <c r="A4114">
        <v>41.122291768492303</v>
      </c>
      <c r="B4114">
        <v>120.75253580079099</v>
      </c>
      <c r="C4114">
        <v>2001</v>
      </c>
    </row>
    <row r="4115" spans="1:11" x14ac:dyDescent="0.25">
      <c r="A4115">
        <v>41.122291768492303</v>
      </c>
      <c r="B4115">
        <v>119.87850375189301</v>
      </c>
      <c r="C4115">
        <v>2000</v>
      </c>
    </row>
    <row r="4116" spans="1:11" x14ac:dyDescent="0.25">
      <c r="A4116" t="s">
        <v>87</v>
      </c>
    </row>
    <row r="4117" spans="1:11" x14ac:dyDescent="0.25">
      <c r="A4117">
        <v>1032</v>
      </c>
      <c r="B4117">
        <v>1</v>
      </c>
      <c r="C4117">
        <v>10.3293679453972</v>
      </c>
      <c r="D4117">
        <v>0.57419799595881904</v>
      </c>
      <c r="E4117">
        <v>6</v>
      </c>
      <c r="F4117">
        <v>1.01722196789785</v>
      </c>
      <c r="G4117" t="s">
        <v>85</v>
      </c>
      <c r="H4117" t="s">
        <v>85</v>
      </c>
      <c r="I4117">
        <v>733</v>
      </c>
      <c r="J4117">
        <v>272</v>
      </c>
      <c r="K4117">
        <v>9.3644784593262795E-2</v>
      </c>
    </row>
    <row r="4118" spans="1:11" x14ac:dyDescent="0.25">
      <c r="A4118" t="s">
        <v>86</v>
      </c>
    </row>
    <row r="4119" spans="1:11" x14ac:dyDescent="0.25">
      <c r="A4119">
        <v>40.019344137990501</v>
      </c>
      <c r="B4119">
        <v>119.58759471476399</v>
      </c>
      <c r="C4119">
        <v>2000</v>
      </c>
    </row>
    <row r="4120" spans="1:11" x14ac:dyDescent="0.25">
      <c r="A4120">
        <v>32.715378018429199</v>
      </c>
      <c r="B4120">
        <v>126.89156083432501</v>
      </c>
      <c r="C4120">
        <v>2000</v>
      </c>
    </row>
    <row r="4121" spans="1:11" x14ac:dyDescent="0.25">
      <c r="A4121">
        <v>32.715378018429199</v>
      </c>
      <c r="B4121">
        <v>127.76559288322299</v>
      </c>
      <c r="C4121">
        <v>2001</v>
      </c>
    </row>
    <row r="4122" spans="1:11" x14ac:dyDescent="0.25">
      <c r="A4122">
        <v>40.019344137990501</v>
      </c>
      <c r="B4122">
        <v>120.461626763662</v>
      </c>
      <c r="C4122">
        <v>2001</v>
      </c>
    </row>
    <row r="4123" spans="1:11" x14ac:dyDescent="0.25">
      <c r="A4123">
        <v>40.425363434676697</v>
      </c>
      <c r="B4123">
        <v>120.055607466975</v>
      </c>
      <c r="C4123">
        <v>2001</v>
      </c>
    </row>
    <row r="4124" spans="1:11" x14ac:dyDescent="0.25">
      <c r="A4124">
        <v>40.425363434676697</v>
      </c>
      <c r="B4124">
        <v>119.181575418078</v>
      </c>
      <c r="C4124">
        <v>2000</v>
      </c>
    </row>
    <row r="4125" spans="1:11" x14ac:dyDescent="0.25">
      <c r="A4125" t="s">
        <v>87</v>
      </c>
    </row>
    <row r="4126" spans="1:11" x14ac:dyDescent="0.25">
      <c r="A4126">
        <v>1206</v>
      </c>
      <c r="B4126">
        <v>0</v>
      </c>
      <c r="C4126">
        <v>3.3402235214659299</v>
      </c>
      <c r="D4126">
        <v>7.5116402057895799</v>
      </c>
      <c r="E4126">
        <v>6</v>
      </c>
      <c r="F4126">
        <v>1.01722196789785</v>
      </c>
      <c r="G4126" t="s">
        <v>85</v>
      </c>
      <c r="H4126" t="s">
        <v>85</v>
      </c>
      <c r="I4126">
        <v>709</v>
      </c>
      <c r="J4126">
        <v>705</v>
      </c>
      <c r="K4126">
        <v>9.5961381564156997E-2</v>
      </c>
    </row>
    <row r="4127" spans="1:11" x14ac:dyDescent="0.25">
      <c r="A4127" t="s">
        <v>86</v>
      </c>
    </row>
    <row r="4128" spans="1:11" x14ac:dyDescent="0.25">
      <c r="A4128">
        <v>86.136852378533106</v>
      </c>
      <c r="B4128">
        <v>67.804531957384498</v>
      </c>
      <c r="C4128">
        <v>2000</v>
      </c>
    </row>
    <row r="4129" spans="1:11" x14ac:dyDescent="0.25">
      <c r="A4129">
        <v>83.909472008184594</v>
      </c>
      <c r="B4129">
        <v>65.577151587035999</v>
      </c>
      <c r="C4129">
        <v>2000</v>
      </c>
    </row>
    <row r="4130" spans="1:11" x14ac:dyDescent="0.25">
      <c r="A4130">
        <v>83.035439959287004</v>
      </c>
      <c r="B4130">
        <v>65.577151587035999</v>
      </c>
      <c r="C4130">
        <v>2001</v>
      </c>
    </row>
    <row r="4131" spans="1:11" x14ac:dyDescent="0.25">
      <c r="A4131">
        <v>85.531848994353297</v>
      </c>
      <c r="B4131">
        <v>68.073560622102306</v>
      </c>
      <c r="C4131">
        <v>2001</v>
      </c>
    </row>
    <row r="4132" spans="1:11" x14ac:dyDescent="0.25">
      <c r="A4132">
        <v>91.145882413790503</v>
      </c>
      <c r="B4132">
        <v>73.687594041539498</v>
      </c>
      <c r="C4132">
        <v>2001</v>
      </c>
    </row>
    <row r="4133" spans="1:11" x14ac:dyDescent="0.25">
      <c r="A4133">
        <v>91.145882413790503</v>
      </c>
      <c r="B4133">
        <v>72.813561992641894</v>
      </c>
      <c r="C4133">
        <v>2000</v>
      </c>
    </row>
    <row r="4134" spans="1:11" x14ac:dyDescent="0.25">
      <c r="A4134" t="s">
        <v>87</v>
      </c>
    </row>
    <row r="4135" spans="1:11" x14ac:dyDescent="0.25">
      <c r="A4135">
        <v>1102</v>
      </c>
      <c r="B4135">
        <v>1</v>
      </c>
      <c r="C4135">
        <v>3.80393577658961</v>
      </c>
      <c r="D4135">
        <v>7.0439664432489897</v>
      </c>
      <c r="E4135">
        <v>6</v>
      </c>
      <c r="F4135">
        <v>1.01722196789785</v>
      </c>
      <c r="G4135" t="s">
        <v>85</v>
      </c>
      <c r="H4135" t="s">
        <v>88</v>
      </c>
      <c r="I4135">
        <v>114</v>
      </c>
      <c r="J4135">
        <v>0</v>
      </c>
      <c r="K4135">
        <v>9.4596959481043894E-2</v>
      </c>
    </row>
    <row r="4136" spans="1:11" x14ac:dyDescent="0.25">
      <c r="A4136" t="s">
        <v>86</v>
      </c>
    </row>
    <row r="4137" spans="1:11" x14ac:dyDescent="0.25">
      <c r="A4137">
        <v>130.082848534769</v>
      </c>
      <c r="B4137">
        <v>4.6970648714909302</v>
      </c>
      <c r="C4137">
        <v>2000</v>
      </c>
    </row>
    <row r="4138" spans="1:11" x14ac:dyDescent="0.25">
      <c r="A4138">
        <v>127.546304209412</v>
      </c>
      <c r="B4138">
        <v>7.2336091968476897</v>
      </c>
      <c r="C4138">
        <v>2000</v>
      </c>
    </row>
    <row r="4139" spans="1:11" x14ac:dyDescent="0.25">
      <c r="A4139">
        <v>127.546304209412</v>
      </c>
      <c r="B4139">
        <v>8.1076412457453202</v>
      </c>
      <c r="C4139">
        <v>2001</v>
      </c>
    </row>
    <row r="4140" spans="1:11" x14ac:dyDescent="0.25">
      <c r="A4140">
        <v>130.38933744970501</v>
      </c>
      <c r="B4140">
        <v>5.2646080054527999</v>
      </c>
      <c r="C4140">
        <v>2001</v>
      </c>
    </row>
    <row r="4141" spans="1:11" x14ac:dyDescent="0.25">
      <c r="A4141">
        <v>135.65394545515801</v>
      </c>
      <c r="B4141">
        <v>0</v>
      </c>
      <c r="C4141">
        <v>2001</v>
      </c>
    </row>
    <row r="4142" spans="1:11" x14ac:dyDescent="0.25">
      <c r="A4142">
        <v>134.77991340625999</v>
      </c>
      <c r="B4142">
        <v>0</v>
      </c>
      <c r="C4142">
        <v>2000</v>
      </c>
    </row>
    <row r="4143" spans="1:11" x14ac:dyDescent="0.25">
      <c r="A4143" t="s">
        <v>87</v>
      </c>
    </row>
    <row r="4144" spans="1:11" x14ac:dyDescent="0.25">
      <c r="A4144">
        <v>756</v>
      </c>
      <c r="B4144">
        <v>1</v>
      </c>
      <c r="C4144">
        <v>7.5872112174204398</v>
      </c>
      <c r="D4144">
        <v>3.25730321897696</v>
      </c>
      <c r="E4144">
        <v>6</v>
      </c>
      <c r="F4144">
        <v>1.01722196789785</v>
      </c>
      <c r="G4144" t="s">
        <v>85</v>
      </c>
      <c r="H4144" t="s">
        <v>85</v>
      </c>
      <c r="I4144">
        <v>677</v>
      </c>
      <c r="J4144">
        <v>590</v>
      </c>
      <c r="K4144">
        <v>8.9259099568316694E-2</v>
      </c>
    </row>
    <row r="4145" spans="1:11" x14ac:dyDescent="0.25">
      <c r="A4145" t="s">
        <v>86</v>
      </c>
    </row>
    <row r="4146" spans="1:11" x14ac:dyDescent="0.25">
      <c r="A4146">
        <v>108.691045117877</v>
      </c>
      <c r="B4146">
        <v>62.706762395197003</v>
      </c>
      <c r="C4146">
        <v>2000</v>
      </c>
    </row>
    <row r="4147" spans="1:11" x14ac:dyDescent="0.25">
      <c r="A4147">
        <v>103.326076615745</v>
      </c>
      <c r="B4147">
        <v>68.071730897329601</v>
      </c>
      <c r="C4147">
        <v>2000</v>
      </c>
    </row>
    <row r="4148" spans="1:11" x14ac:dyDescent="0.25">
      <c r="A4148">
        <v>102.45204456684699</v>
      </c>
      <c r="B4148">
        <v>68.071730897329601</v>
      </c>
      <c r="C4148">
        <v>2001</v>
      </c>
    </row>
    <row r="4149" spans="1:11" x14ac:dyDescent="0.25">
      <c r="A4149">
        <v>107.81701306898</v>
      </c>
      <c r="B4149">
        <v>62.706762395197003</v>
      </c>
      <c r="C4149">
        <v>2001</v>
      </c>
    </row>
    <row r="4150" spans="1:11" x14ac:dyDescent="0.25">
      <c r="A4150">
        <v>110.120274263499</v>
      </c>
      <c r="B4150">
        <v>60.403501200677603</v>
      </c>
      <c r="C4150">
        <v>2001</v>
      </c>
    </row>
    <row r="4151" spans="1:11" x14ac:dyDescent="0.25">
      <c r="A4151">
        <v>110.994306312397</v>
      </c>
      <c r="B4151">
        <v>60.403501200677603</v>
      </c>
      <c r="C4151">
        <v>2000</v>
      </c>
    </row>
    <row r="4152" spans="1:11" x14ac:dyDescent="0.25">
      <c r="A4152" t="s">
        <v>87</v>
      </c>
    </row>
    <row r="4153" spans="1:11" x14ac:dyDescent="0.25">
      <c r="A4153">
        <v>802</v>
      </c>
      <c r="B4153">
        <v>1</v>
      </c>
      <c r="C4153">
        <v>0.793433056568144</v>
      </c>
      <c r="D4153">
        <v>10.023072342074</v>
      </c>
      <c r="E4153">
        <v>6</v>
      </c>
      <c r="F4153">
        <v>1.01722196789785</v>
      </c>
      <c r="G4153" t="s">
        <v>89</v>
      </c>
      <c r="H4153" t="s">
        <v>85</v>
      </c>
      <c r="I4153">
        <v>462</v>
      </c>
      <c r="J4153">
        <v>436</v>
      </c>
      <c r="K4153">
        <v>8.9816640118045604E-2</v>
      </c>
    </row>
    <row r="4154" spans="1:11" x14ac:dyDescent="0.25">
      <c r="A4154" t="s">
        <v>86</v>
      </c>
    </row>
    <row r="4155" spans="1:11" x14ac:dyDescent="0.25">
      <c r="A4155">
        <v>63.515762695548901</v>
      </c>
      <c r="B4155">
        <v>28.164827837013501</v>
      </c>
      <c r="C4155">
        <v>2000</v>
      </c>
    </row>
    <row r="4156" spans="1:11" x14ac:dyDescent="0.25">
      <c r="A4156">
        <v>62.970749219774603</v>
      </c>
      <c r="B4156">
        <v>28.709841312787798</v>
      </c>
      <c r="C4156">
        <v>2000</v>
      </c>
    </row>
    <row r="4157" spans="1:11" x14ac:dyDescent="0.25">
      <c r="A4157">
        <v>62.533733195325802</v>
      </c>
      <c r="B4157">
        <v>28.272825288339</v>
      </c>
      <c r="C4157">
        <v>2001</v>
      </c>
    </row>
    <row r="4158" spans="1:11" x14ac:dyDescent="0.25">
      <c r="A4158">
        <v>63.1108035089852</v>
      </c>
      <c r="B4158">
        <v>27.695754974679499</v>
      </c>
      <c r="C4158">
        <v>2001</v>
      </c>
    </row>
    <row r="4159" spans="1:11" x14ac:dyDescent="0.25">
      <c r="A4159">
        <v>70.400665523670895</v>
      </c>
      <c r="B4159">
        <v>20.4058929599938</v>
      </c>
      <c r="C4159">
        <v>2001</v>
      </c>
    </row>
    <row r="4160" spans="1:11" x14ac:dyDescent="0.25">
      <c r="A4160">
        <v>70.400665523670895</v>
      </c>
      <c r="B4160">
        <v>21.2799250088915</v>
      </c>
      <c r="C4160">
        <v>2000</v>
      </c>
    </row>
    <row r="4161" spans="1:11" x14ac:dyDescent="0.25">
      <c r="A4161" t="s">
        <v>87</v>
      </c>
    </row>
    <row r="4162" spans="1:11" x14ac:dyDescent="0.25">
      <c r="A4162">
        <v>805</v>
      </c>
      <c r="B4162">
        <v>0</v>
      </c>
      <c r="C4162">
        <v>4.3362622944040199</v>
      </c>
      <c r="D4162">
        <v>6.4414894265785998</v>
      </c>
      <c r="E4162">
        <v>6</v>
      </c>
      <c r="F4162">
        <v>1.01722196789785</v>
      </c>
      <c r="G4162" t="s">
        <v>85</v>
      </c>
      <c r="H4162" t="s">
        <v>88</v>
      </c>
      <c r="I4162">
        <v>838</v>
      </c>
      <c r="J4162">
        <v>0</v>
      </c>
      <c r="K4162">
        <v>8.9816640118045604E-2</v>
      </c>
    </row>
    <row r="4163" spans="1:11" x14ac:dyDescent="0.25">
      <c r="A4163" t="s">
        <v>86</v>
      </c>
    </row>
    <row r="4164" spans="1:11" x14ac:dyDescent="0.25">
      <c r="A4164">
        <v>145.18398978306701</v>
      </c>
      <c r="B4164">
        <v>8.3997656776252896</v>
      </c>
      <c r="C4164">
        <v>2000</v>
      </c>
    </row>
    <row r="4165" spans="1:11" x14ac:dyDescent="0.25">
      <c r="A4165">
        <v>141.941962647699</v>
      </c>
      <c r="B4165">
        <v>5.1577385422576896</v>
      </c>
      <c r="C4165">
        <v>2000</v>
      </c>
    </row>
    <row r="4166" spans="1:11" x14ac:dyDescent="0.25">
      <c r="A4166">
        <v>142.81599469659699</v>
      </c>
      <c r="B4166">
        <v>5.1577385422576896</v>
      </c>
      <c r="C4166">
        <v>2001</v>
      </c>
    </row>
    <row r="4167" spans="1:11" x14ac:dyDescent="0.25">
      <c r="A4167">
        <v>145.706368507983</v>
      </c>
      <c r="B4167">
        <v>8.0481123536433508</v>
      </c>
      <c r="C4167">
        <v>2001</v>
      </c>
    </row>
    <row r="4168" spans="1:11" x14ac:dyDescent="0.25">
      <c r="A4168">
        <v>150</v>
      </c>
      <c r="B4168">
        <v>12.3417438456607</v>
      </c>
      <c r="C4168">
        <v>2001</v>
      </c>
    </row>
    <row r="4169" spans="1:11" x14ac:dyDescent="0.25">
      <c r="A4169">
        <v>150</v>
      </c>
      <c r="B4169">
        <v>13.2157758945583</v>
      </c>
      <c r="C4169">
        <v>2000</v>
      </c>
    </row>
    <row r="4170" spans="1:11" x14ac:dyDescent="0.25">
      <c r="A4170" t="s">
        <v>87</v>
      </c>
    </row>
    <row r="4171" spans="1:11" x14ac:dyDescent="0.25">
      <c r="A4171">
        <v>665</v>
      </c>
      <c r="B4171">
        <v>0</v>
      </c>
      <c r="C4171">
        <v>5.1403128538808396</v>
      </c>
      <c r="D4171">
        <v>5.62107862941878</v>
      </c>
      <c r="E4171">
        <v>6</v>
      </c>
      <c r="F4171">
        <v>1.01722196789785</v>
      </c>
      <c r="G4171" t="s">
        <v>85</v>
      </c>
      <c r="H4171" t="s">
        <v>85</v>
      </c>
      <c r="I4171">
        <v>818</v>
      </c>
      <c r="J4171">
        <v>710</v>
      </c>
      <c r="K4171">
        <v>0</v>
      </c>
    </row>
    <row r="4172" spans="1:11" x14ac:dyDescent="0.25">
      <c r="A4172" t="s">
        <v>86</v>
      </c>
    </row>
    <row r="4173" spans="1:11" x14ac:dyDescent="0.25">
      <c r="A4173">
        <v>88.720970783200201</v>
      </c>
      <c r="B4173">
        <v>56.367741987702502</v>
      </c>
      <c r="C4173">
        <v>2000</v>
      </c>
    </row>
    <row r="4174" spans="1:11" x14ac:dyDescent="0.25">
      <c r="A4174">
        <v>84.877474552429007</v>
      </c>
      <c r="B4174">
        <v>52.5242457569314</v>
      </c>
      <c r="C4174">
        <v>2000</v>
      </c>
    </row>
    <row r="4175" spans="1:11" x14ac:dyDescent="0.25">
      <c r="A4175">
        <v>84.877474552429007</v>
      </c>
      <c r="B4175">
        <v>53.398277805828997</v>
      </c>
      <c r="C4175">
        <v>2001</v>
      </c>
    </row>
    <row r="4176" spans="1:11" x14ac:dyDescent="0.25">
      <c r="A4176">
        <v>88.303478474456995</v>
      </c>
      <c r="B4176">
        <v>56.824281727856899</v>
      </c>
      <c r="C4176">
        <v>2001</v>
      </c>
    </row>
    <row r="4177" spans="1:11" x14ac:dyDescent="0.25">
      <c r="A4177">
        <v>92.0499114208246</v>
      </c>
      <c r="B4177">
        <v>60.570714674224497</v>
      </c>
      <c r="C4177">
        <v>2001</v>
      </c>
    </row>
    <row r="4178" spans="1:11" x14ac:dyDescent="0.25">
      <c r="A4178">
        <v>92.923943469722204</v>
      </c>
      <c r="B4178">
        <v>60.570714674224497</v>
      </c>
      <c r="C4178">
        <v>2000</v>
      </c>
    </row>
    <row r="4179" spans="1:11" x14ac:dyDescent="0.25">
      <c r="A4179" t="s">
        <v>87</v>
      </c>
    </row>
    <row r="4180" spans="1:11" x14ac:dyDescent="0.25">
      <c r="A4180">
        <v>1143</v>
      </c>
      <c r="B4180">
        <v>1</v>
      </c>
      <c r="C4180">
        <v>8.2164412260769701</v>
      </c>
      <c r="D4180">
        <v>2.5400603502216201</v>
      </c>
      <c r="E4180">
        <v>6</v>
      </c>
      <c r="F4180">
        <v>1.01722196789785</v>
      </c>
      <c r="G4180" t="s">
        <v>85</v>
      </c>
      <c r="H4180" t="s">
        <v>85</v>
      </c>
      <c r="I4180">
        <v>944</v>
      </c>
      <c r="J4180">
        <v>875</v>
      </c>
      <c r="K4180">
        <v>9.5129269803373898E-2</v>
      </c>
    </row>
    <row r="4181" spans="1:11" x14ac:dyDescent="0.25">
      <c r="A4181" t="s">
        <v>86</v>
      </c>
    </row>
    <row r="4182" spans="1:11" x14ac:dyDescent="0.25">
      <c r="A4182">
        <v>91.318848725091101</v>
      </c>
      <c r="B4182">
        <v>137.115222612906</v>
      </c>
      <c r="C4182">
        <v>2000</v>
      </c>
    </row>
    <row r="4183" spans="1:11" x14ac:dyDescent="0.25">
      <c r="A4183">
        <v>85.508947416911397</v>
      </c>
      <c r="B4183">
        <v>142.925123921086</v>
      </c>
      <c r="C4183">
        <v>2000</v>
      </c>
    </row>
    <row r="4184" spans="1:11" x14ac:dyDescent="0.25">
      <c r="A4184">
        <v>85.508947416911397</v>
      </c>
      <c r="B4184">
        <v>142.05109187218801</v>
      </c>
      <c r="C4184">
        <v>2001</v>
      </c>
    </row>
    <row r="4185" spans="1:11" x14ac:dyDescent="0.25">
      <c r="A4185">
        <v>91.318848725091101</v>
      </c>
      <c r="B4185">
        <v>136.241190564009</v>
      </c>
      <c r="C4185">
        <v>2001</v>
      </c>
    </row>
    <row r="4186" spans="1:11" x14ac:dyDescent="0.25">
      <c r="A4186">
        <v>93.114942623355901</v>
      </c>
      <c r="B4186">
        <v>134.44509666574399</v>
      </c>
      <c r="C4186">
        <v>2001</v>
      </c>
    </row>
    <row r="4187" spans="1:11" x14ac:dyDescent="0.25">
      <c r="A4187">
        <v>93.114942623355901</v>
      </c>
      <c r="B4187">
        <v>135.31912871464201</v>
      </c>
      <c r="C4187">
        <v>2000</v>
      </c>
    </row>
    <row r="4188" spans="1:11" x14ac:dyDescent="0.25">
      <c r="A4188" t="s">
        <v>87</v>
      </c>
    </row>
    <row r="4189" spans="1:11" x14ac:dyDescent="0.25">
      <c r="A4189">
        <v>963</v>
      </c>
      <c r="B4189">
        <v>1</v>
      </c>
      <c r="C4189">
        <v>4.9301375508796603</v>
      </c>
      <c r="D4189">
        <v>5.7711578935531698</v>
      </c>
      <c r="E4189">
        <v>6</v>
      </c>
      <c r="F4189">
        <v>1.01722196789785</v>
      </c>
      <c r="G4189" t="s">
        <v>85</v>
      </c>
      <c r="H4189" t="s">
        <v>85</v>
      </c>
      <c r="I4189">
        <v>24</v>
      </c>
      <c r="J4189">
        <v>34</v>
      </c>
      <c r="K4189">
        <v>9.2594931978171202E-2</v>
      </c>
    </row>
    <row r="4190" spans="1:11" x14ac:dyDescent="0.25">
      <c r="A4190" t="s">
        <v>86</v>
      </c>
    </row>
    <row r="4191" spans="1:11" x14ac:dyDescent="0.25">
      <c r="A4191">
        <v>42.308489881599499</v>
      </c>
      <c r="B4191">
        <v>13.9867636831505</v>
      </c>
      <c r="C4191">
        <v>2000</v>
      </c>
    </row>
    <row r="4192" spans="1:11" x14ac:dyDescent="0.25">
      <c r="A4192">
        <v>38.822356187190103</v>
      </c>
      <c r="B4192">
        <v>17.472897377559999</v>
      </c>
      <c r="C4192">
        <v>2000</v>
      </c>
    </row>
    <row r="4193" spans="1:11" x14ac:dyDescent="0.25">
      <c r="A4193">
        <v>38.822356187190103</v>
      </c>
      <c r="B4193">
        <v>18.346929426457599</v>
      </c>
      <c r="C4193">
        <v>2001</v>
      </c>
    </row>
    <row r="4194" spans="1:11" x14ac:dyDescent="0.25">
      <c r="A4194">
        <v>42.308489881599499</v>
      </c>
      <c r="B4194">
        <v>14.860795732048199</v>
      </c>
      <c r="C4194">
        <v>2001</v>
      </c>
    </row>
    <row r="4195" spans="1:11" x14ac:dyDescent="0.25">
      <c r="A4195">
        <v>46.389314763429297</v>
      </c>
      <c r="B4195">
        <v>10.779970850218399</v>
      </c>
      <c r="C4195">
        <v>2001</v>
      </c>
    </row>
    <row r="4196" spans="1:11" x14ac:dyDescent="0.25">
      <c r="A4196">
        <v>46.389314763429297</v>
      </c>
      <c r="B4196">
        <v>9.9059388013208007</v>
      </c>
      <c r="C4196">
        <v>2000</v>
      </c>
    </row>
    <row r="4197" spans="1:11" x14ac:dyDescent="0.25">
      <c r="A4197" t="s">
        <v>87</v>
      </c>
    </row>
    <row r="4198" spans="1:11" x14ac:dyDescent="0.25">
      <c r="A4198">
        <v>433</v>
      </c>
      <c r="B4198">
        <v>0</v>
      </c>
      <c r="C4198">
        <v>10.2704902797252</v>
      </c>
      <c r="D4198">
        <v>0.40251850291656399</v>
      </c>
      <c r="E4198">
        <v>6</v>
      </c>
      <c r="F4198">
        <v>1.01722196789785</v>
      </c>
      <c r="G4198" t="s">
        <v>88</v>
      </c>
      <c r="H4198" t="s">
        <v>89</v>
      </c>
      <c r="I4198">
        <v>0</v>
      </c>
      <c r="J4198">
        <v>765</v>
      </c>
      <c r="K4198">
        <v>0</v>
      </c>
    </row>
    <row r="4199" spans="1:11" x14ac:dyDescent="0.25">
      <c r="A4199" t="s">
        <v>86</v>
      </c>
    </row>
    <row r="4200" spans="1:11" x14ac:dyDescent="0.25">
      <c r="A4200">
        <v>94.363584689464702</v>
      </c>
      <c r="B4200">
        <v>7.0520660532620703</v>
      </c>
      <c r="C4200">
        <v>2000</v>
      </c>
    </row>
    <row r="4201" spans="1:11" x14ac:dyDescent="0.25">
      <c r="A4201">
        <v>87.311518636202607</v>
      </c>
      <c r="B4201">
        <v>0</v>
      </c>
      <c r="C4201">
        <v>2000</v>
      </c>
    </row>
    <row r="4202" spans="1:11" x14ac:dyDescent="0.25">
      <c r="A4202">
        <v>86.437486587305003</v>
      </c>
      <c r="B4202">
        <v>0</v>
      </c>
      <c r="C4202">
        <v>2001</v>
      </c>
    </row>
    <row r="4203" spans="1:11" x14ac:dyDescent="0.25">
      <c r="A4203">
        <v>93.910087179851303</v>
      </c>
      <c r="B4203">
        <v>7.4726005925463896</v>
      </c>
      <c r="C4203">
        <v>2001</v>
      </c>
    </row>
    <row r="4204" spans="1:11" x14ac:dyDescent="0.25">
      <c r="A4204">
        <v>94.202951485398998</v>
      </c>
      <c r="B4204">
        <v>7.7654648980939998</v>
      </c>
      <c r="C4204">
        <v>2001</v>
      </c>
    </row>
    <row r="4205" spans="1:11" x14ac:dyDescent="0.25">
      <c r="A4205">
        <v>94.639967509847807</v>
      </c>
      <c r="B4205">
        <v>7.3284488736451801</v>
      </c>
      <c r="C4205">
        <v>2000</v>
      </c>
    </row>
    <row r="4206" spans="1:11" x14ac:dyDescent="0.25">
      <c r="A4206" t="s">
        <v>87</v>
      </c>
    </row>
    <row r="4207" spans="1:11" x14ac:dyDescent="0.25">
      <c r="A4207">
        <v>787</v>
      </c>
      <c r="B4207">
        <v>0</v>
      </c>
      <c r="C4207">
        <v>3.6407499168213802</v>
      </c>
      <c r="D4207">
        <v>7.0260631534649702</v>
      </c>
      <c r="E4207">
        <v>6</v>
      </c>
      <c r="F4207">
        <v>1.01722196789785</v>
      </c>
      <c r="G4207" t="s">
        <v>89</v>
      </c>
      <c r="H4207" t="s">
        <v>85</v>
      </c>
      <c r="I4207">
        <v>434</v>
      </c>
      <c r="J4207">
        <v>143</v>
      </c>
      <c r="K4207">
        <v>8.9537010595109504E-2</v>
      </c>
    </row>
    <row r="4208" spans="1:11" x14ac:dyDescent="0.25">
      <c r="A4208" t="s">
        <v>86</v>
      </c>
    </row>
    <row r="4209" spans="1:11" x14ac:dyDescent="0.25">
      <c r="A4209">
        <v>91.955964276591303</v>
      </c>
      <c r="B4209">
        <v>14.485629613791099</v>
      </c>
      <c r="C4209">
        <v>2000</v>
      </c>
    </row>
    <row r="4210" spans="1:11" x14ac:dyDescent="0.25">
      <c r="A4210">
        <v>89.456145519476294</v>
      </c>
      <c r="B4210">
        <v>11.985810856676</v>
      </c>
      <c r="C4210">
        <v>2000</v>
      </c>
    </row>
    <row r="4211" spans="1:11" x14ac:dyDescent="0.25">
      <c r="A4211">
        <v>89.019129495027499</v>
      </c>
      <c r="B4211">
        <v>12.4228268811249</v>
      </c>
      <c r="C4211">
        <v>2001</v>
      </c>
    </row>
    <row r="4212" spans="1:11" x14ac:dyDescent="0.25">
      <c r="A4212">
        <v>91.668108647490001</v>
      </c>
      <c r="B4212">
        <v>15.0718060335874</v>
      </c>
      <c r="C4212">
        <v>2001</v>
      </c>
    </row>
    <row r="4213" spans="1:11" x14ac:dyDescent="0.25">
      <c r="A4213">
        <v>96.780213362900696</v>
      </c>
      <c r="B4213">
        <v>20.183910748997999</v>
      </c>
      <c r="C4213">
        <v>2001</v>
      </c>
    </row>
    <row r="4214" spans="1:11" x14ac:dyDescent="0.25">
      <c r="A4214">
        <v>96.780213362900696</v>
      </c>
      <c r="B4214">
        <v>19.309878700100398</v>
      </c>
      <c r="C4214">
        <v>2000</v>
      </c>
    </row>
    <row r="4215" spans="1:11" x14ac:dyDescent="0.25">
      <c r="A4215" t="s">
        <v>87</v>
      </c>
    </row>
    <row r="4216" spans="1:11" x14ac:dyDescent="0.25">
      <c r="A4216">
        <v>746</v>
      </c>
      <c r="B4216">
        <v>0</v>
      </c>
      <c r="C4216">
        <v>1.25590632988246</v>
      </c>
      <c r="D4216">
        <v>9.3992894513905298</v>
      </c>
      <c r="E4216">
        <v>6</v>
      </c>
      <c r="F4216">
        <v>1.01722196789785</v>
      </c>
      <c r="G4216" t="s">
        <v>85</v>
      </c>
      <c r="H4216" t="s">
        <v>89</v>
      </c>
      <c r="I4216">
        <v>750</v>
      </c>
      <c r="J4216">
        <v>483</v>
      </c>
      <c r="K4216">
        <v>8.8948032773117705E-2</v>
      </c>
    </row>
    <row r="4217" spans="1:11" x14ac:dyDescent="0.25">
      <c r="A4217" t="s">
        <v>86</v>
      </c>
    </row>
    <row r="4218" spans="1:11" x14ac:dyDescent="0.25">
      <c r="A4218">
        <v>110.98296665287801</v>
      </c>
      <c r="B4218">
        <v>140.573609615283</v>
      </c>
      <c r="C4218">
        <v>2000</v>
      </c>
    </row>
    <row r="4219" spans="1:11" x14ac:dyDescent="0.25">
      <c r="A4219">
        <v>110.069151673973</v>
      </c>
      <c r="B4219">
        <v>139.659794636378</v>
      </c>
      <c r="C4219">
        <v>2000</v>
      </c>
    </row>
    <row r="4220" spans="1:11" x14ac:dyDescent="0.25">
      <c r="A4220">
        <v>110.94318372287</v>
      </c>
      <c r="B4220">
        <v>139.659794636378</v>
      </c>
      <c r="C4220">
        <v>2001</v>
      </c>
    </row>
    <row r="4221" spans="1:11" x14ac:dyDescent="0.25">
      <c r="A4221">
        <v>111.805488508755</v>
      </c>
      <c r="B4221">
        <v>140.52209942226301</v>
      </c>
      <c r="C4221">
        <v>2001</v>
      </c>
    </row>
    <row r="4222" spans="1:11" x14ac:dyDescent="0.25">
      <c r="A4222">
        <v>118.259036902454</v>
      </c>
      <c r="B4222">
        <v>146.97564781596199</v>
      </c>
      <c r="C4222">
        <v>2001</v>
      </c>
    </row>
    <row r="4223" spans="1:11" x14ac:dyDescent="0.25">
      <c r="A4223">
        <v>117.822020878006</v>
      </c>
      <c r="B4223">
        <v>147.412663840411</v>
      </c>
      <c r="C4223">
        <v>2000</v>
      </c>
    </row>
    <row r="4224" spans="1:11" x14ac:dyDescent="0.25">
      <c r="A4224" t="s">
        <v>87</v>
      </c>
    </row>
    <row r="4225" spans="1:11" x14ac:dyDescent="0.25">
      <c r="A4225">
        <v>1201</v>
      </c>
      <c r="B4225">
        <v>0</v>
      </c>
      <c r="C4225">
        <v>4.5270573404616403</v>
      </c>
      <c r="D4225">
        <v>6.1227367459457103</v>
      </c>
      <c r="E4225">
        <v>6</v>
      </c>
      <c r="F4225">
        <v>1.01722196789785</v>
      </c>
      <c r="G4225" t="s">
        <v>85</v>
      </c>
      <c r="H4225" t="s">
        <v>85</v>
      </c>
      <c r="I4225">
        <v>65</v>
      </c>
      <c r="J4225">
        <v>1187</v>
      </c>
      <c r="K4225">
        <v>9.5961381564156997E-2</v>
      </c>
    </row>
    <row r="4226" spans="1:11" x14ac:dyDescent="0.25">
      <c r="A4226" t="s">
        <v>86</v>
      </c>
    </row>
    <row r="4227" spans="1:11" x14ac:dyDescent="0.25">
      <c r="A4227">
        <v>37.0813088822647</v>
      </c>
      <c r="B4227">
        <v>31.894733212839199</v>
      </c>
      <c r="C4227">
        <v>2000</v>
      </c>
    </row>
    <row r="4228" spans="1:11" x14ac:dyDescent="0.25">
      <c r="A4228">
        <v>33.880195938003901</v>
      </c>
      <c r="B4228">
        <v>28.693620268578499</v>
      </c>
      <c r="C4228">
        <v>2000</v>
      </c>
    </row>
    <row r="4229" spans="1:11" x14ac:dyDescent="0.25">
      <c r="A4229">
        <v>34.754227986901498</v>
      </c>
      <c r="B4229">
        <v>28.693620268578499</v>
      </c>
      <c r="C4229">
        <v>2001</v>
      </c>
    </row>
    <row r="4230" spans="1:11" x14ac:dyDescent="0.25">
      <c r="A4230">
        <v>37.955340931162297</v>
      </c>
      <c r="B4230">
        <v>31.894733212839199</v>
      </c>
      <c r="C4230">
        <v>2001</v>
      </c>
    </row>
    <row r="4231" spans="1:11" x14ac:dyDescent="0.25">
      <c r="A4231">
        <v>42.284769603640598</v>
      </c>
      <c r="B4231">
        <v>36.2241618853175</v>
      </c>
      <c r="C4231">
        <v>2001</v>
      </c>
    </row>
    <row r="4232" spans="1:11" x14ac:dyDescent="0.25">
      <c r="A4232">
        <v>41.410737554742902</v>
      </c>
      <c r="B4232">
        <v>36.2241618853175</v>
      </c>
      <c r="C4232">
        <v>2000</v>
      </c>
    </row>
    <row r="4233" spans="1:11" x14ac:dyDescent="0.25">
      <c r="A4233" t="s">
        <v>87</v>
      </c>
    </row>
    <row r="4234" spans="1:11" x14ac:dyDescent="0.25">
      <c r="A4234">
        <v>356</v>
      </c>
      <c r="B4234">
        <v>0</v>
      </c>
      <c r="C4234">
        <v>6.7869466601464001</v>
      </c>
      <c r="D4234">
        <v>3.8212140747080801</v>
      </c>
      <c r="E4234">
        <v>6</v>
      </c>
      <c r="F4234">
        <v>1.01722196789785</v>
      </c>
      <c r="G4234" t="s">
        <v>89</v>
      </c>
      <c r="H4234" t="s">
        <v>85</v>
      </c>
      <c r="I4234">
        <v>360</v>
      </c>
      <c r="J4234">
        <v>387</v>
      </c>
      <c r="K4234">
        <v>0</v>
      </c>
    </row>
    <row r="4235" spans="1:11" x14ac:dyDescent="0.25">
      <c r="A4235" t="s">
        <v>86</v>
      </c>
    </row>
    <row r="4236" spans="1:11" x14ac:dyDescent="0.25">
      <c r="A4236">
        <v>45.7028735437111</v>
      </c>
      <c r="B4236">
        <v>89.268401014282205</v>
      </c>
      <c r="C4236">
        <v>2000</v>
      </c>
    </row>
    <row r="4237" spans="1:11" x14ac:dyDescent="0.25">
      <c r="A4237">
        <v>40.7639792945632</v>
      </c>
      <c r="B4237">
        <v>84.329506765134298</v>
      </c>
      <c r="C4237">
        <v>2000</v>
      </c>
    </row>
    <row r="4238" spans="1:11" x14ac:dyDescent="0.25">
      <c r="A4238">
        <v>41.200995319012002</v>
      </c>
      <c r="B4238">
        <v>83.892490740685503</v>
      </c>
      <c r="C4238">
        <v>2001</v>
      </c>
    </row>
    <row r="4239" spans="1:11" x14ac:dyDescent="0.25">
      <c r="A4239">
        <v>45.860293083745901</v>
      </c>
      <c r="B4239">
        <v>88.551788505419395</v>
      </c>
      <c r="C4239">
        <v>2001</v>
      </c>
    </row>
    <row r="4240" spans="1:11" x14ac:dyDescent="0.25">
      <c r="A4240">
        <v>48.483589698320102</v>
      </c>
      <c r="B4240">
        <v>91.175085119993597</v>
      </c>
      <c r="C4240">
        <v>2001</v>
      </c>
    </row>
    <row r="4241" spans="1:11" x14ac:dyDescent="0.25">
      <c r="A4241">
        <v>48.483589698320102</v>
      </c>
      <c r="B4241">
        <v>92.0491171688912</v>
      </c>
      <c r="C4241">
        <v>2000</v>
      </c>
    </row>
    <row r="4242" spans="1:11" x14ac:dyDescent="0.25">
      <c r="A4242" t="s">
        <v>87</v>
      </c>
    </row>
    <row r="4243" spans="1:11" x14ac:dyDescent="0.25">
      <c r="A4243">
        <v>976</v>
      </c>
      <c r="B4243">
        <v>1</v>
      </c>
      <c r="C4243">
        <v>4.02347033060623</v>
      </c>
      <c r="D4243">
        <v>6.5345967540663699</v>
      </c>
      <c r="E4243">
        <v>6</v>
      </c>
      <c r="F4243">
        <v>1.01722196789785</v>
      </c>
      <c r="G4243" t="s">
        <v>85</v>
      </c>
      <c r="H4243" t="s">
        <v>85</v>
      </c>
      <c r="I4243">
        <v>594</v>
      </c>
      <c r="J4243">
        <v>588</v>
      </c>
      <c r="K4243">
        <v>9.2813824447879903E-2</v>
      </c>
    </row>
    <row r="4244" spans="1:11" x14ac:dyDescent="0.25">
      <c r="A4244" t="s">
        <v>86</v>
      </c>
    </row>
    <row r="4245" spans="1:11" x14ac:dyDescent="0.25">
      <c r="A4245">
        <v>110.618524421294</v>
      </c>
      <c r="B4245">
        <v>73.734742639471804</v>
      </c>
      <c r="C4245">
        <v>2000</v>
      </c>
    </row>
    <row r="4246" spans="1:11" x14ac:dyDescent="0.25">
      <c r="A4246">
        <v>107.77350126662</v>
      </c>
      <c r="B4246">
        <v>76.579765794146297</v>
      </c>
      <c r="C4246">
        <v>2000</v>
      </c>
    </row>
    <row r="4247" spans="1:11" x14ac:dyDescent="0.25">
      <c r="A4247">
        <v>107.77350126662</v>
      </c>
      <c r="B4247">
        <v>77.453797843044001</v>
      </c>
      <c r="C4247">
        <v>2001</v>
      </c>
    </row>
    <row r="4248" spans="1:11" x14ac:dyDescent="0.25">
      <c r="A4248">
        <v>110.618524421294</v>
      </c>
      <c r="B4248">
        <v>74.608774688369394</v>
      </c>
      <c r="C4248">
        <v>2001</v>
      </c>
    </row>
    <row r="4249" spans="1:11" x14ac:dyDescent="0.25">
      <c r="A4249">
        <v>115.23918209841401</v>
      </c>
      <c r="B4249">
        <v>69.9881170112495</v>
      </c>
      <c r="C4249">
        <v>2001</v>
      </c>
    </row>
    <row r="4250" spans="1:11" x14ac:dyDescent="0.25">
      <c r="A4250">
        <v>115.23918209841401</v>
      </c>
      <c r="B4250">
        <v>69.114084962351896</v>
      </c>
      <c r="C4250">
        <v>2000</v>
      </c>
    </row>
    <row r="4251" spans="1:11" x14ac:dyDescent="0.25">
      <c r="A4251" t="s">
        <v>87</v>
      </c>
    </row>
    <row r="4252" spans="1:11" x14ac:dyDescent="0.25">
      <c r="A4252">
        <v>773</v>
      </c>
      <c r="B4252">
        <v>1</v>
      </c>
      <c r="C4252">
        <v>5.0233657542118797</v>
      </c>
      <c r="D4252">
        <v>5.4910420686124599</v>
      </c>
      <c r="E4252">
        <v>6</v>
      </c>
      <c r="F4252">
        <v>1.01722196789785</v>
      </c>
      <c r="G4252" t="s">
        <v>85</v>
      </c>
      <c r="H4252" t="s">
        <v>85</v>
      </c>
      <c r="I4252">
        <v>30</v>
      </c>
      <c r="J4252">
        <v>36</v>
      </c>
      <c r="K4252">
        <v>8.8948032773117705E-2</v>
      </c>
    </row>
    <row r="4253" spans="1:11" x14ac:dyDescent="0.25">
      <c r="A4253" t="s">
        <v>86</v>
      </c>
    </row>
    <row r="4254" spans="1:11" x14ac:dyDescent="0.25">
      <c r="A4254">
        <v>24.093781399584302</v>
      </c>
      <c r="B4254">
        <v>20.305738731420899</v>
      </c>
      <c r="C4254">
        <v>2000</v>
      </c>
    </row>
    <row r="4255" spans="1:11" x14ac:dyDescent="0.25">
      <c r="A4255">
        <v>20.541725410400801</v>
      </c>
      <c r="B4255">
        <v>23.857794720604399</v>
      </c>
      <c r="C4255">
        <v>2000</v>
      </c>
    </row>
    <row r="4256" spans="1:11" x14ac:dyDescent="0.25">
      <c r="A4256">
        <v>20.541725410400801</v>
      </c>
      <c r="B4256">
        <v>22.9837626717067</v>
      </c>
      <c r="C4256">
        <v>2001</v>
      </c>
    </row>
    <row r="4257" spans="1:11" x14ac:dyDescent="0.25">
      <c r="A4257">
        <v>24.093781399584302</v>
      </c>
      <c r="B4257">
        <v>19.431706682523199</v>
      </c>
      <c r="C4257">
        <v>2001</v>
      </c>
    </row>
    <row r="4258" spans="1:11" x14ac:dyDescent="0.25">
      <c r="A4258">
        <v>27.976534482080702</v>
      </c>
      <c r="B4258">
        <v>15.548953600026699</v>
      </c>
      <c r="C4258">
        <v>2001</v>
      </c>
    </row>
    <row r="4259" spans="1:11" x14ac:dyDescent="0.25">
      <c r="A4259">
        <v>27.976534482080702</v>
      </c>
      <c r="B4259">
        <v>16.422985648924399</v>
      </c>
      <c r="C4259">
        <v>2000</v>
      </c>
    </row>
    <row r="4260" spans="1:11" x14ac:dyDescent="0.25">
      <c r="A4260" t="s">
        <v>87</v>
      </c>
    </row>
    <row r="4261" spans="1:11" x14ac:dyDescent="0.25">
      <c r="A4261">
        <v>474</v>
      </c>
      <c r="B4261">
        <v>1</v>
      </c>
      <c r="C4261">
        <v>4.7532910537340696</v>
      </c>
      <c r="D4261">
        <v>5.7141027991987201</v>
      </c>
      <c r="E4261">
        <v>6</v>
      </c>
      <c r="F4261">
        <v>1.01722196789785</v>
      </c>
      <c r="G4261" t="s">
        <v>85</v>
      </c>
      <c r="H4261" t="s">
        <v>85</v>
      </c>
      <c r="I4261">
        <v>426</v>
      </c>
      <c r="J4261">
        <v>431</v>
      </c>
      <c r="K4261">
        <v>0</v>
      </c>
    </row>
    <row r="4262" spans="1:11" x14ac:dyDescent="0.25">
      <c r="A4262" t="s">
        <v>86</v>
      </c>
    </row>
    <row r="4263" spans="1:11" x14ac:dyDescent="0.25">
      <c r="A4263">
        <v>78.766765517288704</v>
      </c>
      <c r="B4263">
        <v>25.259728931737101</v>
      </c>
      <c r="C4263">
        <v>2000</v>
      </c>
    </row>
    <row r="4264" spans="1:11" x14ac:dyDescent="0.25">
      <c r="A4264">
        <v>75.207230220188606</v>
      </c>
      <c r="B4264">
        <v>28.819264228837199</v>
      </c>
      <c r="C4264">
        <v>2000</v>
      </c>
    </row>
    <row r="4265" spans="1:11" x14ac:dyDescent="0.25">
      <c r="A4265">
        <v>76.081262269086196</v>
      </c>
      <c r="B4265">
        <v>28.819264228837199</v>
      </c>
      <c r="C4265">
        <v>2001</v>
      </c>
    </row>
    <row r="4266" spans="1:11" x14ac:dyDescent="0.25">
      <c r="A4266">
        <v>79.243895646083502</v>
      </c>
      <c r="B4266">
        <v>25.6566308518399</v>
      </c>
      <c r="C4266">
        <v>2001</v>
      </c>
    </row>
    <row r="4267" spans="1:11" x14ac:dyDescent="0.25">
      <c r="A4267">
        <v>83.0458114193966</v>
      </c>
      <c r="B4267">
        <v>21.854715078526901</v>
      </c>
      <c r="C4267">
        <v>2001</v>
      </c>
    </row>
    <row r="4268" spans="1:11" x14ac:dyDescent="0.25">
      <c r="A4268">
        <v>83.0458114193966</v>
      </c>
      <c r="B4268">
        <v>20.980683029629201</v>
      </c>
      <c r="C4268">
        <v>2000</v>
      </c>
    </row>
    <row r="4269" spans="1:11" x14ac:dyDescent="0.25">
      <c r="A4269" t="s">
        <v>87</v>
      </c>
    </row>
    <row r="4270" spans="1:11" x14ac:dyDescent="0.25">
      <c r="A4270">
        <v>397</v>
      </c>
      <c r="B4270">
        <v>1</v>
      </c>
      <c r="C4270">
        <v>3.47531437031058</v>
      </c>
      <c r="D4270">
        <v>6.9872638019153497</v>
      </c>
      <c r="E4270">
        <v>6</v>
      </c>
      <c r="F4270">
        <v>1.01722196789785</v>
      </c>
      <c r="G4270" t="s">
        <v>89</v>
      </c>
      <c r="H4270" t="s">
        <v>89</v>
      </c>
      <c r="I4270">
        <v>393</v>
      </c>
      <c r="J4270">
        <v>378</v>
      </c>
      <c r="K4270">
        <v>0</v>
      </c>
    </row>
    <row r="4271" spans="1:11" x14ac:dyDescent="0.25">
      <c r="A4271" t="s">
        <v>86</v>
      </c>
    </row>
    <row r="4272" spans="1:11" x14ac:dyDescent="0.25">
      <c r="A4272">
        <v>30.497334803225002</v>
      </c>
      <c r="B4272">
        <v>58.246144827108701</v>
      </c>
      <c r="C4272">
        <v>2000</v>
      </c>
    </row>
    <row r="4273" spans="1:11" x14ac:dyDescent="0.25">
      <c r="A4273">
        <v>28.039916445223302</v>
      </c>
      <c r="B4273">
        <v>60.703563185110397</v>
      </c>
      <c r="C4273">
        <v>2000</v>
      </c>
    </row>
    <row r="4274" spans="1:11" x14ac:dyDescent="0.25">
      <c r="A4274">
        <v>28.4769324696721</v>
      </c>
      <c r="B4274">
        <v>61.140579209559199</v>
      </c>
      <c r="C4274">
        <v>2001</v>
      </c>
    </row>
    <row r="4275" spans="1:11" x14ac:dyDescent="0.25">
      <c r="A4275">
        <v>30.9343508276738</v>
      </c>
      <c r="B4275">
        <v>58.683160851557503</v>
      </c>
      <c r="C4275">
        <v>2001</v>
      </c>
    </row>
    <row r="4276" spans="1:11" x14ac:dyDescent="0.25">
      <c r="A4276">
        <v>35.875092443947402</v>
      </c>
      <c r="B4276">
        <v>53.742419235283897</v>
      </c>
      <c r="C4276">
        <v>2001</v>
      </c>
    </row>
    <row r="4277" spans="1:11" x14ac:dyDescent="0.25">
      <c r="A4277">
        <v>35.4380764194986</v>
      </c>
      <c r="B4277">
        <v>53.305403210835102</v>
      </c>
      <c r="C4277">
        <v>2000</v>
      </c>
    </row>
    <row r="4278" spans="1:11" x14ac:dyDescent="0.25">
      <c r="A4278" t="s">
        <v>87</v>
      </c>
    </row>
    <row r="4279" spans="1:11" x14ac:dyDescent="0.25">
      <c r="A4279">
        <v>230</v>
      </c>
      <c r="B4279">
        <v>1</v>
      </c>
      <c r="C4279">
        <v>2.9082261607077098</v>
      </c>
      <c r="D4279">
        <v>7.5202483209388502</v>
      </c>
      <c r="E4279">
        <v>6</v>
      </c>
      <c r="F4279">
        <v>1.01722196789785</v>
      </c>
      <c r="G4279" t="s">
        <v>85</v>
      </c>
      <c r="H4279" t="s">
        <v>85</v>
      </c>
      <c r="I4279">
        <v>184</v>
      </c>
      <c r="J4279">
        <v>727</v>
      </c>
      <c r="K4279">
        <v>0</v>
      </c>
    </row>
    <row r="4280" spans="1:11" x14ac:dyDescent="0.25">
      <c r="A4280" t="s">
        <v>86</v>
      </c>
    </row>
    <row r="4281" spans="1:11" x14ac:dyDescent="0.25">
      <c r="A4281">
        <v>63.294534484527297</v>
      </c>
      <c r="B4281">
        <v>115.09295866409001</v>
      </c>
      <c r="C4281">
        <v>2000</v>
      </c>
    </row>
    <row r="4282" spans="1:11" x14ac:dyDescent="0.25">
      <c r="A4282">
        <v>61.238108045066802</v>
      </c>
      <c r="B4282">
        <v>117.149385103551</v>
      </c>
      <c r="C4282">
        <v>2000</v>
      </c>
    </row>
    <row r="4283" spans="1:11" x14ac:dyDescent="0.25">
      <c r="A4283">
        <v>61.238108045066802</v>
      </c>
      <c r="B4283">
        <v>116.275353054653</v>
      </c>
      <c r="C4283">
        <v>2001</v>
      </c>
    </row>
    <row r="4284" spans="1:11" x14ac:dyDescent="0.25">
      <c r="A4284">
        <v>63.294534484527297</v>
      </c>
      <c r="B4284">
        <v>114.218926615193</v>
      </c>
      <c r="C4284">
        <v>2001</v>
      </c>
    </row>
    <row r="4285" spans="1:11" x14ac:dyDescent="0.25">
      <c r="A4285">
        <v>68.612153068469894</v>
      </c>
      <c r="B4285">
        <v>108.90130803125</v>
      </c>
      <c r="C4285">
        <v>2001</v>
      </c>
    </row>
    <row r="4286" spans="1:11" x14ac:dyDescent="0.25">
      <c r="A4286">
        <v>68.612153068469894</v>
      </c>
      <c r="B4286">
        <v>109.775340080148</v>
      </c>
      <c r="C4286">
        <v>2000</v>
      </c>
    </row>
    <row r="4287" spans="1:11" x14ac:dyDescent="0.25">
      <c r="A4287" t="s">
        <v>87</v>
      </c>
    </row>
    <row r="4288" spans="1:11" x14ac:dyDescent="0.25">
      <c r="A4288">
        <v>854</v>
      </c>
      <c r="B4288">
        <v>1</v>
      </c>
      <c r="C4288">
        <v>1.1558899156131901</v>
      </c>
      <c r="D4288">
        <v>9.2725845660333697</v>
      </c>
      <c r="E4288">
        <v>6</v>
      </c>
      <c r="F4288">
        <v>1.01722196789785</v>
      </c>
      <c r="G4288" t="s">
        <v>85</v>
      </c>
      <c r="H4288" t="s">
        <v>85</v>
      </c>
      <c r="I4288">
        <v>184</v>
      </c>
      <c r="J4288">
        <v>727</v>
      </c>
      <c r="K4288">
        <v>9.0645505931922193E-2</v>
      </c>
    </row>
    <row r="4289" spans="1:11" x14ac:dyDescent="0.25">
      <c r="A4289" t="s">
        <v>86</v>
      </c>
    </row>
    <row r="4290" spans="1:11" x14ac:dyDescent="0.25">
      <c r="A4290">
        <v>62.862237727679897</v>
      </c>
      <c r="B4290">
        <v>117.13883959089399</v>
      </c>
      <c r="C4290">
        <v>2000</v>
      </c>
    </row>
    <row r="4291" spans="1:11" x14ac:dyDescent="0.25">
      <c r="A4291">
        <v>62.044900130044702</v>
      </c>
      <c r="B4291">
        <v>117.956177188529</v>
      </c>
      <c r="C4291">
        <v>2000</v>
      </c>
    </row>
    <row r="4292" spans="1:11" x14ac:dyDescent="0.25">
      <c r="A4292">
        <v>62.918932178942299</v>
      </c>
      <c r="B4292">
        <v>117.956177188529</v>
      </c>
      <c r="C4292">
        <v>2001</v>
      </c>
    </row>
    <row r="4293" spans="1:11" x14ac:dyDescent="0.25">
      <c r="A4293">
        <v>63.736269776577601</v>
      </c>
      <c r="B4293">
        <v>117.13883959089399</v>
      </c>
      <c r="C4293">
        <v>2001</v>
      </c>
    </row>
    <row r="4294" spans="1:11" x14ac:dyDescent="0.25">
      <c r="A4294">
        <v>70.292977202345497</v>
      </c>
      <c r="B4294">
        <v>110.582132165126</v>
      </c>
      <c r="C4294">
        <v>2001</v>
      </c>
    </row>
    <row r="4295" spans="1:11" x14ac:dyDescent="0.25">
      <c r="A4295">
        <v>69.418945153447893</v>
      </c>
      <c r="B4295">
        <v>110.582132165126</v>
      </c>
      <c r="C4295">
        <v>2000</v>
      </c>
    </row>
    <row r="4296" spans="1:11" x14ac:dyDescent="0.25">
      <c r="A4296" t="s">
        <v>87</v>
      </c>
    </row>
    <row r="4297" spans="1:11" x14ac:dyDescent="0.25">
      <c r="A4297">
        <v>904</v>
      </c>
      <c r="B4297">
        <v>1</v>
      </c>
      <c r="C4297">
        <v>9.9520182872253393</v>
      </c>
      <c r="D4297">
        <v>0.476456194421225</v>
      </c>
      <c r="E4297">
        <v>6</v>
      </c>
      <c r="F4297">
        <v>1.01722196789785</v>
      </c>
      <c r="G4297" t="s">
        <v>85</v>
      </c>
      <c r="H4297" t="s">
        <v>85</v>
      </c>
      <c r="I4297">
        <v>184</v>
      </c>
      <c r="J4297">
        <v>727</v>
      </c>
      <c r="K4297">
        <v>9.1667699418773299E-2</v>
      </c>
    </row>
    <row r="4298" spans="1:11" x14ac:dyDescent="0.25">
      <c r="A4298" t="s">
        <v>86</v>
      </c>
    </row>
    <row r="4299" spans="1:11" x14ac:dyDescent="0.25">
      <c r="A4299">
        <v>69.028855659546707</v>
      </c>
      <c r="B4299">
        <v>110.865853483252</v>
      </c>
      <c r="C4299">
        <v>2000</v>
      </c>
    </row>
    <row r="4300" spans="1:11" x14ac:dyDescent="0.25">
      <c r="A4300">
        <v>61.991716042157101</v>
      </c>
      <c r="B4300">
        <v>117.902993100641</v>
      </c>
      <c r="C4300">
        <v>2000</v>
      </c>
    </row>
    <row r="4301" spans="1:11" x14ac:dyDescent="0.25">
      <c r="A4301">
        <v>61.991716042157101</v>
      </c>
      <c r="B4301">
        <v>117.02896105174401</v>
      </c>
      <c r="C4301">
        <v>2001</v>
      </c>
    </row>
    <row r="4302" spans="1:11" x14ac:dyDescent="0.25">
      <c r="A4302">
        <v>69.028855659546707</v>
      </c>
      <c r="B4302">
        <v>109.99182143435399</v>
      </c>
      <c r="C4302">
        <v>2001</v>
      </c>
    </row>
    <row r="4303" spans="1:11" x14ac:dyDescent="0.25">
      <c r="A4303">
        <v>69.365761065560307</v>
      </c>
      <c r="B4303">
        <v>109.65491602834</v>
      </c>
      <c r="C4303">
        <v>2001</v>
      </c>
    </row>
    <row r="4304" spans="1:11" x14ac:dyDescent="0.25">
      <c r="A4304">
        <v>69.365761065560307</v>
      </c>
      <c r="B4304">
        <v>110.528948077238</v>
      </c>
      <c r="C4304">
        <v>2000</v>
      </c>
    </row>
    <row r="4305" spans="1:11" x14ac:dyDescent="0.25">
      <c r="A4305" t="s">
        <v>87</v>
      </c>
    </row>
    <row r="4306" spans="1:11" x14ac:dyDescent="0.25">
      <c r="A4306">
        <v>953</v>
      </c>
      <c r="B4306">
        <v>0</v>
      </c>
      <c r="C4306">
        <v>6.4370026146710897</v>
      </c>
      <c r="D4306">
        <v>3.98967511060266</v>
      </c>
      <c r="E4306">
        <v>6</v>
      </c>
      <c r="F4306">
        <v>1.01722196789785</v>
      </c>
      <c r="G4306" t="s">
        <v>85</v>
      </c>
      <c r="H4306" t="s">
        <v>88</v>
      </c>
      <c r="I4306">
        <v>557</v>
      </c>
      <c r="J4306">
        <v>0</v>
      </c>
      <c r="K4306">
        <v>9.2594931978171202E-2</v>
      </c>
    </row>
    <row r="4307" spans="1:11" x14ac:dyDescent="0.25">
      <c r="A4307" t="s">
        <v>86</v>
      </c>
    </row>
    <row r="4308" spans="1:11" x14ac:dyDescent="0.25">
      <c r="A4308">
        <v>147.34609395331401</v>
      </c>
      <c r="B4308">
        <v>122.576179108891</v>
      </c>
      <c r="C4308">
        <v>2000</v>
      </c>
    </row>
    <row r="4309" spans="1:11" x14ac:dyDescent="0.25">
      <c r="A4309">
        <v>143.06424149966099</v>
      </c>
      <c r="B4309">
        <v>118.294326655238</v>
      </c>
      <c r="C4309">
        <v>2000</v>
      </c>
    </row>
    <row r="4310" spans="1:11" x14ac:dyDescent="0.25">
      <c r="A4310">
        <v>142.19020945076301</v>
      </c>
      <c r="B4310">
        <v>118.294326655238</v>
      </c>
      <c r="C4310">
        <v>2001</v>
      </c>
    </row>
    <row r="4311" spans="1:11" x14ac:dyDescent="0.25">
      <c r="A4311">
        <v>147.01165339580999</v>
      </c>
      <c r="B4311">
        <v>123.11577060028399</v>
      </c>
      <c r="C4311">
        <v>2001</v>
      </c>
    </row>
    <row r="4312" spans="1:11" x14ac:dyDescent="0.25">
      <c r="A4312">
        <v>150</v>
      </c>
      <c r="B4312">
        <v>126.104117204475</v>
      </c>
      <c r="C4312">
        <v>2001</v>
      </c>
    </row>
    <row r="4313" spans="1:11" x14ac:dyDescent="0.25">
      <c r="A4313">
        <v>150</v>
      </c>
      <c r="B4313">
        <v>125.230085155577</v>
      </c>
      <c r="C4313">
        <v>2000</v>
      </c>
    </row>
    <row r="4314" spans="1:11" x14ac:dyDescent="0.25">
      <c r="A4314" t="s">
        <v>87</v>
      </c>
    </row>
    <row r="4315" spans="1:11" x14ac:dyDescent="0.25">
      <c r="A4315">
        <v>1131</v>
      </c>
      <c r="B4315">
        <v>1</v>
      </c>
      <c r="C4315">
        <v>4.1971378029196797</v>
      </c>
      <c r="D4315">
        <v>6.20012155378868</v>
      </c>
      <c r="E4315">
        <v>6</v>
      </c>
      <c r="F4315">
        <v>1.01722196789785</v>
      </c>
      <c r="G4315" t="s">
        <v>85</v>
      </c>
      <c r="H4315" t="s">
        <v>85</v>
      </c>
      <c r="I4315">
        <v>735</v>
      </c>
      <c r="J4315">
        <v>276</v>
      </c>
      <c r="K4315">
        <v>9.5129269803373898E-2</v>
      </c>
    </row>
    <row r="4316" spans="1:11" x14ac:dyDescent="0.25">
      <c r="A4316" t="s">
        <v>86</v>
      </c>
    </row>
    <row r="4317" spans="1:11" x14ac:dyDescent="0.25">
      <c r="A4317">
        <v>25.040949427003799</v>
      </c>
      <c r="B4317">
        <v>133.817092515506</v>
      </c>
      <c r="C4317">
        <v>2000</v>
      </c>
    </row>
    <row r="4318" spans="1:11" x14ac:dyDescent="0.25">
      <c r="A4318">
        <v>22.249538282971098</v>
      </c>
      <c r="B4318">
        <v>136.608503659539</v>
      </c>
      <c r="C4318">
        <v>2000</v>
      </c>
    </row>
    <row r="4319" spans="1:11" x14ac:dyDescent="0.25">
      <c r="A4319">
        <v>21.375506234073399</v>
      </c>
      <c r="B4319">
        <v>136.608503659539</v>
      </c>
      <c r="C4319">
        <v>2001</v>
      </c>
    </row>
    <row r="4320" spans="1:11" x14ac:dyDescent="0.25">
      <c r="A4320">
        <v>24.5197442940785</v>
      </c>
      <c r="B4320">
        <v>133.464265599534</v>
      </c>
      <c r="C4320">
        <v>2001</v>
      </c>
    </row>
    <row r="4321" spans="1:11" x14ac:dyDescent="0.25">
      <c r="A4321">
        <v>29.164494855406002</v>
      </c>
      <c r="B4321">
        <v>128.81951503820699</v>
      </c>
      <c r="C4321">
        <v>2001</v>
      </c>
    </row>
    <row r="4322" spans="1:11" x14ac:dyDescent="0.25">
      <c r="A4322">
        <v>29.164494855406002</v>
      </c>
      <c r="B4322">
        <v>129.69354708710401</v>
      </c>
      <c r="C4322">
        <v>2000</v>
      </c>
    </row>
    <row r="4323" spans="1:11" x14ac:dyDescent="0.25">
      <c r="A4323" t="s">
        <v>87</v>
      </c>
    </row>
    <row r="4324" spans="1:11" x14ac:dyDescent="0.25">
      <c r="A4324">
        <v>890</v>
      </c>
      <c r="B4324">
        <v>1</v>
      </c>
      <c r="C4324">
        <v>9.8888231543661593</v>
      </c>
      <c r="D4324">
        <v>0.508436202342196</v>
      </c>
      <c r="E4324">
        <v>6</v>
      </c>
      <c r="F4324">
        <v>1.01722196789785</v>
      </c>
      <c r="G4324" t="s">
        <v>85</v>
      </c>
      <c r="H4324" t="s">
        <v>85</v>
      </c>
      <c r="I4324">
        <v>735</v>
      </c>
      <c r="J4324">
        <v>276</v>
      </c>
      <c r="K4324">
        <v>9.142164214173E-2</v>
      </c>
    </row>
    <row r="4325" spans="1:11" x14ac:dyDescent="0.25">
      <c r="A4325" t="s">
        <v>86</v>
      </c>
    </row>
    <row r="4326" spans="1:11" x14ac:dyDescent="0.25">
      <c r="A4326">
        <v>29.3446000697407</v>
      </c>
      <c r="B4326">
        <v>130.549948648087</v>
      </c>
      <c r="C4326">
        <v>2000</v>
      </c>
    </row>
    <row r="4327" spans="1:11" x14ac:dyDescent="0.25">
      <c r="A4327">
        <v>22.7677916706301</v>
      </c>
      <c r="B4327">
        <v>137.126757047198</v>
      </c>
      <c r="C4327">
        <v>2000</v>
      </c>
    </row>
    <row r="4328" spans="1:11" x14ac:dyDescent="0.25">
      <c r="A4328">
        <v>21.8937596217324</v>
      </c>
      <c r="B4328">
        <v>137.126757047198</v>
      </c>
      <c r="C4328">
        <v>2001</v>
      </c>
    </row>
    <row r="4329" spans="1:11" x14ac:dyDescent="0.25">
      <c r="A4329">
        <v>29.301859043435499</v>
      </c>
      <c r="B4329">
        <v>129.71865762549501</v>
      </c>
      <c r="C4329">
        <v>2001</v>
      </c>
    </row>
    <row r="4330" spans="1:11" x14ac:dyDescent="0.25">
      <c r="A4330">
        <v>29.682748243064999</v>
      </c>
      <c r="B4330">
        <v>129.33776842586599</v>
      </c>
      <c r="C4330">
        <v>2001</v>
      </c>
    </row>
    <row r="4331" spans="1:11" x14ac:dyDescent="0.25">
      <c r="A4331">
        <v>29.682748243064999</v>
      </c>
      <c r="B4331">
        <v>130.21180047476301</v>
      </c>
      <c r="C4331">
        <v>2000</v>
      </c>
    </row>
    <row r="4332" spans="1:11" x14ac:dyDescent="0.25">
      <c r="A4332" t="s">
        <v>87</v>
      </c>
    </row>
    <row r="4333" spans="1:11" x14ac:dyDescent="0.25">
      <c r="A4333">
        <v>509</v>
      </c>
      <c r="B4333">
        <v>0</v>
      </c>
      <c r="C4333">
        <v>7.9307082305076104</v>
      </c>
      <c r="D4333">
        <v>2.4558333801828098</v>
      </c>
      <c r="E4333">
        <v>6</v>
      </c>
      <c r="F4333">
        <v>1.01722196789785</v>
      </c>
      <c r="G4333" t="s">
        <v>85</v>
      </c>
      <c r="H4333" t="s">
        <v>88</v>
      </c>
      <c r="I4333">
        <v>750</v>
      </c>
      <c r="J4333">
        <v>0</v>
      </c>
      <c r="K4333">
        <v>0</v>
      </c>
    </row>
    <row r="4334" spans="1:11" x14ac:dyDescent="0.25">
      <c r="A4334" t="s">
        <v>86</v>
      </c>
    </row>
    <row r="4335" spans="1:11" x14ac:dyDescent="0.25">
      <c r="A4335">
        <v>113.451900204624</v>
      </c>
      <c r="B4335">
        <v>148.16013383338401</v>
      </c>
      <c r="C4335">
        <v>2000</v>
      </c>
    </row>
    <row r="4336" spans="1:11" x14ac:dyDescent="0.25">
      <c r="A4336">
        <v>107.510356340795</v>
      </c>
      <c r="B4336">
        <v>142.21858996955601</v>
      </c>
      <c r="C4336">
        <v>2000</v>
      </c>
    </row>
    <row r="4337" spans="1:11" x14ac:dyDescent="0.25">
      <c r="A4337">
        <v>107.510356340795</v>
      </c>
      <c r="B4337">
        <v>143.092622018453</v>
      </c>
      <c r="C4337">
        <v>2001</v>
      </c>
    </row>
    <row r="4338" spans="1:11" x14ac:dyDescent="0.25">
      <c r="A4338">
        <v>112.784527615774</v>
      </c>
      <c r="B4338">
        <v>148.36679329343301</v>
      </c>
      <c r="C4338">
        <v>2001</v>
      </c>
    </row>
    <row r="4339" spans="1:11" x14ac:dyDescent="0.25">
      <c r="A4339">
        <v>114.417734322342</v>
      </c>
      <c r="B4339">
        <v>150</v>
      </c>
      <c r="C4339">
        <v>2001</v>
      </c>
    </row>
    <row r="4340" spans="1:11" x14ac:dyDescent="0.25">
      <c r="A4340">
        <v>115.29176637123901</v>
      </c>
      <c r="B4340">
        <v>150</v>
      </c>
      <c r="C4340">
        <v>2000</v>
      </c>
    </row>
    <row r="4341" spans="1:11" x14ac:dyDescent="0.25">
      <c r="A4341" t="s">
        <v>87</v>
      </c>
    </row>
    <row r="4342" spans="1:11" x14ac:dyDescent="0.25">
      <c r="A4342">
        <v>712</v>
      </c>
      <c r="B4342">
        <v>1</v>
      </c>
      <c r="C4342">
        <v>5.9586624396569601</v>
      </c>
      <c r="D4342">
        <v>4.4125603227085897</v>
      </c>
      <c r="E4342">
        <v>6</v>
      </c>
      <c r="F4342">
        <v>1.01722196789785</v>
      </c>
      <c r="G4342" t="s">
        <v>85</v>
      </c>
      <c r="H4342" t="s">
        <v>85</v>
      </c>
      <c r="I4342">
        <v>855</v>
      </c>
      <c r="J4342">
        <v>758</v>
      </c>
      <c r="K4342">
        <v>0</v>
      </c>
    </row>
    <row r="4343" spans="1:11" x14ac:dyDescent="0.25">
      <c r="A4343" t="s">
        <v>86</v>
      </c>
    </row>
    <row r="4344" spans="1:11" x14ac:dyDescent="0.25">
      <c r="A4344">
        <v>61.829077281897597</v>
      </c>
      <c r="B4344">
        <v>74.230019392573695</v>
      </c>
      <c r="C4344">
        <v>2000</v>
      </c>
    </row>
    <row r="4345" spans="1:11" x14ac:dyDescent="0.25">
      <c r="A4345">
        <v>57.364584315281299</v>
      </c>
      <c r="B4345">
        <v>78.69451235919</v>
      </c>
      <c r="C4345">
        <v>2000</v>
      </c>
    </row>
    <row r="4346" spans="1:11" x14ac:dyDescent="0.25">
      <c r="A4346">
        <v>58.238616364178903</v>
      </c>
      <c r="B4346">
        <v>78.69451235919</v>
      </c>
      <c r="C4346">
        <v>2001</v>
      </c>
    </row>
    <row r="4347" spans="1:11" x14ac:dyDescent="0.25">
      <c r="A4347">
        <v>62.200944633328596</v>
      </c>
      <c r="B4347">
        <v>74.732184090040406</v>
      </c>
      <c r="C4347">
        <v>2001</v>
      </c>
    </row>
    <row r="4348" spans="1:11" x14ac:dyDescent="0.25">
      <c r="A4348">
        <v>65.135162284195005</v>
      </c>
      <c r="B4348">
        <v>71.797966439173905</v>
      </c>
      <c r="C4348">
        <v>2001</v>
      </c>
    </row>
    <row r="4349" spans="1:11" x14ac:dyDescent="0.25">
      <c r="A4349">
        <v>65.135162284195005</v>
      </c>
      <c r="B4349">
        <v>70.923934390276301</v>
      </c>
      <c r="C4349">
        <v>2000</v>
      </c>
    </row>
    <row r="4350" spans="1:11" x14ac:dyDescent="0.25">
      <c r="A4350" t="s">
        <v>87</v>
      </c>
    </row>
    <row r="4351" spans="1:11" x14ac:dyDescent="0.25">
      <c r="A4351">
        <v>718</v>
      </c>
      <c r="B4351">
        <v>1</v>
      </c>
      <c r="C4351">
        <v>5.0663071366916803</v>
      </c>
      <c r="D4351">
        <v>5.3041363534936403</v>
      </c>
      <c r="E4351">
        <v>6</v>
      </c>
      <c r="F4351">
        <v>1.01722196789785</v>
      </c>
      <c r="G4351" t="s">
        <v>89</v>
      </c>
      <c r="H4351" t="s">
        <v>85</v>
      </c>
      <c r="I4351">
        <v>699</v>
      </c>
      <c r="J4351">
        <v>661</v>
      </c>
      <c r="K4351">
        <v>0</v>
      </c>
    </row>
    <row r="4352" spans="1:11" x14ac:dyDescent="0.25">
      <c r="A4352" t="s">
        <v>86</v>
      </c>
    </row>
    <row r="4353" spans="1:11" x14ac:dyDescent="0.25">
      <c r="A4353">
        <v>95.988908778903905</v>
      </c>
      <c r="B4353">
        <v>59.930617911666801</v>
      </c>
      <c r="C4353">
        <v>2000</v>
      </c>
    </row>
    <row r="4354" spans="1:11" x14ac:dyDescent="0.25">
      <c r="A4354">
        <v>92.513237090550206</v>
      </c>
      <c r="B4354">
        <v>63.4062896000206</v>
      </c>
      <c r="C4354">
        <v>2000</v>
      </c>
    </row>
    <row r="4355" spans="1:11" x14ac:dyDescent="0.25">
      <c r="A4355">
        <v>92.076221066101397</v>
      </c>
      <c r="B4355">
        <v>62.969273575571798</v>
      </c>
      <c r="C4355">
        <v>2001</v>
      </c>
    </row>
    <row r="4356" spans="1:11" x14ac:dyDescent="0.25">
      <c r="A4356">
        <v>95.7653896416046</v>
      </c>
      <c r="B4356">
        <v>59.280105000068602</v>
      </c>
      <c r="C4356">
        <v>2001</v>
      </c>
    </row>
    <row r="4357" spans="1:11" x14ac:dyDescent="0.25">
      <c r="A4357">
        <v>99.627739994147703</v>
      </c>
      <c r="B4357">
        <v>55.417754647525499</v>
      </c>
      <c r="C4357">
        <v>2001</v>
      </c>
    </row>
    <row r="4358" spans="1:11" x14ac:dyDescent="0.25">
      <c r="A4358">
        <v>99.627739994147703</v>
      </c>
      <c r="B4358">
        <v>56.291786696423102</v>
      </c>
      <c r="C4358">
        <v>2000</v>
      </c>
    </row>
    <row r="4359" spans="1:11" x14ac:dyDescent="0.25">
      <c r="A4359" t="s">
        <v>87</v>
      </c>
    </row>
    <row r="4360" spans="1:11" x14ac:dyDescent="0.25">
      <c r="A4360">
        <v>731</v>
      </c>
      <c r="B4360">
        <v>1</v>
      </c>
      <c r="C4360">
        <v>5.6897681966738904</v>
      </c>
      <c r="D4360">
        <v>4.6782697292042901</v>
      </c>
      <c r="E4360">
        <v>6</v>
      </c>
      <c r="F4360">
        <v>1.01722196789785</v>
      </c>
      <c r="G4360" t="s">
        <v>85</v>
      </c>
      <c r="H4360" t="s">
        <v>85</v>
      </c>
      <c r="I4360">
        <v>729</v>
      </c>
      <c r="J4360">
        <v>196</v>
      </c>
      <c r="K4360">
        <v>8.8948032773117705E-2</v>
      </c>
    </row>
    <row r="4361" spans="1:11" x14ac:dyDescent="0.25">
      <c r="A4361" t="s">
        <v>86</v>
      </c>
    </row>
    <row r="4362" spans="1:11" x14ac:dyDescent="0.25">
      <c r="A4362">
        <v>71.338910262732796</v>
      </c>
      <c r="B4362">
        <v>117.952296914511</v>
      </c>
      <c r="C4362">
        <v>2000</v>
      </c>
    </row>
    <row r="4363" spans="1:11" x14ac:dyDescent="0.25">
      <c r="A4363">
        <v>67.315636587485201</v>
      </c>
      <c r="B4363">
        <v>121.97557058975799</v>
      </c>
      <c r="C4363">
        <v>2000</v>
      </c>
    </row>
    <row r="4364" spans="1:11" x14ac:dyDescent="0.25">
      <c r="A4364">
        <v>68.189668636382805</v>
      </c>
      <c r="B4364">
        <v>121.97557058975799</v>
      </c>
      <c r="C4364">
        <v>2001</v>
      </c>
    </row>
    <row r="4365" spans="1:11" x14ac:dyDescent="0.25">
      <c r="A4365">
        <v>72.2129423116304</v>
      </c>
      <c r="B4365">
        <v>117.952296914511</v>
      </c>
      <c r="C4365">
        <v>2001</v>
      </c>
    </row>
    <row r="4366" spans="1:11" x14ac:dyDescent="0.25">
      <c r="A4366">
        <v>75.520978561370498</v>
      </c>
      <c r="B4366">
        <v>114.64426066477</v>
      </c>
      <c r="C4366">
        <v>2001</v>
      </c>
    </row>
    <row r="4367" spans="1:11" x14ac:dyDescent="0.25">
      <c r="A4367">
        <v>74.646946512472894</v>
      </c>
      <c r="B4367">
        <v>114.64426066477</v>
      </c>
      <c r="C4367">
        <v>2000</v>
      </c>
    </row>
    <row r="4368" spans="1:11" x14ac:dyDescent="0.25">
      <c r="A4368" t="s">
        <v>87</v>
      </c>
    </row>
    <row r="4369" spans="1:11" x14ac:dyDescent="0.25">
      <c r="A4369">
        <v>662</v>
      </c>
      <c r="B4369">
        <v>0</v>
      </c>
      <c r="C4369">
        <v>2.2810164601157501</v>
      </c>
      <c r="D4369">
        <v>8.0491854418779702</v>
      </c>
      <c r="E4369">
        <v>6</v>
      </c>
      <c r="F4369">
        <v>1.01722196789785</v>
      </c>
      <c r="G4369" t="s">
        <v>89</v>
      </c>
      <c r="H4369" t="s">
        <v>85</v>
      </c>
      <c r="I4369">
        <v>839</v>
      </c>
      <c r="J4369">
        <v>713</v>
      </c>
      <c r="K4369">
        <v>0</v>
      </c>
    </row>
    <row r="4370" spans="1:11" x14ac:dyDescent="0.25">
      <c r="A4370" t="s">
        <v>86</v>
      </c>
    </row>
    <row r="4371" spans="1:11" x14ac:dyDescent="0.25">
      <c r="A4371">
        <v>70.447148484601598</v>
      </c>
      <c r="B4371">
        <v>61.193824548105397</v>
      </c>
      <c r="C4371">
        <v>2000</v>
      </c>
    </row>
    <row r="4372" spans="1:11" x14ac:dyDescent="0.25">
      <c r="A4372">
        <v>68.882475128673207</v>
      </c>
      <c r="B4372">
        <v>59.629151192176998</v>
      </c>
      <c r="C4372">
        <v>2000</v>
      </c>
    </row>
    <row r="4373" spans="1:11" x14ac:dyDescent="0.25">
      <c r="A4373">
        <v>69.319491153122001</v>
      </c>
      <c r="B4373">
        <v>59.192135167728203</v>
      </c>
      <c r="C4373">
        <v>2001</v>
      </c>
    </row>
    <row r="4374" spans="1:11" x14ac:dyDescent="0.25">
      <c r="A4374">
        <v>70.980662211085601</v>
      </c>
      <c r="B4374">
        <v>60.853306225691803</v>
      </c>
      <c r="C4374">
        <v>2001</v>
      </c>
    </row>
    <row r="4375" spans="1:11" x14ac:dyDescent="0.25">
      <c r="A4375">
        <v>76.8425549812724</v>
      </c>
      <c r="B4375">
        <v>66.715198995878595</v>
      </c>
      <c r="C4375">
        <v>2001</v>
      </c>
    </row>
    <row r="4376" spans="1:11" x14ac:dyDescent="0.25">
      <c r="A4376">
        <v>75.968522932374697</v>
      </c>
      <c r="B4376">
        <v>66.715198995878595</v>
      </c>
      <c r="C4376">
        <v>2000</v>
      </c>
    </row>
    <row r="4377" spans="1:11" x14ac:dyDescent="0.25">
      <c r="A4377" t="s">
        <v>87</v>
      </c>
    </row>
    <row r="4378" spans="1:11" x14ac:dyDescent="0.25">
      <c r="A4378">
        <v>671</v>
      </c>
      <c r="B4378">
        <v>0</v>
      </c>
      <c r="C4378">
        <v>0.67616287879189896</v>
      </c>
      <c r="D4378">
        <v>9.5923762817277805</v>
      </c>
      <c r="E4378">
        <v>6</v>
      </c>
      <c r="F4378">
        <v>1.01722196789785</v>
      </c>
      <c r="G4378" t="s">
        <v>85</v>
      </c>
      <c r="H4378" t="s">
        <v>85</v>
      </c>
      <c r="I4378">
        <v>706</v>
      </c>
      <c r="J4378">
        <v>702</v>
      </c>
      <c r="K4378">
        <v>0</v>
      </c>
    </row>
    <row r="4379" spans="1:11" x14ac:dyDescent="0.25">
      <c r="A4379" t="s">
        <v>86</v>
      </c>
    </row>
    <row r="4380" spans="1:11" x14ac:dyDescent="0.25">
      <c r="A4380">
        <v>73.9499619058749</v>
      </c>
      <c r="B4380">
        <v>76.1289636517172</v>
      </c>
      <c r="C4380">
        <v>2000</v>
      </c>
    </row>
    <row r="4381" spans="1:11" x14ac:dyDescent="0.25">
      <c r="A4381">
        <v>73.443065913143698</v>
      </c>
      <c r="B4381">
        <v>75.622067658985998</v>
      </c>
      <c r="C4381">
        <v>2000</v>
      </c>
    </row>
    <row r="4382" spans="1:11" x14ac:dyDescent="0.25">
      <c r="A4382">
        <v>74.317097962041302</v>
      </c>
      <c r="B4382">
        <v>75.622067658985998</v>
      </c>
      <c r="C4382">
        <v>2001</v>
      </c>
    </row>
    <row r="4383" spans="1:11" x14ac:dyDescent="0.25">
      <c r="A4383">
        <v>74.766440682870794</v>
      </c>
      <c r="B4383">
        <v>76.071410379815504</v>
      </c>
      <c r="C4383">
        <v>2001</v>
      </c>
    </row>
    <row r="4384" spans="1:11" x14ac:dyDescent="0.25">
      <c r="A4384">
        <v>81.141035610875605</v>
      </c>
      <c r="B4384">
        <v>82.4460053078203</v>
      </c>
      <c r="C4384">
        <v>2001</v>
      </c>
    </row>
    <row r="4385" spans="1:11" x14ac:dyDescent="0.25">
      <c r="A4385">
        <v>81.141035610875605</v>
      </c>
      <c r="B4385">
        <v>83.320037356717904</v>
      </c>
      <c r="C4385">
        <v>2000</v>
      </c>
    </row>
    <row r="4386" spans="1:11" x14ac:dyDescent="0.25">
      <c r="A4386" t="s">
        <v>87</v>
      </c>
    </row>
    <row r="4387" spans="1:11" x14ac:dyDescent="0.25">
      <c r="A4387">
        <v>878</v>
      </c>
      <c r="B4387">
        <v>0</v>
      </c>
      <c r="C4387">
        <v>1.49170642288183</v>
      </c>
      <c r="D4387">
        <v>8.7768327376378501</v>
      </c>
      <c r="E4387">
        <v>6</v>
      </c>
      <c r="F4387">
        <v>1.01722196789785</v>
      </c>
      <c r="G4387" t="s">
        <v>85</v>
      </c>
      <c r="H4387" t="s">
        <v>85</v>
      </c>
      <c r="I4387">
        <v>706</v>
      </c>
      <c r="J4387">
        <v>702</v>
      </c>
      <c r="K4387">
        <v>9.1169371169763397E-2</v>
      </c>
    </row>
    <row r="4388" spans="1:11" x14ac:dyDescent="0.25">
      <c r="A4388" t="s">
        <v>86</v>
      </c>
    </row>
    <row r="4389" spans="1:11" x14ac:dyDescent="0.25">
      <c r="A4389">
        <v>72.817249200010195</v>
      </c>
      <c r="B4389">
        <v>78.484446099498697</v>
      </c>
      <c r="C4389">
        <v>2000</v>
      </c>
    </row>
    <row r="4390" spans="1:11" x14ac:dyDescent="0.25">
      <c r="A4390">
        <v>71.698968336320604</v>
      </c>
      <c r="B4390">
        <v>77.366165235809106</v>
      </c>
      <c r="C4390">
        <v>2000</v>
      </c>
    </row>
    <row r="4391" spans="1:11" x14ac:dyDescent="0.25">
      <c r="A4391">
        <v>72.573000385218194</v>
      </c>
      <c r="B4391">
        <v>77.366165235809106</v>
      </c>
      <c r="C4391">
        <v>2001</v>
      </c>
    </row>
    <row r="4392" spans="1:11" x14ac:dyDescent="0.25">
      <c r="A4392">
        <v>73.564310975847206</v>
      </c>
      <c r="B4392">
        <v>78.357475826438105</v>
      </c>
      <c r="C4392">
        <v>2001</v>
      </c>
    </row>
    <row r="4393" spans="1:11" x14ac:dyDescent="0.25">
      <c r="A4393">
        <v>79.396938034052496</v>
      </c>
      <c r="B4393">
        <v>84.190102884643395</v>
      </c>
      <c r="C4393">
        <v>2001</v>
      </c>
    </row>
    <row r="4394" spans="1:11" x14ac:dyDescent="0.25">
      <c r="A4394">
        <v>79.396938034052496</v>
      </c>
      <c r="B4394">
        <v>85.064134933540998</v>
      </c>
      <c r="C4394">
        <v>2000</v>
      </c>
    </row>
    <row r="4395" spans="1:11" x14ac:dyDescent="0.25">
      <c r="A4395" t="s">
        <v>87</v>
      </c>
    </row>
    <row r="4396" spans="1:11" x14ac:dyDescent="0.25">
      <c r="A4396">
        <v>23</v>
      </c>
      <c r="B4396">
        <v>0</v>
      </c>
      <c r="C4396">
        <v>1.8536875455456501</v>
      </c>
      <c r="D4396">
        <v>8.3431977248600706</v>
      </c>
      <c r="E4396">
        <v>6</v>
      </c>
      <c r="F4396">
        <v>1.01722196789785</v>
      </c>
      <c r="G4396" t="s">
        <v>88</v>
      </c>
      <c r="H4396" t="s">
        <v>89</v>
      </c>
      <c r="I4396">
        <v>0</v>
      </c>
      <c r="J4396">
        <v>19</v>
      </c>
      <c r="K4396">
        <v>0</v>
      </c>
    </row>
    <row r="4397" spans="1:11" x14ac:dyDescent="0.25">
      <c r="A4397" t="s">
        <v>86</v>
      </c>
    </row>
    <row r="4398" spans="1:11" x14ac:dyDescent="0.25">
      <c r="A4398">
        <v>30.627897786143599</v>
      </c>
      <c r="B4398">
        <v>1.2710325527103701</v>
      </c>
      <c r="C4398">
        <v>2000</v>
      </c>
    </row>
    <row r="4399" spans="1:11" x14ac:dyDescent="0.25">
      <c r="A4399">
        <v>29.3568652334333</v>
      </c>
      <c r="B4399">
        <v>0</v>
      </c>
      <c r="C4399">
        <v>2000</v>
      </c>
    </row>
    <row r="4400" spans="1:11" x14ac:dyDescent="0.25">
      <c r="A4400">
        <v>28.4828331845356</v>
      </c>
      <c r="B4400">
        <v>0</v>
      </c>
      <c r="C4400">
        <v>2001</v>
      </c>
    </row>
    <row r="4401" spans="1:11" x14ac:dyDescent="0.25">
      <c r="A4401">
        <v>29.833310699138</v>
      </c>
      <c r="B4401">
        <v>1.35047751460238</v>
      </c>
      <c r="C4401">
        <v>2001</v>
      </c>
    </row>
    <row r="4402" spans="1:11" x14ac:dyDescent="0.25">
      <c r="A4402">
        <v>35.911627918445099</v>
      </c>
      <c r="B4402">
        <v>7.4287947339095197</v>
      </c>
      <c r="C4402">
        <v>2001</v>
      </c>
    </row>
    <row r="4403" spans="1:11" x14ac:dyDescent="0.25">
      <c r="A4403">
        <v>36.348643942894</v>
      </c>
      <c r="B4403">
        <v>6.9917787094606902</v>
      </c>
      <c r="C4403">
        <v>2000</v>
      </c>
    </row>
    <row r="4404" spans="1:11" x14ac:dyDescent="0.25">
      <c r="A4404" t="s">
        <v>87</v>
      </c>
    </row>
    <row r="4405" spans="1:11" x14ac:dyDescent="0.25">
      <c r="A4405">
        <v>225</v>
      </c>
      <c r="B4405">
        <v>1</v>
      </c>
      <c r="C4405">
        <v>3.6119976454382199</v>
      </c>
      <c r="D4405">
        <v>6.5813621069424304</v>
      </c>
      <c r="E4405">
        <v>6</v>
      </c>
      <c r="F4405">
        <v>1.01722196789785</v>
      </c>
      <c r="G4405" t="s">
        <v>89</v>
      </c>
      <c r="H4405" t="s">
        <v>85</v>
      </c>
      <c r="I4405">
        <v>206</v>
      </c>
      <c r="J4405">
        <v>181</v>
      </c>
      <c r="K4405">
        <v>0</v>
      </c>
    </row>
    <row r="4406" spans="1:11" x14ac:dyDescent="0.25">
      <c r="A4406" t="s">
        <v>86</v>
      </c>
    </row>
    <row r="4407" spans="1:11" x14ac:dyDescent="0.25">
      <c r="A4407">
        <v>65.839460668615402</v>
      </c>
      <c r="B4407">
        <v>141.735029878376</v>
      </c>
      <c r="C4407">
        <v>2000</v>
      </c>
    </row>
    <row r="4408" spans="1:11" x14ac:dyDescent="0.25">
      <c r="A4408">
        <v>63.207964741260497</v>
      </c>
      <c r="B4408">
        <v>144.36652580572999</v>
      </c>
      <c r="C4408">
        <v>2000</v>
      </c>
    </row>
    <row r="4409" spans="1:11" x14ac:dyDescent="0.25">
      <c r="A4409">
        <v>63.644980765709398</v>
      </c>
      <c r="B4409">
        <v>144.803541830179</v>
      </c>
      <c r="C4409">
        <v>2001</v>
      </c>
    </row>
    <row r="4410" spans="1:11" x14ac:dyDescent="0.25">
      <c r="A4410">
        <v>66.121620895792901</v>
      </c>
      <c r="B4410">
        <v>142.32690170009599</v>
      </c>
      <c r="C4410">
        <v>2001</v>
      </c>
    </row>
    <row r="4411" spans="1:11" x14ac:dyDescent="0.25">
      <c r="A4411">
        <v>70.634266557467299</v>
      </c>
      <c r="B4411">
        <v>137.81425603842101</v>
      </c>
      <c r="C4411">
        <v>2001</v>
      </c>
    </row>
    <row r="4412" spans="1:11" x14ac:dyDescent="0.25">
      <c r="A4412">
        <v>70.634266557467299</v>
      </c>
      <c r="B4412">
        <v>136.94022398952399</v>
      </c>
      <c r="C4412">
        <v>2000</v>
      </c>
    </row>
    <row r="4413" spans="1:11" x14ac:dyDescent="0.25">
      <c r="A4413" t="s">
        <v>87</v>
      </c>
    </row>
    <row r="4414" spans="1:11" x14ac:dyDescent="0.25">
      <c r="A4414">
        <v>922</v>
      </c>
      <c r="B4414">
        <v>0</v>
      </c>
      <c r="C4414">
        <v>8.4905384645839792</v>
      </c>
      <c r="D4414">
        <v>1.6517074502870299</v>
      </c>
      <c r="E4414">
        <v>6</v>
      </c>
      <c r="F4414">
        <v>1.01722196789785</v>
      </c>
      <c r="G4414" t="s">
        <v>85</v>
      </c>
      <c r="H4414" t="s">
        <v>85</v>
      </c>
      <c r="I4414">
        <v>466</v>
      </c>
      <c r="J4414">
        <v>470</v>
      </c>
      <c r="K4414">
        <v>9.1907793175489E-2</v>
      </c>
    </row>
    <row r="4415" spans="1:11" x14ac:dyDescent="0.25">
      <c r="A4415" t="s">
        <v>86</v>
      </c>
    </row>
    <row r="4416" spans="1:11" x14ac:dyDescent="0.25">
      <c r="A4416">
        <v>94.429295020587901</v>
      </c>
      <c r="B4416">
        <v>41.089028707482299</v>
      </c>
      <c r="C4416">
        <v>2000</v>
      </c>
    </row>
    <row r="4417" spans="1:11" x14ac:dyDescent="0.25">
      <c r="A4417">
        <v>88.059731571506205</v>
      </c>
      <c r="B4417">
        <v>34.719465258400596</v>
      </c>
      <c r="C4417">
        <v>2000</v>
      </c>
    </row>
    <row r="4418" spans="1:11" x14ac:dyDescent="0.25">
      <c r="A4418">
        <v>88.933763620403894</v>
      </c>
      <c r="B4418">
        <v>34.719465258400596</v>
      </c>
      <c r="C4418">
        <v>2001</v>
      </c>
    </row>
    <row r="4419" spans="1:11" x14ac:dyDescent="0.25">
      <c r="A4419">
        <v>94.571634819787306</v>
      </c>
      <c r="B4419">
        <v>40.357336457784101</v>
      </c>
      <c r="C4419">
        <v>2001</v>
      </c>
    </row>
    <row r="4420" spans="1:11" x14ac:dyDescent="0.25">
      <c r="A4420">
        <v>95.668398458821898</v>
      </c>
      <c r="B4420">
        <v>41.454100096818699</v>
      </c>
      <c r="C4420">
        <v>2001</v>
      </c>
    </row>
    <row r="4421" spans="1:11" x14ac:dyDescent="0.25">
      <c r="A4421">
        <v>95.668398458821898</v>
      </c>
      <c r="B4421">
        <v>42.328132145716303</v>
      </c>
      <c r="C4421">
        <v>2000</v>
      </c>
    </row>
    <row r="4422" spans="1:11" x14ac:dyDescent="0.25">
      <c r="A4422" t="s">
        <v>87</v>
      </c>
    </row>
    <row r="4423" spans="1:11" x14ac:dyDescent="0.25">
      <c r="A4423">
        <v>435</v>
      </c>
      <c r="B4423">
        <v>0</v>
      </c>
      <c r="C4423">
        <v>1.80734222882059</v>
      </c>
      <c r="D4423">
        <v>8.3349036860504206</v>
      </c>
      <c r="E4423">
        <v>6</v>
      </c>
      <c r="F4423">
        <v>1.01722196789785</v>
      </c>
      <c r="G4423" t="s">
        <v>85</v>
      </c>
      <c r="H4423" t="s">
        <v>85</v>
      </c>
      <c r="I4423">
        <v>466</v>
      </c>
      <c r="J4423">
        <v>470</v>
      </c>
      <c r="K4423">
        <v>0</v>
      </c>
    </row>
    <row r="4424" spans="1:11" x14ac:dyDescent="0.25">
      <c r="A4424" t="s">
        <v>86</v>
      </c>
    </row>
    <row r="4425" spans="1:11" x14ac:dyDescent="0.25">
      <c r="A4425">
        <v>90.755451380045798</v>
      </c>
      <c r="B4425">
        <v>34.735465336343303</v>
      </c>
      <c r="C4425">
        <v>2000</v>
      </c>
    </row>
    <row r="4426" spans="1:11" x14ac:dyDescent="0.25">
      <c r="A4426">
        <v>89.399591436804599</v>
      </c>
      <c r="B4426">
        <v>33.379605393102203</v>
      </c>
      <c r="C4426">
        <v>2000</v>
      </c>
    </row>
    <row r="4427" spans="1:11" x14ac:dyDescent="0.25">
      <c r="A4427">
        <v>90.273623485702302</v>
      </c>
      <c r="B4427">
        <v>33.379605393102203</v>
      </c>
      <c r="C4427">
        <v>2001</v>
      </c>
    </row>
    <row r="4428" spans="1:11" x14ac:dyDescent="0.25">
      <c r="A4428">
        <v>91.473731434308903</v>
      </c>
      <c r="B4428">
        <v>34.579713341708803</v>
      </c>
      <c r="C4428">
        <v>2001</v>
      </c>
    </row>
    <row r="4429" spans="1:11" x14ac:dyDescent="0.25">
      <c r="A4429">
        <v>97.008258324120305</v>
      </c>
      <c r="B4429">
        <v>40.114240231520199</v>
      </c>
      <c r="C4429">
        <v>2001</v>
      </c>
    </row>
    <row r="4430" spans="1:11" x14ac:dyDescent="0.25">
      <c r="A4430">
        <v>97.008258324120305</v>
      </c>
      <c r="B4430">
        <v>40.988272280417902</v>
      </c>
      <c r="C4430">
        <v>2000</v>
      </c>
    </row>
    <row r="4431" spans="1:11" x14ac:dyDescent="0.25">
      <c r="A4431" t="s">
        <v>87</v>
      </c>
    </row>
    <row r="4432" spans="1:11" x14ac:dyDescent="0.25">
      <c r="A4432">
        <v>1049</v>
      </c>
      <c r="B4432">
        <v>0</v>
      </c>
      <c r="C4432">
        <v>8.3041358774694594</v>
      </c>
      <c r="D4432">
        <v>1.83811003740155</v>
      </c>
      <c r="E4432">
        <v>6</v>
      </c>
      <c r="F4432">
        <v>1.01722196789785</v>
      </c>
      <c r="G4432" t="s">
        <v>85</v>
      </c>
      <c r="H4432" t="s">
        <v>85</v>
      </c>
      <c r="I4432">
        <v>466</v>
      </c>
      <c r="J4432">
        <v>470</v>
      </c>
      <c r="K4432">
        <v>9.4036209728977305E-2</v>
      </c>
    </row>
    <row r="4433" spans="1:11" x14ac:dyDescent="0.25">
      <c r="A4433" t="s">
        <v>86</v>
      </c>
    </row>
    <row r="4434" spans="1:11" x14ac:dyDescent="0.25">
      <c r="A4434">
        <v>94.086804806714596</v>
      </c>
      <c r="B4434">
        <v>41.151842170428303</v>
      </c>
      <c r="C4434">
        <v>2000</v>
      </c>
    </row>
    <row r="4435" spans="1:11" x14ac:dyDescent="0.25">
      <c r="A4435">
        <v>87.857079733096597</v>
      </c>
      <c r="B4435">
        <v>34.922117096810297</v>
      </c>
      <c r="C4435">
        <v>2000</v>
      </c>
    </row>
    <row r="4436" spans="1:11" x14ac:dyDescent="0.25">
      <c r="A4436">
        <v>87.857079733096597</v>
      </c>
      <c r="B4436">
        <v>35.796149145707901</v>
      </c>
      <c r="C4436">
        <v>2001</v>
      </c>
    </row>
    <row r="4437" spans="1:11" x14ac:dyDescent="0.25">
      <c r="A4437">
        <v>93.371176241184799</v>
      </c>
      <c r="B4437">
        <v>41.310245653796201</v>
      </c>
      <c r="C4437">
        <v>2001</v>
      </c>
    </row>
    <row r="4438" spans="1:11" x14ac:dyDescent="0.25">
      <c r="A4438">
        <v>94.591714571514601</v>
      </c>
      <c r="B4438">
        <v>42.530783984126003</v>
      </c>
      <c r="C4438">
        <v>2001</v>
      </c>
    </row>
    <row r="4439" spans="1:11" x14ac:dyDescent="0.25">
      <c r="A4439">
        <v>95.465746620412204</v>
      </c>
      <c r="B4439">
        <v>42.530783984126003</v>
      </c>
      <c r="C4439">
        <v>2000</v>
      </c>
    </row>
    <row r="4440" spans="1:11" x14ac:dyDescent="0.25">
      <c r="A4440" t="s">
        <v>87</v>
      </c>
    </row>
    <row r="4441" spans="1:11" x14ac:dyDescent="0.25">
      <c r="A4441">
        <v>476</v>
      </c>
      <c r="B4441">
        <v>1</v>
      </c>
      <c r="C4441">
        <v>9.0179649008846994</v>
      </c>
      <c r="D4441">
        <v>1.0512572897081101</v>
      </c>
      <c r="E4441">
        <v>6</v>
      </c>
      <c r="F4441">
        <v>1.01722196789785</v>
      </c>
      <c r="G4441" t="s">
        <v>85</v>
      </c>
      <c r="H4441" t="s">
        <v>89</v>
      </c>
      <c r="I4441">
        <v>845</v>
      </c>
      <c r="J4441">
        <v>479</v>
      </c>
      <c r="K4441">
        <v>0</v>
      </c>
    </row>
    <row r="4442" spans="1:11" x14ac:dyDescent="0.25">
      <c r="A4442" t="s">
        <v>86</v>
      </c>
    </row>
    <row r="4443" spans="1:11" x14ac:dyDescent="0.25">
      <c r="A4443">
        <v>63.070234169378402</v>
      </c>
      <c r="B4443">
        <v>3.5537205153946601</v>
      </c>
      <c r="C4443">
        <v>2000</v>
      </c>
    </row>
    <row r="4444" spans="1:11" x14ac:dyDescent="0.25">
      <c r="A4444">
        <v>56.497874921428497</v>
      </c>
      <c r="B4444">
        <v>10.126079763344499</v>
      </c>
      <c r="C4444">
        <v>2000</v>
      </c>
    </row>
    <row r="4445" spans="1:11" x14ac:dyDescent="0.25">
      <c r="A4445">
        <v>57.371906970326201</v>
      </c>
      <c r="B4445">
        <v>10.126079763344499</v>
      </c>
      <c r="C4445">
        <v>2001</v>
      </c>
    </row>
    <row r="4446" spans="1:11" x14ac:dyDescent="0.25">
      <c r="A4446">
        <v>63.552875990212002</v>
      </c>
      <c r="B4446">
        <v>3.9451107434587001</v>
      </c>
      <c r="C4446">
        <v>2001</v>
      </c>
    </row>
    <row r="4447" spans="1:11" x14ac:dyDescent="0.25">
      <c r="A4447">
        <v>64.273414250344004</v>
      </c>
      <c r="B4447">
        <v>3.22457248332669</v>
      </c>
      <c r="C4447">
        <v>2001</v>
      </c>
    </row>
    <row r="4448" spans="1:11" x14ac:dyDescent="0.25">
      <c r="A4448">
        <v>63.836398225895202</v>
      </c>
      <c r="B4448">
        <v>2.7875564588778698</v>
      </c>
      <c r="C4448">
        <v>2000</v>
      </c>
    </row>
    <row r="4449" spans="1:11" x14ac:dyDescent="0.25">
      <c r="A4449" t="s">
        <v>87</v>
      </c>
    </row>
    <row r="4450" spans="1:11" x14ac:dyDescent="0.25">
      <c r="A4450">
        <v>767</v>
      </c>
      <c r="B4450">
        <v>1</v>
      </c>
      <c r="C4450">
        <v>7.3833911817329296</v>
      </c>
      <c r="D4450">
        <v>2.68583100885989</v>
      </c>
      <c r="E4450">
        <v>6</v>
      </c>
      <c r="F4450">
        <v>1.01722196789785</v>
      </c>
      <c r="G4450" t="s">
        <v>85</v>
      </c>
      <c r="H4450" t="s">
        <v>89</v>
      </c>
      <c r="I4450">
        <v>845</v>
      </c>
      <c r="J4450">
        <v>479</v>
      </c>
      <c r="K4450">
        <v>8.8948032773117705E-2</v>
      </c>
    </row>
    <row r="4451" spans="1:11" x14ac:dyDescent="0.25">
      <c r="A4451" t="s">
        <v>86</v>
      </c>
    </row>
    <row r="4452" spans="1:11" x14ac:dyDescent="0.25">
      <c r="A4452">
        <v>62.3918170197161</v>
      </c>
      <c r="B4452">
        <v>5.2578820999807103</v>
      </c>
      <c r="C4452">
        <v>2000</v>
      </c>
    </row>
    <row r="4453" spans="1:11" x14ac:dyDescent="0.25">
      <c r="A4453">
        <v>57.010747138890402</v>
      </c>
      <c r="B4453">
        <v>10.6389519808064</v>
      </c>
      <c r="C4453">
        <v>2000</v>
      </c>
    </row>
    <row r="4454" spans="1:11" x14ac:dyDescent="0.25">
      <c r="A4454">
        <v>57.884779187788098</v>
      </c>
      <c r="B4454">
        <v>10.6389519808064</v>
      </c>
      <c r="C4454">
        <v>2001</v>
      </c>
    </row>
    <row r="4455" spans="1:11" x14ac:dyDescent="0.25">
      <c r="A4455">
        <v>62.945401252475001</v>
      </c>
      <c r="B4455">
        <v>5.5783299161194702</v>
      </c>
      <c r="C4455">
        <v>2001</v>
      </c>
    </row>
    <row r="4456" spans="1:11" x14ac:dyDescent="0.25">
      <c r="A4456">
        <v>64.786286467805894</v>
      </c>
      <c r="B4456">
        <v>3.7374447007885698</v>
      </c>
      <c r="C4456">
        <v>2001</v>
      </c>
    </row>
    <row r="4457" spans="1:11" x14ac:dyDescent="0.25">
      <c r="A4457">
        <v>64.349270443357099</v>
      </c>
      <c r="B4457">
        <v>3.3004286763397501</v>
      </c>
      <c r="C4457">
        <v>2000</v>
      </c>
    </row>
    <row r="4458" spans="1:11" x14ac:dyDescent="0.25">
      <c r="A4458" t="s">
        <v>87</v>
      </c>
    </row>
    <row r="4459" spans="1:11" x14ac:dyDescent="0.25">
      <c r="A4459">
        <v>264</v>
      </c>
      <c r="B4459">
        <v>0</v>
      </c>
      <c r="C4459">
        <v>3.2155222083843999</v>
      </c>
      <c r="D4459">
        <v>6.8225035556667697</v>
      </c>
      <c r="E4459">
        <v>6</v>
      </c>
      <c r="F4459">
        <v>1.01722196789785</v>
      </c>
      <c r="G4459" t="s">
        <v>85</v>
      </c>
      <c r="H4459" t="s">
        <v>85</v>
      </c>
      <c r="I4459">
        <v>307</v>
      </c>
      <c r="J4459">
        <v>737</v>
      </c>
      <c r="K4459">
        <v>0</v>
      </c>
    </row>
    <row r="4460" spans="1:11" x14ac:dyDescent="0.25">
      <c r="A4460" t="s">
        <v>86</v>
      </c>
    </row>
    <row r="4461" spans="1:11" x14ac:dyDescent="0.25">
      <c r="A4461">
        <v>16.725669630200901</v>
      </c>
      <c r="B4461">
        <v>137.86933491372901</v>
      </c>
      <c r="C4461">
        <v>2000</v>
      </c>
    </row>
    <row r="4462" spans="1:11" x14ac:dyDescent="0.25">
      <c r="A4462">
        <v>14.451952071596301</v>
      </c>
      <c r="B4462">
        <v>135.595617355125</v>
      </c>
      <c r="C4462">
        <v>2000</v>
      </c>
    </row>
    <row r="4463" spans="1:11" x14ac:dyDescent="0.25">
      <c r="A4463">
        <v>13.577920022698599</v>
      </c>
      <c r="B4463">
        <v>135.595617355125</v>
      </c>
      <c r="C4463">
        <v>2001</v>
      </c>
    </row>
    <row r="4464" spans="1:11" x14ac:dyDescent="0.25">
      <c r="A4464">
        <v>15.8516375813032</v>
      </c>
      <c r="B4464">
        <v>137.86933491372901</v>
      </c>
      <c r="C4464">
        <v>2001</v>
      </c>
    </row>
    <row r="4465" spans="1:11" x14ac:dyDescent="0.25">
      <c r="A4465">
        <v>20.6758761101845</v>
      </c>
      <c r="B4465">
        <v>142.69357344261101</v>
      </c>
      <c r="C4465">
        <v>2001</v>
      </c>
    </row>
    <row r="4466" spans="1:11" x14ac:dyDescent="0.25">
      <c r="A4466">
        <v>21.5499081590822</v>
      </c>
      <c r="B4466">
        <v>142.69357344261101</v>
      </c>
      <c r="C4466">
        <v>2000</v>
      </c>
    </row>
    <row r="4467" spans="1:11" x14ac:dyDescent="0.25">
      <c r="A4467" t="s">
        <v>87</v>
      </c>
    </row>
    <row r="4468" spans="1:11" x14ac:dyDescent="0.25">
      <c r="A4468">
        <v>311</v>
      </c>
      <c r="B4468">
        <v>1</v>
      </c>
      <c r="C4468">
        <v>2.2256407113533898</v>
      </c>
      <c r="D4468">
        <v>7.8085685567816698</v>
      </c>
      <c r="E4468">
        <v>6</v>
      </c>
      <c r="F4468">
        <v>1.01722196789785</v>
      </c>
      <c r="G4468" t="s">
        <v>85</v>
      </c>
      <c r="H4468" t="s">
        <v>85</v>
      </c>
      <c r="I4468">
        <v>735</v>
      </c>
      <c r="J4468">
        <v>825</v>
      </c>
      <c r="K4468">
        <v>0</v>
      </c>
    </row>
    <row r="4469" spans="1:11" x14ac:dyDescent="0.25">
      <c r="A4469" t="s">
        <v>86</v>
      </c>
    </row>
    <row r="4470" spans="1:11" x14ac:dyDescent="0.25">
      <c r="A4470">
        <v>30.010804623810401</v>
      </c>
      <c r="B4470">
        <v>141.41610365477001</v>
      </c>
      <c r="C4470">
        <v>2000</v>
      </c>
    </row>
    <row r="4471" spans="1:11" x14ac:dyDescent="0.25">
      <c r="A4471">
        <v>28.5339714510059</v>
      </c>
      <c r="B4471">
        <v>142.892936827574</v>
      </c>
      <c r="C4471">
        <v>2000</v>
      </c>
    </row>
    <row r="4472" spans="1:11" x14ac:dyDescent="0.25">
      <c r="A4472">
        <v>28.5339714510059</v>
      </c>
      <c r="B4472">
        <v>143.76696887647199</v>
      </c>
      <c r="C4472">
        <v>2001</v>
      </c>
    </row>
    <row r="4473" spans="1:11" x14ac:dyDescent="0.25">
      <c r="A4473">
        <v>30.204669557167101</v>
      </c>
      <c r="B4473">
        <v>142.09627077031001</v>
      </c>
      <c r="C4473">
        <v>2001</v>
      </c>
    </row>
    <row r="4474" spans="1:11" x14ac:dyDescent="0.25">
      <c r="A4474">
        <v>36.066244892797897</v>
      </c>
      <c r="B4474">
        <v>136.23469543467999</v>
      </c>
      <c r="C4474">
        <v>2001</v>
      </c>
    </row>
    <row r="4475" spans="1:11" x14ac:dyDescent="0.25">
      <c r="A4475">
        <v>35.1922128439003</v>
      </c>
      <c r="B4475">
        <v>136.23469543467999</v>
      </c>
      <c r="C4475">
        <v>2000</v>
      </c>
    </row>
    <row r="4476" spans="1:11" x14ac:dyDescent="0.25">
      <c r="A4476" t="s">
        <v>87</v>
      </c>
    </row>
    <row r="4477" spans="1:11" x14ac:dyDescent="0.25">
      <c r="A4477">
        <v>864</v>
      </c>
      <c r="B4477">
        <v>1</v>
      </c>
      <c r="C4477">
        <v>8.1562684503113694</v>
      </c>
      <c r="D4477">
        <v>1.8779408178236801</v>
      </c>
      <c r="E4477">
        <v>6</v>
      </c>
      <c r="F4477">
        <v>1.01722196789785</v>
      </c>
      <c r="G4477" t="s">
        <v>85</v>
      </c>
      <c r="H4477" t="s">
        <v>85</v>
      </c>
      <c r="I4477">
        <v>735</v>
      </c>
      <c r="J4477">
        <v>825</v>
      </c>
      <c r="K4477">
        <v>9.0910684189608806E-2</v>
      </c>
    </row>
    <row r="4478" spans="1:11" x14ac:dyDescent="0.25">
      <c r="A4478" t="s">
        <v>86</v>
      </c>
    </row>
    <row r="4479" spans="1:11" x14ac:dyDescent="0.25">
      <c r="A4479">
        <v>37.977300212617102</v>
      </c>
      <c r="B4479">
        <v>141.51201372115199</v>
      </c>
      <c r="C4479">
        <v>2000</v>
      </c>
    </row>
    <row r="4480" spans="1:11" x14ac:dyDescent="0.25">
      <c r="A4480">
        <v>32.565174278600701</v>
      </c>
      <c r="B4480">
        <v>146.924139655169</v>
      </c>
      <c r="C4480">
        <v>2000</v>
      </c>
    </row>
    <row r="4481" spans="1:11" x14ac:dyDescent="0.25">
      <c r="A4481">
        <v>32.565174278600701</v>
      </c>
      <c r="B4481">
        <v>147.79817170406599</v>
      </c>
      <c r="C4481">
        <v>2001</v>
      </c>
    </row>
    <row r="4482" spans="1:11" x14ac:dyDescent="0.25">
      <c r="A4482">
        <v>38.687753805370399</v>
      </c>
      <c r="B4482">
        <v>141.67559217729701</v>
      </c>
      <c r="C4482">
        <v>2001</v>
      </c>
    </row>
    <row r="4483" spans="1:11" x14ac:dyDescent="0.25">
      <c r="A4483">
        <v>40.097447720392701</v>
      </c>
      <c r="B4483">
        <v>140.26589826227399</v>
      </c>
      <c r="C4483">
        <v>2001</v>
      </c>
    </row>
    <row r="4484" spans="1:11" x14ac:dyDescent="0.25">
      <c r="A4484">
        <v>39.223415671495097</v>
      </c>
      <c r="B4484">
        <v>140.26589826227399</v>
      </c>
      <c r="C4484">
        <v>2000</v>
      </c>
    </row>
    <row r="4485" spans="1:11" x14ac:dyDescent="0.25">
      <c r="A4485" t="s">
        <v>87</v>
      </c>
    </row>
    <row r="4486" spans="1:11" x14ac:dyDescent="0.25">
      <c r="A4486">
        <v>148</v>
      </c>
      <c r="B4486">
        <v>1</v>
      </c>
      <c r="C4486">
        <v>5.5089227209289602</v>
      </c>
      <c r="D4486">
        <v>4.4775226268285202</v>
      </c>
      <c r="E4486">
        <v>6</v>
      </c>
      <c r="F4486">
        <v>1.01722196789785</v>
      </c>
      <c r="G4486" t="s">
        <v>85</v>
      </c>
      <c r="H4486" t="s">
        <v>85</v>
      </c>
      <c r="I4486">
        <v>103</v>
      </c>
      <c r="J4486">
        <v>114</v>
      </c>
      <c r="K4486">
        <v>0</v>
      </c>
    </row>
    <row r="4487" spans="1:11" x14ac:dyDescent="0.25">
      <c r="A4487" t="s">
        <v>86</v>
      </c>
    </row>
    <row r="4488" spans="1:11" x14ac:dyDescent="0.25">
      <c r="A4488">
        <v>129.10536208426899</v>
      </c>
      <c r="B4488">
        <v>15.1248402963974</v>
      </c>
      <c r="C4488">
        <v>2000</v>
      </c>
    </row>
    <row r="4489" spans="1:11" x14ac:dyDescent="0.25">
      <c r="A4489">
        <v>125.209965471267</v>
      </c>
      <c r="B4489">
        <v>19.0202369093989</v>
      </c>
      <c r="C4489">
        <v>2000</v>
      </c>
    </row>
    <row r="4490" spans="1:11" x14ac:dyDescent="0.25">
      <c r="A4490">
        <v>124.335933422369</v>
      </c>
      <c r="B4490">
        <v>19.0202369093989</v>
      </c>
      <c r="C4490">
        <v>2001</v>
      </c>
    </row>
    <row r="4491" spans="1:11" x14ac:dyDescent="0.25">
      <c r="A4491">
        <v>128.231330035371</v>
      </c>
      <c r="B4491">
        <v>15.1248402963974</v>
      </c>
      <c r="C4491">
        <v>2001</v>
      </c>
    </row>
    <row r="4492" spans="1:11" x14ac:dyDescent="0.25">
      <c r="A4492">
        <v>131.39741664771799</v>
      </c>
      <c r="B4492">
        <v>11.9587536840507</v>
      </c>
      <c r="C4492">
        <v>2001</v>
      </c>
    </row>
    <row r="4493" spans="1:11" x14ac:dyDescent="0.25">
      <c r="A4493">
        <v>132.27144869661501</v>
      </c>
      <c r="B4493">
        <v>11.9587536840507</v>
      </c>
      <c r="C4493">
        <v>2000</v>
      </c>
    </row>
    <row r="4494" spans="1:11" x14ac:dyDescent="0.25">
      <c r="A4494" t="s">
        <v>87</v>
      </c>
    </row>
    <row r="4495" spans="1:11" x14ac:dyDescent="0.25">
      <c r="A4495">
        <v>520</v>
      </c>
      <c r="B4495">
        <v>0</v>
      </c>
      <c r="C4495">
        <v>5.760271988195</v>
      </c>
      <c r="D4495">
        <v>4.2218540484506697</v>
      </c>
      <c r="E4495">
        <v>6</v>
      </c>
      <c r="F4495">
        <v>1.01722196789785</v>
      </c>
      <c r="G4495" t="s">
        <v>85</v>
      </c>
      <c r="H4495" t="s">
        <v>85</v>
      </c>
      <c r="I4495">
        <v>836</v>
      </c>
      <c r="J4495">
        <v>545</v>
      </c>
      <c r="K4495">
        <v>0</v>
      </c>
    </row>
    <row r="4496" spans="1:11" x14ac:dyDescent="0.25">
      <c r="A4496" t="s">
        <v>86</v>
      </c>
    </row>
    <row r="4497" spans="1:11" x14ac:dyDescent="0.25">
      <c r="A4497">
        <v>125.015321913657</v>
      </c>
      <c r="B4497">
        <v>125.703699828919</v>
      </c>
      <c r="C4497">
        <v>2000</v>
      </c>
    </row>
    <row r="4498" spans="1:11" x14ac:dyDescent="0.25">
      <c r="A4498">
        <v>120.94219452932499</v>
      </c>
      <c r="B4498">
        <v>121.630572444587</v>
      </c>
      <c r="C4498">
        <v>2000</v>
      </c>
    </row>
    <row r="4499" spans="1:11" x14ac:dyDescent="0.25">
      <c r="A4499">
        <v>121.816226578223</v>
      </c>
      <c r="B4499">
        <v>121.630572444587</v>
      </c>
      <c r="C4499">
        <v>2001</v>
      </c>
    </row>
    <row r="4500" spans="1:11" x14ac:dyDescent="0.25">
      <c r="A4500">
        <v>125.88935396255501</v>
      </c>
      <c r="B4500">
        <v>125.703699828919</v>
      </c>
      <c r="C4500">
        <v>2001</v>
      </c>
    </row>
    <row r="4501" spans="1:11" x14ac:dyDescent="0.25">
      <c r="A4501">
        <v>128.874655589394</v>
      </c>
      <c r="B4501">
        <v>128.68900145575799</v>
      </c>
      <c r="C4501">
        <v>2001</v>
      </c>
    </row>
    <row r="4502" spans="1:11" x14ac:dyDescent="0.25">
      <c r="A4502">
        <v>128.00062354049601</v>
      </c>
      <c r="B4502">
        <v>128.68900145575799</v>
      </c>
      <c r="C4502">
        <v>2000</v>
      </c>
    </row>
    <row r="4503" spans="1:11" x14ac:dyDescent="0.25">
      <c r="A4503" t="s">
        <v>87</v>
      </c>
    </row>
    <row r="4504" spans="1:11" x14ac:dyDescent="0.25">
      <c r="A4504">
        <v>706</v>
      </c>
      <c r="B4504">
        <v>1</v>
      </c>
      <c r="C4504">
        <v>3.8609851951221001</v>
      </c>
      <c r="D4504">
        <v>6.09663572948641</v>
      </c>
      <c r="E4504">
        <v>6</v>
      </c>
      <c r="F4504">
        <v>1.01722196789785</v>
      </c>
      <c r="G4504" t="s">
        <v>89</v>
      </c>
      <c r="H4504" t="s">
        <v>85</v>
      </c>
      <c r="I4504">
        <v>704</v>
      </c>
      <c r="J4504">
        <v>799</v>
      </c>
      <c r="K4504">
        <v>0</v>
      </c>
    </row>
    <row r="4505" spans="1:11" x14ac:dyDescent="0.25">
      <c r="A4505" t="s">
        <v>86</v>
      </c>
    </row>
    <row r="4506" spans="1:11" x14ac:dyDescent="0.25">
      <c r="A4506">
        <v>73.383844734742496</v>
      </c>
      <c r="B4506">
        <v>75.6812888373872</v>
      </c>
      <c r="C4506">
        <v>2000</v>
      </c>
    </row>
    <row r="4507" spans="1:11" x14ac:dyDescent="0.25">
      <c r="A4507">
        <v>70.568991245848906</v>
      </c>
      <c r="B4507">
        <v>78.496142326280804</v>
      </c>
      <c r="C4507">
        <v>2000</v>
      </c>
    </row>
    <row r="4508" spans="1:11" x14ac:dyDescent="0.25">
      <c r="A4508">
        <v>71.0060072702978</v>
      </c>
      <c r="B4508">
        <v>78.933158350729599</v>
      </c>
      <c r="C4508">
        <v>2001</v>
      </c>
    </row>
    <row r="4509" spans="1:11" x14ac:dyDescent="0.25">
      <c r="A4509">
        <v>73.651411408467595</v>
      </c>
      <c r="B4509">
        <v>76.287754212559705</v>
      </c>
      <c r="C4509">
        <v>2001</v>
      </c>
    </row>
    <row r="4510" spans="1:11" x14ac:dyDescent="0.25">
      <c r="A4510">
        <v>77.828600538349093</v>
      </c>
      <c r="B4510">
        <v>72.110565082678306</v>
      </c>
      <c r="C4510">
        <v>2001</v>
      </c>
    </row>
    <row r="4511" spans="1:11" x14ac:dyDescent="0.25">
      <c r="A4511">
        <v>77.828600538349093</v>
      </c>
      <c r="B4511">
        <v>71.236533033780603</v>
      </c>
      <c r="C4511">
        <v>2000</v>
      </c>
    </row>
    <row r="4512" spans="1:11" x14ac:dyDescent="0.25">
      <c r="A4512" t="s">
        <v>87</v>
      </c>
    </row>
    <row r="4513" spans="1:11" x14ac:dyDescent="0.25">
      <c r="A4513">
        <v>1061</v>
      </c>
      <c r="B4513">
        <v>0</v>
      </c>
      <c r="C4513">
        <v>1.03883532501689</v>
      </c>
      <c r="D4513">
        <v>8.9042796544833696</v>
      </c>
      <c r="E4513">
        <v>10</v>
      </c>
      <c r="F4513">
        <v>1.01722196789785</v>
      </c>
      <c r="G4513" t="s">
        <v>85</v>
      </c>
      <c r="H4513" t="s">
        <v>85</v>
      </c>
      <c r="I4513">
        <v>67</v>
      </c>
      <c r="J4513">
        <v>1046</v>
      </c>
      <c r="K4513">
        <v>9.4036209728977305E-2</v>
      </c>
    </row>
    <row r="4514" spans="1:11" x14ac:dyDescent="0.25">
      <c r="A4514" t="s">
        <v>86</v>
      </c>
    </row>
    <row r="4515" spans="1:11" x14ac:dyDescent="0.25">
      <c r="A4515">
        <v>50.001398668027498</v>
      </c>
      <c r="B4515">
        <v>48.1492176181102</v>
      </c>
      <c r="C4515">
        <v>2000</v>
      </c>
    </row>
    <row r="4516" spans="1:11" x14ac:dyDescent="0.25">
      <c r="A4516">
        <v>49.425515027440298</v>
      </c>
      <c r="B4516">
        <v>47.573333977522999</v>
      </c>
      <c r="C4516">
        <v>2000</v>
      </c>
    </row>
    <row r="4517" spans="1:11" x14ac:dyDescent="0.25">
      <c r="A4517">
        <v>48.551482978542701</v>
      </c>
      <c r="B4517">
        <v>47.573333977522999</v>
      </c>
      <c r="C4517">
        <v>2001</v>
      </c>
    </row>
    <row r="4518" spans="1:11" x14ac:dyDescent="0.25">
      <c r="A4518">
        <v>49.444734343666603</v>
      </c>
      <c r="B4518">
        <v>48.466585342646901</v>
      </c>
      <c r="C4518">
        <v>2001</v>
      </c>
    </row>
    <row r="4519" spans="1:11" x14ac:dyDescent="0.25">
      <c r="A4519">
        <v>49.781491987775603</v>
      </c>
      <c r="B4519">
        <v>48.803342986755901</v>
      </c>
      <c r="C4519">
        <v>2001</v>
      </c>
    </row>
    <row r="4520" spans="1:11" x14ac:dyDescent="0.25">
      <c r="A4520">
        <v>51.248028881417497</v>
      </c>
      <c r="B4520">
        <v>50.269879880397802</v>
      </c>
      <c r="C4520">
        <v>2001</v>
      </c>
    </row>
    <row r="4521" spans="1:11" x14ac:dyDescent="0.25">
      <c r="A4521">
        <v>56.019343031113699</v>
      </c>
      <c r="B4521">
        <v>55.041194030093997</v>
      </c>
      <c r="C4521">
        <v>2001</v>
      </c>
    </row>
    <row r="4522" spans="1:11" x14ac:dyDescent="0.25">
      <c r="A4522">
        <v>56.019343031113699</v>
      </c>
      <c r="B4522">
        <v>54.167161981196301</v>
      </c>
      <c r="C4522">
        <v>2000</v>
      </c>
    </row>
    <row r="4523" spans="1:11" x14ac:dyDescent="0.25">
      <c r="A4523">
        <v>51.582301169519603</v>
      </c>
      <c r="B4523">
        <v>49.730120119602198</v>
      </c>
      <c r="C4523">
        <v>2000</v>
      </c>
    </row>
    <row r="4524" spans="1:11" x14ac:dyDescent="0.25">
      <c r="A4524">
        <v>50.218508012224397</v>
      </c>
      <c r="B4524">
        <v>48.366326962307099</v>
      </c>
      <c r="C4524">
        <v>2000</v>
      </c>
    </row>
    <row r="4525" spans="1:11" x14ac:dyDescent="0.25">
      <c r="A4525" t="s">
        <v>87</v>
      </c>
    </row>
    <row r="4526" spans="1:11" x14ac:dyDescent="0.25">
      <c r="A4526">
        <v>784</v>
      </c>
      <c r="B4526">
        <v>1</v>
      </c>
      <c r="C4526">
        <v>6.0977039545332099</v>
      </c>
      <c r="D4526">
        <v>3.8223098840427201</v>
      </c>
      <c r="E4526">
        <v>6</v>
      </c>
      <c r="F4526">
        <v>1.01722196789785</v>
      </c>
      <c r="G4526" t="s">
        <v>85</v>
      </c>
      <c r="H4526" t="s">
        <v>89</v>
      </c>
      <c r="I4526">
        <v>783</v>
      </c>
      <c r="J4526">
        <v>623</v>
      </c>
      <c r="K4526">
        <v>8.9537010595109504E-2</v>
      </c>
    </row>
    <row r="4527" spans="1:11" x14ac:dyDescent="0.25">
      <c r="A4527" t="s">
        <v>86</v>
      </c>
    </row>
    <row r="4528" spans="1:11" x14ac:dyDescent="0.25">
      <c r="A4528">
        <v>133.30189850892901</v>
      </c>
      <c r="B4528">
        <v>69.076671136113902</v>
      </c>
      <c r="C4528">
        <v>2000</v>
      </c>
    </row>
    <row r="4529" spans="1:11" x14ac:dyDescent="0.25">
      <c r="A4529">
        <v>128.855856649511</v>
      </c>
      <c r="B4529">
        <v>73.5227129955327</v>
      </c>
      <c r="C4529">
        <v>2000</v>
      </c>
    </row>
    <row r="4530" spans="1:11" x14ac:dyDescent="0.25">
      <c r="A4530">
        <v>128.85585664951</v>
      </c>
      <c r="B4530">
        <v>72.648680946634997</v>
      </c>
      <c r="C4530">
        <v>2001</v>
      </c>
    </row>
    <row r="4531" spans="1:11" x14ac:dyDescent="0.25">
      <c r="A4531">
        <v>133.03327042192899</v>
      </c>
      <c r="B4531">
        <v>68.471267174216806</v>
      </c>
      <c r="C4531">
        <v>2001</v>
      </c>
    </row>
    <row r="4532" spans="1:11" x14ac:dyDescent="0.25">
      <c r="A4532">
        <v>135.65185769200801</v>
      </c>
      <c r="B4532">
        <v>65.852679904138</v>
      </c>
      <c r="C4532">
        <v>2001</v>
      </c>
    </row>
    <row r="4533" spans="1:11" x14ac:dyDescent="0.25">
      <c r="A4533">
        <v>136.08887371645599</v>
      </c>
      <c r="B4533">
        <v>66.289695928586795</v>
      </c>
      <c r="C4533">
        <v>2000</v>
      </c>
    </row>
    <row r="4534" spans="1:11" x14ac:dyDescent="0.25">
      <c r="A4534" t="s">
        <v>87</v>
      </c>
    </row>
    <row r="4535" spans="1:11" x14ac:dyDescent="0.25">
      <c r="A4535">
        <v>623</v>
      </c>
      <c r="B4535">
        <v>1</v>
      </c>
      <c r="C4535">
        <v>4.0429740075179001</v>
      </c>
      <c r="D4535">
        <v>5.87613813644451</v>
      </c>
      <c r="E4535">
        <v>6</v>
      </c>
      <c r="F4535">
        <v>1.01722196789785</v>
      </c>
      <c r="G4535" t="s">
        <v>89</v>
      </c>
      <c r="H4535" t="s">
        <v>85</v>
      </c>
      <c r="I4535">
        <v>784</v>
      </c>
      <c r="J4535">
        <v>593</v>
      </c>
      <c r="K4535">
        <v>0</v>
      </c>
    </row>
    <row r="4536" spans="1:11" x14ac:dyDescent="0.25">
      <c r="A4536" t="s">
        <v>86</v>
      </c>
    </row>
    <row r="4537" spans="1:11" x14ac:dyDescent="0.25">
      <c r="A4537">
        <v>138.734891473792</v>
      </c>
      <c r="B4537">
        <v>63.039959752359998</v>
      </c>
      <c r="C4537">
        <v>2000</v>
      </c>
    </row>
    <row r="4538" spans="1:11" x14ac:dyDescent="0.25">
      <c r="A4538">
        <v>135.78701450701101</v>
      </c>
      <c r="B4538">
        <v>65.9878367191412</v>
      </c>
      <c r="C4538">
        <v>2000</v>
      </c>
    </row>
    <row r="4539" spans="1:11" x14ac:dyDescent="0.25">
      <c r="A4539">
        <v>136.22403053145999</v>
      </c>
      <c r="B4539">
        <v>66.424852743589994</v>
      </c>
      <c r="C4539">
        <v>2001</v>
      </c>
    </row>
    <row r="4540" spans="1:11" x14ac:dyDescent="0.25">
      <c r="A4540">
        <v>138.993782238432</v>
      </c>
      <c r="B4540">
        <v>63.655101036617502</v>
      </c>
      <c r="C4540">
        <v>2001</v>
      </c>
    </row>
    <row r="4541" spans="1:11" x14ac:dyDescent="0.25">
      <c r="A4541">
        <v>143.019393979581</v>
      </c>
      <c r="B4541">
        <v>59.629489295468801</v>
      </c>
      <c r="C4541">
        <v>2001</v>
      </c>
    </row>
    <row r="4542" spans="1:11" x14ac:dyDescent="0.25">
      <c r="A4542">
        <v>143.019393979581</v>
      </c>
      <c r="B4542">
        <v>58.755457246571098</v>
      </c>
      <c r="C4542">
        <v>2000</v>
      </c>
    </row>
    <row r="4543" spans="1:11" x14ac:dyDescent="0.25">
      <c r="A4543" t="s">
        <v>87</v>
      </c>
    </row>
    <row r="4544" spans="1:11" x14ac:dyDescent="0.25">
      <c r="A4544">
        <v>506</v>
      </c>
      <c r="B4544">
        <v>0</v>
      </c>
      <c r="C4544">
        <v>6.7303622805418399</v>
      </c>
      <c r="D4544">
        <v>3.1624063461787602</v>
      </c>
      <c r="E4544">
        <v>6</v>
      </c>
      <c r="F4544">
        <v>1.01722196789785</v>
      </c>
      <c r="G4544" t="s">
        <v>89</v>
      </c>
      <c r="H4544" t="s">
        <v>85</v>
      </c>
      <c r="I4544">
        <v>600</v>
      </c>
      <c r="J4544">
        <v>547</v>
      </c>
      <c r="K4544">
        <v>0</v>
      </c>
    </row>
    <row r="4545" spans="1:11" x14ac:dyDescent="0.25">
      <c r="A4545" t="s">
        <v>86</v>
      </c>
    </row>
    <row r="4546" spans="1:11" x14ac:dyDescent="0.25">
      <c r="A4546">
        <v>111.869988129859</v>
      </c>
      <c r="B4546">
        <v>108.30797267763199</v>
      </c>
      <c r="C4546">
        <v>2000</v>
      </c>
    </row>
    <row r="4547" spans="1:11" x14ac:dyDescent="0.25">
      <c r="A4547">
        <v>106.962245434159</v>
      </c>
      <c r="B4547">
        <v>103.40022998193101</v>
      </c>
      <c r="C4547">
        <v>2000</v>
      </c>
    </row>
    <row r="4548" spans="1:11" x14ac:dyDescent="0.25">
      <c r="A4548">
        <v>107.399261458607</v>
      </c>
      <c r="B4548">
        <v>102.96321395748301</v>
      </c>
      <c r="C4548">
        <v>2001</v>
      </c>
    </row>
    <row r="4549" spans="1:11" x14ac:dyDescent="0.25">
      <c r="A4549">
        <v>112.00968837973301</v>
      </c>
      <c r="B4549">
        <v>107.573640878608</v>
      </c>
      <c r="C4549">
        <v>2001</v>
      </c>
    </row>
    <row r="4550" spans="1:11" x14ac:dyDescent="0.25">
      <c r="A4550">
        <v>114.17599722704701</v>
      </c>
      <c r="B4550">
        <v>109.739949725922</v>
      </c>
      <c r="C4550">
        <v>2001</v>
      </c>
    </row>
    <row r="4551" spans="1:11" x14ac:dyDescent="0.25">
      <c r="A4551">
        <v>114.17599722704701</v>
      </c>
      <c r="B4551">
        <v>110.613981774819</v>
      </c>
      <c r="C4551">
        <v>2000</v>
      </c>
    </row>
    <row r="4552" spans="1:11" x14ac:dyDescent="0.25">
      <c r="A4552" t="s">
        <v>87</v>
      </c>
    </row>
    <row r="4553" spans="1:11" x14ac:dyDescent="0.25">
      <c r="A4553">
        <v>1149</v>
      </c>
      <c r="B4553">
        <v>1</v>
      </c>
      <c r="C4553">
        <v>3.17796688033811</v>
      </c>
      <c r="D4553">
        <v>6.71048123293063</v>
      </c>
      <c r="E4553">
        <v>6</v>
      </c>
      <c r="F4553">
        <v>1.01722196789785</v>
      </c>
      <c r="G4553" t="s">
        <v>85</v>
      </c>
      <c r="H4553" t="s">
        <v>85</v>
      </c>
      <c r="I4553">
        <v>675</v>
      </c>
      <c r="J4553">
        <v>672</v>
      </c>
      <c r="K4553">
        <v>9.5300933138239702E-2</v>
      </c>
    </row>
    <row r="4554" spans="1:11" x14ac:dyDescent="0.25">
      <c r="A4554" t="s">
        <v>86</v>
      </c>
    </row>
    <row r="4555" spans="1:11" x14ac:dyDescent="0.25">
      <c r="A4555">
        <v>92.3655943285424</v>
      </c>
      <c r="B4555">
        <v>85.036558092123201</v>
      </c>
      <c r="C4555">
        <v>2000</v>
      </c>
    </row>
    <row r="4556" spans="1:11" x14ac:dyDescent="0.25">
      <c r="A4556">
        <v>90.118432397069</v>
      </c>
      <c r="B4556">
        <v>87.283720023596501</v>
      </c>
      <c r="C4556">
        <v>2000</v>
      </c>
    </row>
    <row r="4557" spans="1:11" x14ac:dyDescent="0.25">
      <c r="A4557">
        <v>89.244400348171396</v>
      </c>
      <c r="B4557">
        <v>87.283720023596501</v>
      </c>
      <c r="C4557">
        <v>2001</v>
      </c>
    </row>
    <row r="4558" spans="1:11" x14ac:dyDescent="0.25">
      <c r="A4558">
        <v>91.491562279644796</v>
      </c>
      <c r="B4558">
        <v>85.036558092123201</v>
      </c>
      <c r="C4558">
        <v>2001</v>
      </c>
    </row>
    <row r="4559" spans="1:11" x14ac:dyDescent="0.25">
      <c r="A4559">
        <v>96.236589064475098</v>
      </c>
      <c r="B4559">
        <v>80.2915313072929</v>
      </c>
      <c r="C4559">
        <v>2001</v>
      </c>
    </row>
    <row r="4560" spans="1:11" x14ac:dyDescent="0.25">
      <c r="A4560">
        <v>97.110621113372702</v>
      </c>
      <c r="B4560">
        <v>80.2915313072929</v>
      </c>
      <c r="C4560">
        <v>2000</v>
      </c>
    </row>
    <row r="4561" spans="1:11" x14ac:dyDescent="0.25">
      <c r="A4561" t="s">
        <v>87</v>
      </c>
    </row>
    <row r="4562" spans="1:11" x14ac:dyDescent="0.25">
      <c r="A4562">
        <v>1111</v>
      </c>
      <c r="B4562">
        <v>1</v>
      </c>
      <c r="C4562">
        <v>1.18671024311867</v>
      </c>
      <c r="D4562">
        <v>8.7017378701500796</v>
      </c>
      <c r="E4562">
        <v>6</v>
      </c>
      <c r="F4562">
        <v>1.01722196789785</v>
      </c>
      <c r="G4562" t="s">
        <v>85</v>
      </c>
      <c r="H4562" t="s">
        <v>85</v>
      </c>
      <c r="I4562">
        <v>675</v>
      </c>
      <c r="J4562">
        <v>672</v>
      </c>
      <c r="K4562">
        <v>9.4777393206033497E-2</v>
      </c>
    </row>
    <row r="4563" spans="1:11" x14ac:dyDescent="0.25">
      <c r="A4563" t="s">
        <v>86</v>
      </c>
    </row>
    <row r="4564" spans="1:11" x14ac:dyDescent="0.25">
      <c r="A4564">
        <v>87.699724386297405</v>
      </c>
      <c r="B4564">
        <v>83.186750292399395</v>
      </c>
      <c r="C4564">
        <v>2000</v>
      </c>
    </row>
    <row r="4565" spans="1:11" x14ac:dyDescent="0.25">
      <c r="A4565">
        <v>86.8605935260846</v>
      </c>
      <c r="B4565">
        <v>84.025881152612101</v>
      </c>
      <c r="C4565">
        <v>2000</v>
      </c>
    </row>
    <row r="4566" spans="1:11" x14ac:dyDescent="0.25">
      <c r="A4566">
        <v>85.986561477186996</v>
      </c>
      <c r="B4566">
        <v>84.025881152612101</v>
      </c>
      <c r="C4566">
        <v>2001</v>
      </c>
    </row>
    <row r="4567" spans="1:11" x14ac:dyDescent="0.25">
      <c r="A4567">
        <v>86.825692337399701</v>
      </c>
      <c r="B4567">
        <v>83.186750292399395</v>
      </c>
      <c r="C4567">
        <v>2001</v>
      </c>
    </row>
    <row r="4568" spans="1:11" x14ac:dyDescent="0.25">
      <c r="A4568">
        <v>92.978750193490598</v>
      </c>
      <c r="B4568">
        <v>77.033692436308399</v>
      </c>
      <c r="C4568">
        <v>2001</v>
      </c>
    </row>
    <row r="4569" spans="1:11" x14ac:dyDescent="0.25">
      <c r="A4569">
        <v>93.852782242388301</v>
      </c>
      <c r="B4569">
        <v>77.033692436308399</v>
      </c>
      <c r="C4569">
        <v>2000</v>
      </c>
    </row>
    <row r="4570" spans="1:11" x14ac:dyDescent="0.25">
      <c r="A4570" t="s">
        <v>87</v>
      </c>
    </row>
    <row r="4571" spans="1:11" x14ac:dyDescent="0.25">
      <c r="A4571">
        <v>862</v>
      </c>
      <c r="B4571">
        <v>1</v>
      </c>
      <c r="C4571">
        <v>5.7973533617585504</v>
      </c>
      <c r="D4571">
        <v>4.0606298240122003</v>
      </c>
      <c r="E4571">
        <v>8</v>
      </c>
      <c r="F4571">
        <v>1.01722196789785</v>
      </c>
      <c r="G4571" t="s">
        <v>85</v>
      </c>
      <c r="H4571" t="s">
        <v>85</v>
      </c>
      <c r="I4571">
        <v>278</v>
      </c>
      <c r="J4571">
        <v>728</v>
      </c>
      <c r="K4571">
        <v>9.0910684189608806E-2</v>
      </c>
    </row>
    <row r="4572" spans="1:11" x14ac:dyDescent="0.25">
      <c r="A4572" t="s">
        <v>86</v>
      </c>
    </row>
    <row r="4573" spans="1:11" x14ac:dyDescent="0.25">
      <c r="A4573">
        <v>44.712615215196301</v>
      </c>
      <c r="B4573">
        <v>100.09776417950199</v>
      </c>
      <c r="C4573">
        <v>2000</v>
      </c>
    </row>
    <row r="4574" spans="1:11" x14ac:dyDescent="0.25">
      <c r="A4574">
        <v>44.5845286852987</v>
      </c>
      <c r="B4574">
        <v>100.22585070940001</v>
      </c>
      <c r="C4574">
        <v>2000</v>
      </c>
    </row>
    <row r="4575" spans="1:11" x14ac:dyDescent="0.25">
      <c r="A4575">
        <v>40.411769116954801</v>
      </c>
      <c r="B4575">
        <v>104.398610277744</v>
      </c>
      <c r="C4575">
        <v>2000</v>
      </c>
    </row>
    <row r="4576" spans="1:11" x14ac:dyDescent="0.25">
      <c r="A4576">
        <v>40.411769116954801</v>
      </c>
      <c r="B4576">
        <v>103.524578228846</v>
      </c>
      <c r="C4576">
        <v>2001</v>
      </c>
    </row>
    <row r="4577" spans="1:11" x14ac:dyDescent="0.25">
      <c r="A4577">
        <v>44.162198055200598</v>
      </c>
      <c r="B4577">
        <v>99.774149290600207</v>
      </c>
      <c r="C4577">
        <v>2001</v>
      </c>
    </row>
    <row r="4578" spans="1:11" x14ac:dyDescent="0.25">
      <c r="A4578">
        <v>44.309618768781498</v>
      </c>
      <c r="B4578">
        <v>99.626728577019307</v>
      </c>
      <c r="C4578">
        <v>2001</v>
      </c>
    </row>
    <row r="4579" spans="1:11" x14ac:dyDescent="0.25">
      <c r="A4579">
        <v>47.382415876436198</v>
      </c>
      <c r="B4579">
        <v>96.553931469364599</v>
      </c>
      <c r="C4579">
        <v>2001</v>
      </c>
    </row>
    <row r="4580" spans="1:11" x14ac:dyDescent="0.25">
      <c r="A4580">
        <v>47.382415876436198</v>
      </c>
      <c r="B4580">
        <v>97.427963518262203</v>
      </c>
      <c r="C4580">
        <v>2000</v>
      </c>
    </row>
    <row r="4581" spans="1:11" x14ac:dyDescent="0.25">
      <c r="A4581" t="s">
        <v>87</v>
      </c>
    </row>
    <row r="4582" spans="1:11" x14ac:dyDescent="0.25">
      <c r="A4582">
        <v>793</v>
      </c>
      <c r="B4582">
        <v>0</v>
      </c>
      <c r="C4582">
        <v>7.64080088593622</v>
      </c>
      <c r="D4582">
        <v>2.1958618061334199</v>
      </c>
      <c r="E4582">
        <v>6</v>
      </c>
      <c r="F4582">
        <v>1.01722196789785</v>
      </c>
      <c r="G4582" t="s">
        <v>85</v>
      </c>
      <c r="H4582" t="s">
        <v>88</v>
      </c>
      <c r="I4582">
        <v>830</v>
      </c>
      <c r="J4582">
        <v>0</v>
      </c>
      <c r="K4582">
        <v>8.9816640118045604E-2</v>
      </c>
    </row>
    <row r="4583" spans="1:11" x14ac:dyDescent="0.25">
      <c r="A4583" t="s">
        <v>86</v>
      </c>
    </row>
    <row r="4584" spans="1:11" x14ac:dyDescent="0.25">
      <c r="A4584">
        <v>47.171390469404997</v>
      </c>
      <c r="B4584">
        <v>148.54484736166199</v>
      </c>
      <c r="C4584">
        <v>2000</v>
      </c>
    </row>
    <row r="4585" spans="1:11" x14ac:dyDescent="0.25">
      <c r="A4585">
        <v>42.107988238384998</v>
      </c>
      <c r="B4585">
        <v>143.48144513064199</v>
      </c>
      <c r="C4585">
        <v>2000</v>
      </c>
    </row>
    <row r="4586" spans="1:11" x14ac:dyDescent="0.25">
      <c r="A4586">
        <v>42.107988238384998</v>
      </c>
      <c r="B4586">
        <v>142.607413081744</v>
      </c>
      <c r="C4586">
        <v>2001</v>
      </c>
    </row>
    <row r="4587" spans="1:11" x14ac:dyDescent="0.25">
      <c r="A4587">
        <v>47.850310247648302</v>
      </c>
      <c r="B4587">
        <v>148.34973509100701</v>
      </c>
      <c r="C4587">
        <v>2001</v>
      </c>
    </row>
    <row r="4588" spans="1:11" x14ac:dyDescent="0.25">
      <c r="A4588">
        <v>49.500575156640899</v>
      </c>
      <c r="B4588">
        <v>150</v>
      </c>
      <c r="C4588">
        <v>2001</v>
      </c>
    </row>
    <row r="4589" spans="1:11" x14ac:dyDescent="0.25">
      <c r="A4589">
        <v>48.626543107743302</v>
      </c>
      <c r="B4589">
        <v>150</v>
      </c>
      <c r="C4589">
        <v>2000</v>
      </c>
    </row>
    <row r="4590" spans="1:11" x14ac:dyDescent="0.25">
      <c r="A4590" t="s">
        <v>87</v>
      </c>
    </row>
    <row r="4591" spans="1:11" x14ac:dyDescent="0.25">
      <c r="A4591">
        <v>812</v>
      </c>
      <c r="B4591">
        <v>1</v>
      </c>
      <c r="C4591">
        <v>5.1419987278220303</v>
      </c>
      <c r="D4591">
        <v>4.6620934394660098</v>
      </c>
      <c r="E4591">
        <v>6</v>
      </c>
      <c r="F4591">
        <v>1.01722196789785</v>
      </c>
      <c r="G4591" t="s">
        <v>85</v>
      </c>
      <c r="H4591" t="s">
        <v>85</v>
      </c>
      <c r="I4591">
        <v>587</v>
      </c>
      <c r="J4591">
        <v>752</v>
      </c>
      <c r="K4591">
        <v>9.0097089164053304E-2</v>
      </c>
    </row>
    <row r="4592" spans="1:11" x14ac:dyDescent="0.25">
      <c r="A4592" t="s">
        <v>86</v>
      </c>
    </row>
    <row r="4593" spans="1:11" x14ac:dyDescent="0.25">
      <c r="A4593">
        <v>124.354255117641</v>
      </c>
      <c r="B4593">
        <v>60.1652964456867</v>
      </c>
      <c r="C4593">
        <v>2000</v>
      </c>
    </row>
    <row r="4594" spans="1:11" x14ac:dyDescent="0.25">
      <c r="A4594">
        <v>120.718312948345</v>
      </c>
      <c r="B4594">
        <v>63.801238614982204</v>
      </c>
      <c r="C4594">
        <v>2000</v>
      </c>
    </row>
    <row r="4595" spans="1:11" x14ac:dyDescent="0.25">
      <c r="A4595">
        <v>120.718312948345</v>
      </c>
      <c r="B4595">
        <v>64.6752706638798</v>
      </c>
      <c r="C4595">
        <v>2001</v>
      </c>
    </row>
    <row r="4596" spans="1:11" x14ac:dyDescent="0.25">
      <c r="A4596">
        <v>124.354255117641</v>
      </c>
      <c r="B4596">
        <v>61.039328494584304</v>
      </c>
      <c r="C4596">
        <v>2001</v>
      </c>
    </row>
    <row r="4597" spans="1:11" x14ac:dyDescent="0.25">
      <c r="A4597">
        <v>127.650853003213</v>
      </c>
      <c r="B4597">
        <v>57.742730609012597</v>
      </c>
      <c r="C4597">
        <v>2001</v>
      </c>
    </row>
    <row r="4598" spans="1:11" x14ac:dyDescent="0.25">
      <c r="A4598">
        <v>127.650853003213</v>
      </c>
      <c r="B4598">
        <v>56.8686985601149</v>
      </c>
      <c r="C4598">
        <v>2000</v>
      </c>
    </row>
    <row r="4599" spans="1:11" x14ac:dyDescent="0.25">
      <c r="A4599" t="s">
        <v>87</v>
      </c>
    </row>
    <row r="4600" spans="1:11" x14ac:dyDescent="0.25">
      <c r="A4600">
        <v>920</v>
      </c>
      <c r="B4600">
        <v>1</v>
      </c>
      <c r="C4600">
        <v>0.14816553379328901</v>
      </c>
      <c r="D4600">
        <v>9.6229918842092808</v>
      </c>
      <c r="E4600">
        <v>8</v>
      </c>
      <c r="F4600">
        <v>1.01722196789785</v>
      </c>
      <c r="G4600" t="s">
        <v>85</v>
      </c>
      <c r="H4600" t="s">
        <v>85</v>
      </c>
      <c r="I4600">
        <v>268</v>
      </c>
      <c r="J4600">
        <v>341</v>
      </c>
      <c r="K4600">
        <v>9.1907793175489E-2</v>
      </c>
    </row>
    <row r="4601" spans="1:11" x14ac:dyDescent="0.25">
      <c r="A4601" t="s">
        <v>86</v>
      </c>
    </row>
    <row r="4602" spans="1:11" x14ac:dyDescent="0.25">
      <c r="A4602">
        <v>7.4104853773661796</v>
      </c>
      <c r="B4602">
        <v>101.630395078763</v>
      </c>
      <c r="C4602">
        <v>2000</v>
      </c>
    </row>
    <row r="4603" spans="1:11" x14ac:dyDescent="0.25">
      <c r="A4603">
        <v>7.2894822299986703</v>
      </c>
      <c r="B4603">
        <v>101.75139822612999</v>
      </c>
      <c r="C4603">
        <v>2000</v>
      </c>
    </row>
    <row r="4604" spans="1:11" x14ac:dyDescent="0.25">
      <c r="A4604">
        <v>8.1635142788962796</v>
      </c>
      <c r="B4604">
        <v>101.75139822612999</v>
      </c>
      <c r="C4604">
        <v>2001</v>
      </c>
    </row>
    <row r="4605" spans="1:11" x14ac:dyDescent="0.25">
      <c r="A4605">
        <v>8.2520488388954902</v>
      </c>
      <c r="B4605">
        <v>101.662863666131</v>
      </c>
      <c r="C4605">
        <v>2001</v>
      </c>
    </row>
    <row r="4606" spans="1:11" x14ac:dyDescent="0.25">
      <c r="A4606">
        <v>9.6435273350903099</v>
      </c>
      <c r="B4606">
        <v>100.271385169936</v>
      </c>
      <c r="C4606">
        <v>2001</v>
      </c>
    </row>
    <row r="4607" spans="1:11" x14ac:dyDescent="0.25">
      <c r="A4607">
        <v>14.635749924758301</v>
      </c>
      <c r="B4607">
        <v>95.279162580268405</v>
      </c>
      <c r="C4607">
        <v>2001</v>
      </c>
    </row>
    <row r="4608" spans="1:11" x14ac:dyDescent="0.25">
      <c r="A4608">
        <v>14.635749924758301</v>
      </c>
      <c r="B4608">
        <v>94.405130531370801</v>
      </c>
      <c r="C4608">
        <v>2000</v>
      </c>
    </row>
    <row r="4609" spans="1:11" x14ac:dyDescent="0.25">
      <c r="A4609">
        <v>9.3122656260655798</v>
      </c>
      <c r="B4609">
        <v>99.728614830063506</v>
      </c>
      <c r="C4609">
        <v>2000</v>
      </c>
    </row>
    <row r="4610" spans="1:11" x14ac:dyDescent="0.25">
      <c r="A4610" t="s">
        <v>87</v>
      </c>
    </row>
    <row r="4611" spans="1:11" x14ac:dyDescent="0.25">
      <c r="A4611">
        <v>113</v>
      </c>
      <c r="B4611">
        <v>0</v>
      </c>
      <c r="C4611">
        <v>9.1930868345991392</v>
      </c>
      <c r="D4611">
        <v>0.56383026634696898</v>
      </c>
      <c r="E4611">
        <v>6</v>
      </c>
      <c r="F4611">
        <v>1.01722196789785</v>
      </c>
      <c r="G4611" t="s">
        <v>85</v>
      </c>
      <c r="H4611" t="s">
        <v>89</v>
      </c>
      <c r="I4611">
        <v>790</v>
      </c>
      <c r="J4611">
        <v>86</v>
      </c>
      <c r="K4611">
        <v>0</v>
      </c>
    </row>
    <row r="4612" spans="1:11" x14ac:dyDescent="0.25">
      <c r="A4612" t="s">
        <v>86</v>
      </c>
    </row>
    <row r="4613" spans="1:11" x14ac:dyDescent="0.25">
      <c r="A4613">
        <v>140.23817031820801</v>
      </c>
      <c r="B4613">
        <v>11.999179976792799</v>
      </c>
      <c r="C4613">
        <v>2000</v>
      </c>
    </row>
    <row r="4614" spans="1:11" x14ac:dyDescent="0.25">
      <c r="A4614">
        <v>133.943557203712</v>
      </c>
      <c r="B4614">
        <v>5.7045668622965904</v>
      </c>
      <c r="C4614">
        <v>2000</v>
      </c>
    </row>
    <row r="4615" spans="1:11" x14ac:dyDescent="0.25">
      <c r="A4615">
        <v>133.06952515481399</v>
      </c>
      <c r="B4615">
        <v>5.7045668622965797</v>
      </c>
      <c r="C4615">
        <v>2001</v>
      </c>
    </row>
    <row r="4616" spans="1:11" x14ac:dyDescent="0.25">
      <c r="A4616">
        <v>139.77590012188199</v>
      </c>
      <c r="B4616">
        <v>12.410941829364001</v>
      </c>
      <c r="C4616">
        <v>2001</v>
      </c>
    </row>
    <row r="4617" spans="1:11" x14ac:dyDescent="0.25">
      <c r="A4617">
        <v>140.18721541259299</v>
      </c>
      <c r="B4617">
        <v>12.822257120074999</v>
      </c>
      <c r="C4617">
        <v>2001</v>
      </c>
    </row>
    <row r="4618" spans="1:11" x14ac:dyDescent="0.25">
      <c r="A4618">
        <v>140.624231437042</v>
      </c>
      <c r="B4618">
        <v>12.385241095626199</v>
      </c>
      <c r="C4618">
        <v>2000</v>
      </c>
    </row>
    <row r="4619" spans="1:11" x14ac:dyDescent="0.25">
      <c r="A4619" t="s">
        <v>87</v>
      </c>
    </row>
    <row r="4620" spans="1:11" x14ac:dyDescent="0.25">
      <c r="A4620">
        <v>1006</v>
      </c>
      <c r="B4620">
        <v>0</v>
      </c>
      <c r="C4620">
        <v>0.98964004168692599</v>
      </c>
      <c r="D4620">
        <v>8.7069060451329996</v>
      </c>
      <c r="E4620">
        <v>6</v>
      </c>
      <c r="F4620">
        <v>1.01722196789785</v>
      </c>
      <c r="G4620" t="s">
        <v>85</v>
      </c>
      <c r="H4620" t="s">
        <v>88</v>
      </c>
      <c r="I4620">
        <v>557</v>
      </c>
      <c r="J4620">
        <v>0</v>
      </c>
      <c r="K4620">
        <v>9.3443328339296097E-2</v>
      </c>
    </row>
    <row r="4621" spans="1:11" x14ac:dyDescent="0.25">
      <c r="A4621" t="s">
        <v>86</v>
      </c>
    </row>
    <row r="4622" spans="1:11" x14ac:dyDescent="0.25">
      <c r="A4622">
        <v>143.84328769233201</v>
      </c>
      <c r="B4622">
        <v>118.914842831388</v>
      </c>
      <c r="C4622">
        <v>2000</v>
      </c>
    </row>
    <row r="4623" spans="1:11" x14ac:dyDescent="0.25">
      <c r="A4623">
        <v>143.14350650792201</v>
      </c>
      <c r="B4623">
        <v>118.21506164697701</v>
      </c>
      <c r="C4623">
        <v>2000</v>
      </c>
    </row>
    <row r="4624" spans="1:11" x14ac:dyDescent="0.25">
      <c r="A4624">
        <v>143.14350650792201</v>
      </c>
      <c r="B4624">
        <v>117.34102959808</v>
      </c>
      <c r="C4624">
        <v>2001</v>
      </c>
    </row>
    <row r="4625" spans="1:11" x14ac:dyDescent="0.25">
      <c r="A4625">
        <v>143.84328769233201</v>
      </c>
      <c r="B4625">
        <v>118.04081078249</v>
      </c>
      <c r="C4625">
        <v>2001</v>
      </c>
    </row>
    <row r="4626" spans="1:11" x14ac:dyDescent="0.25">
      <c r="A4626">
        <v>150</v>
      </c>
      <c r="B4626">
        <v>124.197523090158</v>
      </c>
      <c r="C4626">
        <v>2001</v>
      </c>
    </row>
    <row r="4627" spans="1:11" x14ac:dyDescent="0.25">
      <c r="A4627">
        <v>150</v>
      </c>
      <c r="B4627">
        <v>125.071555139056</v>
      </c>
      <c r="C4627">
        <v>2000</v>
      </c>
    </row>
    <row r="4628" spans="1:11" x14ac:dyDescent="0.25">
      <c r="A4628" t="s">
        <v>87</v>
      </c>
    </row>
    <row r="4629" spans="1:11" x14ac:dyDescent="0.25">
      <c r="A4629">
        <v>396</v>
      </c>
      <c r="B4629">
        <v>1</v>
      </c>
      <c r="C4629">
        <v>7.1074463636807304</v>
      </c>
      <c r="D4629">
        <v>2.5855715709360498</v>
      </c>
      <c r="E4629">
        <v>6</v>
      </c>
      <c r="F4629">
        <v>1.01722196789785</v>
      </c>
      <c r="G4629" t="s">
        <v>85</v>
      </c>
      <c r="H4629" t="s">
        <v>85</v>
      </c>
      <c r="I4629">
        <v>861</v>
      </c>
      <c r="J4629">
        <v>343</v>
      </c>
      <c r="K4629">
        <v>0</v>
      </c>
    </row>
    <row r="4630" spans="1:11" x14ac:dyDescent="0.25">
      <c r="A4630" t="s">
        <v>86</v>
      </c>
    </row>
    <row r="4631" spans="1:11" x14ac:dyDescent="0.25">
      <c r="A4631">
        <v>38.256475230798301</v>
      </c>
      <c r="B4631">
        <v>93.808446185583094</v>
      </c>
      <c r="C4631">
        <v>2000</v>
      </c>
    </row>
    <row r="4632" spans="1:11" x14ac:dyDescent="0.25">
      <c r="A4632">
        <v>33.230751710120003</v>
      </c>
      <c r="B4632">
        <v>98.834169706261406</v>
      </c>
      <c r="C4632">
        <v>2000</v>
      </c>
    </row>
    <row r="4633" spans="1:11" x14ac:dyDescent="0.25">
      <c r="A4633">
        <v>33.230751710120003</v>
      </c>
      <c r="B4633">
        <v>99.708201755159095</v>
      </c>
      <c r="C4633">
        <v>2001</v>
      </c>
    </row>
    <row r="4634" spans="1:11" x14ac:dyDescent="0.25">
      <c r="A4634">
        <v>38.256475230798301</v>
      </c>
      <c r="B4634">
        <v>94.682478234480698</v>
      </c>
      <c r="C4634">
        <v>2001</v>
      </c>
    </row>
    <row r="4635" spans="1:11" x14ac:dyDescent="0.25">
      <c r="A4635">
        <v>40.084750421850302</v>
      </c>
      <c r="B4635">
        <v>92.854203043428697</v>
      </c>
      <c r="C4635">
        <v>2001</v>
      </c>
    </row>
    <row r="4636" spans="1:11" x14ac:dyDescent="0.25">
      <c r="A4636">
        <v>40.084750421850302</v>
      </c>
      <c r="B4636">
        <v>91.980170994531093</v>
      </c>
      <c r="C4636">
        <v>2000</v>
      </c>
    </row>
    <row r="4637" spans="1:11" x14ac:dyDescent="0.25">
      <c r="A4637" t="s">
        <v>87</v>
      </c>
    </row>
    <row r="4638" spans="1:11" x14ac:dyDescent="0.25">
      <c r="A4638">
        <v>877</v>
      </c>
      <c r="B4638">
        <v>1</v>
      </c>
      <c r="C4638">
        <v>2.2943497550624299</v>
      </c>
      <c r="D4638">
        <v>7.3494347335701198</v>
      </c>
      <c r="E4638">
        <v>6</v>
      </c>
      <c r="F4638">
        <v>1.01722196789785</v>
      </c>
      <c r="G4638" t="s">
        <v>85</v>
      </c>
      <c r="H4638" t="s">
        <v>85</v>
      </c>
      <c r="I4638">
        <v>734</v>
      </c>
      <c r="J4638">
        <v>264</v>
      </c>
      <c r="K4638">
        <v>9.1169371169763397E-2</v>
      </c>
    </row>
    <row r="4639" spans="1:11" x14ac:dyDescent="0.25">
      <c r="A4639" t="s">
        <v>86</v>
      </c>
    </row>
    <row r="4640" spans="1:11" x14ac:dyDescent="0.25">
      <c r="A4640">
        <v>12.382804515018501</v>
      </c>
      <c r="B4640">
        <v>143.92014007453801</v>
      </c>
      <c r="C4640">
        <v>2000</v>
      </c>
    </row>
    <row r="4641" spans="1:11" x14ac:dyDescent="0.25">
      <c r="A4641">
        <v>10.760454244800099</v>
      </c>
      <c r="B4641">
        <v>145.542490344756</v>
      </c>
      <c r="C4641">
        <v>2000</v>
      </c>
    </row>
    <row r="4642" spans="1:11" x14ac:dyDescent="0.25">
      <c r="A4642">
        <v>10.760454244800099</v>
      </c>
      <c r="B4642">
        <v>146.41652239365399</v>
      </c>
      <c r="C4642">
        <v>2001</v>
      </c>
    </row>
    <row r="4643" spans="1:11" x14ac:dyDescent="0.25">
      <c r="A4643">
        <v>12.382804515018501</v>
      </c>
      <c r="B4643">
        <v>144.794172123435</v>
      </c>
      <c r="C4643">
        <v>2001</v>
      </c>
    </row>
    <row r="4644" spans="1:11" x14ac:dyDescent="0.25">
      <c r="A4644">
        <v>17.5796396530138</v>
      </c>
      <c r="B4644">
        <v>139.59733698543999</v>
      </c>
      <c r="C4644">
        <v>2001</v>
      </c>
    </row>
    <row r="4645" spans="1:11" x14ac:dyDescent="0.25">
      <c r="A4645">
        <v>17.5796396530138</v>
      </c>
      <c r="B4645">
        <v>138.72330493654201</v>
      </c>
      <c r="C4645">
        <v>2000</v>
      </c>
    </row>
    <row r="4646" spans="1:11" x14ac:dyDescent="0.25">
      <c r="A4646" t="s">
        <v>87</v>
      </c>
    </row>
    <row r="4647" spans="1:11" x14ac:dyDescent="0.25">
      <c r="A4647">
        <v>858</v>
      </c>
      <c r="B4647">
        <v>1</v>
      </c>
      <c r="C4647">
        <v>4.8168372237433603</v>
      </c>
      <c r="D4647">
        <v>4.8269472648891796</v>
      </c>
      <c r="E4647">
        <v>6</v>
      </c>
      <c r="F4647">
        <v>1.01722196789785</v>
      </c>
      <c r="G4647" t="s">
        <v>85</v>
      </c>
      <c r="H4647" t="s">
        <v>85</v>
      </c>
      <c r="I4647">
        <v>734</v>
      </c>
      <c r="J4647">
        <v>264</v>
      </c>
      <c r="K4647">
        <v>9.0645505931922193E-2</v>
      </c>
    </row>
    <row r="4648" spans="1:11" x14ac:dyDescent="0.25">
      <c r="A4648" t="s">
        <v>86</v>
      </c>
    </row>
    <row r="4649" spans="1:11" x14ac:dyDescent="0.25">
      <c r="A4649">
        <v>15.3626139654514</v>
      </c>
      <c r="B4649">
        <v>143.33261353584601</v>
      </c>
      <c r="C4649">
        <v>2000</v>
      </c>
    </row>
    <row r="4650" spans="1:11" x14ac:dyDescent="0.25">
      <c r="A4650">
        <v>11.9565957006707</v>
      </c>
      <c r="B4650">
        <v>146.73863180062699</v>
      </c>
      <c r="C4650">
        <v>2000</v>
      </c>
    </row>
    <row r="4651" spans="1:11" x14ac:dyDescent="0.25">
      <c r="A4651">
        <v>11.082563651773</v>
      </c>
      <c r="B4651">
        <v>146.73863180062699</v>
      </c>
      <c r="C4651">
        <v>2001</v>
      </c>
    </row>
    <row r="4652" spans="1:11" x14ac:dyDescent="0.25">
      <c r="A4652">
        <v>14.4885819165538</v>
      </c>
      <c r="B4652">
        <v>143.33261353584601</v>
      </c>
      <c r="C4652">
        <v>2001</v>
      </c>
    </row>
    <row r="4653" spans="1:11" x14ac:dyDescent="0.25">
      <c r="A4653">
        <v>17.901749059986798</v>
      </c>
      <c r="B4653">
        <v>139.91944639241299</v>
      </c>
      <c r="C4653">
        <v>2001</v>
      </c>
    </row>
    <row r="4654" spans="1:11" x14ac:dyDescent="0.25">
      <c r="A4654">
        <v>18.775781108884399</v>
      </c>
      <c r="B4654">
        <v>139.91944639241299</v>
      </c>
      <c r="C4654">
        <v>2000</v>
      </c>
    </row>
    <row r="4655" spans="1:11" x14ac:dyDescent="0.25">
      <c r="A4655" t="s">
        <v>87</v>
      </c>
    </row>
    <row r="4656" spans="1:11" x14ac:dyDescent="0.25">
      <c r="A4656">
        <v>24</v>
      </c>
      <c r="B4656">
        <v>0</v>
      </c>
      <c r="C4656">
        <v>5.1083526352223503</v>
      </c>
      <c r="D4656">
        <v>4.5189569631282698</v>
      </c>
      <c r="E4656">
        <v>6</v>
      </c>
      <c r="F4656">
        <v>1.01722196789785</v>
      </c>
      <c r="G4656" t="s">
        <v>85</v>
      </c>
      <c r="H4656" t="s">
        <v>85</v>
      </c>
      <c r="I4656">
        <v>70</v>
      </c>
      <c r="J4656">
        <v>75</v>
      </c>
      <c r="K4656">
        <v>0</v>
      </c>
    </row>
    <row r="4657" spans="1:11" x14ac:dyDescent="0.25">
      <c r="A4657" t="s">
        <v>86</v>
      </c>
    </row>
    <row r="4658" spans="1:11" x14ac:dyDescent="0.25">
      <c r="A4658">
        <v>37.850020506241997</v>
      </c>
      <c r="B4658">
        <v>16.5005616966118</v>
      </c>
      <c r="C4658">
        <v>2000</v>
      </c>
    </row>
    <row r="4659" spans="1:11" x14ac:dyDescent="0.25">
      <c r="A4659">
        <v>34.0059843771188</v>
      </c>
      <c r="B4659">
        <v>12.6565255674886</v>
      </c>
      <c r="C4659">
        <v>2000</v>
      </c>
    </row>
    <row r="4660" spans="1:11" x14ac:dyDescent="0.25">
      <c r="A4660">
        <v>34.0059843771188</v>
      </c>
      <c r="B4660">
        <v>13.5305576163863</v>
      </c>
      <c r="C4660">
        <v>2001</v>
      </c>
    </row>
    <row r="4661" spans="1:11" x14ac:dyDescent="0.25">
      <c r="A4661">
        <v>37.386249826111303</v>
      </c>
      <c r="B4661">
        <v>16.910823065378899</v>
      </c>
      <c r="C4661">
        <v>2001</v>
      </c>
    </row>
    <row r="4662" spans="1:11" x14ac:dyDescent="0.25">
      <c r="A4662">
        <v>40.376504254246001</v>
      </c>
      <c r="B4662">
        <v>19.901077493513501</v>
      </c>
      <c r="C4662">
        <v>2001</v>
      </c>
    </row>
    <row r="4663" spans="1:11" x14ac:dyDescent="0.25">
      <c r="A4663">
        <v>41.250536303143598</v>
      </c>
      <c r="B4663">
        <v>19.901077493513501</v>
      </c>
      <c r="C4663">
        <v>2000</v>
      </c>
    </row>
    <row r="4664" spans="1:11" x14ac:dyDescent="0.25">
      <c r="A4664" t="s">
        <v>87</v>
      </c>
    </row>
    <row r="4665" spans="1:11" x14ac:dyDescent="0.25">
      <c r="A4665">
        <v>709</v>
      </c>
      <c r="B4665">
        <v>1</v>
      </c>
      <c r="C4665">
        <v>0.94626068198578395</v>
      </c>
      <c r="D4665">
        <v>8.6758083880715091</v>
      </c>
      <c r="E4665">
        <v>6</v>
      </c>
      <c r="F4665">
        <v>1.01722196789785</v>
      </c>
      <c r="G4665" t="s">
        <v>89</v>
      </c>
      <c r="H4665" t="s">
        <v>85</v>
      </c>
      <c r="I4665">
        <v>716</v>
      </c>
      <c r="J4665">
        <v>670</v>
      </c>
      <c r="K4665">
        <v>0</v>
      </c>
    </row>
    <row r="4666" spans="1:11" x14ac:dyDescent="0.25">
      <c r="A4666" t="s">
        <v>86</v>
      </c>
    </row>
    <row r="4667" spans="1:11" x14ac:dyDescent="0.25">
      <c r="A4667">
        <v>78.588501897383907</v>
      </c>
      <c r="B4667">
        <v>70.8981216978367</v>
      </c>
      <c r="C4667">
        <v>2000</v>
      </c>
    </row>
    <row r="4668" spans="1:11" x14ac:dyDescent="0.25">
      <c r="A4668">
        <v>77.897905874721801</v>
      </c>
      <c r="B4668">
        <v>71.588717720498906</v>
      </c>
      <c r="C4668">
        <v>2000</v>
      </c>
    </row>
    <row r="4669" spans="1:11" x14ac:dyDescent="0.25">
      <c r="A4669">
        <v>77.460889850273006</v>
      </c>
      <c r="B4669">
        <v>71.151701696050097</v>
      </c>
      <c r="C4669">
        <v>2001</v>
      </c>
    </row>
    <row r="4670" spans="1:11" x14ac:dyDescent="0.25">
      <c r="A4670">
        <v>78.108508517615505</v>
      </c>
      <c r="B4670">
        <v>70.504083028707498</v>
      </c>
      <c r="C4670">
        <v>2001</v>
      </c>
    </row>
    <row r="4671" spans="1:11" x14ac:dyDescent="0.25">
      <c r="A4671">
        <v>84.046212126531401</v>
      </c>
      <c r="B4671">
        <v>64.566379419791701</v>
      </c>
      <c r="C4671">
        <v>2001</v>
      </c>
    </row>
    <row r="4672" spans="1:11" x14ac:dyDescent="0.25">
      <c r="A4672">
        <v>84.920244175429005</v>
      </c>
      <c r="B4672">
        <v>64.566379419791701</v>
      </c>
      <c r="C4672">
        <v>2000</v>
      </c>
    </row>
    <row r="4673" spans="1:11" x14ac:dyDescent="0.25">
      <c r="A4673" t="s">
        <v>87</v>
      </c>
    </row>
    <row r="4674" spans="1:11" x14ac:dyDescent="0.25">
      <c r="A4674">
        <v>1171</v>
      </c>
      <c r="B4674">
        <v>1</v>
      </c>
      <c r="C4674">
        <v>2.6674487224602501</v>
      </c>
      <c r="D4674">
        <v>6.9211841782554497</v>
      </c>
      <c r="E4674">
        <v>6</v>
      </c>
      <c r="F4674">
        <v>1.01722196789785</v>
      </c>
      <c r="G4674" t="s">
        <v>85</v>
      </c>
      <c r="H4674" t="s">
        <v>85</v>
      </c>
      <c r="I4674">
        <v>839</v>
      </c>
      <c r="J4674">
        <v>927</v>
      </c>
      <c r="K4674">
        <v>9.5469883166703101E-2</v>
      </c>
    </row>
    <row r="4675" spans="1:11" x14ac:dyDescent="0.25">
      <c r="A4675" t="s">
        <v>86</v>
      </c>
    </row>
    <row r="4676" spans="1:11" x14ac:dyDescent="0.25">
      <c r="A4676">
        <v>67.816940509637902</v>
      </c>
      <c r="B4676">
        <v>55.144291233804204</v>
      </c>
      <c r="C4676">
        <v>2000</v>
      </c>
    </row>
    <row r="4677" spans="1:11" x14ac:dyDescent="0.25">
      <c r="A4677">
        <v>65.930769429518804</v>
      </c>
      <c r="B4677">
        <v>57.030462313923302</v>
      </c>
      <c r="C4677">
        <v>2000</v>
      </c>
    </row>
    <row r="4678" spans="1:11" x14ac:dyDescent="0.25">
      <c r="A4678">
        <v>66.804801478416493</v>
      </c>
      <c r="B4678">
        <v>57.030462313923302</v>
      </c>
      <c r="C4678">
        <v>2001</v>
      </c>
    </row>
    <row r="4679" spans="1:11" x14ac:dyDescent="0.25">
      <c r="A4679">
        <v>68.690972558535506</v>
      </c>
      <c r="B4679">
        <v>55.144291233804204</v>
      </c>
      <c r="C4679">
        <v>2001</v>
      </c>
    </row>
    <row r="4680" spans="1:11" x14ac:dyDescent="0.25">
      <c r="A4680">
        <v>73.584988824820996</v>
      </c>
      <c r="B4680">
        <v>50.250274967518799</v>
      </c>
      <c r="C4680">
        <v>2001</v>
      </c>
    </row>
    <row r="4681" spans="1:11" x14ac:dyDescent="0.25">
      <c r="A4681">
        <v>72.710956775923407</v>
      </c>
      <c r="B4681">
        <v>50.250274967518799</v>
      </c>
      <c r="C4681">
        <v>2000</v>
      </c>
    </row>
    <row r="4682" spans="1:11" x14ac:dyDescent="0.25">
      <c r="A4682" t="s">
        <v>87</v>
      </c>
    </row>
    <row r="4683" spans="1:11" x14ac:dyDescent="0.25">
      <c r="A4683">
        <v>714</v>
      </c>
      <c r="B4683">
        <v>1</v>
      </c>
      <c r="C4683">
        <v>0.430989098151915</v>
      </c>
      <c r="D4683">
        <v>9.1514983988845096</v>
      </c>
      <c r="E4683">
        <v>6</v>
      </c>
      <c r="F4683">
        <v>1.01722196789785</v>
      </c>
      <c r="G4683" t="s">
        <v>89</v>
      </c>
      <c r="H4683" t="s">
        <v>85</v>
      </c>
      <c r="I4683">
        <v>715</v>
      </c>
      <c r="J4683">
        <v>665</v>
      </c>
      <c r="K4683">
        <v>0</v>
      </c>
    </row>
    <row r="4684" spans="1:11" x14ac:dyDescent="0.25">
      <c r="A4684" t="s">
        <v>86</v>
      </c>
    </row>
    <row r="4685" spans="1:11" x14ac:dyDescent="0.25">
      <c r="A4685">
        <v>83.389099436559505</v>
      </c>
      <c r="B4685">
        <v>64.395404258886302</v>
      </c>
      <c r="C4685">
        <v>2000</v>
      </c>
    </row>
    <row r="4686" spans="1:11" x14ac:dyDescent="0.25">
      <c r="A4686">
        <v>83.074516343457603</v>
      </c>
      <c r="B4686">
        <v>64.709987351988204</v>
      </c>
      <c r="C4686">
        <v>2000</v>
      </c>
    </row>
    <row r="4687" spans="1:11" x14ac:dyDescent="0.25">
      <c r="A4687">
        <v>82.637500319008794</v>
      </c>
      <c r="B4687">
        <v>64.272971327539395</v>
      </c>
      <c r="C4687">
        <v>2001</v>
      </c>
    </row>
    <row r="4688" spans="1:11" x14ac:dyDescent="0.25">
      <c r="A4688">
        <v>82.932427853748194</v>
      </c>
      <c r="B4688">
        <v>63.978043792799902</v>
      </c>
      <c r="C4688">
        <v>2001</v>
      </c>
    </row>
    <row r="4689" spans="1:11" x14ac:dyDescent="0.25">
      <c r="A4689">
        <v>89.194834196574106</v>
      </c>
      <c r="B4689">
        <v>57.715637449973997</v>
      </c>
      <c r="C4689">
        <v>2001</v>
      </c>
    </row>
    <row r="4690" spans="1:11" x14ac:dyDescent="0.25">
      <c r="A4690">
        <v>90.068866245471696</v>
      </c>
      <c r="B4690">
        <v>57.715637449973997</v>
      </c>
      <c r="C4690">
        <v>2000</v>
      </c>
    </row>
    <row r="4691" spans="1:11" x14ac:dyDescent="0.25">
      <c r="A4691" t="s">
        <v>87</v>
      </c>
    </row>
    <row r="4692" spans="1:11" x14ac:dyDescent="0.25">
      <c r="A4692">
        <v>352</v>
      </c>
      <c r="B4692">
        <v>0</v>
      </c>
      <c r="C4692">
        <v>0.78187094481813801</v>
      </c>
      <c r="D4692">
        <v>8.7808504189012204</v>
      </c>
      <c r="E4692">
        <v>8</v>
      </c>
      <c r="F4692">
        <v>1.01722196789785</v>
      </c>
      <c r="G4692" t="s">
        <v>89</v>
      </c>
      <c r="H4692" t="s">
        <v>85</v>
      </c>
      <c r="I4692">
        <v>355</v>
      </c>
      <c r="J4692">
        <v>800</v>
      </c>
      <c r="K4692">
        <v>0</v>
      </c>
    </row>
    <row r="4693" spans="1:11" x14ac:dyDescent="0.25">
      <c r="A4693" t="s">
        <v>86</v>
      </c>
    </row>
    <row r="4694" spans="1:11" x14ac:dyDescent="0.25">
      <c r="A4694">
        <v>49.454523926558998</v>
      </c>
      <c r="B4694">
        <v>63.126735505462399</v>
      </c>
      <c r="C4694">
        <v>2000</v>
      </c>
    </row>
    <row r="4695" spans="1:11" x14ac:dyDescent="0.25">
      <c r="A4695">
        <v>48.890299912201598</v>
      </c>
      <c r="B4695">
        <v>62.562511491105099</v>
      </c>
      <c r="C4695">
        <v>2000</v>
      </c>
    </row>
    <row r="4696" spans="1:11" x14ac:dyDescent="0.25">
      <c r="A4696">
        <v>48.453283887752796</v>
      </c>
      <c r="B4696">
        <v>62.999527515553901</v>
      </c>
      <c r="C4696">
        <v>2001</v>
      </c>
    </row>
    <row r="4697" spans="1:11" x14ac:dyDescent="0.25">
      <c r="A4697">
        <v>48.994792367582697</v>
      </c>
      <c r="B4697">
        <v>63.541035995383801</v>
      </c>
      <c r="C4697">
        <v>2001</v>
      </c>
    </row>
    <row r="4698" spans="1:11" x14ac:dyDescent="0.25">
      <c r="A4698">
        <v>49.754206041930402</v>
      </c>
      <c r="B4698">
        <v>64.300449669731407</v>
      </c>
      <c r="C4698">
        <v>2001</v>
      </c>
    </row>
    <row r="4699" spans="1:11" x14ac:dyDescent="0.25">
      <c r="A4699">
        <v>54.996640998411898</v>
      </c>
      <c r="B4699">
        <v>69.542884626212896</v>
      </c>
      <c r="C4699">
        <v>2001</v>
      </c>
    </row>
    <row r="4700" spans="1:11" x14ac:dyDescent="0.25">
      <c r="A4700">
        <v>55.870673047309502</v>
      </c>
      <c r="B4700">
        <v>69.542884626212896</v>
      </c>
      <c r="C4700">
        <v>2000</v>
      </c>
    </row>
    <row r="4701" spans="1:11" x14ac:dyDescent="0.25">
      <c r="A4701">
        <v>50.245793958069598</v>
      </c>
      <c r="B4701">
        <v>63.918005536973098</v>
      </c>
      <c r="C4701">
        <v>2000</v>
      </c>
    </row>
    <row r="4702" spans="1:11" x14ac:dyDescent="0.25">
      <c r="A4702" t="s">
        <v>87</v>
      </c>
    </row>
    <row r="4703" spans="1:11" x14ac:dyDescent="0.25">
      <c r="A4703">
        <v>632</v>
      </c>
      <c r="B4703">
        <v>1</v>
      </c>
      <c r="C4703">
        <v>3.07125369403686</v>
      </c>
      <c r="D4703">
        <v>6.4618059856405496</v>
      </c>
      <c r="E4703">
        <v>6</v>
      </c>
      <c r="F4703">
        <v>1.01722196789785</v>
      </c>
      <c r="G4703" t="s">
        <v>85</v>
      </c>
      <c r="H4703" t="s">
        <v>85</v>
      </c>
      <c r="I4703">
        <v>752</v>
      </c>
      <c r="J4703">
        <v>593</v>
      </c>
      <c r="K4703">
        <v>0</v>
      </c>
    </row>
    <row r="4704" spans="1:11" x14ac:dyDescent="0.25">
      <c r="A4704" t="s">
        <v>86</v>
      </c>
    </row>
    <row r="4705" spans="1:11" x14ac:dyDescent="0.25">
      <c r="A4705">
        <v>134.110143377497</v>
      </c>
      <c r="B4705">
        <v>58.9845803068037</v>
      </c>
      <c r="C4705">
        <v>2000</v>
      </c>
    </row>
    <row r="4706" spans="1:11" x14ac:dyDescent="0.25">
      <c r="A4706">
        <v>131.93843906369901</v>
      </c>
      <c r="B4706">
        <v>61.156284620601397</v>
      </c>
      <c r="C4706">
        <v>2000</v>
      </c>
    </row>
    <row r="4707" spans="1:11" x14ac:dyDescent="0.25">
      <c r="A4707">
        <v>131.93843906369901</v>
      </c>
      <c r="B4707">
        <v>62.030316669499101</v>
      </c>
      <c r="C4707">
        <v>2001</v>
      </c>
    </row>
    <row r="4708" spans="1:11" x14ac:dyDescent="0.25">
      <c r="A4708">
        <v>134.110143377497</v>
      </c>
      <c r="B4708">
        <v>59.858612355701403</v>
      </c>
      <c r="C4708">
        <v>2001</v>
      </c>
    </row>
    <row r="4709" spans="1:11" x14ac:dyDescent="0.25">
      <c r="A4709">
        <v>138.67933020865499</v>
      </c>
      <c r="B4709">
        <v>55.289425524543098</v>
      </c>
      <c r="C4709">
        <v>2001</v>
      </c>
    </row>
    <row r="4710" spans="1:11" x14ac:dyDescent="0.25">
      <c r="A4710">
        <v>138.67933020865499</v>
      </c>
      <c r="B4710">
        <v>54.415393475645502</v>
      </c>
      <c r="C4710">
        <v>2000</v>
      </c>
    </row>
    <row r="4711" spans="1:11" x14ac:dyDescent="0.25">
      <c r="A4711" t="s">
        <v>87</v>
      </c>
    </row>
    <row r="4712" spans="1:11" x14ac:dyDescent="0.25">
      <c r="A4712">
        <v>817</v>
      </c>
      <c r="B4712">
        <v>0</v>
      </c>
      <c r="C4712">
        <v>7.1984865693478097</v>
      </c>
      <c r="D4712">
        <v>2.2536005684691198</v>
      </c>
      <c r="E4712">
        <v>6</v>
      </c>
      <c r="F4712">
        <v>1.01722196789785</v>
      </c>
      <c r="G4712" t="s">
        <v>89</v>
      </c>
      <c r="H4712" t="s">
        <v>85</v>
      </c>
      <c r="I4712">
        <v>646</v>
      </c>
      <c r="J4712">
        <v>782</v>
      </c>
      <c r="K4712">
        <v>9.0097089164053304E-2</v>
      </c>
    </row>
    <row r="4713" spans="1:11" x14ac:dyDescent="0.25">
      <c r="A4713" t="s">
        <v>86</v>
      </c>
    </row>
    <row r="4714" spans="1:11" x14ac:dyDescent="0.25">
      <c r="A4714">
        <v>82.469197884676007</v>
      </c>
      <c r="B4714">
        <v>98.241384491683405</v>
      </c>
      <c r="C4714">
        <v>2000</v>
      </c>
    </row>
    <row r="4715" spans="1:11" x14ac:dyDescent="0.25">
      <c r="A4715">
        <v>77.545509764251804</v>
      </c>
      <c r="B4715">
        <v>93.317696371259203</v>
      </c>
      <c r="C4715">
        <v>2000</v>
      </c>
    </row>
    <row r="4716" spans="1:11" x14ac:dyDescent="0.25">
      <c r="A4716">
        <v>77.982525788700698</v>
      </c>
      <c r="B4716">
        <v>92.880680346810394</v>
      </c>
      <c r="C4716">
        <v>2001</v>
      </c>
    </row>
    <row r="4717" spans="1:11" x14ac:dyDescent="0.25">
      <c r="A4717">
        <v>83.239035003208699</v>
      </c>
      <c r="B4717">
        <v>98.137189561318493</v>
      </c>
      <c r="C4717">
        <v>2001</v>
      </c>
    </row>
    <row r="4718" spans="1:11" x14ac:dyDescent="0.25">
      <c r="A4718">
        <v>84.884668712441595</v>
      </c>
      <c r="B4718">
        <v>99.782823270551305</v>
      </c>
      <c r="C4718">
        <v>2001</v>
      </c>
    </row>
    <row r="4719" spans="1:11" x14ac:dyDescent="0.25">
      <c r="A4719">
        <v>84.010636663543906</v>
      </c>
      <c r="B4719">
        <v>99.782823270551305</v>
      </c>
      <c r="C4719">
        <v>2000</v>
      </c>
    </row>
    <row r="4720" spans="1:11" x14ac:dyDescent="0.25">
      <c r="A4720" t="s">
        <v>87</v>
      </c>
    </row>
    <row r="4721" spans="1:11" x14ac:dyDescent="0.25">
      <c r="A4721">
        <v>232</v>
      </c>
      <c r="B4721">
        <v>1</v>
      </c>
      <c r="C4721">
        <v>7.3274825969037503</v>
      </c>
      <c r="D4721">
        <v>2.1071957192732498</v>
      </c>
      <c r="E4721">
        <v>6</v>
      </c>
      <c r="F4721">
        <v>1.01722196789785</v>
      </c>
      <c r="G4721" t="s">
        <v>85</v>
      </c>
      <c r="H4721" t="s">
        <v>85</v>
      </c>
      <c r="I4721">
        <v>185</v>
      </c>
      <c r="J4721">
        <v>192</v>
      </c>
      <c r="K4721">
        <v>0</v>
      </c>
    </row>
    <row r="4722" spans="1:11" x14ac:dyDescent="0.25">
      <c r="A4722" t="s">
        <v>86</v>
      </c>
    </row>
    <row r="4723" spans="1:11" x14ac:dyDescent="0.25">
      <c r="A4723">
        <v>95.881538712373299</v>
      </c>
      <c r="B4723">
        <v>115.099582595331</v>
      </c>
      <c r="C4723">
        <v>2000</v>
      </c>
    </row>
    <row r="4724" spans="1:11" x14ac:dyDescent="0.25">
      <c r="A4724">
        <v>90.700226079076302</v>
      </c>
      <c r="B4724">
        <v>120.280895228628</v>
      </c>
      <c r="C4724">
        <v>2000</v>
      </c>
    </row>
    <row r="4725" spans="1:11" x14ac:dyDescent="0.25">
      <c r="A4725">
        <v>91.574258127973906</v>
      </c>
      <c r="B4725">
        <v>120.280895228628</v>
      </c>
      <c r="C4725">
        <v>2001</v>
      </c>
    </row>
    <row r="4726" spans="1:11" x14ac:dyDescent="0.25">
      <c r="A4726">
        <v>96.755570761270903</v>
      </c>
      <c r="B4726">
        <v>115.099582595331</v>
      </c>
      <c r="C4726">
        <v>2001</v>
      </c>
    </row>
    <row r="4727" spans="1:11" x14ac:dyDescent="0.25">
      <c r="A4727">
        <v>98.245583143656305</v>
      </c>
      <c r="B4727">
        <v>113.609570212946</v>
      </c>
      <c r="C4727">
        <v>2001</v>
      </c>
    </row>
    <row r="4728" spans="1:11" x14ac:dyDescent="0.25">
      <c r="A4728">
        <v>97.371551094758701</v>
      </c>
      <c r="B4728">
        <v>113.609570212946</v>
      </c>
      <c r="C4728">
        <v>2000</v>
      </c>
    </row>
    <row r="4729" spans="1:11" x14ac:dyDescent="0.25">
      <c r="A4729" t="s">
        <v>87</v>
      </c>
    </row>
    <row r="4730" spans="1:11" x14ac:dyDescent="0.25">
      <c r="A4730">
        <v>1056</v>
      </c>
      <c r="B4730">
        <v>1</v>
      </c>
      <c r="C4730">
        <v>4.0306924235925301</v>
      </c>
      <c r="D4730">
        <v>5.3947316135636498</v>
      </c>
      <c r="E4730">
        <v>6</v>
      </c>
      <c r="F4730">
        <v>1.01722196789785</v>
      </c>
      <c r="G4730" t="s">
        <v>85</v>
      </c>
      <c r="H4730" t="s">
        <v>85</v>
      </c>
      <c r="I4730">
        <v>270</v>
      </c>
      <c r="J4730">
        <v>269</v>
      </c>
      <c r="K4730">
        <v>9.4036209728977305E-2</v>
      </c>
    </row>
    <row r="4731" spans="1:11" x14ac:dyDescent="0.25">
      <c r="A4731" t="s">
        <v>86</v>
      </c>
    </row>
    <row r="4732" spans="1:11" x14ac:dyDescent="0.25">
      <c r="A4732">
        <v>3.3672642444107801</v>
      </c>
      <c r="B4732">
        <v>111.65193752184101</v>
      </c>
      <c r="C4732">
        <v>2000</v>
      </c>
    </row>
    <row r="4733" spans="1:11" x14ac:dyDescent="0.25">
      <c r="A4733">
        <v>0.51713429881126505</v>
      </c>
      <c r="B4733">
        <v>114.50206746744099</v>
      </c>
      <c r="C4733">
        <v>2000</v>
      </c>
    </row>
    <row r="4734" spans="1:11" x14ac:dyDescent="0.25">
      <c r="A4734">
        <v>0.51713429881126405</v>
      </c>
      <c r="B4734">
        <v>115.376099516338</v>
      </c>
      <c r="C4734">
        <v>2001</v>
      </c>
    </row>
    <row r="4735" spans="1:11" x14ac:dyDescent="0.25">
      <c r="A4735">
        <v>3.3672642444107801</v>
      </c>
      <c r="B4735">
        <v>112.52596957073899</v>
      </c>
      <c r="C4735">
        <v>2001</v>
      </c>
    </row>
    <row r="4736" spans="1:11" x14ac:dyDescent="0.25">
      <c r="A4736">
        <v>7.1819155510430797</v>
      </c>
      <c r="B4736">
        <v>108.711318264106</v>
      </c>
      <c r="C4736">
        <v>2001</v>
      </c>
    </row>
    <row r="4737" spans="1:11" x14ac:dyDescent="0.25">
      <c r="A4737">
        <v>7.1819155510430797</v>
      </c>
      <c r="B4737">
        <v>107.83728621520901</v>
      </c>
      <c r="C4737">
        <v>2000</v>
      </c>
    </row>
    <row r="4738" spans="1:11" x14ac:dyDescent="0.25">
      <c r="A4738" t="s">
        <v>87</v>
      </c>
    </row>
    <row r="4739" spans="1:11" x14ac:dyDescent="0.25">
      <c r="A4739">
        <v>463</v>
      </c>
      <c r="B4739">
        <v>1</v>
      </c>
      <c r="C4739">
        <v>4.89489465248346</v>
      </c>
      <c r="D4739">
        <v>4.4668922038123098</v>
      </c>
      <c r="E4739">
        <v>6</v>
      </c>
      <c r="F4739">
        <v>1.01722196789785</v>
      </c>
      <c r="G4739" t="s">
        <v>85</v>
      </c>
      <c r="H4739" t="s">
        <v>89</v>
      </c>
      <c r="I4739">
        <v>437</v>
      </c>
      <c r="J4739">
        <v>447</v>
      </c>
      <c r="K4739">
        <v>0</v>
      </c>
    </row>
    <row r="4740" spans="1:11" x14ac:dyDescent="0.25">
      <c r="A4740" t="s">
        <v>86</v>
      </c>
    </row>
    <row r="4741" spans="1:11" x14ac:dyDescent="0.25">
      <c r="A4741">
        <v>61.879243399857003</v>
      </c>
      <c r="B4741">
        <v>8.8709217277190398</v>
      </c>
      <c r="C4741">
        <v>2000</v>
      </c>
    </row>
    <row r="4742" spans="1:11" x14ac:dyDescent="0.25">
      <c r="A4742">
        <v>58.532279081890501</v>
      </c>
      <c r="B4742">
        <v>12.2178860456855</v>
      </c>
      <c r="C4742">
        <v>2000</v>
      </c>
    </row>
    <row r="4743" spans="1:11" x14ac:dyDescent="0.25">
      <c r="A4743">
        <v>58.532279081890501</v>
      </c>
      <c r="B4743">
        <v>13.0919180945832</v>
      </c>
      <c r="C4743">
        <v>2001</v>
      </c>
    </row>
    <row r="4744" spans="1:11" x14ac:dyDescent="0.25">
      <c r="A4744">
        <v>62.107741167853703</v>
      </c>
      <c r="B4744">
        <v>9.5164560086200201</v>
      </c>
      <c r="C4744">
        <v>2001</v>
      </c>
    </row>
    <row r="4745" spans="1:11" x14ac:dyDescent="0.25">
      <c r="A4745">
        <v>65.370570064224694</v>
      </c>
      <c r="B4745">
        <v>6.2536271122489202</v>
      </c>
      <c r="C4745">
        <v>2001</v>
      </c>
    </row>
    <row r="4746" spans="1:11" x14ac:dyDescent="0.25">
      <c r="A4746">
        <v>64.933554039775899</v>
      </c>
      <c r="B4746">
        <v>5.8166110878000996</v>
      </c>
      <c r="C4746">
        <v>2000</v>
      </c>
    </row>
    <row r="4747" spans="1:11" x14ac:dyDescent="0.25">
      <c r="A4747" t="s">
        <v>87</v>
      </c>
    </row>
    <row r="4748" spans="1:11" x14ac:dyDescent="0.25">
      <c r="A4748">
        <v>110</v>
      </c>
      <c r="B4748">
        <v>0</v>
      </c>
      <c r="C4748">
        <v>6.5965999542926896</v>
      </c>
      <c r="D4748">
        <v>2.7444193058074702</v>
      </c>
      <c r="E4748">
        <v>6</v>
      </c>
      <c r="F4748">
        <v>1.01722196789785</v>
      </c>
      <c r="G4748" t="s">
        <v>85</v>
      </c>
      <c r="H4748" t="s">
        <v>88</v>
      </c>
      <c r="I4748">
        <v>160</v>
      </c>
      <c r="J4748">
        <v>0</v>
      </c>
      <c r="K4748">
        <v>0</v>
      </c>
    </row>
    <row r="4749" spans="1:11" x14ac:dyDescent="0.25">
      <c r="A4749" t="s">
        <v>86</v>
      </c>
    </row>
    <row r="4750" spans="1:11" x14ac:dyDescent="0.25">
      <c r="A4750">
        <v>148.059402498444</v>
      </c>
      <c r="B4750">
        <v>16.112489788854301</v>
      </c>
      <c r="C4750">
        <v>2000</v>
      </c>
    </row>
    <row r="4751" spans="1:11" x14ac:dyDescent="0.25">
      <c r="A4751">
        <v>143.394901937989</v>
      </c>
      <c r="B4751">
        <v>11.4479892283991</v>
      </c>
      <c r="C4751">
        <v>2000</v>
      </c>
    </row>
    <row r="4752" spans="1:11" x14ac:dyDescent="0.25">
      <c r="A4752">
        <v>143.394901937989</v>
      </c>
      <c r="B4752">
        <v>12.3220212772968</v>
      </c>
      <c r="C4752">
        <v>2001</v>
      </c>
    </row>
    <row r="4753" spans="1:11" x14ac:dyDescent="0.25">
      <c r="A4753">
        <v>148.059402498444</v>
      </c>
      <c r="B4753">
        <v>16.986521837752001</v>
      </c>
      <c r="C4753">
        <v>2001</v>
      </c>
    </row>
    <row r="4754" spans="1:11" x14ac:dyDescent="0.25">
      <c r="A4754">
        <v>150</v>
      </c>
      <c r="B4754">
        <v>18.927119339307701</v>
      </c>
      <c r="C4754">
        <v>2001</v>
      </c>
    </row>
    <row r="4755" spans="1:11" x14ac:dyDescent="0.25">
      <c r="A4755">
        <v>150</v>
      </c>
      <c r="B4755">
        <v>18.053087290410101</v>
      </c>
      <c r="C4755">
        <v>2000</v>
      </c>
    </row>
    <row r="4756" spans="1:11" x14ac:dyDescent="0.25">
      <c r="A4756" t="s">
        <v>87</v>
      </c>
    </row>
    <row r="4757" spans="1:11" x14ac:dyDescent="0.25">
      <c r="A4757">
        <v>959</v>
      </c>
      <c r="B4757">
        <v>0</v>
      </c>
      <c r="C4757">
        <v>2.2403395894145999</v>
      </c>
      <c r="D4757">
        <v>7.0958108864996596</v>
      </c>
      <c r="E4757">
        <v>6</v>
      </c>
      <c r="F4757">
        <v>1.01722196789785</v>
      </c>
      <c r="G4757" t="s">
        <v>85</v>
      </c>
      <c r="H4757" t="s">
        <v>85</v>
      </c>
      <c r="I4757">
        <v>465</v>
      </c>
      <c r="J4757">
        <v>471</v>
      </c>
      <c r="K4757">
        <v>9.2594931978171202E-2</v>
      </c>
    </row>
    <row r="4758" spans="1:11" x14ac:dyDescent="0.25">
      <c r="A4758" t="s">
        <v>86</v>
      </c>
    </row>
    <row r="4759" spans="1:11" x14ac:dyDescent="0.25">
      <c r="A4759">
        <v>72.275027184793402</v>
      </c>
      <c r="B4759">
        <v>26.237831905522</v>
      </c>
      <c r="C4759">
        <v>2000</v>
      </c>
    </row>
    <row r="4760" spans="1:11" x14ac:dyDescent="0.25">
      <c r="A4760">
        <v>70.585999775485107</v>
      </c>
      <c r="B4760">
        <v>24.548804496213801</v>
      </c>
      <c r="C4760">
        <v>2000</v>
      </c>
    </row>
    <row r="4761" spans="1:11" x14ac:dyDescent="0.25">
      <c r="A4761">
        <v>70.585999775485107</v>
      </c>
      <c r="B4761">
        <v>25.422836545111402</v>
      </c>
      <c r="C4761">
        <v>2001</v>
      </c>
    </row>
    <row r="4762" spans="1:11" x14ac:dyDescent="0.25">
      <c r="A4762">
        <v>72.065290997848393</v>
      </c>
      <c r="B4762">
        <v>26.902127767474699</v>
      </c>
      <c r="C4762">
        <v>2001</v>
      </c>
    </row>
    <row r="4763" spans="1:11" x14ac:dyDescent="0.25">
      <c r="A4763">
        <v>76.750639062733299</v>
      </c>
      <c r="B4763">
        <v>31.587475832359601</v>
      </c>
      <c r="C4763">
        <v>2001</v>
      </c>
    </row>
    <row r="4764" spans="1:11" x14ac:dyDescent="0.25">
      <c r="A4764">
        <v>77.624671111630903</v>
      </c>
      <c r="B4764">
        <v>31.587475832359601</v>
      </c>
      <c r="C4764">
        <v>2000</v>
      </c>
    </row>
    <row r="4765" spans="1:11" x14ac:dyDescent="0.25">
      <c r="A4765" t="s">
        <v>87</v>
      </c>
    </row>
    <row r="4766" spans="1:11" x14ac:dyDescent="0.25">
      <c r="A4766">
        <v>729</v>
      </c>
      <c r="B4766">
        <v>0</v>
      </c>
      <c r="C4766">
        <v>4.2788756558169299</v>
      </c>
      <c r="D4766">
        <v>5.0455056913083398</v>
      </c>
      <c r="E4766">
        <v>6</v>
      </c>
      <c r="F4766">
        <v>1.01722196789785</v>
      </c>
      <c r="G4766" t="s">
        <v>85</v>
      </c>
      <c r="H4766" t="s">
        <v>85</v>
      </c>
      <c r="I4766">
        <v>732</v>
      </c>
      <c r="J4766">
        <v>233</v>
      </c>
      <c r="K4766">
        <v>8.9259099568316694E-2</v>
      </c>
    </row>
    <row r="4767" spans="1:11" x14ac:dyDescent="0.25">
      <c r="A4767" t="s">
        <v>86</v>
      </c>
    </row>
    <row r="4768" spans="1:11" x14ac:dyDescent="0.25">
      <c r="A4768">
        <v>69.518008485632294</v>
      </c>
      <c r="B4768">
        <v>124.177942487905</v>
      </c>
      <c r="C4768">
        <v>2000</v>
      </c>
    </row>
    <row r="4769" spans="1:11" x14ac:dyDescent="0.25">
      <c r="A4769">
        <v>66.291843727375905</v>
      </c>
      <c r="B4769">
        <v>120.951777729649</v>
      </c>
      <c r="C4769">
        <v>2000</v>
      </c>
    </row>
    <row r="4770" spans="1:11" x14ac:dyDescent="0.25">
      <c r="A4770">
        <v>67.165875776273495</v>
      </c>
      <c r="B4770">
        <v>120.951777729649</v>
      </c>
      <c r="C4770">
        <v>2001</v>
      </c>
    </row>
    <row r="4771" spans="1:11" x14ac:dyDescent="0.25">
      <c r="A4771">
        <v>69.990955002181394</v>
      </c>
      <c r="B4771">
        <v>123.77685695555699</v>
      </c>
      <c r="C4771">
        <v>2001</v>
      </c>
    </row>
    <row r="4772" spans="1:11" x14ac:dyDescent="0.25">
      <c r="A4772">
        <v>73.322193032746299</v>
      </c>
      <c r="B4772">
        <v>127.108094986122</v>
      </c>
      <c r="C4772">
        <v>2001</v>
      </c>
    </row>
    <row r="4773" spans="1:11" x14ac:dyDescent="0.25">
      <c r="A4773">
        <v>73.322193032746299</v>
      </c>
      <c r="B4773">
        <v>127.982127035019</v>
      </c>
      <c r="C4773">
        <v>2000</v>
      </c>
    </row>
    <row r="4774" spans="1:11" x14ac:dyDescent="0.25">
      <c r="A4774" t="s">
        <v>87</v>
      </c>
    </row>
    <row r="4775" spans="1:11" x14ac:dyDescent="0.25">
      <c r="A4775">
        <v>1071</v>
      </c>
      <c r="B4775">
        <v>1</v>
      </c>
      <c r="C4775">
        <v>2.9672019495114501</v>
      </c>
      <c r="D4775">
        <v>6.3367288412080898</v>
      </c>
      <c r="E4775">
        <v>6</v>
      </c>
      <c r="F4775">
        <v>1.01722196789785</v>
      </c>
      <c r="G4775" t="s">
        <v>85</v>
      </c>
      <c r="H4775" t="s">
        <v>85</v>
      </c>
      <c r="I4775">
        <v>863</v>
      </c>
      <c r="J4775">
        <v>111</v>
      </c>
      <c r="K4775">
        <v>9.4226499478247905E-2</v>
      </c>
    </row>
    <row r="4776" spans="1:11" x14ac:dyDescent="0.25">
      <c r="A4776" t="s">
        <v>86</v>
      </c>
    </row>
    <row r="4777" spans="1:11" x14ac:dyDescent="0.25">
      <c r="A4777">
        <v>140.390984111639</v>
      </c>
      <c r="B4777">
        <v>29.471255945726899</v>
      </c>
      <c r="C4777">
        <v>2000</v>
      </c>
    </row>
    <row r="4778" spans="1:11" x14ac:dyDescent="0.25">
      <c r="A4778">
        <v>138.292855491989</v>
      </c>
      <c r="B4778">
        <v>31.569384565376399</v>
      </c>
      <c r="C4778">
        <v>2000</v>
      </c>
    </row>
    <row r="4779" spans="1:11" x14ac:dyDescent="0.25">
      <c r="A4779">
        <v>137.41882344309099</v>
      </c>
      <c r="B4779">
        <v>31.569384565376399</v>
      </c>
      <c r="C4779">
        <v>2001</v>
      </c>
    </row>
    <row r="4780" spans="1:11" x14ac:dyDescent="0.25">
      <c r="A4780">
        <v>139.51695206274101</v>
      </c>
      <c r="B4780">
        <v>29.471255945726899</v>
      </c>
      <c r="C4780">
        <v>2001</v>
      </c>
    </row>
    <row r="4781" spans="1:11" x14ac:dyDescent="0.25">
      <c r="A4781">
        <v>143.99769599690001</v>
      </c>
      <c r="B4781">
        <v>24.990512011568299</v>
      </c>
      <c r="C4781">
        <v>2001</v>
      </c>
    </row>
    <row r="4782" spans="1:11" x14ac:dyDescent="0.25">
      <c r="A4782">
        <v>144.871728045797</v>
      </c>
      <c r="B4782">
        <v>24.990512011568299</v>
      </c>
      <c r="C4782">
        <v>2000</v>
      </c>
    </row>
    <row r="4783" spans="1:11" x14ac:dyDescent="0.25">
      <c r="A4783" t="s">
        <v>87</v>
      </c>
    </row>
    <row r="4784" spans="1:11" x14ac:dyDescent="0.25">
      <c r="A4784">
        <v>912</v>
      </c>
      <c r="B4784">
        <v>1</v>
      </c>
      <c r="C4784">
        <v>5.9449826756860196</v>
      </c>
      <c r="D4784">
        <v>3.3589481150335101</v>
      </c>
      <c r="E4784">
        <v>6</v>
      </c>
      <c r="F4784">
        <v>1.01722196789785</v>
      </c>
      <c r="G4784" t="s">
        <v>85</v>
      </c>
      <c r="H4784" t="s">
        <v>85</v>
      </c>
      <c r="I4784">
        <v>863</v>
      </c>
      <c r="J4784">
        <v>111</v>
      </c>
      <c r="K4784">
        <v>9.1907793175489E-2</v>
      </c>
    </row>
    <row r="4785" spans="1:11" x14ac:dyDescent="0.25">
      <c r="A4785" t="s">
        <v>86</v>
      </c>
    </row>
    <row r="4786" spans="1:11" x14ac:dyDescent="0.25">
      <c r="A4786">
        <v>145.96196932808601</v>
      </c>
      <c r="B4786">
        <v>30.831023273445201</v>
      </c>
      <c r="C4786">
        <v>2000</v>
      </c>
    </row>
    <row r="4787" spans="1:11" x14ac:dyDescent="0.25">
      <c r="A4787">
        <v>141.75823176407201</v>
      </c>
      <c r="B4787">
        <v>35.034760837459402</v>
      </c>
      <c r="C4787">
        <v>2000</v>
      </c>
    </row>
    <row r="4788" spans="1:11" x14ac:dyDescent="0.25">
      <c r="A4788">
        <v>140.88419971517399</v>
      </c>
      <c r="B4788">
        <v>35.034760837459402</v>
      </c>
      <c r="C4788">
        <v>2001</v>
      </c>
    </row>
    <row r="4789" spans="1:11" x14ac:dyDescent="0.25">
      <c r="A4789">
        <v>145.08793727918899</v>
      </c>
      <c r="B4789">
        <v>30.831023273445201</v>
      </c>
      <c r="C4789">
        <v>2001</v>
      </c>
    </row>
    <row r="4790" spans="1:11" x14ac:dyDescent="0.25">
      <c r="A4790">
        <v>147.46307226898301</v>
      </c>
      <c r="B4790">
        <v>28.455888283651301</v>
      </c>
      <c r="C4790">
        <v>2001</v>
      </c>
    </row>
    <row r="4791" spans="1:11" x14ac:dyDescent="0.25">
      <c r="A4791">
        <v>148.33710431788001</v>
      </c>
      <c r="B4791">
        <v>28.455888283651301</v>
      </c>
      <c r="C4791">
        <v>2000</v>
      </c>
    </row>
    <row r="4792" spans="1:11" x14ac:dyDescent="0.25">
      <c r="A4792" t="s">
        <v>87</v>
      </c>
    </row>
    <row r="4793" spans="1:11" x14ac:dyDescent="0.25">
      <c r="A4793">
        <v>888</v>
      </c>
      <c r="B4793">
        <v>0</v>
      </c>
      <c r="C4793">
        <v>8.92103544692527</v>
      </c>
      <c r="D4793">
        <v>0.37694868688437599</v>
      </c>
      <c r="E4793">
        <v>6</v>
      </c>
      <c r="F4793">
        <v>1.01722196789785</v>
      </c>
      <c r="G4793" t="s">
        <v>85</v>
      </c>
      <c r="H4793" t="s">
        <v>85</v>
      </c>
      <c r="I4793">
        <v>147</v>
      </c>
      <c r="J4793">
        <v>159</v>
      </c>
      <c r="K4793">
        <v>9.142164214173E-2</v>
      </c>
    </row>
    <row r="4794" spans="1:11" x14ac:dyDescent="0.25">
      <c r="A4794" t="s">
        <v>86</v>
      </c>
    </row>
    <row r="4795" spans="1:11" x14ac:dyDescent="0.25">
      <c r="A4795">
        <v>123.757707662163</v>
      </c>
      <c r="B4795">
        <v>47.667744628334397</v>
      </c>
      <c r="C4795">
        <v>2000</v>
      </c>
    </row>
    <row r="4796" spans="1:11" x14ac:dyDescent="0.25">
      <c r="A4796">
        <v>117.030284002903</v>
      </c>
      <c r="B4796">
        <v>40.940320969074797</v>
      </c>
      <c r="C4796">
        <v>2000</v>
      </c>
    </row>
    <row r="4797" spans="1:11" x14ac:dyDescent="0.25">
      <c r="A4797">
        <v>117.030284002903</v>
      </c>
      <c r="B4797">
        <v>41.814353017972401</v>
      </c>
      <c r="C4797">
        <v>2001</v>
      </c>
    </row>
    <row r="4798" spans="1:11" x14ac:dyDescent="0.25">
      <c r="A4798">
        <v>122.91910966309599</v>
      </c>
      <c r="B4798">
        <v>47.7031786781656</v>
      </c>
      <c r="C4798">
        <v>2001</v>
      </c>
    </row>
    <row r="4799" spans="1:11" x14ac:dyDescent="0.25">
      <c r="A4799">
        <v>123.167935610836</v>
      </c>
      <c r="B4799">
        <v>47.952004625905303</v>
      </c>
      <c r="C4799">
        <v>2001</v>
      </c>
    </row>
    <row r="4800" spans="1:11" x14ac:dyDescent="0.25">
      <c r="A4800">
        <v>124.041967659734</v>
      </c>
      <c r="B4800">
        <v>47.952004625905303</v>
      </c>
      <c r="C4800">
        <v>2000</v>
      </c>
    </row>
    <row r="4801" spans="1:11" x14ac:dyDescent="0.25">
      <c r="A4801" t="s">
        <v>87</v>
      </c>
    </row>
    <row r="4802" spans="1:11" x14ac:dyDescent="0.25">
      <c r="A4802">
        <v>911</v>
      </c>
      <c r="B4802">
        <v>0</v>
      </c>
      <c r="C4802">
        <v>0.48658370345992802</v>
      </c>
      <c r="D4802">
        <v>8.8114004303497193</v>
      </c>
      <c r="E4802">
        <v>6</v>
      </c>
      <c r="F4802">
        <v>1.01722196789785</v>
      </c>
      <c r="G4802" t="s">
        <v>85</v>
      </c>
      <c r="H4802" t="s">
        <v>85</v>
      </c>
      <c r="I4802">
        <v>147</v>
      </c>
      <c r="J4802">
        <v>159</v>
      </c>
      <c r="K4802">
        <v>9.1907793175489E-2</v>
      </c>
    </row>
    <row r="4803" spans="1:11" x14ac:dyDescent="0.25">
      <c r="A4803" t="s">
        <v>86</v>
      </c>
    </row>
    <row r="4804" spans="1:11" x14ac:dyDescent="0.25">
      <c r="A4804">
        <v>118.15764375413799</v>
      </c>
      <c r="B4804">
        <v>40.546834485879998</v>
      </c>
      <c r="C4804">
        <v>2000</v>
      </c>
    </row>
    <row r="4805" spans="1:11" x14ac:dyDescent="0.25">
      <c r="A4805">
        <v>117.790707120118</v>
      </c>
      <c r="B4805">
        <v>40.179897851860098</v>
      </c>
      <c r="C4805">
        <v>2000</v>
      </c>
    </row>
    <row r="4806" spans="1:11" x14ac:dyDescent="0.25">
      <c r="A4806">
        <v>118.66473916901499</v>
      </c>
      <c r="B4806">
        <v>40.179897851860098</v>
      </c>
      <c r="C4806">
        <v>2001</v>
      </c>
    </row>
    <row r="4807" spans="1:11" x14ac:dyDescent="0.25">
      <c r="A4807">
        <v>118.985935807658</v>
      </c>
      <c r="B4807">
        <v>40.501094490503</v>
      </c>
      <c r="C4807">
        <v>2001</v>
      </c>
    </row>
    <row r="4808" spans="1:11" x14ac:dyDescent="0.25">
      <c r="A4808">
        <v>124.802390776948</v>
      </c>
      <c r="B4808">
        <v>46.317549459793</v>
      </c>
      <c r="C4808">
        <v>2001</v>
      </c>
    </row>
    <row r="4809" spans="1:11" x14ac:dyDescent="0.25">
      <c r="A4809">
        <v>124.802390776948</v>
      </c>
      <c r="B4809">
        <v>47.191581508690703</v>
      </c>
      <c r="C4809">
        <v>2000</v>
      </c>
    </row>
    <row r="4810" spans="1:11" x14ac:dyDescent="0.25">
      <c r="A4810" t="s">
        <v>87</v>
      </c>
    </row>
    <row r="4811" spans="1:11" x14ac:dyDescent="0.25">
      <c r="A4811">
        <v>1101</v>
      </c>
      <c r="B4811">
        <v>0</v>
      </c>
      <c r="C4811">
        <v>2.72567670104758</v>
      </c>
      <c r="D4811">
        <v>6.5723074327620701</v>
      </c>
      <c r="E4811">
        <v>6</v>
      </c>
      <c r="F4811">
        <v>1.01722196789785</v>
      </c>
      <c r="G4811" t="s">
        <v>85</v>
      </c>
      <c r="H4811" t="s">
        <v>85</v>
      </c>
      <c r="I4811">
        <v>147</v>
      </c>
      <c r="J4811">
        <v>159</v>
      </c>
      <c r="K4811">
        <v>9.4596959481043894E-2</v>
      </c>
    </row>
    <row r="4812" spans="1:11" x14ac:dyDescent="0.25">
      <c r="A4812" t="s">
        <v>86</v>
      </c>
    </row>
    <row r="4813" spans="1:11" x14ac:dyDescent="0.25">
      <c r="A4813">
        <v>128.73987448941</v>
      </c>
      <c r="B4813">
        <v>33.341639364213798</v>
      </c>
      <c r="C4813">
        <v>2000</v>
      </c>
    </row>
    <row r="4814" spans="1:11" x14ac:dyDescent="0.25">
      <c r="A4814">
        <v>126.684420048587</v>
      </c>
      <c r="B4814">
        <v>31.286184923391001</v>
      </c>
      <c r="C4814">
        <v>2000</v>
      </c>
    </row>
    <row r="4815" spans="1:11" x14ac:dyDescent="0.25">
      <c r="A4815">
        <v>127.55845209748399</v>
      </c>
      <c r="B4815">
        <v>31.286184923391001</v>
      </c>
      <c r="C4815">
        <v>2001</v>
      </c>
    </row>
    <row r="4816" spans="1:11" x14ac:dyDescent="0.25">
      <c r="A4816">
        <v>129.357686613928</v>
      </c>
      <c r="B4816">
        <v>33.085419439833998</v>
      </c>
      <c r="C4816">
        <v>2001</v>
      </c>
    </row>
    <row r="4817" spans="1:11" x14ac:dyDescent="0.25">
      <c r="A4817">
        <v>133.69610370541699</v>
      </c>
      <c r="B4817">
        <v>37.4238365313239</v>
      </c>
      <c r="C4817">
        <v>2001</v>
      </c>
    </row>
    <row r="4818" spans="1:11" x14ac:dyDescent="0.25">
      <c r="A4818">
        <v>133.69610370541699</v>
      </c>
      <c r="B4818">
        <v>38.297868580221497</v>
      </c>
      <c r="C4818">
        <v>2000</v>
      </c>
    </row>
    <row r="4819" spans="1:11" x14ac:dyDescent="0.25">
      <c r="A4819" t="s">
        <v>87</v>
      </c>
    </row>
    <row r="4820" spans="1:11" x14ac:dyDescent="0.25">
      <c r="A4820">
        <v>1065</v>
      </c>
      <c r="B4820">
        <v>0</v>
      </c>
      <c r="C4820">
        <v>6.0558695195174703</v>
      </c>
      <c r="D4820">
        <v>3.23650246506531</v>
      </c>
      <c r="E4820">
        <v>6</v>
      </c>
      <c r="F4820">
        <v>1.01722196789785</v>
      </c>
      <c r="G4820" t="s">
        <v>85</v>
      </c>
      <c r="H4820" t="s">
        <v>85</v>
      </c>
      <c r="I4820">
        <v>386</v>
      </c>
      <c r="J4820">
        <v>382</v>
      </c>
      <c r="K4820">
        <v>9.4226499478247905E-2</v>
      </c>
    </row>
    <row r="4821" spans="1:11" x14ac:dyDescent="0.25">
      <c r="A4821" t="s">
        <v>86</v>
      </c>
    </row>
    <row r="4822" spans="1:11" x14ac:dyDescent="0.25">
      <c r="A4822">
        <v>43.256957722362898</v>
      </c>
      <c r="B4822">
        <v>66.9795762797375</v>
      </c>
      <c r="C4822">
        <v>2000</v>
      </c>
    </row>
    <row r="4823" spans="1:11" x14ac:dyDescent="0.25">
      <c r="A4823">
        <v>39.2596161059382</v>
      </c>
      <c r="B4823">
        <v>62.982234663312802</v>
      </c>
      <c r="C4823">
        <v>2000</v>
      </c>
    </row>
    <row r="4824" spans="1:11" x14ac:dyDescent="0.25">
      <c r="A4824">
        <v>39.2596161059382</v>
      </c>
      <c r="B4824">
        <v>62.108202614415198</v>
      </c>
      <c r="C4824">
        <v>2001</v>
      </c>
    </row>
    <row r="4825" spans="1:11" x14ac:dyDescent="0.25">
      <c r="A4825">
        <v>43.826567295976901</v>
      </c>
      <c r="B4825">
        <v>66.675153804453899</v>
      </c>
      <c r="C4825">
        <v>2001</v>
      </c>
    </row>
    <row r="4826" spans="1:11" x14ac:dyDescent="0.25">
      <c r="A4826">
        <v>46.2673313739934</v>
      </c>
      <c r="B4826">
        <v>69.115917882470399</v>
      </c>
      <c r="C4826">
        <v>2001</v>
      </c>
    </row>
    <row r="4827" spans="1:11" x14ac:dyDescent="0.25">
      <c r="A4827">
        <v>45.393299325095697</v>
      </c>
      <c r="B4827">
        <v>69.115917882470399</v>
      </c>
      <c r="C4827">
        <v>2000</v>
      </c>
    </row>
    <row r="4828" spans="1:11" x14ac:dyDescent="0.25">
      <c r="A4828" t="s">
        <v>87</v>
      </c>
    </row>
    <row r="4829" spans="1:11" x14ac:dyDescent="0.25">
      <c r="A4829">
        <v>1166</v>
      </c>
      <c r="B4829">
        <v>1</v>
      </c>
      <c r="C4829">
        <v>2.6527576975423299</v>
      </c>
      <c r="D4829">
        <v>6.6366800267384898</v>
      </c>
      <c r="E4829">
        <v>6</v>
      </c>
      <c r="F4829">
        <v>1.01722196789785</v>
      </c>
      <c r="G4829" t="s">
        <v>85</v>
      </c>
      <c r="H4829" t="s">
        <v>85</v>
      </c>
      <c r="I4829">
        <v>510</v>
      </c>
      <c r="J4829">
        <v>514</v>
      </c>
      <c r="K4829">
        <v>9.5469883166703101E-2</v>
      </c>
    </row>
    <row r="4830" spans="1:11" x14ac:dyDescent="0.25">
      <c r="A4830" t="s">
        <v>86</v>
      </c>
    </row>
    <row r="4831" spans="1:11" x14ac:dyDescent="0.25">
      <c r="A4831">
        <v>117.376755389319</v>
      </c>
      <c r="B4831">
        <v>110.608287159421</v>
      </c>
      <c r="C4831">
        <v>2000</v>
      </c>
    </row>
    <row r="4832" spans="1:11" x14ac:dyDescent="0.25">
      <c r="A4832">
        <v>115.625769826875</v>
      </c>
      <c r="B4832">
        <v>112.359272721865</v>
      </c>
      <c r="C4832">
        <v>2000</v>
      </c>
    </row>
    <row r="4833" spans="1:11" x14ac:dyDescent="0.25">
      <c r="A4833">
        <v>115.625769826875</v>
      </c>
      <c r="B4833">
        <v>113.233304770763</v>
      </c>
      <c r="C4833">
        <v>2001</v>
      </c>
    </row>
    <row r="4834" spans="1:11" x14ac:dyDescent="0.25">
      <c r="A4834">
        <v>117.626350177985</v>
      </c>
      <c r="B4834">
        <v>111.232724419653</v>
      </c>
      <c r="C4834">
        <v>2001</v>
      </c>
    </row>
    <row r="4835" spans="1:11" x14ac:dyDescent="0.25">
      <c r="A4835">
        <v>122.631410259573</v>
      </c>
      <c r="B4835">
        <v>106.227664338065</v>
      </c>
      <c r="C4835">
        <v>2001</v>
      </c>
    </row>
    <row r="4836" spans="1:11" x14ac:dyDescent="0.25">
      <c r="A4836">
        <v>121.757378210675</v>
      </c>
      <c r="B4836">
        <v>106.227664338065</v>
      </c>
      <c r="C4836">
        <v>2000</v>
      </c>
    </row>
    <row r="4837" spans="1:11" x14ac:dyDescent="0.25">
      <c r="A4837" t="s">
        <v>87</v>
      </c>
    </row>
    <row r="4838" spans="1:11" x14ac:dyDescent="0.25">
      <c r="A4838">
        <v>1027</v>
      </c>
      <c r="B4838">
        <v>1</v>
      </c>
      <c r="C4838">
        <v>7.7589453841573004</v>
      </c>
      <c r="D4838">
        <v>1.53049234012352</v>
      </c>
      <c r="E4838">
        <v>6</v>
      </c>
      <c r="F4838">
        <v>1.01722196789785</v>
      </c>
      <c r="G4838" t="s">
        <v>85</v>
      </c>
      <c r="H4838" t="s">
        <v>85</v>
      </c>
      <c r="I4838">
        <v>510</v>
      </c>
      <c r="J4838">
        <v>514</v>
      </c>
      <c r="K4838">
        <v>9.3644784593262795E-2</v>
      </c>
    </row>
    <row r="4839" spans="1:11" x14ac:dyDescent="0.25">
      <c r="A4839" t="s">
        <v>86</v>
      </c>
    </row>
    <row r="4840" spans="1:11" x14ac:dyDescent="0.25">
      <c r="A4840">
        <v>120.43614633948</v>
      </c>
      <c r="B4840">
        <v>106.926873303566</v>
      </c>
      <c r="C4840">
        <v>2000</v>
      </c>
    </row>
    <row r="4841" spans="1:11" x14ac:dyDescent="0.25">
      <c r="A4841">
        <v>115.314758374028</v>
      </c>
      <c r="B4841">
        <v>112.048261269018</v>
      </c>
      <c r="C4841">
        <v>2000</v>
      </c>
    </row>
    <row r="4842" spans="1:11" x14ac:dyDescent="0.25">
      <c r="A4842">
        <v>114.44072632513</v>
      </c>
      <c r="B4842">
        <v>112.048261269018</v>
      </c>
      <c r="C4842">
        <v>2001</v>
      </c>
    </row>
    <row r="4843" spans="1:11" x14ac:dyDescent="0.25">
      <c r="A4843">
        <v>120.292144151665</v>
      </c>
      <c r="B4843">
        <v>106.196843442483</v>
      </c>
      <c r="C4843">
        <v>2001</v>
      </c>
    </row>
    <row r="4844" spans="1:11" x14ac:dyDescent="0.25">
      <c r="A4844">
        <v>121.446366757828</v>
      </c>
      <c r="B4844">
        <v>105.04262083632</v>
      </c>
      <c r="C4844">
        <v>2001</v>
      </c>
    </row>
    <row r="4845" spans="1:11" x14ac:dyDescent="0.25">
      <c r="A4845">
        <v>121.446366757828</v>
      </c>
      <c r="B4845">
        <v>105.916652885218</v>
      </c>
      <c r="C4845">
        <v>2000</v>
      </c>
    </row>
    <row r="4846" spans="1:11" x14ac:dyDescent="0.25">
      <c r="A4846" t="s">
        <v>87</v>
      </c>
    </row>
    <row r="4847" spans="1:11" x14ac:dyDescent="0.25">
      <c r="A4847">
        <v>556</v>
      </c>
      <c r="B4847">
        <v>1</v>
      </c>
      <c r="C4847">
        <v>2.1790598332577402</v>
      </c>
      <c r="D4847">
        <v>7.1103778910230799</v>
      </c>
      <c r="E4847">
        <v>6</v>
      </c>
      <c r="F4847">
        <v>1.01722196789785</v>
      </c>
      <c r="G4847" t="s">
        <v>85</v>
      </c>
      <c r="H4847" t="s">
        <v>85</v>
      </c>
      <c r="I4847">
        <v>510</v>
      </c>
      <c r="J4847">
        <v>514</v>
      </c>
      <c r="K4847">
        <v>0</v>
      </c>
    </row>
    <row r="4848" spans="1:11" x14ac:dyDescent="0.25">
      <c r="A4848" t="s">
        <v>86</v>
      </c>
    </row>
    <row r="4849" spans="1:11" x14ac:dyDescent="0.25">
      <c r="A4849">
        <v>120.00685305539101</v>
      </c>
      <c r="B4849">
        <v>113.86372510598</v>
      </c>
      <c r="C4849">
        <v>2000</v>
      </c>
    </row>
    <row r="4850" spans="1:11" x14ac:dyDescent="0.25">
      <c r="A4850">
        <v>118.568537633191</v>
      </c>
      <c r="B4850">
        <v>115.302040528181</v>
      </c>
      <c r="C4850">
        <v>2000</v>
      </c>
    </row>
    <row r="4851" spans="1:11" x14ac:dyDescent="0.25">
      <c r="A4851">
        <v>117.694505584293</v>
      </c>
      <c r="B4851">
        <v>115.302040528181</v>
      </c>
      <c r="C4851">
        <v>2001</v>
      </c>
    </row>
    <row r="4852" spans="1:11" x14ac:dyDescent="0.25">
      <c r="A4852">
        <v>119.337846131508</v>
      </c>
      <c r="B4852">
        <v>113.65869998096601</v>
      </c>
      <c r="C4852">
        <v>2001</v>
      </c>
    </row>
    <row r="4853" spans="1:11" x14ac:dyDescent="0.25">
      <c r="A4853">
        <v>124.700146016991</v>
      </c>
      <c r="B4853">
        <v>108.29640009548299</v>
      </c>
      <c r="C4853">
        <v>2001</v>
      </c>
    </row>
    <row r="4854" spans="1:11" x14ac:dyDescent="0.25">
      <c r="A4854">
        <v>124.700146016991</v>
      </c>
      <c r="B4854">
        <v>109.170432144381</v>
      </c>
      <c r="C4854">
        <v>2000</v>
      </c>
    </row>
    <row r="4855" spans="1:11" x14ac:dyDescent="0.25">
      <c r="A4855" t="s">
        <v>87</v>
      </c>
    </row>
    <row r="4856" spans="1:11" x14ac:dyDescent="0.25">
      <c r="A4856">
        <v>984</v>
      </c>
      <c r="B4856">
        <v>1</v>
      </c>
      <c r="C4856">
        <v>2.7609736659478901</v>
      </c>
      <c r="D4856">
        <v>6.4786697793818497</v>
      </c>
      <c r="E4856">
        <v>6</v>
      </c>
      <c r="F4856">
        <v>1.01722196789785</v>
      </c>
      <c r="G4856" t="s">
        <v>85</v>
      </c>
      <c r="H4856" t="s">
        <v>85</v>
      </c>
      <c r="I4856">
        <v>181</v>
      </c>
      <c r="J4856">
        <v>190</v>
      </c>
      <c r="K4856">
        <v>9.3028045338835699E-2</v>
      </c>
    </row>
    <row r="4857" spans="1:11" x14ac:dyDescent="0.25">
      <c r="A4857" t="s">
        <v>86</v>
      </c>
    </row>
    <row r="4858" spans="1:11" x14ac:dyDescent="0.25">
      <c r="A4858">
        <v>70.956790099886703</v>
      </c>
      <c r="B4858">
        <v>133.61931781586401</v>
      </c>
      <c r="C4858">
        <v>2000</v>
      </c>
    </row>
    <row r="4859" spans="1:11" x14ac:dyDescent="0.25">
      <c r="A4859">
        <v>69.135075241846906</v>
      </c>
      <c r="B4859">
        <v>135.44103267390301</v>
      </c>
      <c r="C4859">
        <v>2000</v>
      </c>
    </row>
    <row r="4860" spans="1:11" x14ac:dyDescent="0.25">
      <c r="A4860">
        <v>68.261043192949202</v>
      </c>
      <c r="B4860">
        <v>135.44103267390301</v>
      </c>
      <c r="C4860">
        <v>2001</v>
      </c>
    </row>
    <row r="4861" spans="1:11" x14ac:dyDescent="0.25">
      <c r="A4861">
        <v>70.343934738648002</v>
      </c>
      <c r="B4861">
        <v>133.35814112820501</v>
      </c>
      <c r="C4861">
        <v>2001</v>
      </c>
    </row>
    <row r="4862" spans="1:11" x14ac:dyDescent="0.25">
      <c r="A4862">
        <v>75.231473753336601</v>
      </c>
      <c r="B4862">
        <v>128.47060211351601</v>
      </c>
      <c r="C4862">
        <v>2001</v>
      </c>
    </row>
    <row r="4863" spans="1:11" x14ac:dyDescent="0.25">
      <c r="A4863">
        <v>75.231473753336601</v>
      </c>
      <c r="B4863">
        <v>129.344634162414</v>
      </c>
      <c r="C4863">
        <v>2000</v>
      </c>
    </row>
    <row r="4864" spans="1:11" x14ac:dyDescent="0.25">
      <c r="A4864" t="s">
        <v>87</v>
      </c>
    </row>
    <row r="4865" spans="1:11" x14ac:dyDescent="0.25">
      <c r="A4865">
        <v>835</v>
      </c>
      <c r="B4865">
        <v>0</v>
      </c>
      <c r="C4865">
        <v>6.3635845826010797</v>
      </c>
      <c r="D4865">
        <v>2.8123061145008701</v>
      </c>
      <c r="E4865">
        <v>6</v>
      </c>
      <c r="F4865">
        <v>1.01722196789785</v>
      </c>
      <c r="G4865" t="s">
        <v>85</v>
      </c>
      <c r="H4865" t="s">
        <v>89</v>
      </c>
      <c r="I4865">
        <v>836</v>
      </c>
      <c r="J4865">
        <v>803</v>
      </c>
      <c r="K4865">
        <v>9.0374042336346896E-2</v>
      </c>
    </row>
    <row r="4866" spans="1:11" x14ac:dyDescent="0.25">
      <c r="A4866" t="s">
        <v>86</v>
      </c>
    </row>
    <row r="4867" spans="1:11" x14ac:dyDescent="0.25">
      <c r="A4867">
        <v>128.59222083783601</v>
      </c>
      <c r="B4867">
        <v>123.283089342512</v>
      </c>
      <c r="C4867">
        <v>2000</v>
      </c>
    </row>
    <row r="4868" spans="1:11" x14ac:dyDescent="0.25">
      <c r="A4868">
        <v>123.940949234618</v>
      </c>
      <c r="B4868">
        <v>118.63181773929399</v>
      </c>
      <c r="C4868">
        <v>2000</v>
      </c>
    </row>
    <row r="4869" spans="1:11" x14ac:dyDescent="0.25">
      <c r="A4869">
        <v>123.940949234618</v>
      </c>
      <c r="B4869">
        <v>119.50584978819199</v>
      </c>
      <c r="C4869">
        <v>2001</v>
      </c>
    </row>
    <row r="4870" spans="1:11" x14ac:dyDescent="0.25">
      <c r="A4870">
        <v>128.28914525342299</v>
      </c>
      <c r="B4870">
        <v>123.85404580699699</v>
      </c>
      <c r="C4870">
        <v>2001</v>
      </c>
    </row>
    <row r="4871" spans="1:11" x14ac:dyDescent="0.25">
      <c r="A4871">
        <v>130.210775757741</v>
      </c>
      <c r="B4871">
        <v>125.775676311315</v>
      </c>
      <c r="C4871">
        <v>2001</v>
      </c>
    </row>
    <row r="4872" spans="1:11" x14ac:dyDescent="0.25">
      <c r="A4872">
        <v>130.64779178219001</v>
      </c>
      <c r="B4872">
        <v>125.338660286866</v>
      </c>
      <c r="C4872">
        <v>2000</v>
      </c>
    </row>
    <row r="4873" spans="1:11" x14ac:dyDescent="0.25">
      <c r="A4873" t="s">
        <v>87</v>
      </c>
    </row>
    <row r="4874" spans="1:11" x14ac:dyDescent="0.25">
      <c r="A4874">
        <v>518</v>
      </c>
      <c r="B4874">
        <v>0</v>
      </c>
      <c r="C4874">
        <v>8.6538025306369093</v>
      </c>
      <c r="D4874">
        <v>0.52208816646503897</v>
      </c>
      <c r="E4874">
        <v>6</v>
      </c>
      <c r="F4874">
        <v>1.01722196789785</v>
      </c>
      <c r="G4874" t="s">
        <v>85</v>
      </c>
      <c r="H4874" t="s">
        <v>89</v>
      </c>
      <c r="I4874">
        <v>836</v>
      </c>
      <c r="J4874">
        <v>803</v>
      </c>
      <c r="K4874">
        <v>0</v>
      </c>
    </row>
    <row r="4875" spans="1:11" x14ac:dyDescent="0.25">
      <c r="A4875" t="s">
        <v>86</v>
      </c>
    </row>
    <row r="4876" spans="1:11" x14ac:dyDescent="0.25">
      <c r="A4876">
        <v>129.24010356802299</v>
      </c>
      <c r="B4876">
        <v>125.98313907668</v>
      </c>
      <c r="C4876">
        <v>2000</v>
      </c>
    </row>
    <row r="4877" spans="1:11" x14ac:dyDescent="0.25">
      <c r="A4877">
        <v>122.914865732628</v>
      </c>
      <c r="B4877">
        <v>119.657901241285</v>
      </c>
      <c r="C4877">
        <v>2000</v>
      </c>
    </row>
    <row r="4878" spans="1:11" x14ac:dyDescent="0.25">
      <c r="A4878">
        <v>123.788897781526</v>
      </c>
      <c r="B4878">
        <v>119.657901241285</v>
      </c>
      <c r="C4878">
        <v>2001</v>
      </c>
    </row>
    <row r="4879" spans="1:11" x14ac:dyDescent="0.25">
      <c r="A4879">
        <v>129.70198485105601</v>
      </c>
      <c r="B4879">
        <v>125.570988310815</v>
      </c>
      <c r="C4879">
        <v>2001</v>
      </c>
    </row>
    <row r="4880" spans="1:11" x14ac:dyDescent="0.25">
      <c r="A4880">
        <v>130.05872430464899</v>
      </c>
      <c r="B4880">
        <v>125.927727764408</v>
      </c>
      <c r="C4880">
        <v>2001</v>
      </c>
    </row>
    <row r="4881" spans="1:11" x14ac:dyDescent="0.25">
      <c r="A4881">
        <v>129.62170828020001</v>
      </c>
      <c r="B4881">
        <v>126.364743788857</v>
      </c>
      <c r="C4881">
        <v>2000</v>
      </c>
    </row>
    <row r="4882" spans="1:11" x14ac:dyDescent="0.25">
      <c r="A4882" t="s">
        <v>87</v>
      </c>
    </row>
    <row r="4883" spans="1:11" x14ac:dyDescent="0.25">
      <c r="A4883">
        <v>1017</v>
      </c>
      <c r="B4883">
        <v>1</v>
      </c>
      <c r="C4883">
        <v>2.1364752501926301</v>
      </c>
      <c r="D4883">
        <v>6.9605144319240297</v>
      </c>
      <c r="E4883">
        <v>6</v>
      </c>
      <c r="F4883">
        <v>1.01722196789785</v>
      </c>
      <c r="G4883" t="s">
        <v>89</v>
      </c>
      <c r="H4883" t="s">
        <v>85</v>
      </c>
      <c r="I4883">
        <v>282</v>
      </c>
      <c r="J4883">
        <v>825</v>
      </c>
      <c r="K4883">
        <v>9.3443328339296097E-2</v>
      </c>
    </row>
    <row r="4884" spans="1:11" x14ac:dyDescent="0.25">
      <c r="A4884" t="s">
        <v>86</v>
      </c>
    </row>
    <row r="4885" spans="1:11" x14ac:dyDescent="0.25">
      <c r="A4885">
        <v>31.9667990503129</v>
      </c>
      <c r="B4885">
        <v>142.51855500929801</v>
      </c>
      <c r="C4885">
        <v>2000</v>
      </c>
    </row>
    <row r="4886" spans="1:11" x14ac:dyDescent="0.25">
      <c r="A4886">
        <v>30.5074006540314</v>
      </c>
      <c r="B4886">
        <v>143.977953405579</v>
      </c>
      <c r="C4886">
        <v>2000</v>
      </c>
    </row>
    <row r="4887" spans="1:11" x14ac:dyDescent="0.25">
      <c r="A4887">
        <v>30.944416678480302</v>
      </c>
      <c r="B4887">
        <v>144.41496943002801</v>
      </c>
      <c r="C4887">
        <v>2001</v>
      </c>
    </row>
    <row r="4888" spans="1:11" x14ac:dyDescent="0.25">
      <c r="A4888">
        <v>32.506450556695697</v>
      </c>
      <c r="B4888">
        <v>142.852935551813</v>
      </c>
      <c r="C4888">
        <v>2001</v>
      </c>
    </row>
    <row r="4889" spans="1:11" x14ac:dyDescent="0.25">
      <c r="A4889">
        <v>37.595467783313403</v>
      </c>
      <c r="B4889">
        <v>137.76391832519499</v>
      </c>
      <c r="C4889">
        <v>2001</v>
      </c>
    </row>
    <row r="4890" spans="1:11" x14ac:dyDescent="0.25">
      <c r="A4890">
        <v>36.721435734415699</v>
      </c>
      <c r="B4890">
        <v>137.76391832519499</v>
      </c>
      <c r="C4890">
        <v>2000</v>
      </c>
    </row>
    <row r="4891" spans="1:11" x14ac:dyDescent="0.25">
      <c r="A4891" t="s">
        <v>87</v>
      </c>
    </row>
    <row r="4892" spans="1:11" x14ac:dyDescent="0.25">
      <c r="A4892">
        <v>621</v>
      </c>
      <c r="B4892">
        <v>1</v>
      </c>
      <c r="C4892">
        <v>8.9434426378467808</v>
      </c>
      <c r="D4892">
        <v>0.14161107107644699</v>
      </c>
      <c r="E4892">
        <v>8</v>
      </c>
      <c r="F4892">
        <v>1.01722196789785</v>
      </c>
      <c r="G4892" t="s">
        <v>85</v>
      </c>
      <c r="H4892" t="s">
        <v>89</v>
      </c>
      <c r="I4892">
        <v>600</v>
      </c>
      <c r="J4892">
        <v>625</v>
      </c>
      <c r="K4892">
        <v>0</v>
      </c>
    </row>
    <row r="4893" spans="1:11" x14ac:dyDescent="0.25">
      <c r="A4893" t="s">
        <v>86</v>
      </c>
    </row>
    <row r="4894" spans="1:11" x14ac:dyDescent="0.25">
      <c r="A4894">
        <v>113.717420207545</v>
      </c>
      <c r="B4894">
        <v>96.147760114352494</v>
      </c>
      <c r="C4894">
        <v>2000</v>
      </c>
    </row>
    <row r="4895" spans="1:11" x14ac:dyDescent="0.25">
      <c r="A4895">
        <v>109.787209557065</v>
      </c>
      <c r="B4895">
        <v>100.077970764833</v>
      </c>
      <c r="C4895">
        <v>2000</v>
      </c>
    </row>
    <row r="4896" spans="1:11" x14ac:dyDescent="0.25">
      <c r="A4896">
        <v>107.608582544415</v>
      </c>
      <c r="B4896">
        <v>102.256597777482</v>
      </c>
      <c r="C4896">
        <v>2000</v>
      </c>
    </row>
    <row r="4897" spans="1:11" x14ac:dyDescent="0.25">
      <c r="A4897">
        <v>106.734550495517</v>
      </c>
      <c r="B4897">
        <v>102.256597777482</v>
      </c>
      <c r="C4897">
        <v>2001</v>
      </c>
    </row>
    <row r="4898" spans="1:11" x14ac:dyDescent="0.25">
      <c r="A4898">
        <v>109.069119037832</v>
      </c>
      <c r="B4898">
        <v>99.922029235167301</v>
      </c>
      <c r="C4898">
        <v>2001</v>
      </c>
    </row>
    <row r="4899" spans="1:11" x14ac:dyDescent="0.25">
      <c r="A4899">
        <v>113.27365070513601</v>
      </c>
      <c r="B4899">
        <v>95.717497567863504</v>
      </c>
      <c r="C4899">
        <v>2001</v>
      </c>
    </row>
    <row r="4900" spans="1:11" x14ac:dyDescent="0.25">
      <c r="A4900">
        <v>113.37716159276501</v>
      </c>
      <c r="B4900">
        <v>95.613986680234305</v>
      </c>
      <c r="C4900">
        <v>2001</v>
      </c>
    </row>
    <row r="4901" spans="1:11" x14ac:dyDescent="0.25">
      <c r="A4901">
        <v>113.814177617214</v>
      </c>
      <c r="B4901">
        <v>96.0510027046831</v>
      </c>
      <c r="C4901">
        <v>2000</v>
      </c>
    </row>
    <row r="4902" spans="1:11" x14ac:dyDescent="0.25">
      <c r="A4902" t="s">
        <v>87</v>
      </c>
    </row>
    <row r="4903" spans="1:11" x14ac:dyDescent="0.25">
      <c r="A4903">
        <v>1004</v>
      </c>
      <c r="B4903">
        <v>0</v>
      </c>
      <c r="C4903">
        <v>2.1819006131668499</v>
      </c>
      <c r="D4903">
        <v>6.8963610180235797</v>
      </c>
      <c r="E4903">
        <v>10</v>
      </c>
      <c r="F4903">
        <v>1.01722196789785</v>
      </c>
      <c r="G4903" t="s">
        <v>85</v>
      </c>
      <c r="H4903" t="s">
        <v>85</v>
      </c>
      <c r="I4903">
        <v>719</v>
      </c>
      <c r="J4903">
        <v>231</v>
      </c>
      <c r="K4903">
        <v>9.3443328339296097E-2</v>
      </c>
    </row>
    <row r="4904" spans="1:11" x14ac:dyDescent="0.25">
      <c r="A4904" t="s">
        <v>86</v>
      </c>
    </row>
    <row r="4905" spans="1:11" x14ac:dyDescent="0.25">
      <c r="A4905">
        <v>96.212409696624306</v>
      </c>
      <c r="B4905">
        <v>100.915946429065</v>
      </c>
      <c r="C4905">
        <v>2000</v>
      </c>
    </row>
    <row r="4906" spans="1:11" x14ac:dyDescent="0.25">
      <c r="A4906">
        <v>95.600111086207093</v>
      </c>
      <c r="B4906">
        <v>100.303647818648</v>
      </c>
      <c r="C4906">
        <v>2000</v>
      </c>
    </row>
    <row r="4907" spans="1:11" x14ac:dyDescent="0.25">
      <c r="A4907">
        <v>94.791795904651195</v>
      </c>
      <c r="B4907">
        <v>99.495332637092105</v>
      </c>
      <c r="C4907">
        <v>2000</v>
      </c>
    </row>
    <row r="4908" spans="1:11" x14ac:dyDescent="0.25">
      <c r="A4908">
        <v>94.791795904651195</v>
      </c>
      <c r="B4908">
        <v>98.621300588194501</v>
      </c>
      <c r="C4908">
        <v>2001</v>
      </c>
    </row>
    <row r="4909" spans="1:11" x14ac:dyDescent="0.25">
      <c r="A4909">
        <v>95.866847497808706</v>
      </c>
      <c r="B4909">
        <v>99.696352181351998</v>
      </c>
      <c r="C4909">
        <v>2001</v>
      </c>
    </row>
    <row r="4910" spans="1:11" x14ac:dyDescent="0.25">
      <c r="A4910">
        <v>96.456855551568793</v>
      </c>
      <c r="B4910">
        <v>100.286360235112</v>
      </c>
      <c r="C4910">
        <v>2001</v>
      </c>
    </row>
    <row r="4911" spans="1:11" x14ac:dyDescent="0.25">
      <c r="A4911">
        <v>100.054267653168</v>
      </c>
      <c r="B4911">
        <v>103.883772336712</v>
      </c>
      <c r="C4911">
        <v>2001</v>
      </c>
    </row>
    <row r="4912" spans="1:11" x14ac:dyDescent="0.25">
      <c r="A4912">
        <v>101.211096265452</v>
      </c>
      <c r="B4912">
        <v>105.04060094899501</v>
      </c>
      <c r="C4912">
        <v>2001</v>
      </c>
    </row>
    <row r="4913" spans="1:11" x14ac:dyDescent="0.25">
      <c r="A4913">
        <v>101.211096265452</v>
      </c>
      <c r="B4913">
        <v>105.91463299789299</v>
      </c>
      <c r="C4913">
        <v>2000</v>
      </c>
    </row>
    <row r="4914" spans="1:11" x14ac:dyDescent="0.25">
      <c r="A4914">
        <v>99.945732346831804</v>
      </c>
      <c r="B4914">
        <v>104.649269079273</v>
      </c>
      <c r="C4914">
        <v>2000</v>
      </c>
    </row>
    <row r="4915" spans="1:11" x14ac:dyDescent="0.25">
      <c r="A4915" t="s">
        <v>87</v>
      </c>
    </row>
    <row r="4916" spans="1:11" x14ac:dyDescent="0.25">
      <c r="A4916">
        <v>807</v>
      </c>
      <c r="B4916">
        <v>0</v>
      </c>
      <c r="C4916">
        <v>7.7303822344176503</v>
      </c>
      <c r="D4916">
        <v>1.34787939677275</v>
      </c>
      <c r="E4916">
        <v>6</v>
      </c>
      <c r="F4916">
        <v>1.01722196789785</v>
      </c>
      <c r="G4916" t="s">
        <v>85</v>
      </c>
      <c r="H4916" t="s">
        <v>85</v>
      </c>
      <c r="I4916">
        <v>719</v>
      </c>
      <c r="J4916">
        <v>231</v>
      </c>
      <c r="K4916">
        <v>8.9816640118045604E-2</v>
      </c>
    </row>
    <row r="4917" spans="1:11" x14ac:dyDescent="0.25">
      <c r="A4917" t="s">
        <v>86</v>
      </c>
    </row>
    <row r="4918" spans="1:11" x14ac:dyDescent="0.25">
      <c r="A4918">
        <v>96.212784245709301</v>
      </c>
      <c r="B4918">
        <v>109.00675569427599</v>
      </c>
      <c r="C4918">
        <v>2000</v>
      </c>
    </row>
    <row r="4919" spans="1:11" x14ac:dyDescent="0.25">
      <c r="A4919">
        <v>90.746578546588594</v>
      </c>
      <c r="B4919">
        <v>103.540549995155</v>
      </c>
      <c r="C4919">
        <v>2000</v>
      </c>
    </row>
    <row r="4920" spans="1:11" x14ac:dyDescent="0.25">
      <c r="A4920">
        <v>90.746578546588594</v>
      </c>
      <c r="B4920">
        <v>102.666517946257</v>
      </c>
      <c r="C4920">
        <v>2001</v>
      </c>
    </row>
    <row r="4921" spans="1:11" x14ac:dyDescent="0.25">
      <c r="A4921">
        <v>96.212784245709301</v>
      </c>
      <c r="B4921">
        <v>108.13272364537799</v>
      </c>
      <c r="C4921">
        <v>2001</v>
      </c>
    </row>
    <row r="4922" spans="1:11" x14ac:dyDescent="0.25">
      <c r="A4922">
        <v>97.165878907389001</v>
      </c>
      <c r="B4922">
        <v>109.08581830705801</v>
      </c>
      <c r="C4922">
        <v>2001</v>
      </c>
    </row>
    <row r="4923" spans="1:11" x14ac:dyDescent="0.25">
      <c r="A4923">
        <v>97.165878907389001</v>
      </c>
      <c r="B4923">
        <v>109.959850355955</v>
      </c>
      <c r="C4923">
        <v>2000</v>
      </c>
    </row>
    <row r="4924" spans="1:11" x14ac:dyDescent="0.25">
      <c r="A4924" t="s">
        <v>87</v>
      </c>
    </row>
    <row r="4925" spans="1:11" x14ac:dyDescent="0.25">
      <c r="A4925">
        <v>1028</v>
      </c>
      <c r="B4925">
        <v>1</v>
      </c>
      <c r="C4925">
        <v>0.63386947118102199</v>
      </c>
      <c r="D4925">
        <v>8.4352677624292092</v>
      </c>
      <c r="E4925">
        <v>6</v>
      </c>
      <c r="F4925">
        <v>1.01722196789785</v>
      </c>
      <c r="G4925" t="s">
        <v>85</v>
      </c>
      <c r="H4925" t="s">
        <v>85</v>
      </c>
      <c r="I4925">
        <v>106</v>
      </c>
      <c r="J4925">
        <v>105</v>
      </c>
      <c r="K4925">
        <v>9.3644784593262795E-2</v>
      </c>
    </row>
    <row r="4926" spans="1:11" x14ac:dyDescent="0.25">
      <c r="A4926" t="s">
        <v>86</v>
      </c>
    </row>
    <row r="4927" spans="1:11" x14ac:dyDescent="0.25">
      <c r="A4927">
        <v>105.492951180559</v>
      </c>
      <c r="B4927">
        <v>16.114731932112399</v>
      </c>
      <c r="C4927">
        <v>2000</v>
      </c>
    </row>
    <row r="4928" spans="1:11" x14ac:dyDescent="0.25">
      <c r="A4928">
        <v>105.04473777909899</v>
      </c>
      <c r="B4928">
        <v>16.562945333571601</v>
      </c>
      <c r="C4928">
        <v>2000</v>
      </c>
    </row>
    <row r="4929" spans="1:11" x14ac:dyDescent="0.25">
      <c r="A4929">
        <v>105.918769827997</v>
      </c>
      <c r="B4929">
        <v>16.562945333571601</v>
      </c>
      <c r="C4929">
        <v>2001</v>
      </c>
    </row>
    <row r="4930" spans="1:11" x14ac:dyDescent="0.25">
      <c r="A4930">
        <v>106.366983229456</v>
      </c>
      <c r="B4930">
        <v>16.114731932112399</v>
      </c>
      <c r="C4930">
        <v>2001</v>
      </c>
    </row>
    <row r="4931" spans="1:11" x14ac:dyDescent="0.25">
      <c r="A4931">
        <v>112.331618265394</v>
      </c>
      <c r="B4931">
        <v>10.1500968961744</v>
      </c>
      <c r="C4931">
        <v>2001</v>
      </c>
    </row>
    <row r="4932" spans="1:11" x14ac:dyDescent="0.25">
      <c r="A4932">
        <v>111.45758621649701</v>
      </c>
      <c r="B4932">
        <v>10.1500968961744</v>
      </c>
      <c r="C4932">
        <v>2000</v>
      </c>
    </row>
    <row r="4933" spans="1:11" x14ac:dyDescent="0.25">
      <c r="A4933" t="s">
        <v>87</v>
      </c>
    </row>
    <row r="4934" spans="1:11" x14ac:dyDescent="0.25">
      <c r="A4934">
        <v>192</v>
      </c>
      <c r="B4934">
        <v>0</v>
      </c>
      <c r="C4934">
        <v>2.8884548600351301</v>
      </c>
      <c r="D4934">
        <v>6.1611340231457303</v>
      </c>
      <c r="E4934">
        <v>8</v>
      </c>
      <c r="F4934">
        <v>1.01722196789785</v>
      </c>
      <c r="G4934" t="s">
        <v>85</v>
      </c>
      <c r="H4934" t="s">
        <v>85</v>
      </c>
      <c r="I4934">
        <v>238</v>
      </c>
      <c r="J4934">
        <v>804</v>
      </c>
      <c r="K4934">
        <v>0</v>
      </c>
    </row>
    <row r="4935" spans="1:11" x14ac:dyDescent="0.25">
      <c r="A4935" t="s">
        <v>86</v>
      </c>
    </row>
    <row r="4936" spans="1:11" x14ac:dyDescent="0.25">
      <c r="A4936">
        <v>97.856237974661994</v>
      </c>
      <c r="B4936">
        <v>114.09425709284901</v>
      </c>
      <c r="C4936">
        <v>2000</v>
      </c>
    </row>
    <row r="4937" spans="1:11" x14ac:dyDescent="0.25">
      <c r="A4937">
        <v>95.650756337991893</v>
      </c>
      <c r="B4937">
        <v>111.888775456179</v>
      </c>
      <c r="C4937">
        <v>2000</v>
      </c>
    </row>
    <row r="4938" spans="1:11" x14ac:dyDescent="0.25">
      <c r="A4938">
        <v>96.524788386889597</v>
      </c>
      <c r="B4938">
        <v>111.888775456179</v>
      </c>
      <c r="C4938">
        <v>2001</v>
      </c>
    </row>
    <row r="4939" spans="1:11" x14ac:dyDescent="0.25">
      <c r="A4939">
        <v>98.404198787583596</v>
      </c>
      <c r="B4939">
        <v>113.768185856873</v>
      </c>
      <c r="C4939">
        <v>2001</v>
      </c>
    </row>
    <row r="4940" spans="1:11" x14ac:dyDescent="0.25">
      <c r="A4940">
        <v>100.12472750139101</v>
      </c>
      <c r="B4940">
        <v>115.488714570681</v>
      </c>
      <c r="C4940">
        <v>2001</v>
      </c>
    </row>
    <row r="4941" spans="1:11" x14ac:dyDescent="0.25">
      <c r="A4941">
        <v>102.486798028688</v>
      </c>
      <c r="B4941">
        <v>117.850785097978</v>
      </c>
      <c r="C4941">
        <v>2001</v>
      </c>
    </row>
    <row r="4942" spans="1:11" x14ac:dyDescent="0.25">
      <c r="A4942">
        <v>102.486798028688</v>
      </c>
      <c r="B4942">
        <v>118.72481714687601</v>
      </c>
      <c r="C4942">
        <v>2000</v>
      </c>
    </row>
    <row r="4943" spans="1:11" x14ac:dyDescent="0.25">
      <c r="A4943">
        <v>99.875272498608894</v>
      </c>
      <c r="B4943">
        <v>116.113291616796</v>
      </c>
      <c r="C4943">
        <v>2000</v>
      </c>
    </row>
    <row r="4944" spans="1:11" x14ac:dyDescent="0.25">
      <c r="A4944" t="s">
        <v>87</v>
      </c>
    </row>
    <row r="4945" spans="1:11" x14ac:dyDescent="0.25">
      <c r="A4945">
        <v>280</v>
      </c>
      <c r="B4945">
        <v>0</v>
      </c>
      <c r="C4945">
        <v>3.7303228647360802</v>
      </c>
      <c r="D4945">
        <v>5.3075639294866903</v>
      </c>
      <c r="E4945">
        <v>6</v>
      </c>
      <c r="F4945">
        <v>1.01722196789785</v>
      </c>
      <c r="G4945" t="s">
        <v>85</v>
      </c>
      <c r="H4945" t="s">
        <v>85</v>
      </c>
      <c r="I4945">
        <v>312</v>
      </c>
      <c r="J4945">
        <v>319</v>
      </c>
      <c r="K4945">
        <v>0</v>
      </c>
    </row>
    <row r="4946" spans="1:11" x14ac:dyDescent="0.25">
      <c r="A4946" t="s">
        <v>86</v>
      </c>
    </row>
    <row r="4947" spans="1:11" x14ac:dyDescent="0.25">
      <c r="A4947">
        <v>44.586682944373301</v>
      </c>
      <c r="B4947">
        <v>125.625374962883</v>
      </c>
      <c r="C4947">
        <v>2000</v>
      </c>
    </row>
    <row r="4948" spans="1:11" x14ac:dyDescent="0.25">
      <c r="A4948">
        <v>41.768571125235702</v>
      </c>
      <c r="B4948">
        <v>122.807263143745</v>
      </c>
      <c r="C4948">
        <v>2000</v>
      </c>
    </row>
    <row r="4949" spans="1:11" x14ac:dyDescent="0.25">
      <c r="A4949">
        <v>41.768571125235702</v>
      </c>
      <c r="B4949">
        <v>123.68129519264301</v>
      </c>
      <c r="C4949">
        <v>2001</v>
      </c>
    </row>
    <row r="4950" spans="1:11" x14ac:dyDescent="0.25">
      <c r="A4950">
        <v>44.2259324934383</v>
      </c>
      <c r="B4950">
        <v>126.138656560846</v>
      </c>
      <c r="C4950">
        <v>2001</v>
      </c>
    </row>
    <row r="4951" spans="1:11" x14ac:dyDescent="0.25">
      <c r="A4951">
        <v>47.722306140578098</v>
      </c>
      <c r="B4951">
        <v>129.63503020798601</v>
      </c>
      <c r="C4951">
        <v>2001</v>
      </c>
    </row>
    <row r="4952" spans="1:11" x14ac:dyDescent="0.25">
      <c r="A4952">
        <v>48.596338189475802</v>
      </c>
      <c r="B4952">
        <v>129.63503020798601</v>
      </c>
      <c r="C4952">
        <v>2000</v>
      </c>
    </row>
    <row r="4953" spans="1:11" x14ac:dyDescent="0.25">
      <c r="A4953" t="s">
        <v>87</v>
      </c>
    </row>
    <row r="4954" spans="1:11" x14ac:dyDescent="0.25">
      <c r="A4954">
        <v>956</v>
      </c>
      <c r="B4954">
        <v>1</v>
      </c>
      <c r="C4954">
        <v>2.37756798308701</v>
      </c>
      <c r="D4954">
        <v>6.6291966891457399</v>
      </c>
      <c r="E4954">
        <v>6</v>
      </c>
      <c r="F4954">
        <v>1.01722196789785</v>
      </c>
      <c r="G4954" t="s">
        <v>85</v>
      </c>
      <c r="H4954" t="s">
        <v>85</v>
      </c>
      <c r="I4954">
        <v>358</v>
      </c>
      <c r="J4954">
        <v>357</v>
      </c>
      <c r="K4954">
        <v>9.2594931978171202E-2</v>
      </c>
    </row>
    <row r="4955" spans="1:11" x14ac:dyDescent="0.25">
      <c r="A4955" t="s">
        <v>86</v>
      </c>
    </row>
    <row r="4956" spans="1:11" x14ac:dyDescent="0.25">
      <c r="A4956">
        <v>12.169078005547499</v>
      </c>
      <c r="B4956">
        <v>83.126603571291398</v>
      </c>
      <c r="C4956">
        <v>2000</v>
      </c>
    </row>
    <row r="4957" spans="1:11" x14ac:dyDescent="0.25">
      <c r="A4957">
        <v>10.4878835619747</v>
      </c>
      <c r="B4957">
        <v>84.807798014864204</v>
      </c>
      <c r="C4957">
        <v>2000</v>
      </c>
    </row>
    <row r="4958" spans="1:11" x14ac:dyDescent="0.25">
      <c r="A4958">
        <v>9.6138515130770692</v>
      </c>
      <c r="B4958">
        <v>84.807798014864204</v>
      </c>
      <c r="C4958">
        <v>2001</v>
      </c>
    </row>
    <row r="4959" spans="1:11" x14ac:dyDescent="0.25">
      <c r="A4959">
        <v>11.295045956649901</v>
      </c>
      <c r="B4959">
        <v>83.126603571291398</v>
      </c>
      <c r="C4959">
        <v>2001</v>
      </c>
    </row>
    <row r="4960" spans="1:11" x14ac:dyDescent="0.25">
      <c r="A4960">
        <v>15.982595889364299</v>
      </c>
      <c r="B4960">
        <v>78.439053638576993</v>
      </c>
      <c r="C4960">
        <v>2001</v>
      </c>
    </row>
    <row r="4961" spans="1:11" x14ac:dyDescent="0.25">
      <c r="A4961">
        <v>16.856627938261902</v>
      </c>
      <c r="B4961">
        <v>78.439053638576993</v>
      </c>
      <c r="C4961">
        <v>2000</v>
      </c>
    </row>
    <row r="4962" spans="1:11" x14ac:dyDescent="0.25">
      <c r="A4962" t="s">
        <v>87</v>
      </c>
    </row>
    <row r="4963" spans="1:11" x14ac:dyDescent="0.25">
      <c r="A4963">
        <v>630</v>
      </c>
      <c r="B4963">
        <v>1</v>
      </c>
      <c r="C4963">
        <v>4.7810414772324803</v>
      </c>
      <c r="D4963">
        <v>4.2218931824581203</v>
      </c>
      <c r="E4963">
        <v>6</v>
      </c>
      <c r="F4963">
        <v>1.01722196789785</v>
      </c>
      <c r="G4963" t="s">
        <v>85</v>
      </c>
      <c r="H4963" t="s">
        <v>85</v>
      </c>
      <c r="I4963">
        <v>751</v>
      </c>
      <c r="J4963">
        <v>594</v>
      </c>
      <c r="K4963">
        <v>0</v>
      </c>
    </row>
    <row r="4964" spans="1:11" x14ac:dyDescent="0.25">
      <c r="A4964" t="s">
        <v>86</v>
      </c>
    </row>
    <row r="4965" spans="1:11" x14ac:dyDescent="0.25">
      <c r="A4965">
        <v>108.400951283239</v>
      </c>
      <c r="B4965">
        <v>83.177874408288503</v>
      </c>
      <c r="C4965">
        <v>2000</v>
      </c>
    </row>
    <row r="4966" spans="1:11" x14ac:dyDescent="0.25">
      <c r="A4966">
        <v>105.020244433554</v>
      </c>
      <c r="B4966">
        <v>86.5585812579737</v>
      </c>
      <c r="C4966">
        <v>2000</v>
      </c>
    </row>
    <row r="4967" spans="1:11" x14ac:dyDescent="0.25">
      <c r="A4967">
        <v>105.020244433554</v>
      </c>
      <c r="B4967">
        <v>87.432613306871303</v>
      </c>
      <c r="C4967">
        <v>2001</v>
      </c>
    </row>
    <row r="4968" spans="1:11" x14ac:dyDescent="0.25">
      <c r="A4968">
        <v>108.400951283239</v>
      </c>
      <c r="B4968">
        <v>84.051906457186107</v>
      </c>
      <c r="C4968">
        <v>2001</v>
      </c>
    </row>
    <row r="4969" spans="1:11" x14ac:dyDescent="0.25">
      <c r="A4969">
        <v>111.38628058200101</v>
      </c>
      <c r="B4969">
        <v>81.066577158424707</v>
      </c>
      <c r="C4969">
        <v>2001</v>
      </c>
    </row>
    <row r="4970" spans="1:11" x14ac:dyDescent="0.25">
      <c r="A4970">
        <v>111.38628058200101</v>
      </c>
      <c r="B4970">
        <v>80.192545109527103</v>
      </c>
      <c r="C4970">
        <v>2000</v>
      </c>
    </row>
    <row r="4971" spans="1:11" x14ac:dyDescent="0.25">
      <c r="A4971" t="s">
        <v>87</v>
      </c>
    </row>
    <row r="4972" spans="1:11" x14ac:dyDescent="0.25">
      <c r="A4972">
        <v>626</v>
      </c>
      <c r="B4972">
        <v>1</v>
      </c>
      <c r="C4972">
        <v>7.0666019844786803</v>
      </c>
      <c r="D4972">
        <v>1.9363326752119101</v>
      </c>
      <c r="E4972">
        <v>6</v>
      </c>
      <c r="F4972">
        <v>1.01722196789785</v>
      </c>
      <c r="G4972" t="s">
        <v>85</v>
      </c>
      <c r="H4972" t="s">
        <v>85</v>
      </c>
      <c r="I4972">
        <v>751</v>
      </c>
      <c r="J4972">
        <v>594</v>
      </c>
      <c r="K4972">
        <v>0</v>
      </c>
    </row>
    <row r="4973" spans="1:11" x14ac:dyDescent="0.25">
      <c r="A4973" t="s">
        <v>86</v>
      </c>
    </row>
    <row r="4974" spans="1:11" x14ac:dyDescent="0.25">
      <c r="A4974">
        <v>112.233009334762</v>
      </c>
      <c r="B4974">
        <v>83.777661792839396</v>
      </c>
      <c r="C4974">
        <v>2000</v>
      </c>
    </row>
    <row r="4975" spans="1:11" x14ac:dyDescent="0.25">
      <c r="A4975">
        <v>107.236167151591</v>
      </c>
      <c r="B4975">
        <v>88.774503976010607</v>
      </c>
      <c r="C4975">
        <v>2000</v>
      </c>
    </row>
    <row r="4976" spans="1:11" x14ac:dyDescent="0.25">
      <c r="A4976">
        <v>107.236167151591</v>
      </c>
      <c r="B4976">
        <v>89.648536024908196</v>
      </c>
      <c r="C4976">
        <v>2001</v>
      </c>
    </row>
    <row r="4977" spans="1:11" x14ac:dyDescent="0.25">
      <c r="A4977">
        <v>112.233009334762</v>
      </c>
      <c r="B4977">
        <v>84.651693841737</v>
      </c>
      <c r="C4977">
        <v>2001</v>
      </c>
    </row>
    <row r="4978" spans="1:11" x14ac:dyDescent="0.25">
      <c r="A4978">
        <v>113.602203300038</v>
      </c>
      <c r="B4978">
        <v>83.2824998764616</v>
      </c>
      <c r="C4978">
        <v>2001</v>
      </c>
    </row>
    <row r="4979" spans="1:11" x14ac:dyDescent="0.25">
      <c r="A4979">
        <v>113.602203300037</v>
      </c>
      <c r="B4979">
        <v>82.408467827563896</v>
      </c>
      <c r="C4979">
        <v>2000</v>
      </c>
    </row>
    <row r="4980" spans="1:11" x14ac:dyDescent="0.25">
      <c r="A4980" t="s">
        <v>87</v>
      </c>
    </row>
    <row r="4981" spans="1:11" x14ac:dyDescent="0.25">
      <c r="A4981">
        <v>795</v>
      </c>
      <c r="B4981">
        <v>0</v>
      </c>
      <c r="C4981">
        <v>7.0583966516143697</v>
      </c>
      <c r="D4981">
        <v>1.9178145682748799</v>
      </c>
      <c r="E4981">
        <v>6</v>
      </c>
      <c r="F4981">
        <v>1.01722196789785</v>
      </c>
      <c r="G4981" t="s">
        <v>85</v>
      </c>
      <c r="H4981" t="s">
        <v>85</v>
      </c>
      <c r="I4981">
        <v>398</v>
      </c>
      <c r="J4981">
        <v>396</v>
      </c>
      <c r="K4981">
        <v>8.9816640118045604E-2</v>
      </c>
    </row>
    <row r="4982" spans="1:11" x14ac:dyDescent="0.25">
      <c r="A4982" t="s">
        <v>86</v>
      </c>
    </row>
    <row r="4983" spans="1:11" x14ac:dyDescent="0.25">
      <c r="A4983">
        <v>37.320294313057602</v>
      </c>
      <c r="B4983">
        <v>92.2191692584924</v>
      </c>
      <c r="C4983">
        <v>2000</v>
      </c>
    </row>
    <row r="4984" spans="1:11" x14ac:dyDescent="0.25">
      <c r="A4984">
        <v>32.672899436975698</v>
      </c>
      <c r="B4984">
        <v>87.571774382410496</v>
      </c>
      <c r="C4984">
        <v>2000</v>
      </c>
    </row>
    <row r="4985" spans="1:11" x14ac:dyDescent="0.25">
      <c r="A4985">
        <v>31.798867388078001</v>
      </c>
      <c r="B4985">
        <v>87.571774382410496</v>
      </c>
      <c r="C4985">
        <v>2001</v>
      </c>
    </row>
    <row r="4986" spans="1:11" x14ac:dyDescent="0.25">
      <c r="A4986">
        <v>37.133552785318003</v>
      </c>
      <c r="B4986">
        <v>92.906459779650405</v>
      </c>
      <c r="C4986">
        <v>2001</v>
      </c>
    </row>
    <row r="4987" spans="1:11" x14ac:dyDescent="0.25">
      <c r="A4987">
        <v>38.583023235473298</v>
      </c>
      <c r="B4987">
        <v>94.355930229805693</v>
      </c>
      <c r="C4987">
        <v>2001</v>
      </c>
    </row>
    <row r="4988" spans="1:11" x14ac:dyDescent="0.25">
      <c r="A4988">
        <v>38.583023235473298</v>
      </c>
      <c r="B4988">
        <v>93.481898180908104</v>
      </c>
      <c r="C4988">
        <v>2000</v>
      </c>
    </row>
    <row r="4989" spans="1:11" x14ac:dyDescent="0.25">
      <c r="A4989" t="s">
        <v>87</v>
      </c>
    </row>
    <row r="4990" spans="1:11" x14ac:dyDescent="0.25">
      <c r="A4990">
        <v>462</v>
      </c>
      <c r="B4990">
        <v>1</v>
      </c>
      <c r="C4990">
        <v>7.6830106419308697</v>
      </c>
      <c r="D4990">
        <v>1.27664539846572</v>
      </c>
      <c r="E4990">
        <v>6</v>
      </c>
      <c r="F4990">
        <v>1.01722196789785</v>
      </c>
      <c r="G4990" t="s">
        <v>85</v>
      </c>
      <c r="H4990" t="s">
        <v>89</v>
      </c>
      <c r="I4990">
        <v>425</v>
      </c>
      <c r="J4990">
        <v>802</v>
      </c>
      <c r="K4990">
        <v>0</v>
      </c>
    </row>
    <row r="4991" spans="1:11" x14ac:dyDescent="0.25">
      <c r="A4991" t="s">
        <v>86</v>
      </c>
    </row>
    <row r="4992" spans="1:11" x14ac:dyDescent="0.25">
      <c r="A4992">
        <v>61.955188954545903</v>
      </c>
      <c r="B4992">
        <v>29.4374606510505</v>
      </c>
      <c r="C4992">
        <v>2000</v>
      </c>
    </row>
    <row r="4993" spans="1:11" x14ac:dyDescent="0.25">
      <c r="A4993">
        <v>56.709853225252502</v>
      </c>
      <c r="B4993">
        <v>34.682796380343902</v>
      </c>
      <c r="C4993">
        <v>2000</v>
      </c>
    </row>
    <row r="4994" spans="1:11" x14ac:dyDescent="0.25">
      <c r="A4994">
        <v>56.709853225252502</v>
      </c>
      <c r="B4994">
        <v>35.556828429241499</v>
      </c>
      <c r="C4994">
        <v>2001</v>
      </c>
    </row>
    <row r="4995" spans="1:11" x14ac:dyDescent="0.25">
      <c r="A4995">
        <v>62.329935345634603</v>
      </c>
      <c r="B4995">
        <v>29.936746308859401</v>
      </c>
      <c r="C4995">
        <v>2001</v>
      </c>
    </row>
    <row r="4996" spans="1:11" x14ac:dyDescent="0.25">
      <c r="A4996">
        <v>63.263794780740398</v>
      </c>
      <c r="B4996">
        <v>29.002886873753599</v>
      </c>
      <c r="C4996">
        <v>2001</v>
      </c>
    </row>
    <row r="4997" spans="1:11" x14ac:dyDescent="0.25">
      <c r="A4997">
        <v>62.826778756291603</v>
      </c>
      <c r="B4997">
        <v>28.565870849304801</v>
      </c>
      <c r="C4997">
        <v>2000</v>
      </c>
    </row>
    <row r="4998" spans="1:11" x14ac:dyDescent="0.25">
      <c r="A4998" t="s">
        <v>87</v>
      </c>
    </row>
    <row r="4999" spans="1:11" x14ac:dyDescent="0.25">
      <c r="A4999">
        <v>384</v>
      </c>
      <c r="B4999">
        <v>1</v>
      </c>
      <c r="C4999">
        <v>3.06632142546224</v>
      </c>
      <c r="D4999">
        <v>5.8215220275308903</v>
      </c>
      <c r="E4999">
        <v>8</v>
      </c>
      <c r="F4999">
        <v>1.01722196789785</v>
      </c>
      <c r="G4999" t="s">
        <v>89</v>
      </c>
      <c r="H4999" t="s">
        <v>85</v>
      </c>
      <c r="I4999">
        <v>391</v>
      </c>
      <c r="J4999">
        <v>813</v>
      </c>
      <c r="K4999">
        <v>0</v>
      </c>
    </row>
    <row r="5000" spans="1:11" x14ac:dyDescent="0.25">
      <c r="A5000" t="s">
        <v>86</v>
      </c>
    </row>
    <row r="5001" spans="1:11" x14ac:dyDescent="0.25">
      <c r="A5001">
        <v>38.548380370846303</v>
      </c>
      <c r="B5001">
        <v>52.4629391132639</v>
      </c>
      <c r="C5001">
        <v>2000</v>
      </c>
    </row>
    <row r="5002" spans="1:11" x14ac:dyDescent="0.25">
      <c r="A5002">
        <v>36.443123363197302</v>
      </c>
      <c r="B5002">
        <v>54.568196120913001</v>
      </c>
      <c r="C5002">
        <v>2000</v>
      </c>
    </row>
    <row r="5003" spans="1:11" x14ac:dyDescent="0.25">
      <c r="A5003">
        <v>36.880139387646103</v>
      </c>
      <c r="B5003">
        <v>55.005212145361803</v>
      </c>
      <c r="C5003">
        <v>2001</v>
      </c>
    </row>
    <row r="5004" spans="1:11" x14ac:dyDescent="0.25">
      <c r="A5004">
        <v>39.111315726480903</v>
      </c>
      <c r="B5004">
        <v>52.774035806527003</v>
      </c>
      <c r="C5004">
        <v>2001</v>
      </c>
    </row>
    <row r="5005" spans="1:11" x14ac:dyDescent="0.25">
      <c r="A5005">
        <v>41.805837605292403</v>
      </c>
      <c r="B5005">
        <v>50.079513927715503</v>
      </c>
      <c r="C5005">
        <v>2001</v>
      </c>
    </row>
    <row r="5006" spans="1:11" x14ac:dyDescent="0.25">
      <c r="A5006">
        <v>43.383301775606398</v>
      </c>
      <c r="B5006">
        <v>48.502049757401501</v>
      </c>
      <c r="C5006">
        <v>2001</v>
      </c>
    </row>
    <row r="5007" spans="1:11" x14ac:dyDescent="0.25">
      <c r="A5007">
        <v>42.509269726708702</v>
      </c>
      <c r="B5007">
        <v>48.502049757401501</v>
      </c>
      <c r="C5007">
        <v>2000</v>
      </c>
    </row>
    <row r="5008" spans="1:11" x14ac:dyDescent="0.25">
      <c r="A5008">
        <v>41.090833411825699</v>
      </c>
      <c r="B5008">
        <v>49.920486072284604</v>
      </c>
      <c r="C5008">
        <v>2000</v>
      </c>
    </row>
    <row r="5009" spans="1:11" x14ac:dyDescent="0.25">
      <c r="A5009" t="s">
        <v>87</v>
      </c>
    </row>
    <row r="5010" spans="1:11" x14ac:dyDescent="0.25">
      <c r="A5010">
        <v>716</v>
      </c>
      <c r="B5010">
        <v>1</v>
      </c>
      <c r="C5010">
        <v>7.8032519113136498</v>
      </c>
      <c r="D5010">
        <v>1.0287192209942499</v>
      </c>
      <c r="E5010">
        <v>6</v>
      </c>
      <c r="F5010">
        <v>1.01722196789785</v>
      </c>
      <c r="G5010" t="s">
        <v>89</v>
      </c>
      <c r="H5010" t="s">
        <v>89</v>
      </c>
      <c r="I5010">
        <v>720</v>
      </c>
      <c r="J5010">
        <v>709</v>
      </c>
      <c r="K5010">
        <v>0</v>
      </c>
    </row>
    <row r="5011" spans="1:11" x14ac:dyDescent="0.25">
      <c r="A5011" t="s">
        <v>86</v>
      </c>
    </row>
    <row r="5012" spans="1:11" x14ac:dyDescent="0.25">
      <c r="A5012">
        <v>76.4084982887926</v>
      </c>
      <c r="B5012">
        <v>71.5541388087737</v>
      </c>
      <c r="C5012">
        <v>2000</v>
      </c>
    </row>
    <row r="5013" spans="1:11" x14ac:dyDescent="0.25">
      <c r="A5013">
        <v>70.890765946995899</v>
      </c>
      <c r="B5013">
        <v>77.071871150570502</v>
      </c>
      <c r="C5013">
        <v>2000</v>
      </c>
    </row>
    <row r="5014" spans="1:11" x14ac:dyDescent="0.25">
      <c r="A5014">
        <v>71.327781971444693</v>
      </c>
      <c r="B5014">
        <v>77.508887175019296</v>
      </c>
      <c r="C5014">
        <v>2001</v>
      </c>
    </row>
    <row r="5015" spans="1:11" x14ac:dyDescent="0.25">
      <c r="A5015">
        <v>76.845514313241395</v>
      </c>
      <c r="B5015">
        <v>71.991154833222495</v>
      </c>
      <c r="C5015">
        <v>2001</v>
      </c>
    </row>
    <row r="5016" spans="1:11" x14ac:dyDescent="0.25">
      <c r="A5016">
        <v>77.5729286503434</v>
      </c>
      <c r="B5016">
        <v>71.263740496120505</v>
      </c>
      <c r="C5016">
        <v>2001</v>
      </c>
    </row>
    <row r="5017" spans="1:11" x14ac:dyDescent="0.25">
      <c r="A5017">
        <v>77.135912625894605</v>
      </c>
      <c r="B5017">
        <v>70.826724471671696</v>
      </c>
      <c r="C5017">
        <v>2000</v>
      </c>
    </row>
    <row r="5018" spans="1:11" x14ac:dyDescent="0.25">
      <c r="A5018" t="s">
        <v>87</v>
      </c>
    </row>
    <row r="5019" spans="1:11" x14ac:dyDescent="0.25">
      <c r="A5019">
        <v>1192</v>
      </c>
      <c r="B5019">
        <v>1</v>
      </c>
      <c r="C5019">
        <v>3.0116678789914899</v>
      </c>
      <c r="D5019">
        <v>5.7902555031938601</v>
      </c>
      <c r="E5019">
        <v>8</v>
      </c>
      <c r="F5019">
        <v>1.01722196789785</v>
      </c>
      <c r="G5019" t="s">
        <v>85</v>
      </c>
      <c r="H5019" t="s">
        <v>85</v>
      </c>
      <c r="I5019">
        <v>192</v>
      </c>
      <c r="J5019">
        <v>1129</v>
      </c>
      <c r="K5019">
        <v>9.5800019506126696E-2</v>
      </c>
    </row>
    <row r="5020" spans="1:11" x14ac:dyDescent="0.25">
      <c r="A5020" t="s">
        <v>86</v>
      </c>
    </row>
    <row r="5021" spans="1:11" x14ac:dyDescent="0.25">
      <c r="A5021">
        <v>99.994896886734196</v>
      </c>
      <c r="B5021">
        <v>111.557660111163</v>
      </c>
      <c r="C5021">
        <v>2000</v>
      </c>
    </row>
    <row r="5022" spans="1:11" x14ac:dyDescent="0.25">
      <c r="A5022">
        <v>99.758522911492307</v>
      </c>
      <c r="B5022">
        <v>111.79403408640501</v>
      </c>
      <c r="C5022">
        <v>2000</v>
      </c>
    </row>
    <row r="5023" spans="1:11" x14ac:dyDescent="0.25">
      <c r="A5023">
        <v>97.657268939854802</v>
      </c>
      <c r="B5023">
        <v>113.895288058042</v>
      </c>
      <c r="C5023">
        <v>2000</v>
      </c>
    </row>
    <row r="5024" spans="1:11" x14ac:dyDescent="0.25">
      <c r="A5024">
        <v>98.531300988752406</v>
      </c>
      <c r="B5024">
        <v>113.895288058042</v>
      </c>
      <c r="C5024">
        <v>2001</v>
      </c>
    </row>
    <row r="5025" spans="1:11" x14ac:dyDescent="0.25">
      <c r="A5025">
        <v>100.24147708850801</v>
      </c>
      <c r="B5025">
        <v>112.185111958287</v>
      </c>
      <c r="C5025">
        <v>2001</v>
      </c>
    </row>
    <row r="5026" spans="1:11" x14ac:dyDescent="0.25">
      <c r="A5026">
        <v>100.452814601706</v>
      </c>
      <c r="B5026">
        <v>111.973774445088</v>
      </c>
      <c r="C5026">
        <v>2001</v>
      </c>
    </row>
    <row r="5027" spans="1:11" x14ac:dyDescent="0.25">
      <c r="A5027">
        <v>104.318184675331</v>
      </c>
      <c r="B5027">
        <v>108.108404371463</v>
      </c>
      <c r="C5027">
        <v>2001</v>
      </c>
    </row>
    <row r="5028" spans="1:11" x14ac:dyDescent="0.25">
      <c r="A5028">
        <v>104.318184675331</v>
      </c>
      <c r="B5028">
        <v>107.234372322566</v>
      </c>
      <c r="C5028">
        <v>2000</v>
      </c>
    </row>
    <row r="5029" spans="1:11" x14ac:dyDescent="0.25">
      <c r="A5029" t="s">
        <v>87</v>
      </c>
    </row>
    <row r="5030" spans="1:11" x14ac:dyDescent="0.25">
      <c r="A5030">
        <v>120</v>
      </c>
      <c r="B5030">
        <v>0</v>
      </c>
      <c r="C5030">
        <v>3.17715810606202</v>
      </c>
      <c r="D5030">
        <v>5.6219819549207797</v>
      </c>
      <c r="E5030">
        <v>6</v>
      </c>
      <c r="F5030">
        <v>1.01722196789785</v>
      </c>
      <c r="G5030" t="s">
        <v>89</v>
      </c>
      <c r="H5030" t="s">
        <v>85</v>
      </c>
      <c r="I5030">
        <v>1213</v>
      </c>
      <c r="J5030">
        <v>146</v>
      </c>
      <c r="K5030">
        <v>0</v>
      </c>
    </row>
    <row r="5031" spans="1:11" x14ac:dyDescent="0.25">
      <c r="A5031" t="s">
        <v>86</v>
      </c>
    </row>
    <row r="5032" spans="1:11" x14ac:dyDescent="0.25">
      <c r="A5032">
        <v>116.708259727906</v>
      </c>
      <c r="B5032">
        <v>30.5088746827258</v>
      </c>
      <c r="C5032">
        <v>2000</v>
      </c>
    </row>
    <row r="5033" spans="1:11" x14ac:dyDescent="0.25">
      <c r="A5033">
        <v>114.382771691919</v>
      </c>
      <c r="B5033">
        <v>28.1833866467387</v>
      </c>
      <c r="C5033">
        <v>2000</v>
      </c>
    </row>
    <row r="5034" spans="1:11" x14ac:dyDescent="0.25">
      <c r="A5034">
        <v>113.94575566747</v>
      </c>
      <c r="B5034">
        <v>28.620402671187499</v>
      </c>
      <c r="C5034">
        <v>2001</v>
      </c>
    </row>
    <row r="5035" spans="1:11" x14ac:dyDescent="0.25">
      <c r="A5035">
        <v>116.113447714879</v>
      </c>
      <c r="B5035">
        <v>30.788094718596899</v>
      </c>
      <c r="C5035">
        <v>2001</v>
      </c>
    </row>
    <row r="5036" spans="1:11" x14ac:dyDescent="0.25">
      <c r="A5036">
        <v>119.949179260977</v>
      </c>
      <c r="B5036">
        <v>34.623826264694301</v>
      </c>
      <c r="C5036">
        <v>2001</v>
      </c>
    </row>
    <row r="5037" spans="1:11" x14ac:dyDescent="0.25">
      <c r="A5037">
        <v>120.823211309874</v>
      </c>
      <c r="B5037">
        <v>34.623826264694301</v>
      </c>
      <c r="C5037">
        <v>2000</v>
      </c>
    </row>
    <row r="5038" spans="1:11" x14ac:dyDescent="0.25">
      <c r="A5038" t="s">
        <v>87</v>
      </c>
    </row>
    <row r="5039" spans="1:11" x14ac:dyDescent="0.25">
      <c r="A5039">
        <v>1033</v>
      </c>
      <c r="B5039">
        <v>0</v>
      </c>
      <c r="C5039">
        <v>1.8049485018510301</v>
      </c>
      <c r="D5039">
        <v>6.9841061468525503</v>
      </c>
      <c r="E5039">
        <v>6</v>
      </c>
      <c r="F5039">
        <v>1.01722196789785</v>
      </c>
      <c r="G5039" t="s">
        <v>85</v>
      </c>
      <c r="H5039" t="s">
        <v>85</v>
      </c>
      <c r="I5039">
        <v>1009</v>
      </c>
      <c r="J5039">
        <v>74</v>
      </c>
      <c r="K5039">
        <v>9.3842356677082794E-2</v>
      </c>
    </row>
    <row r="5040" spans="1:11" x14ac:dyDescent="0.25">
      <c r="A5040" t="s">
        <v>86</v>
      </c>
    </row>
    <row r="5041" spans="1:11" x14ac:dyDescent="0.25">
      <c r="A5041">
        <v>2.6001524499528799</v>
      </c>
      <c r="B5041">
        <v>13.606499281528601</v>
      </c>
      <c r="C5041">
        <v>2000</v>
      </c>
    </row>
    <row r="5042" spans="1:11" x14ac:dyDescent="0.25">
      <c r="A5042">
        <v>1.3238611246015199</v>
      </c>
      <c r="B5042">
        <v>12.330207956177301</v>
      </c>
      <c r="C5042">
        <v>2000</v>
      </c>
    </row>
    <row r="5043" spans="1:11" x14ac:dyDescent="0.25">
      <c r="A5043">
        <v>0.44982907570388098</v>
      </c>
      <c r="B5043">
        <v>12.330207956177301</v>
      </c>
      <c r="C5043">
        <v>2001</v>
      </c>
    </row>
    <row r="5044" spans="1:11" x14ac:dyDescent="0.25">
      <c r="A5044">
        <v>1.72612040105524</v>
      </c>
      <c r="B5044">
        <v>13.606499281528601</v>
      </c>
      <c r="C5044">
        <v>2001</v>
      </c>
    </row>
    <row r="5045" spans="1:11" x14ac:dyDescent="0.25">
      <c r="A5045">
        <v>6.6646292180213296</v>
      </c>
      <c r="B5045">
        <v>18.545008098494701</v>
      </c>
      <c r="C5045">
        <v>2001</v>
      </c>
    </row>
    <row r="5046" spans="1:11" x14ac:dyDescent="0.25">
      <c r="A5046">
        <v>7.5386612669189796</v>
      </c>
      <c r="B5046">
        <v>18.545008098494701</v>
      </c>
      <c r="C5046">
        <v>2000</v>
      </c>
    </row>
    <row r="5047" spans="1:11" x14ac:dyDescent="0.25">
      <c r="A5047" t="s">
        <v>87</v>
      </c>
    </row>
    <row r="5048" spans="1:11" x14ac:dyDescent="0.25">
      <c r="A5048">
        <v>347</v>
      </c>
      <c r="B5048">
        <v>0</v>
      </c>
      <c r="C5048">
        <v>0.86080587779429196</v>
      </c>
      <c r="D5048">
        <v>7.8942902746816399</v>
      </c>
      <c r="E5048">
        <v>6</v>
      </c>
      <c r="F5048">
        <v>1.01722196789785</v>
      </c>
      <c r="G5048" t="s">
        <v>89</v>
      </c>
      <c r="H5048" t="s">
        <v>85</v>
      </c>
      <c r="I5048">
        <v>775</v>
      </c>
      <c r="J5048">
        <v>385</v>
      </c>
      <c r="K5048">
        <v>0</v>
      </c>
    </row>
    <row r="5049" spans="1:11" x14ac:dyDescent="0.25">
      <c r="A5049" t="s">
        <v>86</v>
      </c>
    </row>
    <row r="5050" spans="1:11" x14ac:dyDescent="0.25">
      <c r="A5050">
        <v>39.2603468553258</v>
      </c>
      <c r="B5050">
        <v>89.494941873865102</v>
      </c>
      <c r="C5050">
        <v>2000</v>
      </c>
    </row>
    <row r="5051" spans="1:11" x14ac:dyDescent="0.25">
      <c r="A5051">
        <v>38.6731490100127</v>
      </c>
      <c r="B5051">
        <v>88.907744028552003</v>
      </c>
      <c r="C5051">
        <v>2000</v>
      </c>
    </row>
    <row r="5052" spans="1:11" x14ac:dyDescent="0.25">
      <c r="A5052">
        <v>39.110165034461502</v>
      </c>
      <c r="B5052">
        <v>88.470728004103194</v>
      </c>
      <c r="C5052">
        <v>2001</v>
      </c>
    </row>
    <row r="5053" spans="1:11" x14ac:dyDescent="0.25">
      <c r="A5053">
        <v>39.740330536095499</v>
      </c>
      <c r="B5053">
        <v>89.100893505737204</v>
      </c>
      <c r="C5053">
        <v>2001</v>
      </c>
    </row>
    <row r="5054" spans="1:11" x14ac:dyDescent="0.25">
      <c r="A5054">
        <v>45.5194609060419</v>
      </c>
      <c r="B5054">
        <v>94.880023875683506</v>
      </c>
      <c r="C5054">
        <v>2001</v>
      </c>
    </row>
    <row r="5055" spans="1:11" x14ac:dyDescent="0.25">
      <c r="A5055">
        <v>44.645428857144303</v>
      </c>
      <c r="B5055">
        <v>94.880023875683605</v>
      </c>
      <c r="C5055">
        <v>2000</v>
      </c>
    </row>
    <row r="5056" spans="1:11" x14ac:dyDescent="0.25">
      <c r="A5056" t="s">
        <v>87</v>
      </c>
    </row>
    <row r="5057" spans="1:11" x14ac:dyDescent="0.25">
      <c r="A5057">
        <v>80</v>
      </c>
      <c r="B5057">
        <v>1</v>
      </c>
      <c r="C5057">
        <v>6.0747816830245798</v>
      </c>
      <c r="D5057">
        <v>2.64401102462858</v>
      </c>
      <c r="E5057">
        <v>6</v>
      </c>
      <c r="F5057">
        <v>1.01722196789785</v>
      </c>
      <c r="G5057" t="s">
        <v>85</v>
      </c>
      <c r="H5057" t="s">
        <v>88</v>
      </c>
      <c r="I5057">
        <v>37</v>
      </c>
      <c r="J5057">
        <v>0</v>
      </c>
      <c r="K5057">
        <v>0</v>
      </c>
    </row>
    <row r="5058" spans="1:11" x14ac:dyDescent="0.25">
      <c r="A5058" t="s">
        <v>86</v>
      </c>
    </row>
    <row r="5059" spans="1:11" x14ac:dyDescent="0.25">
      <c r="A5059">
        <v>21.685583860458099</v>
      </c>
      <c r="B5059">
        <v>1.8695981250468601</v>
      </c>
      <c r="C5059">
        <v>2000</v>
      </c>
    </row>
    <row r="5060" spans="1:11" x14ac:dyDescent="0.25">
      <c r="A5060">
        <v>17.3900645381635</v>
      </c>
      <c r="B5060">
        <v>6.1651174473413803</v>
      </c>
      <c r="C5060">
        <v>2000</v>
      </c>
    </row>
    <row r="5061" spans="1:11" x14ac:dyDescent="0.25">
      <c r="A5061">
        <v>16.5160324892659</v>
      </c>
      <c r="B5061">
        <v>6.1651174473413803</v>
      </c>
      <c r="C5061">
        <v>2001</v>
      </c>
    </row>
    <row r="5062" spans="1:11" x14ac:dyDescent="0.25">
      <c r="A5062">
        <v>20.811551811560399</v>
      </c>
      <c r="B5062">
        <v>1.8695981250468601</v>
      </c>
      <c r="C5062">
        <v>2001</v>
      </c>
    </row>
    <row r="5063" spans="1:11" x14ac:dyDescent="0.25">
      <c r="A5063">
        <v>22.681149936607301</v>
      </c>
      <c r="B5063">
        <v>0</v>
      </c>
      <c r="C5063">
        <v>2001</v>
      </c>
    </row>
    <row r="5064" spans="1:11" x14ac:dyDescent="0.25">
      <c r="A5064">
        <v>23.555181985504898</v>
      </c>
      <c r="B5064">
        <v>0</v>
      </c>
      <c r="C5064">
        <v>2000</v>
      </c>
    </row>
    <row r="5065" spans="1:11" x14ac:dyDescent="0.25">
      <c r="A5065" t="s">
        <v>87</v>
      </c>
    </row>
    <row r="5066" spans="1:11" x14ac:dyDescent="0.25">
      <c r="A5066">
        <v>1207</v>
      </c>
      <c r="B5066">
        <v>1</v>
      </c>
      <c r="C5066">
        <v>0.25789393198014898</v>
      </c>
      <c r="D5066">
        <v>8.4469024328933404</v>
      </c>
      <c r="E5066">
        <v>6</v>
      </c>
      <c r="F5066">
        <v>1.01722196789785</v>
      </c>
      <c r="G5066" t="s">
        <v>85</v>
      </c>
      <c r="H5066" t="s">
        <v>85</v>
      </c>
      <c r="I5066">
        <v>883</v>
      </c>
      <c r="J5066">
        <v>599</v>
      </c>
      <c r="K5066">
        <v>9.5961381564156997E-2</v>
      </c>
    </row>
    <row r="5067" spans="1:11" x14ac:dyDescent="0.25">
      <c r="A5067" t="s">
        <v>86</v>
      </c>
    </row>
    <row r="5068" spans="1:11" x14ac:dyDescent="0.25">
      <c r="A5068">
        <v>124.248004479079</v>
      </c>
      <c r="B5068">
        <v>91.630514983294802</v>
      </c>
      <c r="C5068">
        <v>2000</v>
      </c>
    </row>
    <row r="5069" spans="1:11" x14ac:dyDescent="0.25">
      <c r="A5069">
        <v>124.05269861131499</v>
      </c>
      <c r="B5069">
        <v>91.825820851058594</v>
      </c>
      <c r="C5069">
        <v>2000</v>
      </c>
    </row>
    <row r="5070" spans="1:11" x14ac:dyDescent="0.25">
      <c r="A5070">
        <v>124.926730660213</v>
      </c>
      <c r="B5070">
        <v>91.825820851058594</v>
      </c>
      <c r="C5070">
        <v>2001</v>
      </c>
    </row>
    <row r="5071" spans="1:11" x14ac:dyDescent="0.25">
      <c r="A5071">
        <v>125.096141888709</v>
      </c>
      <c r="B5071">
        <v>91.656409622562407</v>
      </c>
      <c r="C5071">
        <v>2001</v>
      </c>
    </row>
    <row r="5072" spans="1:11" x14ac:dyDescent="0.25">
      <c r="A5072">
        <v>130.644935174214</v>
      </c>
      <c r="B5072">
        <v>86.107616337057394</v>
      </c>
      <c r="C5072">
        <v>2001</v>
      </c>
    </row>
    <row r="5073" spans="1:11" x14ac:dyDescent="0.25">
      <c r="A5073">
        <v>130.644935174214</v>
      </c>
      <c r="B5073">
        <v>85.233584288159705</v>
      </c>
      <c r="C5073">
        <v>2000</v>
      </c>
    </row>
    <row r="5074" spans="1:11" x14ac:dyDescent="0.25">
      <c r="A5074" t="s">
        <v>87</v>
      </c>
    </row>
    <row r="5075" spans="1:11" x14ac:dyDescent="0.25">
      <c r="A5075">
        <v>1195</v>
      </c>
      <c r="B5075">
        <v>0</v>
      </c>
      <c r="C5075">
        <v>7.9186238729260499</v>
      </c>
      <c r="D5075">
        <v>0.77239251396594</v>
      </c>
      <c r="E5075">
        <v>6</v>
      </c>
      <c r="F5075">
        <v>1.01722196789785</v>
      </c>
      <c r="G5075" t="s">
        <v>85</v>
      </c>
      <c r="H5075" t="s">
        <v>85</v>
      </c>
      <c r="I5075">
        <v>235</v>
      </c>
      <c r="J5075">
        <v>238</v>
      </c>
      <c r="K5075">
        <v>9.5800019506126696E-2</v>
      </c>
    </row>
    <row r="5076" spans="1:11" x14ac:dyDescent="0.25">
      <c r="A5076" t="s">
        <v>86</v>
      </c>
    </row>
    <row r="5077" spans="1:11" x14ac:dyDescent="0.25">
      <c r="A5077">
        <v>89.659926874709797</v>
      </c>
      <c r="B5077">
        <v>116.864954380104</v>
      </c>
      <c r="C5077">
        <v>2000</v>
      </c>
    </row>
    <row r="5078" spans="1:11" x14ac:dyDescent="0.25">
      <c r="A5078">
        <v>84.458791546262603</v>
      </c>
      <c r="B5078">
        <v>111.663819051657</v>
      </c>
      <c r="C5078">
        <v>2000</v>
      </c>
    </row>
    <row r="5079" spans="1:11" x14ac:dyDescent="0.25">
      <c r="A5079">
        <v>83.584759497364999</v>
      </c>
      <c r="B5079">
        <v>111.663819051657</v>
      </c>
      <c r="C5079">
        <v>2001</v>
      </c>
    </row>
    <row r="5080" spans="1:11" x14ac:dyDescent="0.25">
      <c r="A5080">
        <v>89.582249445341105</v>
      </c>
      <c r="B5080">
        <v>117.66130899963299</v>
      </c>
      <c r="C5080">
        <v>2001</v>
      </c>
    </row>
    <row r="5081" spans="1:11" x14ac:dyDescent="0.25">
      <c r="A5081">
        <v>90.167252144388499</v>
      </c>
      <c r="B5081">
        <v>118.24631169868</v>
      </c>
      <c r="C5081">
        <v>2001</v>
      </c>
    </row>
    <row r="5082" spans="1:11" x14ac:dyDescent="0.25">
      <c r="A5082">
        <v>90.167252144388499</v>
      </c>
      <c r="B5082">
        <v>117.372279649783</v>
      </c>
      <c r="C5082">
        <v>2000</v>
      </c>
    </row>
    <row r="5083" spans="1:11" x14ac:dyDescent="0.25">
      <c r="A5083" t="s">
        <v>87</v>
      </c>
    </row>
    <row r="5084" spans="1:11" x14ac:dyDescent="0.25">
      <c r="A5084">
        <v>182</v>
      </c>
      <c r="B5084">
        <v>0</v>
      </c>
      <c r="C5084">
        <v>2.2212203465868798</v>
      </c>
      <c r="D5084">
        <v>6.46979604030511</v>
      </c>
      <c r="E5084">
        <v>6</v>
      </c>
      <c r="F5084">
        <v>1.01722196789785</v>
      </c>
      <c r="G5084" t="s">
        <v>85</v>
      </c>
      <c r="H5084" t="s">
        <v>85</v>
      </c>
      <c r="I5084">
        <v>235</v>
      </c>
      <c r="J5084">
        <v>238</v>
      </c>
      <c r="K5084">
        <v>0</v>
      </c>
    </row>
    <row r="5085" spans="1:11" x14ac:dyDescent="0.25">
      <c r="A5085" t="s">
        <v>86</v>
      </c>
    </row>
    <row r="5086" spans="1:11" x14ac:dyDescent="0.25">
      <c r="A5086">
        <v>88.663877577889295</v>
      </c>
      <c r="B5086">
        <v>110.376630827097</v>
      </c>
      <c r="C5086">
        <v>2000</v>
      </c>
    </row>
    <row r="5087" spans="1:11" x14ac:dyDescent="0.25">
      <c r="A5087">
        <v>87.204928674355898</v>
      </c>
      <c r="B5087">
        <v>108.91768192356299</v>
      </c>
      <c r="C5087">
        <v>2000</v>
      </c>
    </row>
    <row r="5088" spans="1:11" x14ac:dyDescent="0.25">
      <c r="A5088">
        <v>86.330896625458294</v>
      </c>
      <c r="B5088">
        <v>108.91768192356299</v>
      </c>
      <c r="C5088">
        <v>2001</v>
      </c>
    </row>
    <row r="5089" spans="1:11" x14ac:dyDescent="0.25">
      <c r="A5089">
        <v>88.0132276610872</v>
      </c>
      <c r="B5089">
        <v>110.600012959192</v>
      </c>
      <c r="C5089">
        <v>2001</v>
      </c>
    </row>
    <row r="5090" spans="1:11" x14ac:dyDescent="0.25">
      <c r="A5090">
        <v>92.913389272481893</v>
      </c>
      <c r="B5090">
        <v>115.50017457058701</v>
      </c>
      <c r="C5090">
        <v>2001</v>
      </c>
    </row>
    <row r="5091" spans="1:11" x14ac:dyDescent="0.25">
      <c r="A5091">
        <v>92.913389272481893</v>
      </c>
      <c r="B5091">
        <v>114.626142521689</v>
      </c>
      <c r="C5091">
        <v>2000</v>
      </c>
    </row>
    <row r="5092" spans="1:11" x14ac:dyDescent="0.25">
      <c r="A5092" t="s">
        <v>87</v>
      </c>
    </row>
    <row r="5093" spans="1:11" x14ac:dyDescent="0.25">
      <c r="A5093">
        <v>738</v>
      </c>
      <c r="B5093">
        <v>1</v>
      </c>
      <c r="C5093">
        <v>0.122029812038392</v>
      </c>
      <c r="D5093">
        <v>8.5606901817473595</v>
      </c>
      <c r="E5093">
        <v>6</v>
      </c>
      <c r="F5093">
        <v>1.01722196789785</v>
      </c>
      <c r="G5093" t="s">
        <v>88</v>
      </c>
      <c r="H5093" t="s">
        <v>85</v>
      </c>
      <c r="I5093">
        <v>0</v>
      </c>
      <c r="J5093">
        <v>263</v>
      </c>
      <c r="K5093">
        <v>8.9259099568316694E-2</v>
      </c>
    </row>
    <row r="5094" spans="1:11" x14ac:dyDescent="0.25">
      <c r="A5094" t="s">
        <v>86</v>
      </c>
    </row>
    <row r="5095" spans="1:11" x14ac:dyDescent="0.25">
      <c r="A5095">
        <v>8.6288107599266306E-2</v>
      </c>
      <c r="B5095">
        <v>133.83334426574999</v>
      </c>
      <c r="C5095">
        <v>2000</v>
      </c>
    </row>
    <row r="5096" spans="1:11" x14ac:dyDescent="0.25">
      <c r="A5096">
        <v>0</v>
      </c>
      <c r="B5096">
        <v>133.919632373349</v>
      </c>
      <c r="C5096">
        <v>2000</v>
      </c>
    </row>
    <row r="5097" spans="1:11" x14ac:dyDescent="0.25">
      <c r="A5097">
        <v>0</v>
      </c>
      <c r="B5097">
        <v>134.79366442224699</v>
      </c>
      <c r="C5097">
        <v>2001</v>
      </c>
    </row>
    <row r="5098" spans="1:11" x14ac:dyDescent="0.25">
      <c r="A5098">
        <v>8.6288107599266195E-2</v>
      </c>
      <c r="B5098">
        <v>134.707376314648</v>
      </c>
      <c r="C5098">
        <v>2001</v>
      </c>
    </row>
    <row r="5099" spans="1:11" x14ac:dyDescent="0.25">
      <c r="A5099">
        <v>6.1396101867499002</v>
      </c>
      <c r="B5099">
        <v>128.654054235497</v>
      </c>
      <c r="C5099">
        <v>2001</v>
      </c>
    </row>
    <row r="5100" spans="1:11" x14ac:dyDescent="0.25">
      <c r="A5100">
        <v>6.13961018674991</v>
      </c>
      <c r="B5100">
        <v>127.780022186599</v>
      </c>
      <c r="C5100">
        <v>2000</v>
      </c>
    </row>
    <row r="5101" spans="1:11" x14ac:dyDescent="0.25">
      <c r="A5101" t="s">
        <v>87</v>
      </c>
    </row>
    <row r="5102" spans="1:11" x14ac:dyDescent="0.25">
      <c r="A5102">
        <v>725</v>
      </c>
      <c r="B5102">
        <v>1</v>
      </c>
      <c r="C5102">
        <v>3.41311791187012</v>
      </c>
      <c r="D5102">
        <v>5.2665984768768501</v>
      </c>
      <c r="E5102">
        <v>6</v>
      </c>
      <c r="F5102">
        <v>1.01722196789785</v>
      </c>
      <c r="G5102" t="s">
        <v>85</v>
      </c>
      <c r="H5102" t="s">
        <v>88</v>
      </c>
      <c r="I5102">
        <v>805</v>
      </c>
      <c r="J5102">
        <v>0</v>
      </c>
      <c r="K5102">
        <v>8.8948032773117705E-2</v>
      </c>
    </row>
    <row r="5103" spans="1:11" x14ac:dyDescent="0.25">
      <c r="A5103" t="s">
        <v>86</v>
      </c>
    </row>
    <row r="5104" spans="1:11" x14ac:dyDescent="0.25">
      <c r="A5104">
        <v>145.944012728301</v>
      </c>
      <c r="B5104">
        <v>3.98921606055616</v>
      </c>
      <c r="C5104">
        <v>2000</v>
      </c>
    </row>
    <row r="5105" spans="1:11" x14ac:dyDescent="0.25">
      <c r="A5105">
        <v>143.35872644714999</v>
      </c>
      <c r="B5105">
        <v>6.5745023417078503</v>
      </c>
      <c r="C5105">
        <v>2000</v>
      </c>
    </row>
    <row r="5106" spans="1:11" x14ac:dyDescent="0.25">
      <c r="A5106">
        <v>143.35872644714999</v>
      </c>
      <c r="B5106">
        <v>5.7004702928102002</v>
      </c>
      <c r="C5106">
        <v>2001</v>
      </c>
    </row>
    <row r="5107" spans="1:11" x14ac:dyDescent="0.25">
      <c r="A5107">
        <v>145.600317806943</v>
      </c>
      <c r="B5107">
        <v>3.4588789330166101</v>
      </c>
      <c r="C5107">
        <v>2001</v>
      </c>
    </row>
    <row r="5108" spans="1:11" x14ac:dyDescent="0.25">
      <c r="A5108">
        <v>149.05919673995999</v>
      </c>
      <c r="B5108">
        <v>0</v>
      </c>
      <c r="C5108">
        <v>2001</v>
      </c>
    </row>
    <row r="5109" spans="1:11" x14ac:dyDescent="0.25">
      <c r="A5109">
        <v>149.93322878885701</v>
      </c>
      <c r="B5109">
        <v>0</v>
      </c>
      <c r="C5109">
        <v>2000</v>
      </c>
    </row>
    <row r="5110" spans="1:11" x14ac:dyDescent="0.25">
      <c r="A5110" t="s">
        <v>87</v>
      </c>
    </row>
    <row r="5111" spans="1:11" x14ac:dyDescent="0.25">
      <c r="A5111">
        <v>674</v>
      </c>
      <c r="B5111">
        <v>0</v>
      </c>
      <c r="C5111">
        <v>6.7196543628043299</v>
      </c>
      <c r="D5111">
        <v>1.8656405893522501</v>
      </c>
      <c r="E5111">
        <v>8</v>
      </c>
      <c r="F5111">
        <v>1.01722196789785</v>
      </c>
      <c r="G5111" t="s">
        <v>89</v>
      </c>
      <c r="H5111" t="s">
        <v>85</v>
      </c>
      <c r="I5111">
        <v>326</v>
      </c>
      <c r="J5111">
        <v>800</v>
      </c>
      <c r="K5111">
        <v>0</v>
      </c>
    </row>
    <row r="5112" spans="1:11" x14ac:dyDescent="0.25">
      <c r="A5112" t="s">
        <v>86</v>
      </c>
    </row>
    <row r="5113" spans="1:11" x14ac:dyDescent="0.25">
      <c r="A5113">
        <v>52.738300906905202</v>
      </c>
      <c r="B5113">
        <v>69.880961730165595</v>
      </c>
      <c r="C5113">
        <v>2000</v>
      </c>
    </row>
    <row r="5114" spans="1:11" x14ac:dyDescent="0.25">
      <c r="A5114">
        <v>50.218508012224397</v>
      </c>
      <c r="B5114">
        <v>67.361168835484804</v>
      </c>
      <c r="C5114">
        <v>2000</v>
      </c>
    </row>
    <row r="5115" spans="1:11" x14ac:dyDescent="0.25">
      <c r="A5115">
        <v>47.846220133750101</v>
      </c>
      <c r="B5115">
        <v>64.988880957010394</v>
      </c>
      <c r="C5115">
        <v>2000</v>
      </c>
    </row>
    <row r="5116" spans="1:11" x14ac:dyDescent="0.25">
      <c r="A5116">
        <v>47.4092041093012</v>
      </c>
      <c r="B5116">
        <v>65.425896981459204</v>
      </c>
      <c r="C5116">
        <v>2001</v>
      </c>
    </row>
    <row r="5117" spans="1:11" x14ac:dyDescent="0.25">
      <c r="A5117">
        <v>49.781491987775603</v>
      </c>
      <c r="B5117">
        <v>67.798184859933599</v>
      </c>
      <c r="C5117">
        <v>2001</v>
      </c>
    </row>
    <row r="5118" spans="1:11" x14ac:dyDescent="0.25">
      <c r="A5118">
        <v>52.020149670483498</v>
      </c>
      <c r="B5118">
        <v>70.036842542641494</v>
      </c>
      <c r="C5118">
        <v>2001</v>
      </c>
    </row>
    <row r="5119" spans="1:11" x14ac:dyDescent="0.25">
      <c r="A5119">
        <v>53.261416376233399</v>
      </c>
      <c r="B5119">
        <v>71.278109248391402</v>
      </c>
      <c r="C5119">
        <v>2001</v>
      </c>
    </row>
    <row r="5120" spans="1:11" x14ac:dyDescent="0.25">
      <c r="A5120">
        <v>54.135448425131003</v>
      </c>
      <c r="B5120">
        <v>71.278109248391402</v>
      </c>
      <c r="C5120">
        <v>2000</v>
      </c>
    </row>
    <row r="5121" spans="1:11" x14ac:dyDescent="0.25">
      <c r="A5121" t="s">
        <v>87</v>
      </c>
    </row>
    <row r="5122" spans="1:11" x14ac:dyDescent="0.25">
      <c r="A5122">
        <v>804</v>
      </c>
      <c r="B5122">
        <v>1</v>
      </c>
      <c r="C5122">
        <v>1.6161520560579801</v>
      </c>
      <c r="D5122">
        <v>6.9663251652473797</v>
      </c>
      <c r="E5122">
        <v>6</v>
      </c>
      <c r="F5122">
        <v>1.01722196789785</v>
      </c>
      <c r="G5122" t="s">
        <v>85</v>
      </c>
      <c r="H5122" t="s">
        <v>85</v>
      </c>
      <c r="I5122">
        <v>747</v>
      </c>
      <c r="J5122">
        <v>513</v>
      </c>
      <c r="K5122">
        <v>8.9816640118045604E-2</v>
      </c>
    </row>
    <row r="5123" spans="1:11" x14ac:dyDescent="0.25">
      <c r="A5123" t="s">
        <v>86</v>
      </c>
    </row>
    <row r="5124" spans="1:11" x14ac:dyDescent="0.25">
      <c r="A5124">
        <v>102.981295999447</v>
      </c>
      <c r="B5124">
        <v>118.23031917611701</v>
      </c>
      <c r="C5124">
        <v>2000</v>
      </c>
    </row>
    <row r="5125" spans="1:11" x14ac:dyDescent="0.25">
      <c r="A5125">
        <v>101.920797684184</v>
      </c>
      <c r="B5125">
        <v>119.29081749138</v>
      </c>
      <c r="C5125">
        <v>2000</v>
      </c>
    </row>
    <row r="5126" spans="1:11" x14ac:dyDescent="0.25">
      <c r="A5126">
        <v>101.04676563528599</v>
      </c>
      <c r="B5126">
        <v>119.29081749138</v>
      </c>
      <c r="C5126">
        <v>2001</v>
      </c>
    </row>
    <row r="5127" spans="1:11" x14ac:dyDescent="0.25">
      <c r="A5127">
        <v>102.271851476558</v>
      </c>
      <c r="B5127">
        <v>118.06573165010801</v>
      </c>
      <c r="C5127">
        <v>2001</v>
      </c>
    </row>
    <row r="5128" spans="1:11" x14ac:dyDescent="0.25">
      <c r="A5128">
        <v>107.552509502299</v>
      </c>
      <c r="B5128">
        <v>112.785073624367</v>
      </c>
      <c r="C5128">
        <v>2001</v>
      </c>
    </row>
    <row r="5129" spans="1:11" x14ac:dyDescent="0.25">
      <c r="A5129">
        <v>107.552509502299</v>
      </c>
      <c r="B5129">
        <v>113.659105673265</v>
      </c>
      <c r="C5129">
        <v>2000</v>
      </c>
    </row>
    <row r="5130" spans="1:11" x14ac:dyDescent="0.25">
      <c r="A5130" t="s">
        <v>87</v>
      </c>
    </row>
    <row r="5131" spans="1:11" x14ac:dyDescent="0.25">
      <c r="A5131">
        <v>1062</v>
      </c>
      <c r="B5131">
        <v>1</v>
      </c>
      <c r="C5131">
        <v>2.25604390030378</v>
      </c>
      <c r="D5131">
        <v>6.2924603598351903</v>
      </c>
      <c r="E5131">
        <v>6</v>
      </c>
      <c r="F5131">
        <v>1.01722196789785</v>
      </c>
      <c r="G5131" t="s">
        <v>89</v>
      </c>
      <c r="H5131" t="s">
        <v>85</v>
      </c>
      <c r="I5131">
        <v>45</v>
      </c>
      <c r="J5131">
        <v>22</v>
      </c>
      <c r="K5131">
        <v>9.4036209728977305E-2</v>
      </c>
    </row>
    <row r="5132" spans="1:11" x14ac:dyDescent="0.25">
      <c r="A5132" t="s">
        <v>86</v>
      </c>
    </row>
    <row r="5133" spans="1:11" x14ac:dyDescent="0.25">
      <c r="A5133">
        <v>39.093630086599802</v>
      </c>
      <c r="B5133">
        <v>26.3148771354434</v>
      </c>
      <c r="C5133">
        <v>2000</v>
      </c>
    </row>
    <row r="5134" spans="1:11" x14ac:dyDescent="0.25">
      <c r="A5134">
        <v>37.556032803638701</v>
      </c>
      <c r="B5134">
        <v>27.852474418404501</v>
      </c>
      <c r="C5134">
        <v>2000</v>
      </c>
    </row>
    <row r="5135" spans="1:11" x14ac:dyDescent="0.25">
      <c r="A5135">
        <v>37.993048828087502</v>
      </c>
      <c r="B5135">
        <v>28.289490442853399</v>
      </c>
      <c r="C5135">
        <v>2001</v>
      </c>
    </row>
    <row r="5136" spans="1:11" x14ac:dyDescent="0.25">
      <c r="A5136">
        <v>39.645979426245098</v>
      </c>
      <c r="B5136">
        <v>26.6365598446958</v>
      </c>
      <c r="C5136">
        <v>2001</v>
      </c>
    </row>
    <row r="5137" spans="1:11" x14ac:dyDescent="0.25">
      <c r="A5137">
        <v>44.2562621716583</v>
      </c>
      <c r="B5137">
        <v>22.026277099282598</v>
      </c>
      <c r="C5137">
        <v>2001</v>
      </c>
    </row>
    <row r="5138" spans="1:11" x14ac:dyDescent="0.25">
      <c r="A5138">
        <v>43.382230122760603</v>
      </c>
      <c r="B5138">
        <v>22.026277099282598</v>
      </c>
      <c r="C5138">
        <v>2000</v>
      </c>
    </row>
    <row r="5139" spans="1:11" x14ac:dyDescent="0.25">
      <c r="A5139" t="s">
        <v>87</v>
      </c>
    </row>
    <row r="5140" spans="1:11" x14ac:dyDescent="0.25">
      <c r="A5140">
        <v>762</v>
      </c>
      <c r="B5140">
        <v>1</v>
      </c>
      <c r="C5140">
        <v>2.8880693645435298</v>
      </c>
      <c r="D5140">
        <v>5.5967623179677402</v>
      </c>
      <c r="E5140">
        <v>6</v>
      </c>
      <c r="F5140">
        <v>1.01722196789785</v>
      </c>
      <c r="G5140" t="s">
        <v>85</v>
      </c>
      <c r="H5140" t="s">
        <v>85</v>
      </c>
      <c r="I5140">
        <v>670</v>
      </c>
      <c r="J5140">
        <v>665</v>
      </c>
      <c r="K5140">
        <v>8.9259099568316694E-2</v>
      </c>
    </row>
    <row r="5141" spans="1:11" x14ac:dyDescent="0.25">
      <c r="A5141" t="s">
        <v>86</v>
      </c>
    </row>
    <row r="5142" spans="1:11" x14ac:dyDescent="0.25">
      <c r="A5142">
        <v>86.589370033046805</v>
      </c>
      <c r="B5142">
        <v>62.151158412997802</v>
      </c>
      <c r="C5142">
        <v>2000</v>
      </c>
    </row>
    <row r="5143" spans="1:11" x14ac:dyDescent="0.25">
      <c r="A5143">
        <v>84.547196600841005</v>
      </c>
      <c r="B5143">
        <v>64.193331845203701</v>
      </c>
      <c r="C5143">
        <v>2000</v>
      </c>
    </row>
    <row r="5144" spans="1:11" x14ac:dyDescent="0.25">
      <c r="A5144">
        <v>84.547196600841005</v>
      </c>
      <c r="B5144">
        <v>65.067363894101305</v>
      </c>
      <c r="C5144">
        <v>2001</v>
      </c>
    </row>
    <row r="5145" spans="1:11" x14ac:dyDescent="0.25">
      <c r="A5145">
        <v>86.589370033046805</v>
      </c>
      <c r="B5145">
        <v>63.025190461895399</v>
      </c>
      <c r="C5145">
        <v>2001</v>
      </c>
    </row>
    <row r="5146" spans="1:11" x14ac:dyDescent="0.25">
      <c r="A5146">
        <v>90.546878620771196</v>
      </c>
      <c r="B5146">
        <v>59.0676818741711</v>
      </c>
      <c r="C5146">
        <v>2001</v>
      </c>
    </row>
    <row r="5147" spans="1:11" x14ac:dyDescent="0.25">
      <c r="A5147">
        <v>90.546878620771196</v>
      </c>
      <c r="B5147">
        <v>58.193649825273503</v>
      </c>
      <c r="C5147">
        <v>2000</v>
      </c>
    </row>
    <row r="5148" spans="1:11" x14ac:dyDescent="0.25">
      <c r="A5148" t="s">
        <v>87</v>
      </c>
    </row>
    <row r="5149" spans="1:11" x14ac:dyDescent="0.25">
      <c r="A5149">
        <v>360</v>
      </c>
      <c r="B5149">
        <v>0</v>
      </c>
      <c r="C5149">
        <v>1.5475612434727399</v>
      </c>
      <c r="D5149">
        <v>6.9323138963568303</v>
      </c>
      <c r="E5149">
        <v>6</v>
      </c>
      <c r="F5149">
        <v>1.01722196789785</v>
      </c>
      <c r="G5149" t="s">
        <v>89</v>
      </c>
      <c r="H5149" t="s">
        <v>89</v>
      </c>
      <c r="I5149">
        <v>344</v>
      </c>
      <c r="J5149">
        <v>356</v>
      </c>
      <c r="K5149">
        <v>0</v>
      </c>
    </row>
    <row r="5150" spans="1:11" x14ac:dyDescent="0.25">
      <c r="A5150" t="s">
        <v>86</v>
      </c>
    </row>
    <row r="5151" spans="1:11" x14ac:dyDescent="0.25">
      <c r="A5151">
        <v>35.922566965656401</v>
      </c>
      <c r="B5151">
        <v>79.367146763185701</v>
      </c>
      <c r="C5151">
        <v>2000</v>
      </c>
    </row>
    <row r="5152" spans="1:11" x14ac:dyDescent="0.25">
      <c r="A5152">
        <v>34.8282759160954</v>
      </c>
      <c r="B5152">
        <v>78.272855713624693</v>
      </c>
      <c r="C5152">
        <v>2000</v>
      </c>
    </row>
    <row r="5153" spans="1:11" x14ac:dyDescent="0.25">
      <c r="A5153">
        <v>35.265291940544202</v>
      </c>
      <c r="B5153">
        <v>77.835839689175899</v>
      </c>
      <c r="C5153">
        <v>2001</v>
      </c>
    </row>
    <row r="5154" spans="1:11" x14ac:dyDescent="0.25">
      <c r="A5154">
        <v>36.359582990105302</v>
      </c>
      <c r="B5154">
        <v>78.930130738736906</v>
      </c>
      <c r="C5154">
        <v>2001</v>
      </c>
    </row>
    <row r="5155" spans="1:11" x14ac:dyDescent="0.25">
      <c r="A5155">
        <v>41.2614691555329</v>
      </c>
      <c r="B5155">
        <v>83.832016904164604</v>
      </c>
      <c r="C5155">
        <v>2001</v>
      </c>
    </row>
    <row r="5156" spans="1:11" x14ac:dyDescent="0.25">
      <c r="A5156">
        <v>40.824453131084098</v>
      </c>
      <c r="B5156">
        <v>84.269032928613399</v>
      </c>
      <c r="C5156">
        <v>2000</v>
      </c>
    </row>
    <row r="5157" spans="1:11" x14ac:dyDescent="0.25">
      <c r="A5157" t="s">
        <v>87</v>
      </c>
    </row>
    <row r="5158" spans="1:11" x14ac:dyDescent="0.25">
      <c r="A5158">
        <v>317</v>
      </c>
      <c r="B5158">
        <v>1</v>
      </c>
      <c r="C5158">
        <v>4.8488202774327203</v>
      </c>
      <c r="D5158">
        <v>3.6146407122037401</v>
      </c>
      <c r="E5158">
        <v>6</v>
      </c>
      <c r="F5158">
        <v>1.01722196789785</v>
      </c>
      <c r="G5158" t="s">
        <v>85</v>
      </c>
      <c r="H5158" t="s">
        <v>89</v>
      </c>
      <c r="I5158">
        <v>270</v>
      </c>
      <c r="J5158">
        <v>736</v>
      </c>
      <c r="K5158">
        <v>0</v>
      </c>
    </row>
    <row r="5159" spans="1:11" x14ac:dyDescent="0.25">
      <c r="A5159" t="s">
        <v>86</v>
      </c>
    </row>
    <row r="5160" spans="1:11" x14ac:dyDescent="0.25">
      <c r="A5160">
        <v>8.78314530034028</v>
      </c>
      <c r="B5160">
        <v>116.161182894593</v>
      </c>
      <c r="C5160">
        <v>2000</v>
      </c>
    </row>
    <row r="5161" spans="1:11" x14ac:dyDescent="0.25">
      <c r="A5161">
        <v>5.4796975131517698</v>
      </c>
      <c r="B5161">
        <v>119.464630681781</v>
      </c>
      <c r="C5161">
        <v>2000</v>
      </c>
    </row>
    <row r="5162" spans="1:11" x14ac:dyDescent="0.25">
      <c r="A5162">
        <v>5.4796975131517698</v>
      </c>
      <c r="B5162">
        <v>120.338662730679</v>
      </c>
      <c r="C5162">
        <v>2001</v>
      </c>
    </row>
    <row r="5163" spans="1:11" x14ac:dyDescent="0.25">
      <c r="A5163">
        <v>9.0335171238183101</v>
      </c>
      <c r="B5163">
        <v>116.784843120012</v>
      </c>
      <c r="C5163">
        <v>2001</v>
      </c>
    </row>
    <row r="5164" spans="1:11" x14ac:dyDescent="0.25">
      <c r="A5164">
        <v>11.6827761834559</v>
      </c>
      <c r="B5164">
        <v>114.135584060374</v>
      </c>
      <c r="C5164">
        <v>2001</v>
      </c>
    </row>
    <row r="5165" spans="1:11" x14ac:dyDescent="0.25">
      <c r="A5165">
        <v>11.2457601590071</v>
      </c>
      <c r="B5165">
        <v>113.698568035926</v>
      </c>
      <c r="C5165">
        <v>2000</v>
      </c>
    </row>
    <row r="5166" spans="1:11" x14ac:dyDescent="0.25">
      <c r="A5166" t="s">
        <v>87</v>
      </c>
    </row>
    <row r="5167" spans="1:11" x14ac:dyDescent="0.25">
      <c r="A5167">
        <v>467</v>
      </c>
      <c r="B5167">
        <v>1</v>
      </c>
      <c r="C5167">
        <v>7.55809676714565</v>
      </c>
      <c r="D5167">
        <v>0.90463442913519299</v>
      </c>
      <c r="E5167">
        <v>6</v>
      </c>
      <c r="F5167">
        <v>1.01722196789785</v>
      </c>
      <c r="G5167" t="s">
        <v>85</v>
      </c>
      <c r="H5167" t="s">
        <v>89</v>
      </c>
      <c r="I5167">
        <v>764</v>
      </c>
      <c r="J5167">
        <v>469</v>
      </c>
      <c r="K5167">
        <v>0</v>
      </c>
    </row>
    <row r="5168" spans="1:11" x14ac:dyDescent="0.25">
      <c r="A5168" t="s">
        <v>86</v>
      </c>
    </row>
    <row r="5169" spans="1:11" x14ac:dyDescent="0.25">
      <c r="A5169">
        <v>71.125631116326403</v>
      </c>
      <c r="B5169">
        <v>22.0064196275363</v>
      </c>
      <c r="C5169">
        <v>2000</v>
      </c>
    </row>
    <row r="5170" spans="1:11" x14ac:dyDescent="0.25">
      <c r="A5170">
        <v>65.5860993194418</v>
      </c>
      <c r="B5170">
        <v>27.545951424420799</v>
      </c>
      <c r="C5170">
        <v>2000</v>
      </c>
    </row>
    <row r="5171" spans="1:11" x14ac:dyDescent="0.25">
      <c r="A5171">
        <v>66.460131368339503</v>
      </c>
      <c r="B5171">
        <v>27.545951424420799</v>
      </c>
      <c r="C5171">
        <v>2001</v>
      </c>
    </row>
    <row r="5172" spans="1:11" x14ac:dyDescent="0.25">
      <c r="A5172">
        <v>71.609362525280602</v>
      </c>
      <c r="B5172">
        <v>22.396720267479701</v>
      </c>
      <c r="C5172">
        <v>2001</v>
      </c>
    </row>
    <row r="5173" spans="1:11" x14ac:dyDescent="0.25">
      <c r="A5173">
        <v>72.225677972364196</v>
      </c>
      <c r="B5173">
        <v>21.7804048203961</v>
      </c>
      <c r="C5173">
        <v>2001</v>
      </c>
    </row>
    <row r="5174" spans="1:11" x14ac:dyDescent="0.25">
      <c r="A5174">
        <v>71.788661947915401</v>
      </c>
      <c r="B5174">
        <v>21.343388795947199</v>
      </c>
      <c r="C5174">
        <v>2000</v>
      </c>
    </row>
    <row r="5175" spans="1:11" x14ac:dyDescent="0.25">
      <c r="A5175" t="s">
        <v>87</v>
      </c>
    </row>
    <row r="5176" spans="1:11" x14ac:dyDescent="0.25">
      <c r="A5176">
        <v>200</v>
      </c>
      <c r="B5176">
        <v>0</v>
      </c>
      <c r="C5176">
        <v>2.0986235277268301</v>
      </c>
      <c r="D5176">
        <v>6.3638440162101197</v>
      </c>
      <c r="E5176">
        <v>6</v>
      </c>
      <c r="F5176">
        <v>1.01722196789785</v>
      </c>
      <c r="G5176" t="s">
        <v>85</v>
      </c>
      <c r="H5176" t="s">
        <v>85</v>
      </c>
      <c r="I5176">
        <v>808</v>
      </c>
      <c r="J5176">
        <v>544</v>
      </c>
      <c r="K5176">
        <v>0</v>
      </c>
    </row>
    <row r="5177" spans="1:11" x14ac:dyDescent="0.25">
      <c r="A5177" t="s">
        <v>86</v>
      </c>
    </row>
    <row r="5178" spans="1:11" x14ac:dyDescent="0.25">
      <c r="A5178">
        <v>94.999282603559806</v>
      </c>
      <c r="B5178">
        <v>144.27352465136499</v>
      </c>
      <c r="C5178">
        <v>2000</v>
      </c>
    </row>
    <row r="5179" spans="1:11" x14ac:dyDescent="0.25">
      <c r="A5179">
        <v>93.406955235370503</v>
      </c>
      <c r="B5179">
        <v>142.68119728317501</v>
      </c>
      <c r="C5179">
        <v>2000</v>
      </c>
    </row>
    <row r="5180" spans="1:11" x14ac:dyDescent="0.25">
      <c r="A5180">
        <v>94.280987284268207</v>
      </c>
      <c r="B5180">
        <v>142.68119728317501</v>
      </c>
      <c r="C5180">
        <v>2001</v>
      </c>
    </row>
    <row r="5181" spans="1:11" x14ac:dyDescent="0.25">
      <c r="A5181">
        <v>95.656561771305405</v>
      </c>
      <c r="B5181">
        <v>144.056771770213</v>
      </c>
      <c r="C5181">
        <v>2001</v>
      </c>
    </row>
    <row r="5182" spans="1:11" x14ac:dyDescent="0.25">
      <c r="A5182">
        <v>99.827839445708193</v>
      </c>
      <c r="B5182">
        <v>148.22804944461501</v>
      </c>
      <c r="C5182">
        <v>2001</v>
      </c>
    </row>
    <row r="5183" spans="1:11" x14ac:dyDescent="0.25">
      <c r="A5183">
        <v>99.827839445708193</v>
      </c>
      <c r="B5183">
        <v>149.102081493513</v>
      </c>
      <c r="C5183">
        <v>2000</v>
      </c>
    </row>
    <row r="5184" spans="1:11" x14ac:dyDescent="0.25">
      <c r="A5184" t="s">
        <v>87</v>
      </c>
    </row>
    <row r="5185" spans="1:11" x14ac:dyDescent="0.25">
      <c r="A5185">
        <v>909</v>
      </c>
      <c r="B5185">
        <v>0</v>
      </c>
      <c r="C5185">
        <v>7.5757012588226802</v>
      </c>
      <c r="D5185">
        <v>0.84769395040243001</v>
      </c>
      <c r="E5185">
        <v>6</v>
      </c>
      <c r="F5185">
        <v>1.01722196789785</v>
      </c>
      <c r="G5185" t="s">
        <v>85</v>
      </c>
      <c r="H5185" t="s">
        <v>85</v>
      </c>
      <c r="I5185">
        <v>466</v>
      </c>
      <c r="J5185">
        <v>142</v>
      </c>
      <c r="K5185">
        <v>9.1667699418773299E-2</v>
      </c>
    </row>
    <row r="5186" spans="1:11" x14ac:dyDescent="0.25">
      <c r="A5186" t="s">
        <v>86</v>
      </c>
    </row>
    <row r="5187" spans="1:11" x14ac:dyDescent="0.25">
      <c r="A5187">
        <v>96.759526118332104</v>
      </c>
      <c r="B5187">
        <v>37.519403431623303</v>
      </c>
      <c r="C5187">
        <v>2000</v>
      </c>
    </row>
    <row r="5188" spans="1:11" x14ac:dyDescent="0.25">
      <c r="A5188">
        <v>91.009659758307805</v>
      </c>
      <c r="B5188">
        <v>31.769537071599</v>
      </c>
      <c r="C5188">
        <v>2000</v>
      </c>
    </row>
    <row r="5189" spans="1:11" x14ac:dyDescent="0.25">
      <c r="A5189">
        <v>91.009659758307805</v>
      </c>
      <c r="B5189">
        <v>32.6435691204967</v>
      </c>
      <c r="C5189">
        <v>2001</v>
      </c>
    </row>
    <row r="5190" spans="1:11" x14ac:dyDescent="0.25">
      <c r="A5190">
        <v>95.973452862997505</v>
      </c>
      <c r="B5190">
        <v>37.607362225186399</v>
      </c>
      <c r="C5190">
        <v>2001</v>
      </c>
    </row>
    <row r="5191" spans="1:11" x14ac:dyDescent="0.25">
      <c r="A5191">
        <v>96.528883606916295</v>
      </c>
      <c r="B5191">
        <v>38.162792969105197</v>
      </c>
      <c r="C5191">
        <v>2001</v>
      </c>
    </row>
    <row r="5192" spans="1:11" x14ac:dyDescent="0.25">
      <c r="A5192">
        <v>97.402915655813999</v>
      </c>
      <c r="B5192">
        <v>38.162792969105197</v>
      </c>
      <c r="C5192">
        <v>2000</v>
      </c>
    </row>
    <row r="5193" spans="1:11" x14ac:dyDescent="0.25">
      <c r="A5193" t="s">
        <v>87</v>
      </c>
    </row>
    <row r="5194" spans="1:11" x14ac:dyDescent="0.25">
      <c r="A5194">
        <v>900</v>
      </c>
      <c r="B5194">
        <v>0</v>
      </c>
      <c r="C5194">
        <v>1.8984204489693901</v>
      </c>
      <c r="D5194">
        <v>6.52497476025572</v>
      </c>
      <c r="E5194">
        <v>6</v>
      </c>
      <c r="F5194">
        <v>1.01722196789785</v>
      </c>
      <c r="G5194" t="s">
        <v>85</v>
      </c>
      <c r="H5194" t="s">
        <v>85</v>
      </c>
      <c r="I5194">
        <v>466</v>
      </c>
      <c r="J5194">
        <v>142</v>
      </c>
      <c r="K5194">
        <v>9.1667699418773299E-2</v>
      </c>
    </row>
    <row r="5195" spans="1:11" x14ac:dyDescent="0.25">
      <c r="A5195" t="s">
        <v>86</v>
      </c>
    </row>
    <row r="5196" spans="1:11" x14ac:dyDescent="0.25">
      <c r="A5196">
        <v>103.271010397539</v>
      </c>
      <c r="B5196">
        <v>22.389943118324702</v>
      </c>
      <c r="C5196">
        <v>2000</v>
      </c>
    </row>
    <row r="5197" spans="1:11" x14ac:dyDescent="0.25">
      <c r="A5197">
        <v>101.83013205456</v>
      </c>
      <c r="B5197">
        <v>20.949064775346301</v>
      </c>
      <c r="C5197">
        <v>2000</v>
      </c>
    </row>
    <row r="5198" spans="1:11" x14ac:dyDescent="0.25">
      <c r="A5198">
        <v>102.704164103458</v>
      </c>
      <c r="B5198">
        <v>20.949064775346301</v>
      </c>
      <c r="C5198">
        <v>2001</v>
      </c>
    </row>
    <row r="5199" spans="1:11" x14ac:dyDescent="0.25">
      <c r="A5199">
        <v>103.948057706499</v>
      </c>
      <c r="B5199">
        <v>22.192958378386901</v>
      </c>
      <c r="C5199">
        <v>2001</v>
      </c>
    </row>
    <row r="5200" spans="1:11" x14ac:dyDescent="0.25">
      <c r="A5200">
        <v>108.223387952067</v>
      </c>
      <c r="B5200">
        <v>26.468288623954901</v>
      </c>
      <c r="C5200">
        <v>2001</v>
      </c>
    </row>
    <row r="5201" spans="1:11" x14ac:dyDescent="0.25">
      <c r="A5201">
        <v>108.223387952067</v>
      </c>
      <c r="B5201">
        <v>27.342320672852502</v>
      </c>
      <c r="C5201">
        <v>2000</v>
      </c>
    </row>
    <row r="5202" spans="1:11" x14ac:dyDescent="0.25">
      <c r="A5202" t="s">
        <v>87</v>
      </c>
    </row>
    <row r="5203" spans="1:11" x14ac:dyDescent="0.25">
      <c r="A5203">
        <v>1157</v>
      </c>
      <c r="B5203">
        <v>0</v>
      </c>
      <c r="C5203">
        <v>2.5024237907102198</v>
      </c>
      <c r="D5203">
        <v>5.8843051255548504</v>
      </c>
      <c r="E5203">
        <v>6</v>
      </c>
      <c r="F5203">
        <v>1.01722196789785</v>
      </c>
      <c r="G5203" t="s">
        <v>85</v>
      </c>
      <c r="H5203" t="s">
        <v>85</v>
      </c>
      <c r="I5203">
        <v>628</v>
      </c>
      <c r="J5203">
        <v>748</v>
      </c>
      <c r="K5203">
        <v>9.5300933138239702E-2</v>
      </c>
    </row>
    <row r="5204" spans="1:11" x14ac:dyDescent="0.25">
      <c r="A5204" t="s">
        <v>86</v>
      </c>
    </row>
    <row r="5205" spans="1:11" x14ac:dyDescent="0.25">
      <c r="A5205">
        <v>134.735765915526</v>
      </c>
      <c r="B5205">
        <v>89.068242135783095</v>
      </c>
      <c r="C5205">
        <v>2000</v>
      </c>
    </row>
    <row r="5206" spans="1:11" x14ac:dyDescent="0.25">
      <c r="A5206">
        <v>133.09668148824801</v>
      </c>
      <c r="B5206">
        <v>87.429157708505699</v>
      </c>
      <c r="C5206">
        <v>2000</v>
      </c>
    </row>
    <row r="5207" spans="1:11" x14ac:dyDescent="0.25">
      <c r="A5207">
        <v>132.22264943935099</v>
      </c>
      <c r="B5207">
        <v>87.429157708505699</v>
      </c>
      <c r="C5207">
        <v>2001</v>
      </c>
    </row>
    <row r="5208" spans="1:11" x14ac:dyDescent="0.25">
      <c r="A5208">
        <v>134.12252667570101</v>
      </c>
      <c r="B5208">
        <v>89.329034944855806</v>
      </c>
      <c r="C5208">
        <v>2001</v>
      </c>
    </row>
    <row r="5209" spans="1:11" x14ac:dyDescent="0.25">
      <c r="A5209">
        <v>138.58997835246399</v>
      </c>
      <c r="B5209">
        <v>93.796486621618897</v>
      </c>
      <c r="C5209">
        <v>2001</v>
      </c>
    </row>
    <row r="5210" spans="1:11" x14ac:dyDescent="0.25">
      <c r="A5210">
        <v>138.58997835246399</v>
      </c>
      <c r="B5210">
        <v>92.922454572721193</v>
      </c>
      <c r="C5210">
        <v>2000</v>
      </c>
    </row>
    <row r="5211" spans="1:11" x14ac:dyDescent="0.25">
      <c r="A5211" t="s">
        <v>87</v>
      </c>
    </row>
    <row r="5212" spans="1:11" x14ac:dyDescent="0.25">
      <c r="A5212">
        <v>1136</v>
      </c>
      <c r="B5212">
        <v>0</v>
      </c>
      <c r="C5212">
        <v>3.1177415197935501</v>
      </c>
      <c r="D5212">
        <v>5.2689873964715197</v>
      </c>
      <c r="E5212">
        <v>6</v>
      </c>
      <c r="F5212">
        <v>1.01722196789785</v>
      </c>
      <c r="G5212" t="s">
        <v>85</v>
      </c>
      <c r="H5212" t="s">
        <v>85</v>
      </c>
      <c r="I5212">
        <v>628</v>
      </c>
      <c r="J5212">
        <v>748</v>
      </c>
      <c r="K5212">
        <v>9.5129269803373898E-2</v>
      </c>
    </row>
    <row r="5213" spans="1:11" x14ac:dyDescent="0.25">
      <c r="A5213" t="s">
        <v>86</v>
      </c>
    </row>
    <row r="5214" spans="1:11" x14ac:dyDescent="0.25">
      <c r="A5214">
        <v>136.233375834746</v>
      </c>
      <c r="B5214">
        <v>88.376696889790907</v>
      </c>
      <c r="C5214">
        <v>2000</v>
      </c>
    </row>
    <row r="5215" spans="1:11" x14ac:dyDescent="0.25">
      <c r="A5215">
        <v>134.19125907085399</v>
      </c>
      <c r="B5215">
        <v>86.334580125899706</v>
      </c>
      <c r="C5215">
        <v>2000</v>
      </c>
    </row>
    <row r="5216" spans="1:11" x14ac:dyDescent="0.25">
      <c r="A5216">
        <v>134.19125907085399</v>
      </c>
      <c r="B5216">
        <v>85.460548077002002</v>
      </c>
      <c r="C5216">
        <v>2001</v>
      </c>
    </row>
    <row r="5217" spans="1:11" x14ac:dyDescent="0.25">
      <c r="A5217">
        <v>136.55829464822901</v>
      </c>
      <c r="B5217">
        <v>87.827583654376497</v>
      </c>
      <c r="C5217">
        <v>2001</v>
      </c>
    </row>
    <row r="5218" spans="1:11" x14ac:dyDescent="0.25">
      <c r="A5218">
        <v>140.55858798396699</v>
      </c>
      <c r="B5218">
        <v>91.8278769901152</v>
      </c>
      <c r="C5218">
        <v>2001</v>
      </c>
    </row>
    <row r="5219" spans="1:11" x14ac:dyDescent="0.25">
      <c r="A5219">
        <v>139.68455593506999</v>
      </c>
      <c r="B5219">
        <v>91.8278769901152</v>
      </c>
      <c r="C5219">
        <v>2000</v>
      </c>
    </row>
    <row r="5220" spans="1:11" x14ac:dyDescent="0.25">
      <c r="A5220" t="s">
        <v>87</v>
      </c>
    </row>
    <row r="5221" spans="1:11" x14ac:dyDescent="0.25">
      <c r="A5221">
        <v>1183</v>
      </c>
      <c r="B5221">
        <v>1</v>
      </c>
      <c r="C5221">
        <v>0.61163465428455099</v>
      </c>
      <c r="D5221">
        <v>7.7723583058936097</v>
      </c>
      <c r="E5221">
        <v>6</v>
      </c>
      <c r="F5221">
        <v>1.01722196789785</v>
      </c>
      <c r="G5221" t="s">
        <v>85</v>
      </c>
      <c r="H5221" t="s">
        <v>85</v>
      </c>
      <c r="I5221">
        <v>665</v>
      </c>
      <c r="J5221">
        <v>661</v>
      </c>
      <c r="K5221">
        <v>9.5636215209858197E-2</v>
      </c>
    </row>
    <row r="5222" spans="1:11" x14ac:dyDescent="0.25">
      <c r="A5222" t="s">
        <v>86</v>
      </c>
    </row>
    <row r="5223" spans="1:11" x14ac:dyDescent="0.25">
      <c r="A5223">
        <v>90.524573223210297</v>
      </c>
      <c r="B5223">
        <v>57.370125374222503</v>
      </c>
      <c r="C5223">
        <v>2000</v>
      </c>
    </row>
    <row r="5224" spans="1:11" x14ac:dyDescent="0.25">
      <c r="A5224">
        <v>90.123963696465296</v>
      </c>
      <c r="B5224">
        <v>57.770734900967597</v>
      </c>
      <c r="C5224">
        <v>2000</v>
      </c>
    </row>
    <row r="5225" spans="1:11" x14ac:dyDescent="0.25">
      <c r="A5225">
        <v>89.249931647567607</v>
      </c>
      <c r="B5225">
        <v>57.770734900967597</v>
      </c>
      <c r="C5225">
        <v>2001</v>
      </c>
    </row>
    <row r="5226" spans="1:11" x14ac:dyDescent="0.25">
      <c r="A5226">
        <v>89.714304144129102</v>
      </c>
      <c r="B5226">
        <v>57.306362404406002</v>
      </c>
      <c r="C5226">
        <v>2001</v>
      </c>
    </row>
    <row r="5227" spans="1:11" x14ac:dyDescent="0.25">
      <c r="A5227">
        <v>95.615325947578697</v>
      </c>
      <c r="B5227">
        <v>51.405340600956499</v>
      </c>
      <c r="C5227">
        <v>2001</v>
      </c>
    </row>
    <row r="5228" spans="1:11" x14ac:dyDescent="0.25">
      <c r="A5228">
        <v>95.615325947578697</v>
      </c>
      <c r="B5228">
        <v>52.279372649854103</v>
      </c>
      <c r="C5228">
        <v>2000</v>
      </c>
    </row>
    <row r="5229" spans="1:11" x14ac:dyDescent="0.25">
      <c r="A5229" t="s">
        <v>87</v>
      </c>
    </row>
    <row r="5230" spans="1:11" x14ac:dyDescent="0.25">
      <c r="A5230">
        <v>1026</v>
      </c>
      <c r="B5230">
        <v>0</v>
      </c>
      <c r="C5230">
        <v>4.0466492863006396</v>
      </c>
      <c r="D5230">
        <v>4.3312490584802701</v>
      </c>
      <c r="E5230">
        <v>6</v>
      </c>
      <c r="F5230">
        <v>1.01722196789785</v>
      </c>
      <c r="G5230" t="s">
        <v>85</v>
      </c>
      <c r="H5230" t="s">
        <v>85</v>
      </c>
      <c r="I5230">
        <v>947</v>
      </c>
      <c r="J5230">
        <v>1007</v>
      </c>
      <c r="K5230">
        <v>9.3644784593262795E-2</v>
      </c>
    </row>
    <row r="5231" spans="1:11" x14ac:dyDescent="0.25">
      <c r="A5231" t="s">
        <v>86</v>
      </c>
    </row>
    <row r="5232" spans="1:11" x14ac:dyDescent="0.25">
      <c r="A5232">
        <v>138.12160961708099</v>
      </c>
      <c r="B5232">
        <v>135.74454081325101</v>
      </c>
      <c r="C5232">
        <v>2000</v>
      </c>
    </row>
    <row r="5233" spans="1:11" x14ac:dyDescent="0.25">
      <c r="A5233">
        <v>135.26019646565399</v>
      </c>
      <c r="B5233">
        <v>132.88312766182401</v>
      </c>
      <c r="C5233">
        <v>2000</v>
      </c>
    </row>
    <row r="5234" spans="1:11" x14ac:dyDescent="0.25">
      <c r="A5234">
        <v>135.26019646565399</v>
      </c>
      <c r="B5234">
        <v>132.00909561292701</v>
      </c>
      <c r="C5234">
        <v>2001</v>
      </c>
    </row>
    <row r="5235" spans="1:11" x14ac:dyDescent="0.25">
      <c r="A5235">
        <v>138.12160961708099</v>
      </c>
      <c r="B5235">
        <v>134.87050876435299</v>
      </c>
      <c r="C5235">
        <v>2001</v>
      </c>
    </row>
    <row r="5236" spans="1:11" x14ac:dyDescent="0.25">
      <c r="A5236">
        <v>141.18426519734001</v>
      </c>
      <c r="B5236">
        <v>137.933164344613</v>
      </c>
      <c r="C5236">
        <v>2001</v>
      </c>
    </row>
    <row r="5237" spans="1:11" x14ac:dyDescent="0.25">
      <c r="A5237">
        <v>141.18426519734001</v>
      </c>
      <c r="B5237">
        <v>138.80719639351</v>
      </c>
      <c r="C5237">
        <v>2000</v>
      </c>
    </row>
    <row r="5238" spans="1:11" x14ac:dyDescent="0.25">
      <c r="A5238" t="s">
        <v>87</v>
      </c>
    </row>
    <row r="5239" spans="1:11" x14ac:dyDescent="0.25">
      <c r="A5239">
        <v>1073</v>
      </c>
      <c r="B5239">
        <v>0</v>
      </c>
      <c r="C5239">
        <v>4.3122189661153199</v>
      </c>
      <c r="D5239">
        <v>4.0540838751361701</v>
      </c>
      <c r="E5239">
        <v>10</v>
      </c>
      <c r="F5239">
        <v>1.01722196789785</v>
      </c>
      <c r="G5239" t="s">
        <v>85</v>
      </c>
      <c r="H5239" t="s">
        <v>85</v>
      </c>
      <c r="I5239">
        <v>1024</v>
      </c>
      <c r="J5239">
        <v>231</v>
      </c>
      <c r="K5239">
        <v>9.4226499478247905E-2</v>
      </c>
    </row>
    <row r="5240" spans="1:11" x14ac:dyDescent="0.25">
      <c r="A5240" t="s">
        <v>86</v>
      </c>
    </row>
    <row r="5241" spans="1:11" x14ac:dyDescent="0.25">
      <c r="A5241">
        <v>101.672468490444</v>
      </c>
      <c r="B5241">
        <v>99.286282908477602</v>
      </c>
      <c r="C5241">
        <v>2000</v>
      </c>
    </row>
    <row r="5242" spans="1:11" x14ac:dyDescent="0.25">
      <c r="A5242">
        <v>100.114437118716</v>
      </c>
      <c r="B5242">
        <v>97.728251536749099</v>
      </c>
      <c r="C5242">
        <v>2000</v>
      </c>
    </row>
    <row r="5243" spans="1:11" x14ac:dyDescent="0.25">
      <c r="A5243">
        <v>98.403071925697404</v>
      </c>
      <c r="B5243">
        <v>96.016886343730704</v>
      </c>
      <c r="C5243">
        <v>2000</v>
      </c>
    </row>
    <row r="5244" spans="1:11" x14ac:dyDescent="0.25">
      <c r="A5244">
        <v>98.403071925697404</v>
      </c>
      <c r="B5244">
        <v>96.890918392628294</v>
      </c>
      <c r="C5244">
        <v>2001</v>
      </c>
    </row>
    <row r="5245" spans="1:11" x14ac:dyDescent="0.25">
      <c r="A5245">
        <v>99.885562881284201</v>
      </c>
      <c r="B5245">
        <v>98.373409348215105</v>
      </c>
      <c r="C5245">
        <v>2001</v>
      </c>
    </row>
    <row r="5246" spans="1:11" x14ac:dyDescent="0.25">
      <c r="A5246">
        <v>101.232073906753</v>
      </c>
      <c r="B5246">
        <v>99.719920373684104</v>
      </c>
      <c r="C5246">
        <v>2001</v>
      </c>
    </row>
    <row r="5247" spans="1:11" x14ac:dyDescent="0.25">
      <c r="A5247">
        <v>101.692786148012</v>
      </c>
      <c r="B5247">
        <v>100.18063261494299</v>
      </c>
      <c r="C5247">
        <v>2001</v>
      </c>
    </row>
    <row r="5248" spans="1:11" x14ac:dyDescent="0.25">
      <c r="A5248">
        <v>103.88192537375799</v>
      </c>
      <c r="B5248">
        <v>102.369771840689</v>
      </c>
      <c r="C5248">
        <v>2001</v>
      </c>
    </row>
    <row r="5249" spans="1:11" x14ac:dyDescent="0.25">
      <c r="A5249">
        <v>104.755957422655</v>
      </c>
      <c r="B5249">
        <v>102.369771840689</v>
      </c>
      <c r="C5249">
        <v>2000</v>
      </c>
    </row>
    <row r="5250" spans="1:11" x14ac:dyDescent="0.25">
      <c r="A5250">
        <v>102.205552967024</v>
      </c>
      <c r="B5250">
        <v>99.819367385057006</v>
      </c>
      <c r="C5250">
        <v>2000</v>
      </c>
    </row>
    <row r="5251" spans="1:11" x14ac:dyDescent="0.25">
      <c r="A5251" t="s">
        <v>87</v>
      </c>
    </row>
    <row r="5252" spans="1:11" x14ac:dyDescent="0.25">
      <c r="A5252">
        <v>432</v>
      </c>
      <c r="B5252">
        <v>0</v>
      </c>
      <c r="C5252">
        <v>3.2375555106612799</v>
      </c>
      <c r="D5252">
        <v>5.0889953450184997</v>
      </c>
      <c r="E5252">
        <v>6</v>
      </c>
      <c r="F5252">
        <v>1.01722196789785</v>
      </c>
      <c r="G5252" t="s">
        <v>85</v>
      </c>
      <c r="H5252" t="s">
        <v>85</v>
      </c>
      <c r="I5252">
        <v>474</v>
      </c>
      <c r="J5252">
        <v>846</v>
      </c>
      <c r="K5252">
        <v>0</v>
      </c>
    </row>
    <row r="5253" spans="1:11" x14ac:dyDescent="0.25">
      <c r="A5253" t="s">
        <v>86</v>
      </c>
    </row>
    <row r="5254" spans="1:11" x14ac:dyDescent="0.25">
      <c r="A5254">
        <v>79.213576451508999</v>
      </c>
      <c r="B5254">
        <v>29.3915129096297</v>
      </c>
      <c r="C5254">
        <v>2000</v>
      </c>
    </row>
    <row r="5255" spans="1:11" x14ac:dyDescent="0.25">
      <c r="A5255">
        <v>76.924278995452596</v>
      </c>
      <c r="B5255">
        <v>27.102215453573201</v>
      </c>
      <c r="C5255">
        <v>2000</v>
      </c>
    </row>
    <row r="5256" spans="1:11" x14ac:dyDescent="0.25">
      <c r="A5256">
        <v>76.924278995452596</v>
      </c>
      <c r="B5256">
        <v>27.976247502470901</v>
      </c>
      <c r="C5256">
        <v>2001</v>
      </c>
    </row>
    <row r="5257" spans="1:11" x14ac:dyDescent="0.25">
      <c r="A5257">
        <v>79.213576451508999</v>
      </c>
      <c r="B5257">
        <v>30.2655449585273</v>
      </c>
      <c r="C5257">
        <v>2001</v>
      </c>
    </row>
    <row r="5258" spans="1:11" x14ac:dyDescent="0.25">
      <c r="A5258">
        <v>82.812039569398394</v>
      </c>
      <c r="B5258">
        <v>33.864008076416702</v>
      </c>
      <c r="C5258">
        <v>2001</v>
      </c>
    </row>
    <row r="5259" spans="1:11" x14ac:dyDescent="0.25">
      <c r="A5259">
        <v>82.812039569398394</v>
      </c>
      <c r="B5259">
        <v>32.989976027519099</v>
      </c>
      <c r="C5259">
        <v>2000</v>
      </c>
    </row>
    <row r="5260" spans="1:11" x14ac:dyDescent="0.25">
      <c r="A5260" t="s">
        <v>87</v>
      </c>
    </row>
    <row r="5261" spans="1:11" x14ac:dyDescent="0.25">
      <c r="A5261">
        <v>1219</v>
      </c>
      <c r="B5261">
        <v>1</v>
      </c>
      <c r="C5261">
        <v>5.44153450347663</v>
      </c>
      <c r="D5261">
        <v>2.8835273501426899</v>
      </c>
      <c r="E5261">
        <v>8</v>
      </c>
      <c r="F5261">
        <v>1.01722196789785</v>
      </c>
      <c r="G5261" t="s">
        <v>85</v>
      </c>
      <c r="H5261" t="s">
        <v>85</v>
      </c>
      <c r="I5261">
        <v>1165</v>
      </c>
      <c r="J5261">
        <v>868</v>
      </c>
      <c r="K5261">
        <v>9.6120382487224904E-2</v>
      </c>
    </row>
    <row r="5262" spans="1:11" x14ac:dyDescent="0.25">
      <c r="A5262" t="s">
        <v>86</v>
      </c>
    </row>
    <row r="5263" spans="1:11" x14ac:dyDescent="0.25">
      <c r="A5263">
        <v>7.6635179098909001</v>
      </c>
      <c r="B5263">
        <v>47.896918534270398</v>
      </c>
      <c r="C5263">
        <v>2000</v>
      </c>
    </row>
    <row r="5264" spans="1:11" x14ac:dyDescent="0.25">
      <c r="A5264">
        <v>5.6623992004284798</v>
      </c>
      <c r="B5264">
        <v>49.898037243732801</v>
      </c>
      <c r="C5264">
        <v>2000</v>
      </c>
    </row>
    <row r="5265" spans="1:11" x14ac:dyDescent="0.25">
      <c r="A5265">
        <v>3.7649563689642398</v>
      </c>
      <c r="B5265">
        <v>51.795480075196998</v>
      </c>
      <c r="C5265">
        <v>2000</v>
      </c>
    </row>
    <row r="5266" spans="1:11" x14ac:dyDescent="0.25">
      <c r="A5266">
        <v>4.6389884178618903</v>
      </c>
      <c r="B5266">
        <v>51.795480075196998</v>
      </c>
      <c r="C5266">
        <v>2001</v>
      </c>
    </row>
    <row r="5267" spans="1:11" x14ac:dyDescent="0.25">
      <c r="A5267">
        <v>6.3325057367917399</v>
      </c>
      <c r="B5267">
        <v>50.101962756267199</v>
      </c>
      <c r="C5267">
        <v>2001</v>
      </c>
    </row>
    <row r="5268" spans="1:11" x14ac:dyDescent="0.25">
      <c r="A5268">
        <v>8.4359187718730304</v>
      </c>
      <c r="B5268">
        <v>47.998549721185903</v>
      </c>
      <c r="C5268">
        <v>2001</v>
      </c>
    </row>
    <row r="5269" spans="1:11" x14ac:dyDescent="0.25">
      <c r="A5269">
        <v>10.5256961083536</v>
      </c>
      <c r="B5269">
        <v>45.908772384705401</v>
      </c>
      <c r="C5269">
        <v>2001</v>
      </c>
    </row>
    <row r="5270" spans="1:11" x14ac:dyDescent="0.25">
      <c r="A5270">
        <v>9.6516640594559107</v>
      </c>
      <c r="B5270">
        <v>45.908772384705401</v>
      </c>
      <c r="C5270">
        <v>2000</v>
      </c>
    </row>
    <row r="5271" spans="1:11" x14ac:dyDescent="0.25">
      <c r="A5271" t="s">
        <v>87</v>
      </c>
    </row>
    <row r="5272" spans="1:11" x14ac:dyDescent="0.25">
      <c r="A5272">
        <v>964</v>
      </c>
      <c r="B5272">
        <v>0</v>
      </c>
      <c r="C5272">
        <v>0.70546023980388395</v>
      </c>
      <c r="D5272">
        <v>7.6074789783343197</v>
      </c>
      <c r="E5272">
        <v>6</v>
      </c>
      <c r="F5272">
        <v>1.01722196789785</v>
      </c>
      <c r="G5272" t="s">
        <v>85</v>
      </c>
      <c r="H5272" t="s">
        <v>85</v>
      </c>
      <c r="I5272">
        <v>874</v>
      </c>
      <c r="J5272">
        <v>802</v>
      </c>
      <c r="K5272">
        <v>9.2813824447879903E-2</v>
      </c>
    </row>
    <row r="5273" spans="1:11" x14ac:dyDescent="0.25">
      <c r="A5273" t="s">
        <v>86</v>
      </c>
    </row>
    <row r="5274" spans="1:11" x14ac:dyDescent="0.25">
      <c r="A5274">
        <v>64.363263817664205</v>
      </c>
      <c r="B5274">
        <v>16.558726768269501</v>
      </c>
      <c r="C5274">
        <v>2000</v>
      </c>
    </row>
    <row r="5275" spans="1:11" x14ac:dyDescent="0.25">
      <c r="A5275">
        <v>63.864428098241397</v>
      </c>
      <c r="B5275">
        <v>16.059891048846701</v>
      </c>
      <c r="C5275">
        <v>2000</v>
      </c>
    </row>
    <row r="5276" spans="1:11" x14ac:dyDescent="0.25">
      <c r="A5276">
        <v>62.990396049343801</v>
      </c>
      <c r="B5276">
        <v>16.059891048846701</v>
      </c>
      <c r="C5276">
        <v>2001</v>
      </c>
    </row>
    <row r="5277" spans="1:11" x14ac:dyDescent="0.25">
      <c r="A5277">
        <v>63.489231768766601</v>
      </c>
      <c r="B5277">
        <v>16.558726768269501</v>
      </c>
      <c r="C5277">
        <v>2001</v>
      </c>
    </row>
    <row r="5278" spans="1:11" x14ac:dyDescent="0.25">
      <c r="A5278">
        <v>68.868531742080904</v>
      </c>
      <c r="B5278">
        <v>21.938026741583801</v>
      </c>
      <c r="C5278">
        <v>2001</v>
      </c>
    </row>
    <row r="5279" spans="1:11" x14ac:dyDescent="0.25">
      <c r="A5279">
        <v>69.742563790978593</v>
      </c>
      <c r="B5279">
        <v>21.938026741583801</v>
      </c>
      <c r="C5279">
        <v>2000</v>
      </c>
    </row>
    <row r="5280" spans="1:11" x14ac:dyDescent="0.25">
      <c r="A5280" t="s">
        <v>87</v>
      </c>
    </row>
    <row r="5281" spans="1:11" x14ac:dyDescent="0.25">
      <c r="A5281">
        <v>504</v>
      </c>
      <c r="B5281">
        <v>0</v>
      </c>
      <c r="C5281">
        <v>2.33289927128925</v>
      </c>
      <c r="D5281">
        <v>5.9566875305310996</v>
      </c>
      <c r="E5281">
        <v>6</v>
      </c>
      <c r="F5281">
        <v>1.01722196789785</v>
      </c>
      <c r="G5281" t="s">
        <v>85</v>
      </c>
      <c r="H5281" t="s">
        <v>88</v>
      </c>
      <c r="I5281">
        <v>546</v>
      </c>
      <c r="J5281">
        <v>0</v>
      </c>
      <c r="K5281">
        <v>0</v>
      </c>
    </row>
    <row r="5282" spans="1:11" x14ac:dyDescent="0.25">
      <c r="A5282" t="s">
        <v>86</v>
      </c>
    </row>
    <row r="5283" spans="1:11" x14ac:dyDescent="0.25">
      <c r="A5283">
        <v>145.78798585375199</v>
      </c>
      <c r="B5283">
        <v>116.96680422543901</v>
      </c>
      <c r="C5283">
        <v>2000</v>
      </c>
    </row>
    <row r="5284" spans="1:11" x14ac:dyDescent="0.25">
      <c r="A5284">
        <v>144.13837695919801</v>
      </c>
      <c r="B5284">
        <v>115.317195330885</v>
      </c>
      <c r="C5284">
        <v>2000</v>
      </c>
    </row>
    <row r="5285" spans="1:11" x14ac:dyDescent="0.25">
      <c r="A5285">
        <v>144.13837695919801</v>
      </c>
      <c r="B5285">
        <v>114.44316328198801</v>
      </c>
      <c r="C5285">
        <v>2001</v>
      </c>
    </row>
    <row r="5286" spans="1:11" x14ac:dyDescent="0.25">
      <c r="A5286">
        <v>145.78798585375199</v>
      </c>
      <c r="B5286">
        <v>116.092772176541</v>
      </c>
      <c r="C5286">
        <v>2001</v>
      </c>
    </row>
    <row r="5287" spans="1:11" x14ac:dyDescent="0.25">
      <c r="A5287">
        <v>150</v>
      </c>
      <c r="B5287">
        <v>120.304786322789</v>
      </c>
      <c r="C5287">
        <v>2001</v>
      </c>
    </row>
    <row r="5288" spans="1:11" x14ac:dyDescent="0.25">
      <c r="A5288">
        <v>150</v>
      </c>
      <c r="B5288">
        <v>121.178818371687</v>
      </c>
      <c r="C5288">
        <v>2000</v>
      </c>
    </row>
    <row r="5289" spans="1:11" x14ac:dyDescent="0.25">
      <c r="A5289" t="s">
        <v>87</v>
      </c>
    </row>
    <row r="5290" spans="1:11" x14ac:dyDescent="0.25">
      <c r="A5290">
        <v>1137</v>
      </c>
      <c r="B5290">
        <v>0</v>
      </c>
      <c r="C5290">
        <v>4.0872776135131401</v>
      </c>
      <c r="D5290">
        <v>4.1968488829803299</v>
      </c>
      <c r="E5290">
        <v>6</v>
      </c>
      <c r="F5290">
        <v>1.01722196789785</v>
      </c>
      <c r="G5290" t="s">
        <v>85</v>
      </c>
      <c r="H5290" t="s">
        <v>85</v>
      </c>
      <c r="I5290">
        <v>742</v>
      </c>
      <c r="J5290">
        <v>831</v>
      </c>
      <c r="K5290">
        <v>9.5129269803373898E-2</v>
      </c>
    </row>
    <row r="5291" spans="1:11" x14ac:dyDescent="0.25">
      <c r="A5291" t="s">
        <v>86</v>
      </c>
    </row>
    <row r="5292" spans="1:11" x14ac:dyDescent="0.25">
      <c r="A5292">
        <v>13.5044005579211</v>
      </c>
      <c r="B5292">
        <v>69.1136841875351</v>
      </c>
      <c r="C5292">
        <v>2000</v>
      </c>
    </row>
    <row r="5293" spans="1:11" x14ac:dyDescent="0.25">
      <c r="A5293">
        <v>10.398640958321201</v>
      </c>
      <c r="B5293">
        <v>66.007924587935193</v>
      </c>
      <c r="C5293">
        <v>2000</v>
      </c>
    </row>
    <row r="5294" spans="1:11" x14ac:dyDescent="0.25">
      <c r="A5294">
        <v>11.272673007218801</v>
      </c>
      <c r="B5294">
        <v>66.007924587935193</v>
      </c>
      <c r="C5294">
        <v>2001</v>
      </c>
    </row>
    <row r="5295" spans="1:11" x14ac:dyDescent="0.25">
      <c r="A5295">
        <v>13.9471968418332</v>
      </c>
      <c r="B5295">
        <v>68.682448422549498</v>
      </c>
      <c r="C5295">
        <v>2001</v>
      </c>
    </row>
    <row r="5296" spans="1:11" x14ac:dyDescent="0.25">
      <c r="A5296">
        <v>16.693419004647701</v>
      </c>
      <c r="B5296">
        <v>71.428670585364003</v>
      </c>
      <c r="C5296">
        <v>2001</v>
      </c>
    </row>
    <row r="5297" spans="1:11" x14ac:dyDescent="0.25">
      <c r="A5297">
        <v>16.693419004647701</v>
      </c>
      <c r="B5297">
        <v>72.302702634261706</v>
      </c>
      <c r="C5297">
        <v>2000</v>
      </c>
    </row>
    <row r="5298" spans="1:11" x14ac:dyDescent="0.25">
      <c r="A5298" t="s">
        <v>87</v>
      </c>
    </row>
    <row r="5299" spans="1:11" x14ac:dyDescent="0.25">
      <c r="A5299">
        <v>1080</v>
      </c>
      <c r="B5299">
        <v>0</v>
      </c>
      <c r="C5299">
        <v>6.4539989734219496</v>
      </c>
      <c r="D5299">
        <v>1.8301275230715199</v>
      </c>
      <c r="E5299">
        <v>6</v>
      </c>
      <c r="F5299">
        <v>1.01722196789785</v>
      </c>
      <c r="G5299" t="s">
        <v>85</v>
      </c>
      <c r="H5299" t="s">
        <v>85</v>
      </c>
      <c r="I5299">
        <v>742</v>
      </c>
      <c r="J5299">
        <v>831</v>
      </c>
      <c r="K5299">
        <v>9.4413370804653396E-2</v>
      </c>
    </row>
    <row r="5300" spans="1:11" x14ac:dyDescent="0.25">
      <c r="A5300" t="s">
        <v>86</v>
      </c>
    </row>
    <row r="5301" spans="1:11" x14ac:dyDescent="0.25">
      <c r="A5301">
        <v>17.463982131257001</v>
      </c>
      <c r="B5301">
        <v>68.750857363038804</v>
      </c>
      <c r="C5301">
        <v>2000</v>
      </c>
    </row>
    <row r="5302" spans="1:11" x14ac:dyDescent="0.25">
      <c r="A5302">
        <v>12.5598451572373</v>
      </c>
      <c r="B5302">
        <v>63.846720389019097</v>
      </c>
      <c r="C5302">
        <v>2000</v>
      </c>
    </row>
    <row r="5303" spans="1:11" x14ac:dyDescent="0.25">
      <c r="A5303">
        <v>13.4338772061349</v>
      </c>
      <c r="B5303">
        <v>63.846720389019097</v>
      </c>
      <c r="C5303">
        <v>2001</v>
      </c>
    </row>
    <row r="5304" spans="1:11" x14ac:dyDescent="0.25">
      <c r="A5304">
        <v>17.657073111870499</v>
      </c>
      <c r="B5304">
        <v>68.069916294754705</v>
      </c>
      <c r="C5304">
        <v>2001</v>
      </c>
    </row>
    <row r="5305" spans="1:11" x14ac:dyDescent="0.25">
      <c r="A5305">
        <v>18.854623203563801</v>
      </c>
      <c r="B5305">
        <v>69.267466386448007</v>
      </c>
      <c r="C5305">
        <v>2001</v>
      </c>
    </row>
    <row r="5306" spans="1:11" x14ac:dyDescent="0.25">
      <c r="A5306">
        <v>18.854623203563801</v>
      </c>
      <c r="B5306">
        <v>70.141498435345596</v>
      </c>
      <c r="C5306">
        <v>2000</v>
      </c>
    </row>
    <row r="5307" spans="1:11" x14ac:dyDescent="0.25">
      <c r="A5307" t="s">
        <v>87</v>
      </c>
    </row>
    <row r="5308" spans="1:11" x14ac:dyDescent="0.25">
      <c r="A5308">
        <v>1106</v>
      </c>
      <c r="B5308">
        <v>1</v>
      </c>
      <c r="C5308">
        <v>7.3008163187657402</v>
      </c>
      <c r="D5308">
        <v>0.97586059054101804</v>
      </c>
      <c r="E5308">
        <v>6</v>
      </c>
      <c r="F5308">
        <v>1.01722196789785</v>
      </c>
      <c r="G5308" t="s">
        <v>85</v>
      </c>
      <c r="H5308" t="s">
        <v>88</v>
      </c>
      <c r="I5308">
        <v>119</v>
      </c>
      <c r="J5308">
        <v>0</v>
      </c>
      <c r="K5308">
        <v>9.4777393206033497E-2</v>
      </c>
    </row>
    <row r="5309" spans="1:11" x14ac:dyDescent="0.25">
      <c r="A5309" t="s">
        <v>86</v>
      </c>
    </row>
    <row r="5310" spans="1:11" x14ac:dyDescent="0.25">
      <c r="A5310">
        <v>126.070890579912</v>
      </c>
      <c r="B5310">
        <v>0.74156396260219803</v>
      </c>
      <c r="C5310">
        <v>2000</v>
      </c>
    </row>
    <row r="5311" spans="1:11" x14ac:dyDescent="0.25">
      <c r="A5311">
        <v>120.522944149805</v>
      </c>
      <c r="B5311">
        <v>6.2895103927097704</v>
      </c>
      <c r="C5311">
        <v>2000</v>
      </c>
    </row>
    <row r="5312" spans="1:11" x14ac:dyDescent="0.25">
      <c r="A5312">
        <v>120.522944149805</v>
      </c>
      <c r="B5312">
        <v>5.4154783438121497</v>
      </c>
      <c r="C5312">
        <v>2001</v>
      </c>
    </row>
    <row r="5313" spans="1:11" x14ac:dyDescent="0.25">
      <c r="A5313">
        <v>125.29991117409099</v>
      </c>
      <c r="B5313">
        <v>0.638511319526336</v>
      </c>
      <c r="C5313">
        <v>2001</v>
      </c>
    </row>
    <row r="5314" spans="1:11" x14ac:dyDescent="0.25">
      <c r="A5314">
        <v>125.938422493617</v>
      </c>
      <c r="B5314">
        <v>0</v>
      </c>
      <c r="C5314">
        <v>2001</v>
      </c>
    </row>
    <row r="5315" spans="1:11" x14ac:dyDescent="0.25">
      <c r="A5315">
        <v>126.812454542515</v>
      </c>
      <c r="B5315">
        <v>0</v>
      </c>
      <c r="C5315">
        <v>2000</v>
      </c>
    </row>
    <row r="5316" spans="1:11" x14ac:dyDescent="0.25">
      <c r="A5316" t="s">
        <v>87</v>
      </c>
    </row>
    <row r="5317" spans="1:11" x14ac:dyDescent="0.25">
      <c r="A5317">
        <v>734</v>
      </c>
      <c r="B5317">
        <v>0</v>
      </c>
      <c r="C5317">
        <v>8.1040911622026801</v>
      </c>
      <c r="D5317">
        <v>0.156429575900603</v>
      </c>
      <c r="E5317">
        <v>6</v>
      </c>
      <c r="F5317">
        <v>1.01722196789785</v>
      </c>
      <c r="G5317" t="s">
        <v>85</v>
      </c>
      <c r="H5317" t="s">
        <v>85</v>
      </c>
      <c r="I5317">
        <v>313</v>
      </c>
      <c r="J5317">
        <v>320</v>
      </c>
      <c r="K5317">
        <v>8.8948032773117705E-2</v>
      </c>
    </row>
    <row r="5318" spans="1:11" x14ac:dyDescent="0.25">
      <c r="A5318" t="s">
        <v>86</v>
      </c>
    </row>
    <row r="5319" spans="1:11" x14ac:dyDescent="0.25">
      <c r="A5319">
        <v>14.6032354471199</v>
      </c>
      <c r="B5319">
        <v>149.385271547076</v>
      </c>
      <c r="C5319">
        <v>2000</v>
      </c>
    </row>
    <row r="5320" spans="1:11" x14ac:dyDescent="0.25">
      <c r="A5320">
        <v>8.8727776309724895</v>
      </c>
      <c r="B5320">
        <v>143.654813730928</v>
      </c>
      <c r="C5320">
        <v>2000</v>
      </c>
    </row>
    <row r="5321" spans="1:11" x14ac:dyDescent="0.25">
      <c r="A5321">
        <v>7.9987455820748297</v>
      </c>
      <c r="B5321">
        <v>143.654813730928</v>
      </c>
      <c r="C5321">
        <v>2001</v>
      </c>
    </row>
    <row r="5322" spans="1:11" x14ac:dyDescent="0.25">
      <c r="A5322">
        <v>13.7292033982223</v>
      </c>
      <c r="B5322">
        <v>149.385271547076</v>
      </c>
      <c r="C5322">
        <v>2001</v>
      </c>
    </row>
    <row r="5323" spans="1:11" x14ac:dyDescent="0.25">
      <c r="A5323">
        <v>13.8398158121198</v>
      </c>
      <c r="B5323">
        <v>149.495883960973</v>
      </c>
      <c r="C5323">
        <v>2001</v>
      </c>
    </row>
    <row r="5324" spans="1:11" x14ac:dyDescent="0.25">
      <c r="A5324">
        <v>14.713847861017401</v>
      </c>
      <c r="B5324">
        <v>149.495883960973</v>
      </c>
      <c r="C5324">
        <v>2000</v>
      </c>
    </row>
    <row r="5325" spans="1:11" x14ac:dyDescent="0.25">
      <c r="A5325" t="s">
        <v>87</v>
      </c>
    </row>
    <row r="5326" spans="1:11" x14ac:dyDescent="0.25">
      <c r="A5326">
        <v>38</v>
      </c>
      <c r="B5326">
        <v>0</v>
      </c>
      <c r="C5326">
        <v>2.41863592168602</v>
      </c>
      <c r="D5326">
        <v>5.8094589080097103</v>
      </c>
      <c r="E5326">
        <v>6</v>
      </c>
      <c r="F5326">
        <v>1.01722196789785</v>
      </c>
      <c r="G5326" t="s">
        <v>88</v>
      </c>
      <c r="H5326" t="s">
        <v>85</v>
      </c>
      <c r="I5326">
        <v>0</v>
      </c>
      <c r="J5326">
        <v>74</v>
      </c>
      <c r="K5326">
        <v>0</v>
      </c>
    </row>
    <row r="5327" spans="1:11" x14ac:dyDescent="0.25">
      <c r="A5327" t="s">
        <v>86</v>
      </c>
    </row>
    <row r="5328" spans="1:11" x14ac:dyDescent="0.25">
      <c r="A5328">
        <v>1.7102338614455601</v>
      </c>
      <c r="B5328">
        <v>16.157619926211598</v>
      </c>
      <c r="C5328">
        <v>2000</v>
      </c>
    </row>
    <row r="5329" spans="1:11" x14ac:dyDescent="0.25">
      <c r="A5329">
        <v>0</v>
      </c>
      <c r="B5329">
        <v>14.4473860647661</v>
      </c>
      <c r="C5329">
        <v>2000</v>
      </c>
    </row>
    <row r="5330" spans="1:11" x14ac:dyDescent="0.25">
      <c r="A5330">
        <v>0</v>
      </c>
      <c r="B5330">
        <v>13.5733540158684</v>
      </c>
      <c r="C5330">
        <v>2001</v>
      </c>
    </row>
    <row r="5331" spans="1:11" x14ac:dyDescent="0.25">
      <c r="A5331">
        <v>1.7102338614455601</v>
      </c>
      <c r="B5331">
        <v>15.283587877314</v>
      </c>
      <c r="C5331">
        <v>2001</v>
      </c>
    </row>
    <row r="5332" spans="1:11" x14ac:dyDescent="0.25">
      <c r="A5332">
        <v>5.8181416503238204</v>
      </c>
      <c r="B5332">
        <v>19.391495666192199</v>
      </c>
      <c r="C5332">
        <v>2001</v>
      </c>
    </row>
    <row r="5333" spans="1:11" x14ac:dyDescent="0.25">
      <c r="A5333">
        <v>5.8181416503238204</v>
      </c>
      <c r="B5333">
        <v>20.265527715089899</v>
      </c>
      <c r="C5333">
        <v>2000</v>
      </c>
    </row>
    <row r="5334" spans="1:11" x14ac:dyDescent="0.25">
      <c r="A5334" t="s">
        <v>87</v>
      </c>
    </row>
    <row r="5335" spans="1:11" x14ac:dyDescent="0.25">
      <c r="A5335">
        <v>1134</v>
      </c>
      <c r="B5335">
        <v>0</v>
      </c>
      <c r="C5335">
        <v>7.0210909613276202</v>
      </c>
      <c r="D5335">
        <v>1.1958515323655401</v>
      </c>
      <c r="E5335">
        <v>6</v>
      </c>
      <c r="F5335">
        <v>1.01722196789785</v>
      </c>
      <c r="G5335" t="s">
        <v>85</v>
      </c>
      <c r="H5335" t="s">
        <v>85</v>
      </c>
      <c r="I5335">
        <v>555</v>
      </c>
      <c r="J5335">
        <v>749</v>
      </c>
      <c r="K5335">
        <v>9.5129269803373898E-2</v>
      </c>
    </row>
    <row r="5336" spans="1:11" x14ac:dyDescent="0.25">
      <c r="A5336" t="s">
        <v>86</v>
      </c>
    </row>
    <row r="5337" spans="1:11" x14ac:dyDescent="0.25">
      <c r="A5337">
        <v>138.826893970746</v>
      </c>
      <c r="B5337">
        <v>112.53733684427</v>
      </c>
      <c r="C5337">
        <v>2000</v>
      </c>
    </row>
    <row r="5338" spans="1:11" x14ac:dyDescent="0.25">
      <c r="A5338">
        <v>133.862232940664</v>
      </c>
      <c r="B5338">
        <v>107.57267581418699</v>
      </c>
      <c r="C5338">
        <v>2000</v>
      </c>
    </row>
    <row r="5339" spans="1:11" x14ac:dyDescent="0.25">
      <c r="A5339">
        <v>132.98820089176601</v>
      </c>
      <c r="B5339">
        <v>107.57267581418699</v>
      </c>
      <c r="C5339">
        <v>2001</v>
      </c>
    </row>
    <row r="5340" spans="1:11" x14ac:dyDescent="0.25">
      <c r="A5340">
        <v>137.95286192184901</v>
      </c>
      <c r="B5340">
        <v>112.53733684427</v>
      </c>
      <c r="C5340">
        <v>2001</v>
      </c>
    </row>
    <row r="5341" spans="1:11" x14ac:dyDescent="0.25">
      <c r="A5341">
        <v>138.79845664967701</v>
      </c>
      <c r="B5341">
        <v>113.382931572098</v>
      </c>
      <c r="C5341">
        <v>2001</v>
      </c>
    </row>
    <row r="5342" spans="1:11" x14ac:dyDescent="0.25">
      <c r="A5342">
        <v>139.672488698574</v>
      </c>
      <c r="B5342">
        <v>113.382931572098</v>
      </c>
      <c r="C5342">
        <v>2000</v>
      </c>
    </row>
    <row r="5343" spans="1:11" x14ac:dyDescent="0.25">
      <c r="A5343" t="s">
        <v>87</v>
      </c>
    </row>
    <row r="5344" spans="1:11" x14ac:dyDescent="0.25">
      <c r="A5344">
        <v>921</v>
      </c>
      <c r="B5344">
        <v>0</v>
      </c>
      <c r="C5344">
        <v>4.8833357804922697</v>
      </c>
      <c r="D5344">
        <v>3.33360671320085</v>
      </c>
      <c r="E5344">
        <v>8</v>
      </c>
      <c r="F5344">
        <v>1.01722196789785</v>
      </c>
      <c r="G5344" t="s">
        <v>85</v>
      </c>
      <c r="H5344" t="s">
        <v>85</v>
      </c>
      <c r="I5344">
        <v>555</v>
      </c>
      <c r="J5344">
        <v>749</v>
      </c>
      <c r="K5344">
        <v>9.1907793175489E-2</v>
      </c>
    </row>
    <row r="5345" spans="1:11" x14ac:dyDescent="0.25">
      <c r="A5345" t="s">
        <v>86</v>
      </c>
    </row>
    <row r="5346" spans="1:11" x14ac:dyDescent="0.25">
      <c r="A5346">
        <v>145.526272164555</v>
      </c>
      <c r="B5346">
        <v>102.77665868357199</v>
      </c>
      <c r="C5346">
        <v>2000</v>
      </c>
    </row>
    <row r="5347" spans="1:11" x14ac:dyDescent="0.25">
      <c r="A5347">
        <v>142.70801628992101</v>
      </c>
      <c r="B5347">
        <v>99.958402808938203</v>
      </c>
      <c r="C5347">
        <v>2000</v>
      </c>
    </row>
    <row r="5348" spans="1:11" x14ac:dyDescent="0.25">
      <c r="A5348">
        <v>142.09226111791699</v>
      </c>
      <c r="B5348">
        <v>99.342647636934501</v>
      </c>
      <c r="C5348">
        <v>2000</v>
      </c>
    </row>
    <row r="5349" spans="1:11" x14ac:dyDescent="0.25">
      <c r="A5349">
        <v>141.218229069019</v>
      </c>
      <c r="B5349">
        <v>99.342647636934501</v>
      </c>
      <c r="C5349">
        <v>2001</v>
      </c>
    </row>
    <row r="5350" spans="1:11" x14ac:dyDescent="0.25">
      <c r="A5350">
        <v>141.91717862314701</v>
      </c>
      <c r="B5350">
        <v>100.041597191062</v>
      </c>
      <c r="C5350">
        <v>2001</v>
      </c>
    </row>
    <row r="5351" spans="1:11" x14ac:dyDescent="0.25">
      <c r="A5351">
        <v>144.69029771277499</v>
      </c>
      <c r="B5351">
        <v>102.814716280691</v>
      </c>
      <c r="C5351">
        <v>2001</v>
      </c>
    </row>
    <row r="5352" spans="1:11" x14ac:dyDescent="0.25">
      <c r="A5352">
        <v>147.02848482693</v>
      </c>
      <c r="B5352">
        <v>105.152903394845</v>
      </c>
      <c r="C5352">
        <v>2001</v>
      </c>
    </row>
    <row r="5353" spans="1:11" x14ac:dyDescent="0.25">
      <c r="A5353">
        <v>147.90251687582699</v>
      </c>
      <c r="B5353">
        <v>105.152903394845</v>
      </c>
      <c r="C5353">
        <v>2000</v>
      </c>
    </row>
    <row r="5354" spans="1:11" x14ac:dyDescent="0.25">
      <c r="A5354" t="s">
        <v>87</v>
      </c>
    </row>
    <row r="5355" spans="1:11" x14ac:dyDescent="0.25">
      <c r="A5355">
        <v>1078</v>
      </c>
      <c r="B5355">
        <v>1</v>
      </c>
      <c r="C5355">
        <v>5.1720764311491898</v>
      </c>
      <c r="D5355">
        <v>3.0443879756945398</v>
      </c>
      <c r="E5355">
        <v>6</v>
      </c>
      <c r="F5355">
        <v>1.01722196789785</v>
      </c>
      <c r="G5355" t="s">
        <v>89</v>
      </c>
      <c r="H5355" t="s">
        <v>88</v>
      </c>
      <c r="I5355">
        <v>1001</v>
      </c>
      <c r="J5355">
        <v>0</v>
      </c>
      <c r="K5355">
        <v>9.4413370804653396E-2</v>
      </c>
    </row>
    <row r="5356" spans="1:11" x14ac:dyDescent="0.25">
      <c r="A5356" t="s">
        <v>86</v>
      </c>
    </row>
    <row r="5357" spans="1:11" x14ac:dyDescent="0.25">
      <c r="A5357">
        <v>63.265673208347103</v>
      </c>
      <c r="B5357">
        <v>2.2336695980480799</v>
      </c>
      <c r="C5357">
        <v>2000</v>
      </c>
    </row>
    <row r="5358" spans="1:11" x14ac:dyDescent="0.25">
      <c r="A5358">
        <v>59.470917094713698</v>
      </c>
      <c r="B5358">
        <v>6.0284257116815203</v>
      </c>
      <c r="C5358">
        <v>2000</v>
      </c>
    </row>
    <row r="5359" spans="1:11" x14ac:dyDescent="0.25">
      <c r="A5359">
        <v>59.033901070264903</v>
      </c>
      <c r="B5359">
        <v>5.5914096872326997</v>
      </c>
      <c r="C5359">
        <v>2001</v>
      </c>
    </row>
    <row r="5360" spans="1:11" x14ac:dyDescent="0.25">
      <c r="A5360">
        <v>62.5535655911929</v>
      </c>
      <c r="B5360">
        <v>2.07174516630471</v>
      </c>
      <c r="C5360">
        <v>2001</v>
      </c>
    </row>
    <row r="5361" spans="1:11" x14ac:dyDescent="0.25">
      <c r="A5361">
        <v>64.625310757497601</v>
      </c>
      <c r="B5361">
        <v>0</v>
      </c>
      <c r="C5361">
        <v>2001</v>
      </c>
    </row>
    <row r="5362" spans="1:11" x14ac:dyDescent="0.25">
      <c r="A5362">
        <v>65.499342806395205</v>
      </c>
      <c r="B5362">
        <v>0</v>
      </c>
      <c r="C5362">
        <v>2000</v>
      </c>
    </row>
    <row r="5363" spans="1:11" x14ac:dyDescent="0.25">
      <c r="A5363" t="s">
        <v>87</v>
      </c>
    </row>
    <row r="5364" spans="1:11" x14ac:dyDescent="0.25">
      <c r="A5364">
        <v>1092</v>
      </c>
      <c r="B5364">
        <v>1</v>
      </c>
      <c r="C5364">
        <v>1.72701599900414</v>
      </c>
      <c r="D5364">
        <v>6.4888307095544402</v>
      </c>
      <c r="E5364">
        <v>6</v>
      </c>
      <c r="F5364">
        <v>1.01722196789785</v>
      </c>
      <c r="G5364" t="s">
        <v>85</v>
      </c>
      <c r="H5364" t="s">
        <v>85</v>
      </c>
      <c r="I5364">
        <v>893</v>
      </c>
      <c r="J5364">
        <v>196</v>
      </c>
      <c r="K5364">
        <v>9.4413370804653396E-2</v>
      </c>
    </row>
    <row r="5365" spans="1:11" x14ac:dyDescent="0.25">
      <c r="A5365" t="s">
        <v>86</v>
      </c>
    </row>
    <row r="5366" spans="1:11" x14ac:dyDescent="0.25">
      <c r="A5366">
        <v>76.576918958023597</v>
      </c>
      <c r="B5366">
        <v>125.750825503716</v>
      </c>
      <c r="C5366">
        <v>2000</v>
      </c>
    </row>
    <row r="5367" spans="1:11" x14ac:dyDescent="0.25">
      <c r="A5367">
        <v>75.355734233910098</v>
      </c>
      <c r="B5367">
        <v>126.97201022783</v>
      </c>
      <c r="C5367">
        <v>2000</v>
      </c>
    </row>
    <row r="5368" spans="1:11" x14ac:dyDescent="0.25">
      <c r="A5368">
        <v>75.355734233910098</v>
      </c>
      <c r="B5368">
        <v>126.097978178932</v>
      </c>
      <c r="C5368">
        <v>2001</v>
      </c>
    </row>
    <row r="5369" spans="1:11" x14ac:dyDescent="0.25">
      <c r="A5369">
        <v>76.576918958023597</v>
      </c>
      <c r="B5369">
        <v>124.876793454818</v>
      </c>
      <c r="C5369">
        <v>2001</v>
      </c>
    </row>
    <row r="5370" spans="1:11" x14ac:dyDescent="0.25">
      <c r="A5370">
        <v>81.165215154720997</v>
      </c>
      <c r="B5370">
        <v>120.288497258121</v>
      </c>
      <c r="C5370">
        <v>2001</v>
      </c>
    </row>
    <row r="5371" spans="1:11" x14ac:dyDescent="0.25">
      <c r="A5371">
        <v>81.165215154720997</v>
      </c>
      <c r="B5371">
        <v>121.162529307019</v>
      </c>
      <c r="C5371">
        <v>2000</v>
      </c>
    </row>
    <row r="5372" spans="1:11" x14ac:dyDescent="0.25">
      <c r="A5372" t="s">
        <v>87</v>
      </c>
    </row>
    <row r="5373" spans="1:11" x14ac:dyDescent="0.25">
      <c r="A5373">
        <v>664</v>
      </c>
      <c r="B5373">
        <v>0</v>
      </c>
      <c r="C5373">
        <v>4.2130963613799803</v>
      </c>
      <c r="D5373">
        <v>3.9324704443267402</v>
      </c>
      <c r="E5373">
        <v>6</v>
      </c>
      <c r="F5373">
        <v>1.01722196789785</v>
      </c>
      <c r="G5373" t="s">
        <v>85</v>
      </c>
      <c r="H5373" t="s">
        <v>85</v>
      </c>
      <c r="I5373">
        <v>800</v>
      </c>
      <c r="J5373">
        <v>712</v>
      </c>
      <c r="K5373">
        <v>0</v>
      </c>
    </row>
    <row r="5374" spans="1:11" x14ac:dyDescent="0.25">
      <c r="A5374" t="s">
        <v>86</v>
      </c>
    </row>
    <row r="5375" spans="1:11" x14ac:dyDescent="0.25">
      <c r="A5375">
        <v>57.941558444435103</v>
      </c>
      <c r="B5375">
        <v>72.978145418742898</v>
      </c>
      <c r="C5375">
        <v>2000</v>
      </c>
    </row>
    <row r="5376" spans="1:11" x14ac:dyDescent="0.25">
      <c r="A5376">
        <v>55.188485349607298</v>
      </c>
      <c r="B5376">
        <v>70.2250723239151</v>
      </c>
      <c r="C5376">
        <v>2000</v>
      </c>
    </row>
    <row r="5377" spans="1:11" x14ac:dyDescent="0.25">
      <c r="A5377">
        <v>54.314453300709701</v>
      </c>
      <c r="B5377">
        <v>70.2250723239151</v>
      </c>
      <c r="C5377">
        <v>2001</v>
      </c>
    </row>
    <row r="5378" spans="1:11" x14ac:dyDescent="0.25">
      <c r="A5378">
        <v>57.519598219730199</v>
      </c>
      <c r="B5378">
        <v>73.430217242935697</v>
      </c>
      <c r="C5378">
        <v>2001</v>
      </c>
    </row>
    <row r="5379" spans="1:11" x14ac:dyDescent="0.25">
      <c r="A5379">
        <v>60.511254850081798</v>
      </c>
      <c r="B5379">
        <v>76.421873873287197</v>
      </c>
      <c r="C5379">
        <v>2001</v>
      </c>
    </row>
    <row r="5380" spans="1:11" x14ac:dyDescent="0.25">
      <c r="A5380">
        <v>60.511254850081798</v>
      </c>
      <c r="B5380">
        <v>75.547841824389593</v>
      </c>
      <c r="C5380">
        <v>2000</v>
      </c>
    </row>
    <row r="5381" spans="1:11" x14ac:dyDescent="0.25">
      <c r="A5381" t="s">
        <v>87</v>
      </c>
    </row>
    <row r="5382" spans="1:11" x14ac:dyDescent="0.25">
      <c r="A5382">
        <v>896</v>
      </c>
      <c r="B5382">
        <v>0</v>
      </c>
      <c r="C5382">
        <v>4.9316562368338603</v>
      </c>
      <c r="D5382">
        <v>3.2139105688728602</v>
      </c>
      <c r="E5382">
        <v>6</v>
      </c>
      <c r="F5382">
        <v>1.01722196789785</v>
      </c>
      <c r="G5382" t="s">
        <v>85</v>
      </c>
      <c r="H5382" t="s">
        <v>85</v>
      </c>
      <c r="I5382">
        <v>800</v>
      </c>
      <c r="J5382">
        <v>712</v>
      </c>
      <c r="K5382">
        <v>9.142164214173E-2</v>
      </c>
    </row>
    <row r="5383" spans="1:11" x14ac:dyDescent="0.25">
      <c r="A5383" t="s">
        <v>86</v>
      </c>
    </row>
    <row r="5384" spans="1:11" x14ac:dyDescent="0.25">
      <c r="A5384">
        <v>58.927521901321199</v>
      </c>
      <c r="B5384">
        <v>72.931276485432704</v>
      </c>
      <c r="C5384">
        <v>2000</v>
      </c>
    </row>
    <row r="5385" spans="1:11" x14ac:dyDescent="0.25">
      <c r="A5385">
        <v>55.7049015447055</v>
      </c>
      <c r="B5385">
        <v>69.708656128816997</v>
      </c>
      <c r="C5385">
        <v>2000</v>
      </c>
    </row>
    <row r="5386" spans="1:11" x14ac:dyDescent="0.25">
      <c r="A5386">
        <v>55.7049015447055</v>
      </c>
      <c r="B5386">
        <v>68.834624079919294</v>
      </c>
      <c r="C5386">
        <v>2001</v>
      </c>
    </row>
    <row r="5387" spans="1:11" x14ac:dyDescent="0.25">
      <c r="A5387">
        <v>59.456696323182001</v>
      </c>
      <c r="B5387">
        <v>72.586418858395902</v>
      </c>
      <c r="C5387">
        <v>2001</v>
      </c>
    </row>
    <row r="5388" spans="1:11" x14ac:dyDescent="0.25">
      <c r="A5388">
        <v>61.901703094077497</v>
      </c>
      <c r="B5388">
        <v>75.031425629291405</v>
      </c>
      <c r="C5388">
        <v>2001</v>
      </c>
    </row>
    <row r="5389" spans="1:11" x14ac:dyDescent="0.25">
      <c r="A5389">
        <v>61.0276710451799</v>
      </c>
      <c r="B5389">
        <v>75.031425629291405</v>
      </c>
      <c r="C5389">
        <v>2000</v>
      </c>
    </row>
    <row r="5390" spans="1:11" x14ac:dyDescent="0.25">
      <c r="A5390" t="s">
        <v>87</v>
      </c>
    </row>
    <row r="5391" spans="1:11" x14ac:dyDescent="0.25">
      <c r="A5391">
        <v>1105</v>
      </c>
      <c r="B5391">
        <v>0</v>
      </c>
      <c r="C5391">
        <v>6.1592679384998199</v>
      </c>
      <c r="D5391">
        <v>1.8676341352877599</v>
      </c>
      <c r="E5391">
        <v>6</v>
      </c>
      <c r="F5391">
        <v>1.01722196789785</v>
      </c>
      <c r="G5391" t="s">
        <v>85</v>
      </c>
      <c r="H5391" t="s">
        <v>88</v>
      </c>
      <c r="I5391">
        <v>725</v>
      </c>
      <c r="J5391">
        <v>0</v>
      </c>
      <c r="K5391">
        <v>9.4777393206033497E-2</v>
      </c>
    </row>
    <row r="5392" spans="1:11" x14ac:dyDescent="0.25">
      <c r="A5392" t="s">
        <v>86</v>
      </c>
    </row>
    <row r="5393" spans="1:11" x14ac:dyDescent="0.25">
      <c r="A5393">
        <v>148.67938323816301</v>
      </c>
      <c r="B5393">
        <v>9.9643658036110807</v>
      </c>
      <c r="C5393">
        <v>2000</v>
      </c>
    </row>
    <row r="5394" spans="1:11" x14ac:dyDescent="0.25">
      <c r="A5394">
        <v>144.32412311170401</v>
      </c>
      <c r="B5394">
        <v>5.6091056771529599</v>
      </c>
      <c r="C5394">
        <v>2000</v>
      </c>
    </row>
    <row r="5395" spans="1:11" x14ac:dyDescent="0.25">
      <c r="A5395">
        <v>144.32412311170401</v>
      </c>
      <c r="B5395">
        <v>4.7350736282553001</v>
      </c>
      <c r="C5395">
        <v>2001</v>
      </c>
    </row>
    <row r="5396" spans="1:11" x14ac:dyDescent="0.25">
      <c r="A5396">
        <v>148.67938323816301</v>
      </c>
      <c r="B5396">
        <v>9.0903337547134306</v>
      </c>
      <c r="C5396">
        <v>2001</v>
      </c>
    </row>
    <row r="5397" spans="1:11" x14ac:dyDescent="0.25">
      <c r="A5397">
        <v>150</v>
      </c>
      <c r="B5397">
        <v>10.4109505165509</v>
      </c>
      <c r="C5397">
        <v>2001</v>
      </c>
    </row>
    <row r="5398" spans="1:11" x14ac:dyDescent="0.25">
      <c r="A5398">
        <v>150</v>
      </c>
      <c r="B5398">
        <v>11.2849825654485</v>
      </c>
      <c r="C5398">
        <v>2000</v>
      </c>
    </row>
    <row r="5399" spans="1:11" x14ac:dyDescent="0.25">
      <c r="A5399" t="s">
        <v>87</v>
      </c>
    </row>
    <row r="5400" spans="1:11" x14ac:dyDescent="0.25">
      <c r="A5400">
        <v>766</v>
      </c>
      <c r="B5400">
        <v>1</v>
      </c>
      <c r="C5400">
        <v>6.1228546089490701</v>
      </c>
      <c r="D5400">
        <v>1.8879855739676299</v>
      </c>
      <c r="E5400">
        <v>6</v>
      </c>
      <c r="F5400">
        <v>1.01722196789785</v>
      </c>
      <c r="G5400" t="s">
        <v>85</v>
      </c>
      <c r="H5400" t="s">
        <v>89</v>
      </c>
      <c r="I5400">
        <v>432</v>
      </c>
      <c r="J5400">
        <v>477</v>
      </c>
      <c r="K5400">
        <v>8.8543832116719706E-2</v>
      </c>
    </row>
    <row r="5401" spans="1:11" x14ac:dyDescent="0.25">
      <c r="A5401" t="s">
        <v>86</v>
      </c>
    </row>
    <row r="5402" spans="1:11" x14ac:dyDescent="0.25">
      <c r="A5402">
        <v>86.342596708291097</v>
      </c>
      <c r="B5402">
        <v>28.195529729893199</v>
      </c>
      <c r="C5402">
        <v>2000</v>
      </c>
    </row>
    <row r="5403" spans="1:11" x14ac:dyDescent="0.25">
      <c r="A5403">
        <v>82.180094990031805</v>
      </c>
      <c r="B5403">
        <v>32.358031448152502</v>
      </c>
      <c r="C5403">
        <v>2000</v>
      </c>
    </row>
    <row r="5404" spans="1:11" x14ac:dyDescent="0.25">
      <c r="A5404">
        <v>82.180094990031805</v>
      </c>
      <c r="B5404">
        <v>33.232063497050099</v>
      </c>
      <c r="C5404">
        <v>2001</v>
      </c>
    </row>
    <row r="5405" spans="1:11" x14ac:dyDescent="0.25">
      <c r="A5405">
        <v>86.676617300187004</v>
      </c>
      <c r="B5405">
        <v>28.735541186894999</v>
      </c>
      <c r="C5405">
        <v>2001</v>
      </c>
    </row>
    <row r="5406" spans="1:11" x14ac:dyDescent="0.25">
      <c r="A5406">
        <v>88.063122418598297</v>
      </c>
      <c r="B5406">
        <v>27.349036068483599</v>
      </c>
      <c r="C5406">
        <v>2001</v>
      </c>
    </row>
    <row r="5407" spans="1:11" x14ac:dyDescent="0.25">
      <c r="A5407">
        <v>87.626106394149502</v>
      </c>
      <c r="B5407">
        <v>26.912020044034801</v>
      </c>
      <c r="C5407">
        <v>2000</v>
      </c>
    </row>
    <row r="5408" spans="1:11" x14ac:dyDescent="0.25">
      <c r="A5408" t="s">
        <v>87</v>
      </c>
    </row>
    <row r="5409" spans="1:11" x14ac:dyDescent="0.25">
      <c r="A5409">
        <v>519</v>
      </c>
      <c r="B5409">
        <v>0</v>
      </c>
      <c r="C5409">
        <v>1.8954186713916701</v>
      </c>
      <c r="D5409">
        <v>6.1127050222056596</v>
      </c>
      <c r="E5409">
        <v>6</v>
      </c>
      <c r="F5409">
        <v>1.01722196789785</v>
      </c>
      <c r="G5409" t="s">
        <v>85</v>
      </c>
      <c r="H5409" t="s">
        <v>88</v>
      </c>
      <c r="I5409">
        <v>551</v>
      </c>
      <c r="J5409">
        <v>0</v>
      </c>
      <c r="K5409">
        <v>0</v>
      </c>
    </row>
    <row r="5410" spans="1:11" x14ac:dyDescent="0.25">
      <c r="A5410" t="s">
        <v>86</v>
      </c>
    </row>
    <row r="5411" spans="1:11" x14ac:dyDescent="0.25">
      <c r="A5411">
        <v>143.57360949627699</v>
      </c>
      <c r="B5411">
        <v>145.67766482740501</v>
      </c>
      <c r="C5411">
        <v>2000</v>
      </c>
    </row>
    <row r="5412" spans="1:11" x14ac:dyDescent="0.25">
      <c r="A5412">
        <v>142.233346100549</v>
      </c>
      <c r="B5412">
        <v>144.33740143167699</v>
      </c>
      <c r="C5412">
        <v>2000</v>
      </c>
    </row>
    <row r="5413" spans="1:11" x14ac:dyDescent="0.25">
      <c r="A5413">
        <v>143.10737814944599</v>
      </c>
      <c r="B5413">
        <v>144.33740143167699</v>
      </c>
      <c r="C5413">
        <v>2001</v>
      </c>
    </row>
    <row r="5414" spans="1:11" x14ac:dyDescent="0.25">
      <c r="A5414">
        <v>144.447641545175</v>
      </c>
      <c r="B5414">
        <v>145.67766482740501</v>
      </c>
      <c r="C5414">
        <v>2001</v>
      </c>
    </row>
    <row r="5415" spans="1:11" x14ac:dyDescent="0.25">
      <c r="A5415">
        <v>148.76997671776999</v>
      </c>
      <c r="B5415">
        <v>150</v>
      </c>
      <c r="C5415">
        <v>2001</v>
      </c>
    </row>
    <row r="5416" spans="1:11" x14ac:dyDescent="0.25">
      <c r="A5416">
        <v>147.895944668872</v>
      </c>
      <c r="B5416">
        <v>150</v>
      </c>
      <c r="C5416">
        <v>2000</v>
      </c>
    </row>
    <row r="5417" spans="1:11" x14ac:dyDescent="0.25">
      <c r="A5417" t="s">
        <v>87</v>
      </c>
    </row>
    <row r="5418" spans="1:11" x14ac:dyDescent="0.25">
      <c r="A5418">
        <v>720</v>
      </c>
      <c r="B5418">
        <v>1</v>
      </c>
      <c r="C5418">
        <v>0.23992442554588</v>
      </c>
      <c r="D5418">
        <v>7.7385669235372996</v>
      </c>
      <c r="E5418">
        <v>6</v>
      </c>
      <c r="F5418">
        <v>1.01722196789785</v>
      </c>
      <c r="G5418" t="s">
        <v>89</v>
      </c>
      <c r="H5418" t="s">
        <v>89</v>
      </c>
      <c r="I5418">
        <v>703</v>
      </c>
      <c r="J5418">
        <v>716</v>
      </c>
      <c r="K5418">
        <v>0</v>
      </c>
    </row>
    <row r="5419" spans="1:11" x14ac:dyDescent="0.25">
      <c r="A5419" t="s">
        <v>86</v>
      </c>
    </row>
    <row r="5420" spans="1:11" x14ac:dyDescent="0.25">
      <c r="A5420">
        <v>65.402352405903798</v>
      </c>
      <c r="B5420">
        <v>82.527443906076797</v>
      </c>
      <c r="C5420">
        <v>2000</v>
      </c>
    </row>
    <row r="5421" spans="1:11" x14ac:dyDescent="0.25">
      <c r="A5421">
        <v>65.232700217628107</v>
      </c>
      <c r="B5421">
        <v>82.697096094352503</v>
      </c>
      <c r="C5421">
        <v>2000</v>
      </c>
    </row>
    <row r="5422" spans="1:11" x14ac:dyDescent="0.25">
      <c r="A5422">
        <v>65.669716242076902</v>
      </c>
      <c r="B5422">
        <v>83.134112118801298</v>
      </c>
      <c r="C5422">
        <v>2001</v>
      </c>
    </row>
    <row r="5423" spans="1:11" x14ac:dyDescent="0.25">
      <c r="A5423">
        <v>65.839368430352707</v>
      </c>
      <c r="B5423">
        <v>82.964459930525607</v>
      </c>
      <c r="C5423">
        <v>2001</v>
      </c>
    </row>
    <row r="5424" spans="1:11" x14ac:dyDescent="0.25">
      <c r="A5424">
        <v>71.311361578651798</v>
      </c>
      <c r="B5424">
        <v>77.492466782226401</v>
      </c>
      <c r="C5424">
        <v>2001</v>
      </c>
    </row>
    <row r="5425" spans="1:11" x14ac:dyDescent="0.25">
      <c r="A5425">
        <v>70.874345554203003</v>
      </c>
      <c r="B5425">
        <v>77.055450757777606</v>
      </c>
      <c r="C5425">
        <v>2000</v>
      </c>
    </row>
    <row r="5426" spans="1:11" x14ac:dyDescent="0.25">
      <c r="A5426" t="s">
        <v>87</v>
      </c>
    </row>
    <row r="5427" spans="1:11" x14ac:dyDescent="0.25">
      <c r="A5427">
        <v>987</v>
      </c>
      <c r="B5427">
        <v>0</v>
      </c>
      <c r="C5427">
        <v>5.6695068730326703</v>
      </c>
      <c r="D5427">
        <v>2.2834927104174301</v>
      </c>
      <c r="E5427">
        <v>6</v>
      </c>
      <c r="F5427">
        <v>1.01722196789785</v>
      </c>
      <c r="G5427" t="s">
        <v>85</v>
      </c>
      <c r="H5427" t="s">
        <v>85</v>
      </c>
      <c r="I5427">
        <v>72</v>
      </c>
      <c r="J5427">
        <v>70</v>
      </c>
      <c r="K5427">
        <v>9.3028045338835699E-2</v>
      </c>
    </row>
    <row r="5428" spans="1:11" x14ac:dyDescent="0.25">
      <c r="A5428" t="s">
        <v>86</v>
      </c>
    </row>
    <row r="5429" spans="1:11" x14ac:dyDescent="0.25">
      <c r="A5429">
        <v>35.280980768278702</v>
      </c>
      <c r="B5429">
        <v>8.1521828156762695</v>
      </c>
      <c r="C5429">
        <v>2000</v>
      </c>
    </row>
    <row r="5430" spans="1:11" x14ac:dyDescent="0.25">
      <c r="A5430">
        <v>31.272034012373499</v>
      </c>
      <c r="B5430">
        <v>4.1432360597711302</v>
      </c>
      <c r="C5430">
        <v>2000</v>
      </c>
    </row>
    <row r="5431" spans="1:11" x14ac:dyDescent="0.25">
      <c r="A5431">
        <v>31.272034012373499</v>
      </c>
      <c r="B5431">
        <v>5.0172681086687696</v>
      </c>
      <c r="C5431">
        <v>2001</v>
      </c>
    </row>
    <row r="5432" spans="1:11" x14ac:dyDescent="0.25">
      <c r="A5432">
        <v>35.280980768278702</v>
      </c>
      <c r="B5432">
        <v>9.0262148645739106</v>
      </c>
      <c r="C5432">
        <v>2001</v>
      </c>
    </row>
    <row r="5433" spans="1:11" x14ac:dyDescent="0.25">
      <c r="A5433">
        <v>36.895653948604902</v>
      </c>
      <c r="B5433">
        <v>10.6408880449001</v>
      </c>
      <c r="C5433">
        <v>2001</v>
      </c>
    </row>
    <row r="5434" spans="1:11" x14ac:dyDescent="0.25">
      <c r="A5434">
        <v>36.895653948604902</v>
      </c>
      <c r="B5434">
        <v>9.7668559960024801</v>
      </c>
      <c r="C5434">
        <v>2000</v>
      </c>
    </row>
    <row r="5435" spans="1:11" x14ac:dyDescent="0.25">
      <c r="A5435" t="s">
        <v>87</v>
      </c>
    </row>
    <row r="5436" spans="1:11" x14ac:dyDescent="0.25">
      <c r="A5436">
        <v>1063</v>
      </c>
      <c r="B5436">
        <v>0</v>
      </c>
      <c r="C5436">
        <v>4.0966856462129897</v>
      </c>
      <c r="D5436">
        <v>3.8563139372371</v>
      </c>
      <c r="E5436">
        <v>6</v>
      </c>
      <c r="F5436">
        <v>1.01722196789785</v>
      </c>
      <c r="G5436" t="s">
        <v>85</v>
      </c>
      <c r="H5436" t="s">
        <v>85</v>
      </c>
      <c r="I5436">
        <v>72</v>
      </c>
      <c r="J5436">
        <v>70</v>
      </c>
      <c r="K5436">
        <v>9.4226499478247905E-2</v>
      </c>
    </row>
    <row r="5437" spans="1:11" x14ac:dyDescent="0.25">
      <c r="A5437" t="s">
        <v>86</v>
      </c>
    </row>
    <row r="5438" spans="1:11" x14ac:dyDescent="0.25">
      <c r="A5438">
        <v>32.422574291211397</v>
      </c>
      <c r="B5438">
        <v>8.7862841825868401</v>
      </c>
      <c r="C5438">
        <v>2000</v>
      </c>
    </row>
    <row r="5439" spans="1:11" x14ac:dyDescent="0.25">
      <c r="A5439">
        <v>29.5257800903846</v>
      </c>
      <c r="B5439">
        <v>5.8894899817600397</v>
      </c>
      <c r="C5439">
        <v>2000</v>
      </c>
    </row>
    <row r="5440" spans="1:11" x14ac:dyDescent="0.25">
      <c r="A5440">
        <v>30.3998121392823</v>
      </c>
      <c r="B5440">
        <v>5.8894899817600397</v>
      </c>
      <c r="C5440">
        <v>2001</v>
      </c>
    </row>
    <row r="5441" spans="1:11" x14ac:dyDescent="0.25">
      <c r="A5441">
        <v>33.296606340109101</v>
      </c>
      <c r="B5441">
        <v>8.7862841825868401</v>
      </c>
      <c r="C5441">
        <v>2001</v>
      </c>
    </row>
    <row r="5442" spans="1:11" x14ac:dyDescent="0.25">
      <c r="A5442">
        <v>36.023432075513597</v>
      </c>
      <c r="B5442">
        <v>11.5131099179914</v>
      </c>
      <c r="C5442">
        <v>2001</v>
      </c>
    </row>
    <row r="5443" spans="1:11" x14ac:dyDescent="0.25">
      <c r="A5443">
        <v>35.149400026616</v>
      </c>
      <c r="B5443">
        <v>11.5131099179914</v>
      </c>
      <c r="C5443">
        <v>2000</v>
      </c>
    </row>
    <row r="5444" spans="1:11" x14ac:dyDescent="0.25">
      <c r="A5444" t="s">
        <v>87</v>
      </c>
    </row>
    <row r="5445" spans="1:11" x14ac:dyDescent="0.25">
      <c r="A5445">
        <v>35</v>
      </c>
      <c r="B5445">
        <v>0</v>
      </c>
      <c r="C5445">
        <v>4.9476992684952004</v>
      </c>
      <c r="D5445">
        <v>2.9700992654665299</v>
      </c>
      <c r="E5445">
        <v>6</v>
      </c>
      <c r="F5445">
        <v>1.01722196789785</v>
      </c>
      <c r="G5445" t="s">
        <v>89</v>
      </c>
      <c r="H5445" t="s">
        <v>89</v>
      </c>
      <c r="I5445">
        <v>769</v>
      </c>
      <c r="J5445">
        <v>20</v>
      </c>
      <c r="K5445">
        <v>0</v>
      </c>
    </row>
    <row r="5446" spans="1:11" x14ac:dyDescent="0.25">
      <c r="A5446" t="s">
        <v>86</v>
      </c>
    </row>
    <row r="5447" spans="1:11" x14ac:dyDescent="0.25">
      <c r="A5447">
        <v>41.525008254002103</v>
      </c>
      <c r="B5447">
        <v>38.914224888153697</v>
      </c>
      <c r="C5447">
        <v>2000</v>
      </c>
    </row>
    <row r="5448" spans="1:11" x14ac:dyDescent="0.25">
      <c r="A5448">
        <v>38.026456549977503</v>
      </c>
      <c r="B5448">
        <v>35.415673184128998</v>
      </c>
      <c r="C5448">
        <v>2000</v>
      </c>
    </row>
    <row r="5449" spans="1:11" x14ac:dyDescent="0.25">
      <c r="A5449">
        <v>38.463472574426298</v>
      </c>
      <c r="B5449">
        <v>34.978657159680203</v>
      </c>
      <c r="C5449">
        <v>2001</v>
      </c>
    </row>
    <row r="5450" spans="1:11" x14ac:dyDescent="0.25">
      <c r="A5450">
        <v>41.962024278450997</v>
      </c>
      <c r="B5450">
        <v>38.477208863704803</v>
      </c>
      <c r="C5450">
        <v>2001</v>
      </c>
    </row>
    <row r="5451" spans="1:11" x14ac:dyDescent="0.25">
      <c r="A5451">
        <v>44.0622016098595</v>
      </c>
      <c r="B5451">
        <v>40.577386195113398</v>
      </c>
      <c r="C5451">
        <v>2001</v>
      </c>
    </row>
    <row r="5452" spans="1:11" x14ac:dyDescent="0.25">
      <c r="A5452">
        <v>43.625185585410698</v>
      </c>
      <c r="B5452">
        <v>41.0144022195622</v>
      </c>
      <c r="C5452">
        <v>2000</v>
      </c>
    </row>
    <row r="5453" spans="1:11" x14ac:dyDescent="0.25">
      <c r="A5453" t="s">
        <v>87</v>
      </c>
    </row>
    <row r="5454" spans="1:11" x14ac:dyDescent="0.25">
      <c r="A5454">
        <v>469</v>
      </c>
      <c r="B5454">
        <v>1</v>
      </c>
      <c r="C5454">
        <v>0.99423730392211196</v>
      </c>
      <c r="D5454">
        <v>6.9132241367567699</v>
      </c>
      <c r="E5454">
        <v>6</v>
      </c>
      <c r="F5454">
        <v>1.01722196789785</v>
      </c>
      <c r="G5454" t="s">
        <v>89</v>
      </c>
      <c r="H5454" t="s">
        <v>85</v>
      </c>
      <c r="I5454">
        <v>467</v>
      </c>
      <c r="J5454">
        <v>431</v>
      </c>
      <c r="K5454">
        <v>0</v>
      </c>
    </row>
    <row r="5455" spans="1:11" x14ac:dyDescent="0.25">
      <c r="A5455" t="s">
        <v>86</v>
      </c>
    </row>
    <row r="5456" spans="1:11" x14ac:dyDescent="0.25">
      <c r="A5456">
        <v>72.665951630997796</v>
      </c>
      <c r="B5456">
        <v>20.7596667965493</v>
      </c>
      <c r="C5456">
        <v>2000</v>
      </c>
    </row>
    <row r="5457" spans="1:11" x14ac:dyDescent="0.25">
      <c r="A5457">
        <v>71.935445789757594</v>
      </c>
      <c r="B5457">
        <v>21.490172637789399</v>
      </c>
      <c r="C5457">
        <v>2000</v>
      </c>
    </row>
    <row r="5458" spans="1:11" x14ac:dyDescent="0.25">
      <c r="A5458">
        <v>72.372461814206403</v>
      </c>
      <c r="B5458">
        <v>21.927188662238301</v>
      </c>
      <c r="C5458">
        <v>2001</v>
      </c>
    </row>
    <row r="5459" spans="1:11" x14ac:dyDescent="0.25">
      <c r="A5459">
        <v>73.048019852390198</v>
      </c>
      <c r="B5459">
        <v>21.251630624054499</v>
      </c>
      <c r="C5459">
        <v>2001</v>
      </c>
    </row>
    <row r="5460" spans="1:11" x14ac:dyDescent="0.25">
      <c r="A5460">
        <v>77.745373408657201</v>
      </c>
      <c r="B5460">
        <v>16.554277067787499</v>
      </c>
      <c r="C5460">
        <v>2001</v>
      </c>
    </row>
    <row r="5461" spans="1:11" x14ac:dyDescent="0.25">
      <c r="A5461">
        <v>77.745373408657201</v>
      </c>
      <c r="B5461">
        <v>15.680245018889901</v>
      </c>
      <c r="C5461">
        <v>2000</v>
      </c>
    </row>
    <row r="5462" spans="1:11" x14ac:dyDescent="0.25">
      <c r="A5462" t="s">
        <v>87</v>
      </c>
    </row>
    <row r="5463" spans="1:11" x14ac:dyDescent="0.25">
      <c r="A5463">
        <v>973</v>
      </c>
      <c r="B5463">
        <v>0</v>
      </c>
      <c r="C5463">
        <v>3.6850735800997501</v>
      </c>
      <c r="D5463">
        <v>4.1914460191982199</v>
      </c>
      <c r="E5463">
        <v>6</v>
      </c>
      <c r="F5463">
        <v>1.01722196789785</v>
      </c>
      <c r="G5463" t="s">
        <v>85</v>
      </c>
      <c r="H5463" t="s">
        <v>85</v>
      </c>
      <c r="I5463">
        <v>731</v>
      </c>
      <c r="J5463">
        <v>233</v>
      </c>
      <c r="K5463">
        <v>9.2813824447879903E-2</v>
      </c>
    </row>
    <row r="5464" spans="1:11" x14ac:dyDescent="0.25">
      <c r="A5464" t="s">
        <v>86</v>
      </c>
    </row>
    <row r="5465" spans="1:11" x14ac:dyDescent="0.25">
      <c r="A5465">
        <v>74.7518531212055</v>
      </c>
      <c r="B5465">
        <v>120.15975585527499</v>
      </c>
      <c r="C5465">
        <v>2000</v>
      </c>
    </row>
    <row r="5466" spans="1:11" x14ac:dyDescent="0.25">
      <c r="A5466">
        <v>71.941652221587006</v>
      </c>
      <c r="B5466">
        <v>117.349554955656</v>
      </c>
      <c r="C5466">
        <v>2000</v>
      </c>
    </row>
    <row r="5467" spans="1:11" x14ac:dyDescent="0.25">
      <c r="A5467">
        <v>72.815684270484596</v>
      </c>
      <c r="B5467">
        <v>117.349554955656</v>
      </c>
      <c r="C5467">
        <v>2001</v>
      </c>
    </row>
    <row r="5468" spans="1:11" x14ac:dyDescent="0.25">
      <c r="A5468">
        <v>75.216964406185994</v>
      </c>
      <c r="B5468">
        <v>119.750835091358</v>
      </c>
      <c r="C5468">
        <v>2001</v>
      </c>
    </row>
    <row r="5469" spans="1:11" x14ac:dyDescent="0.25">
      <c r="A5469">
        <v>77.948208666848103</v>
      </c>
      <c r="B5469">
        <v>122.48207935201999</v>
      </c>
      <c r="C5469">
        <v>2001</v>
      </c>
    </row>
    <row r="5470" spans="1:11" x14ac:dyDescent="0.25">
      <c r="A5470">
        <v>77.948208666848103</v>
      </c>
      <c r="B5470">
        <v>123.356111400918</v>
      </c>
      <c r="C5470">
        <v>2000</v>
      </c>
    </row>
    <row r="5471" spans="1:11" x14ac:dyDescent="0.25">
      <c r="A5471" t="s">
        <v>87</v>
      </c>
    </row>
    <row r="5472" spans="1:11" x14ac:dyDescent="0.25">
      <c r="A5472">
        <v>1051</v>
      </c>
      <c r="B5472">
        <v>0</v>
      </c>
      <c r="C5472">
        <v>3.1633609887616201</v>
      </c>
      <c r="D5472">
        <v>4.7059682758589902</v>
      </c>
      <c r="E5472">
        <v>6</v>
      </c>
      <c r="F5472">
        <v>1.01722196789785</v>
      </c>
      <c r="G5472" t="s">
        <v>85</v>
      </c>
      <c r="H5472" t="s">
        <v>85</v>
      </c>
      <c r="I5472">
        <v>389</v>
      </c>
      <c r="J5472">
        <v>831</v>
      </c>
      <c r="K5472">
        <v>9.4036209728977305E-2</v>
      </c>
    </row>
    <row r="5473" spans="1:11" x14ac:dyDescent="0.25">
      <c r="A5473" t="s">
        <v>86</v>
      </c>
    </row>
    <row r="5474" spans="1:11" x14ac:dyDescent="0.25">
      <c r="A5474">
        <v>7.0983135788914202</v>
      </c>
      <c r="B5474">
        <v>74.719880586809694</v>
      </c>
      <c r="C5474">
        <v>2000</v>
      </c>
    </row>
    <row r="5475" spans="1:11" x14ac:dyDescent="0.25">
      <c r="A5475">
        <v>4.6858052046437599</v>
      </c>
      <c r="B5475">
        <v>72.3073722125621</v>
      </c>
      <c r="C5475">
        <v>2000</v>
      </c>
    </row>
    <row r="5476" spans="1:11" x14ac:dyDescent="0.25">
      <c r="A5476">
        <v>4.6858052046437599</v>
      </c>
      <c r="B5476">
        <v>73.181404261459704</v>
      </c>
      <c r="C5476">
        <v>2001</v>
      </c>
    </row>
    <row r="5477" spans="1:11" x14ac:dyDescent="0.25">
      <c r="A5477">
        <v>6.7469648433847498</v>
      </c>
      <c r="B5477">
        <v>75.242563900200693</v>
      </c>
      <c r="C5477">
        <v>2001</v>
      </c>
    </row>
    <row r="5478" spans="1:11" x14ac:dyDescent="0.25">
      <c r="A5478">
        <v>9.8132452665979208</v>
      </c>
      <c r="B5478">
        <v>78.308844323413894</v>
      </c>
      <c r="C5478">
        <v>2001</v>
      </c>
    </row>
    <row r="5479" spans="1:11" x14ac:dyDescent="0.25">
      <c r="A5479">
        <v>10.687277315495599</v>
      </c>
      <c r="B5479">
        <v>78.308844323413894</v>
      </c>
      <c r="C5479">
        <v>2000</v>
      </c>
    </row>
    <row r="5480" spans="1:11" x14ac:dyDescent="0.25">
      <c r="A5480" t="s">
        <v>87</v>
      </c>
    </row>
    <row r="5481" spans="1:11" x14ac:dyDescent="0.25">
      <c r="A5481">
        <v>1012</v>
      </c>
      <c r="B5481">
        <v>0</v>
      </c>
      <c r="C5481">
        <v>6.8948731354887904</v>
      </c>
      <c r="D5481">
        <v>0.97445612913180901</v>
      </c>
      <c r="E5481">
        <v>6</v>
      </c>
      <c r="F5481">
        <v>1.01722196789785</v>
      </c>
      <c r="G5481" t="s">
        <v>85</v>
      </c>
      <c r="H5481" t="s">
        <v>85</v>
      </c>
      <c r="I5481">
        <v>389</v>
      </c>
      <c r="J5481">
        <v>831</v>
      </c>
      <c r="K5481">
        <v>9.3443328339296097E-2</v>
      </c>
    </row>
    <row r="5482" spans="1:11" x14ac:dyDescent="0.25">
      <c r="A5482" t="s">
        <v>86</v>
      </c>
    </row>
    <row r="5483" spans="1:11" x14ac:dyDescent="0.25">
      <c r="A5483">
        <v>13.936230071284401</v>
      </c>
      <c r="B5483">
        <v>73.573571428874203</v>
      </c>
      <c r="C5483">
        <v>2000</v>
      </c>
    </row>
    <row r="5484" spans="1:11" x14ac:dyDescent="0.25">
      <c r="A5484">
        <v>8.6779180298080298</v>
      </c>
      <c r="B5484">
        <v>68.315259387397802</v>
      </c>
      <c r="C5484">
        <v>2000</v>
      </c>
    </row>
    <row r="5485" spans="1:11" x14ac:dyDescent="0.25">
      <c r="A5485">
        <v>9.5519500787056604</v>
      </c>
      <c r="B5485">
        <v>68.315259387397802</v>
      </c>
      <c r="C5485">
        <v>2001</v>
      </c>
    </row>
    <row r="5486" spans="1:11" x14ac:dyDescent="0.25">
      <c r="A5486">
        <v>14.0444611362794</v>
      </c>
      <c r="B5486">
        <v>72.807770444971496</v>
      </c>
      <c r="C5486">
        <v>2001</v>
      </c>
    </row>
    <row r="5487" spans="1:11" x14ac:dyDescent="0.25">
      <c r="A5487">
        <v>14.6793901406598</v>
      </c>
      <c r="B5487">
        <v>73.442699449351906</v>
      </c>
      <c r="C5487">
        <v>2001</v>
      </c>
    </row>
    <row r="5488" spans="1:11" x14ac:dyDescent="0.25">
      <c r="A5488">
        <v>14.6793901406598</v>
      </c>
      <c r="B5488">
        <v>74.316731498249595</v>
      </c>
      <c r="C5488">
        <v>2000</v>
      </c>
    </row>
    <row r="5489" spans="1:11" x14ac:dyDescent="0.25">
      <c r="A5489" t="s">
        <v>87</v>
      </c>
    </row>
    <row r="5490" spans="1:11" x14ac:dyDescent="0.25">
      <c r="A5490">
        <v>1155</v>
      </c>
      <c r="B5490">
        <v>0</v>
      </c>
      <c r="C5490">
        <v>5.30167265617004</v>
      </c>
      <c r="D5490">
        <v>2.5534457777245301</v>
      </c>
      <c r="E5490">
        <v>6</v>
      </c>
      <c r="F5490">
        <v>1.01722196789785</v>
      </c>
      <c r="G5490" t="s">
        <v>85</v>
      </c>
      <c r="H5490" t="s">
        <v>85</v>
      </c>
      <c r="I5490">
        <v>549</v>
      </c>
      <c r="J5490">
        <v>547</v>
      </c>
      <c r="K5490">
        <v>9.5300933138239702E-2</v>
      </c>
    </row>
    <row r="5491" spans="1:11" x14ac:dyDescent="0.25">
      <c r="A5491" t="s">
        <v>86</v>
      </c>
    </row>
    <row r="5492" spans="1:11" x14ac:dyDescent="0.25">
      <c r="A5492">
        <v>111.004868414011</v>
      </c>
      <c r="B5492">
        <v>109.889873295252</v>
      </c>
      <c r="C5492">
        <v>2000</v>
      </c>
    </row>
    <row r="5493" spans="1:11" x14ac:dyDescent="0.25">
      <c r="A5493">
        <v>106.961063524233</v>
      </c>
      <c r="B5493">
        <v>105.84606840547499</v>
      </c>
      <c r="C5493">
        <v>2000</v>
      </c>
    </row>
    <row r="5494" spans="1:11" x14ac:dyDescent="0.25">
      <c r="A5494">
        <v>107.835095573131</v>
      </c>
      <c r="B5494">
        <v>105.84606840547499</v>
      </c>
      <c r="C5494">
        <v>2001</v>
      </c>
    </row>
    <row r="5495" spans="1:11" x14ac:dyDescent="0.25">
      <c r="A5495">
        <v>111.288988056972</v>
      </c>
      <c r="B5495">
        <v>109.299960889315</v>
      </c>
      <c r="C5495">
        <v>2001</v>
      </c>
    </row>
    <row r="5496" spans="1:11" x14ac:dyDescent="0.25">
      <c r="A5496">
        <v>112.952487060312</v>
      </c>
      <c r="B5496">
        <v>110.963459892656</v>
      </c>
      <c r="C5496">
        <v>2001</v>
      </c>
    </row>
    <row r="5497" spans="1:11" x14ac:dyDescent="0.25">
      <c r="A5497">
        <v>112.952487060312</v>
      </c>
      <c r="B5497">
        <v>111.83749194155401</v>
      </c>
      <c r="C5497">
        <v>2000</v>
      </c>
    </row>
    <row r="5498" spans="1:11" x14ac:dyDescent="0.25">
      <c r="A5498" t="s">
        <v>87</v>
      </c>
    </row>
    <row r="5499" spans="1:11" x14ac:dyDescent="0.25">
      <c r="A5499">
        <v>1108</v>
      </c>
      <c r="B5499">
        <v>1</v>
      </c>
      <c r="C5499">
        <v>7.7873464990208197</v>
      </c>
      <c r="D5499">
        <v>4.35378262409278E-2</v>
      </c>
      <c r="E5499">
        <v>6</v>
      </c>
      <c r="F5499">
        <v>1.01722196789785</v>
      </c>
      <c r="G5499" t="s">
        <v>85</v>
      </c>
      <c r="H5499" t="s">
        <v>88</v>
      </c>
      <c r="I5499">
        <v>771</v>
      </c>
      <c r="J5499">
        <v>0</v>
      </c>
      <c r="K5499">
        <v>9.4777393206033497E-2</v>
      </c>
    </row>
    <row r="5500" spans="1:11" x14ac:dyDescent="0.25">
      <c r="A5500" t="s">
        <v>86</v>
      </c>
    </row>
    <row r="5501" spans="1:11" x14ac:dyDescent="0.25">
      <c r="A5501">
        <v>8.1894867467555592</v>
      </c>
      <c r="B5501">
        <v>3.0785892173081801E-2</v>
      </c>
      <c r="C5501">
        <v>2000</v>
      </c>
    </row>
    <row r="5502" spans="1:11" x14ac:dyDescent="0.25">
      <c r="A5502">
        <v>2.6830012298486201</v>
      </c>
      <c r="B5502">
        <v>5.5372714090800299</v>
      </c>
      <c r="C5502">
        <v>2000</v>
      </c>
    </row>
    <row r="5503" spans="1:11" x14ac:dyDescent="0.25">
      <c r="A5503">
        <v>1.80896918095098</v>
      </c>
      <c r="B5503">
        <v>5.5372714090800299</v>
      </c>
      <c r="C5503">
        <v>2001</v>
      </c>
    </row>
    <row r="5504" spans="1:11" x14ac:dyDescent="0.25">
      <c r="A5504">
        <v>7.31545469785791</v>
      </c>
      <c r="B5504">
        <v>3.0785892173081801E-2</v>
      </c>
      <c r="C5504">
        <v>2001</v>
      </c>
    </row>
    <row r="5505" spans="1:11" x14ac:dyDescent="0.25">
      <c r="A5505">
        <v>7.3462405900309902</v>
      </c>
      <c r="B5505">
        <v>0</v>
      </c>
      <c r="C5505">
        <v>2001</v>
      </c>
    </row>
    <row r="5506" spans="1:11" x14ac:dyDescent="0.25">
      <c r="A5506">
        <v>8.2202726389286394</v>
      </c>
      <c r="B5506">
        <v>0</v>
      </c>
      <c r="C5506">
        <v>2000</v>
      </c>
    </row>
    <row r="5507" spans="1:11" x14ac:dyDescent="0.25">
      <c r="A5507" t="s">
        <v>87</v>
      </c>
    </row>
    <row r="5508" spans="1:11" x14ac:dyDescent="0.25">
      <c r="A5508">
        <v>1091</v>
      </c>
      <c r="B5508">
        <v>0</v>
      </c>
      <c r="C5508">
        <v>2.2394849138881598</v>
      </c>
      <c r="D5508">
        <v>5.5408949086339598</v>
      </c>
      <c r="E5508">
        <v>6</v>
      </c>
      <c r="F5508">
        <v>1.01722196789785</v>
      </c>
      <c r="G5508" t="s">
        <v>85</v>
      </c>
      <c r="H5508" t="s">
        <v>85</v>
      </c>
      <c r="I5508">
        <v>235</v>
      </c>
      <c r="J5508">
        <v>231</v>
      </c>
      <c r="K5508">
        <v>9.4413370804653396E-2</v>
      </c>
    </row>
    <row r="5509" spans="1:11" x14ac:dyDescent="0.25">
      <c r="A5509" t="s">
        <v>86</v>
      </c>
    </row>
    <row r="5510" spans="1:11" x14ac:dyDescent="0.25">
      <c r="A5510">
        <v>89.293125344102194</v>
      </c>
      <c r="B5510">
        <v>109.99659519176799</v>
      </c>
      <c r="C5510">
        <v>2000</v>
      </c>
    </row>
    <row r="5511" spans="1:11" x14ac:dyDescent="0.25">
      <c r="A5511">
        <v>87.709570375126901</v>
      </c>
      <c r="B5511">
        <v>108.41304022279201</v>
      </c>
      <c r="C5511">
        <v>2000</v>
      </c>
    </row>
    <row r="5512" spans="1:11" x14ac:dyDescent="0.25">
      <c r="A5512">
        <v>86.835538326229297</v>
      </c>
      <c r="B5512">
        <v>108.41304022279201</v>
      </c>
      <c r="C5512">
        <v>2001</v>
      </c>
    </row>
    <row r="5513" spans="1:11" x14ac:dyDescent="0.25">
      <c r="A5513">
        <v>88.419093295204604</v>
      </c>
      <c r="B5513">
        <v>109.99659519176799</v>
      </c>
      <c r="C5513">
        <v>2001</v>
      </c>
    </row>
    <row r="5514" spans="1:11" x14ac:dyDescent="0.25">
      <c r="A5514">
        <v>92.337097658941701</v>
      </c>
      <c r="B5514">
        <v>113.91459955550501</v>
      </c>
      <c r="C5514">
        <v>2001</v>
      </c>
    </row>
    <row r="5515" spans="1:11" x14ac:dyDescent="0.25">
      <c r="A5515">
        <v>93.211129707839305</v>
      </c>
      <c r="B5515">
        <v>113.91459955550501</v>
      </c>
      <c r="C5515">
        <v>2000</v>
      </c>
    </row>
    <row r="5516" spans="1:11" x14ac:dyDescent="0.25">
      <c r="A5516" t="s">
        <v>87</v>
      </c>
    </row>
    <row r="5517" spans="1:11" x14ac:dyDescent="0.25">
      <c r="A5517">
        <v>998</v>
      </c>
      <c r="B5517">
        <v>1</v>
      </c>
      <c r="C5517">
        <v>7.4707918588568099</v>
      </c>
      <c r="D5517">
        <v>0.30229585093414402</v>
      </c>
      <c r="E5517">
        <v>6</v>
      </c>
      <c r="F5517">
        <v>1.01722196789785</v>
      </c>
      <c r="G5517" t="s">
        <v>85</v>
      </c>
      <c r="H5517" t="s">
        <v>85</v>
      </c>
      <c r="I5517">
        <v>675</v>
      </c>
      <c r="J5517">
        <v>673</v>
      </c>
      <c r="K5517">
        <v>9.3237811683927099E-2</v>
      </c>
    </row>
    <row r="5518" spans="1:11" x14ac:dyDescent="0.25">
      <c r="A5518" t="s">
        <v>86</v>
      </c>
    </row>
    <row r="5519" spans="1:11" x14ac:dyDescent="0.25">
      <c r="A5519">
        <v>98.077168508459707</v>
      </c>
      <c r="B5519">
        <v>84.677160966525406</v>
      </c>
      <c r="C5519">
        <v>2000</v>
      </c>
    </row>
    <row r="5520" spans="1:11" x14ac:dyDescent="0.25">
      <c r="A5520">
        <v>92.794520924228806</v>
      </c>
      <c r="B5520">
        <v>89.959808550756307</v>
      </c>
      <c r="C5520">
        <v>2000</v>
      </c>
    </row>
    <row r="5521" spans="1:11" x14ac:dyDescent="0.25">
      <c r="A5521">
        <v>91.920488875331202</v>
      </c>
      <c r="B5521">
        <v>89.959808550756307</v>
      </c>
      <c r="C5521">
        <v>2001</v>
      </c>
    </row>
    <row r="5522" spans="1:11" x14ac:dyDescent="0.25">
      <c r="A5522">
        <v>97.203136459562103</v>
      </c>
      <c r="B5522">
        <v>84.677160966525406</v>
      </c>
      <c r="C5522">
        <v>2001</v>
      </c>
    </row>
    <row r="5523" spans="1:11" x14ac:dyDescent="0.25">
      <c r="A5523">
        <v>97.416891905682206</v>
      </c>
      <c r="B5523">
        <v>84.463405520405303</v>
      </c>
      <c r="C5523">
        <v>2001</v>
      </c>
    </row>
    <row r="5524" spans="1:11" x14ac:dyDescent="0.25">
      <c r="A5524">
        <v>98.290923954579796</v>
      </c>
      <c r="B5524">
        <v>84.463405520405303</v>
      </c>
      <c r="C5524">
        <v>2000</v>
      </c>
    </row>
    <row r="5525" spans="1:11" x14ac:dyDescent="0.25">
      <c r="A5525" t="s">
        <v>87</v>
      </c>
    </row>
    <row r="5526" spans="1:11" x14ac:dyDescent="0.25">
      <c r="A5526">
        <v>981</v>
      </c>
      <c r="B5526">
        <v>0</v>
      </c>
      <c r="C5526">
        <v>1.13407014639307</v>
      </c>
      <c r="D5526">
        <v>6.6353607480613697</v>
      </c>
      <c r="E5526">
        <v>6</v>
      </c>
      <c r="F5526">
        <v>1.01722196789785</v>
      </c>
      <c r="G5526" t="s">
        <v>85</v>
      </c>
      <c r="H5526" t="s">
        <v>88</v>
      </c>
      <c r="I5526">
        <v>551</v>
      </c>
      <c r="J5526">
        <v>0</v>
      </c>
      <c r="K5526">
        <v>9.3028045338835699E-2</v>
      </c>
    </row>
    <row r="5527" spans="1:11" x14ac:dyDescent="0.25">
      <c r="A5527" t="s">
        <v>86</v>
      </c>
    </row>
    <row r="5528" spans="1:11" x14ac:dyDescent="0.25">
      <c r="A5528">
        <v>144.934864729558</v>
      </c>
      <c r="B5528">
        <v>143.36727885353901</v>
      </c>
      <c r="C5528">
        <v>2000</v>
      </c>
    </row>
    <row r="5529" spans="1:11" x14ac:dyDescent="0.25">
      <c r="A5529">
        <v>144.06916670412201</v>
      </c>
      <c r="B5529">
        <v>142.50158082810299</v>
      </c>
      <c r="C5529">
        <v>2000</v>
      </c>
    </row>
    <row r="5530" spans="1:11" x14ac:dyDescent="0.25">
      <c r="A5530">
        <v>144.94319875302</v>
      </c>
      <c r="B5530">
        <v>142.50158082810299</v>
      </c>
      <c r="C5530">
        <v>2001</v>
      </c>
    </row>
    <row r="5531" spans="1:11" x14ac:dyDescent="0.25">
      <c r="A5531">
        <v>145.681318109296</v>
      </c>
      <c r="B5531">
        <v>143.23970018437899</v>
      </c>
      <c r="C5531">
        <v>2001</v>
      </c>
    </row>
    <row r="5532" spans="1:11" x14ac:dyDescent="0.25">
      <c r="A5532">
        <v>150</v>
      </c>
      <c r="B5532">
        <v>147.55838207508299</v>
      </c>
      <c r="C5532">
        <v>2001</v>
      </c>
    </row>
    <row r="5533" spans="1:11" x14ac:dyDescent="0.25">
      <c r="A5533">
        <v>150</v>
      </c>
      <c r="B5533">
        <v>148.432414123981</v>
      </c>
      <c r="C5533">
        <v>2000</v>
      </c>
    </row>
    <row r="5534" spans="1:11" x14ac:dyDescent="0.25">
      <c r="A5534" t="s">
        <v>87</v>
      </c>
    </row>
    <row r="5535" spans="1:11" x14ac:dyDescent="0.25">
      <c r="A5535">
        <v>544</v>
      </c>
      <c r="B5535">
        <v>1</v>
      </c>
      <c r="C5535">
        <v>5.6535487590900404</v>
      </c>
      <c r="D5535">
        <v>2.0887189432404401</v>
      </c>
      <c r="E5535">
        <v>8</v>
      </c>
      <c r="F5535">
        <v>1.01722196789785</v>
      </c>
      <c r="G5535" t="s">
        <v>88</v>
      </c>
      <c r="H5535" t="s">
        <v>89</v>
      </c>
      <c r="I5535">
        <v>0</v>
      </c>
      <c r="J5535">
        <v>550</v>
      </c>
      <c r="K5535">
        <v>0</v>
      </c>
    </row>
    <row r="5536" spans="1:11" x14ac:dyDescent="0.25">
      <c r="A5536" t="s">
        <v>86</v>
      </c>
    </row>
    <row r="5537" spans="1:11" x14ac:dyDescent="0.25">
      <c r="A5537">
        <v>102.759752020015</v>
      </c>
      <c r="B5537">
        <v>146.17016891920599</v>
      </c>
      <c r="C5537">
        <v>2000</v>
      </c>
    </row>
    <row r="5538" spans="1:11" x14ac:dyDescent="0.25">
      <c r="A5538">
        <v>100.354639801422</v>
      </c>
      <c r="B5538">
        <v>148.5752811378</v>
      </c>
      <c r="C5538">
        <v>2000</v>
      </c>
    </row>
    <row r="5539" spans="1:11" x14ac:dyDescent="0.25">
      <c r="A5539">
        <v>98.929920939221304</v>
      </c>
      <c r="B5539">
        <v>150</v>
      </c>
      <c r="C5539">
        <v>2000</v>
      </c>
    </row>
    <row r="5540" spans="1:11" x14ac:dyDescent="0.25">
      <c r="A5540">
        <v>98.0558888903237</v>
      </c>
      <c r="B5540">
        <v>150</v>
      </c>
      <c r="C5540">
        <v>2001</v>
      </c>
    </row>
    <row r="5541" spans="1:11" x14ac:dyDescent="0.25">
      <c r="A5541">
        <v>99.645360198578402</v>
      </c>
      <c r="B5541">
        <v>148.41052869174499</v>
      </c>
      <c r="C5541">
        <v>2001</v>
      </c>
    </row>
    <row r="5542" spans="1:11" x14ac:dyDescent="0.25">
      <c r="A5542">
        <v>102.221383140173</v>
      </c>
      <c r="B5542">
        <v>145.83450575015101</v>
      </c>
      <c r="C5542">
        <v>2001</v>
      </c>
    </row>
    <row r="5543" spans="1:11" x14ac:dyDescent="0.25">
      <c r="A5543">
        <v>103.749006896628</v>
      </c>
      <c r="B5543">
        <v>144.30688199369601</v>
      </c>
      <c r="C5543">
        <v>2001</v>
      </c>
    </row>
    <row r="5544" spans="1:11" x14ac:dyDescent="0.25">
      <c r="A5544">
        <v>104.186022921076</v>
      </c>
      <c r="B5544">
        <v>144.74389801814499</v>
      </c>
      <c r="C5544">
        <v>2000</v>
      </c>
    </row>
    <row r="5545" spans="1:11" x14ac:dyDescent="0.25">
      <c r="A5545" t="s">
        <v>87</v>
      </c>
    </row>
    <row r="5546" spans="1:11" x14ac:dyDescent="0.25">
      <c r="A5546">
        <v>551</v>
      </c>
      <c r="B5546">
        <v>1</v>
      </c>
      <c r="C5546">
        <v>3.1855004154859299</v>
      </c>
      <c r="D5546">
        <v>4.5558032033752598</v>
      </c>
      <c r="E5546">
        <v>6</v>
      </c>
      <c r="F5546">
        <v>1.01722196789785</v>
      </c>
      <c r="G5546" t="s">
        <v>85</v>
      </c>
      <c r="H5546" t="s">
        <v>85</v>
      </c>
      <c r="I5546">
        <v>515</v>
      </c>
      <c r="J5546">
        <v>502</v>
      </c>
      <c r="K5546">
        <v>0</v>
      </c>
    </row>
    <row r="5547" spans="1:11" x14ac:dyDescent="0.25">
      <c r="A5547" t="s">
        <v>86</v>
      </c>
    </row>
    <row r="5548" spans="1:11" x14ac:dyDescent="0.25">
      <c r="A5548">
        <v>143.65779845600301</v>
      </c>
      <c r="B5548">
        <v>142.91294907622199</v>
      </c>
      <c r="C5548">
        <v>2000</v>
      </c>
    </row>
    <row r="5549" spans="1:11" x14ac:dyDescent="0.25">
      <c r="A5549">
        <v>141.585139006649</v>
      </c>
      <c r="B5549">
        <v>144.985608525576</v>
      </c>
      <c r="C5549">
        <v>2000</v>
      </c>
    </row>
    <row r="5550" spans="1:11" x14ac:dyDescent="0.25">
      <c r="A5550">
        <v>141.585139006649</v>
      </c>
      <c r="B5550">
        <v>145.85964057447401</v>
      </c>
      <c r="C5550">
        <v>2001</v>
      </c>
    </row>
    <row r="5551" spans="1:11" x14ac:dyDescent="0.25">
      <c r="A5551">
        <v>144.01745744781999</v>
      </c>
      <c r="B5551">
        <v>143.42732213330299</v>
      </c>
      <c r="C5551">
        <v>2001</v>
      </c>
    </row>
    <row r="5552" spans="1:11" x14ac:dyDescent="0.25">
      <c r="A5552">
        <v>147.49608331521799</v>
      </c>
      <c r="B5552">
        <v>139.948696265905</v>
      </c>
      <c r="C5552">
        <v>2001</v>
      </c>
    </row>
    <row r="5553" spans="1:11" x14ac:dyDescent="0.25">
      <c r="A5553">
        <v>146.62205126632099</v>
      </c>
      <c r="B5553">
        <v>139.948696265905</v>
      </c>
      <c r="C5553">
        <v>2000</v>
      </c>
    </row>
    <row r="5554" spans="1:11" x14ac:dyDescent="0.25">
      <c r="A5554" t="s">
        <v>87</v>
      </c>
    </row>
    <row r="5555" spans="1:11" x14ac:dyDescent="0.25">
      <c r="A5555">
        <v>979</v>
      </c>
      <c r="B5555">
        <v>0</v>
      </c>
      <c r="C5555">
        <v>6.2413973784252601</v>
      </c>
      <c r="D5555">
        <v>1.43404515477107</v>
      </c>
      <c r="E5555">
        <v>6</v>
      </c>
      <c r="F5555">
        <v>1.01722196789785</v>
      </c>
      <c r="G5555" t="s">
        <v>85</v>
      </c>
      <c r="H5555" t="s">
        <v>85</v>
      </c>
      <c r="I5555">
        <v>398</v>
      </c>
      <c r="J5555">
        <v>848</v>
      </c>
      <c r="K5555">
        <v>9.3028045338835699E-2</v>
      </c>
    </row>
    <row r="5556" spans="1:11" x14ac:dyDescent="0.25">
      <c r="A5556" t="s">
        <v>86</v>
      </c>
    </row>
    <row r="5557" spans="1:11" x14ac:dyDescent="0.25">
      <c r="A5557">
        <v>38.027418771771501</v>
      </c>
      <c r="B5557">
        <v>91.043923868343597</v>
      </c>
      <c r="C5557">
        <v>2000</v>
      </c>
    </row>
    <row r="5558" spans="1:11" x14ac:dyDescent="0.25">
      <c r="A5558">
        <v>33.614084361407002</v>
      </c>
      <c r="B5558">
        <v>86.630589457979099</v>
      </c>
      <c r="C5558">
        <v>2000</v>
      </c>
    </row>
    <row r="5559" spans="1:11" x14ac:dyDescent="0.25">
      <c r="A5559">
        <v>33.614084361407002</v>
      </c>
      <c r="B5559">
        <v>85.756557409081495</v>
      </c>
      <c r="C5559">
        <v>2001</v>
      </c>
    </row>
    <row r="5560" spans="1:11" x14ac:dyDescent="0.25">
      <c r="A5560">
        <v>38.027418771771501</v>
      </c>
      <c r="B5560">
        <v>90.169891819445894</v>
      </c>
      <c r="C5560">
        <v>2001</v>
      </c>
    </row>
    <row r="5561" spans="1:11" x14ac:dyDescent="0.25">
      <c r="A5561">
        <v>39.041441825237797</v>
      </c>
      <c r="B5561">
        <v>91.183914872912297</v>
      </c>
      <c r="C5561">
        <v>2001</v>
      </c>
    </row>
    <row r="5562" spans="1:11" x14ac:dyDescent="0.25">
      <c r="A5562">
        <v>39.041441825237797</v>
      </c>
      <c r="B5562">
        <v>92.057946921809901</v>
      </c>
      <c r="C5562">
        <v>2000</v>
      </c>
    </row>
    <row r="5563" spans="1:11" x14ac:dyDescent="0.25">
      <c r="A5563" t="s">
        <v>87</v>
      </c>
    </row>
    <row r="5564" spans="1:11" x14ac:dyDescent="0.25">
      <c r="A5564">
        <v>1231</v>
      </c>
      <c r="B5564">
        <v>1</v>
      </c>
      <c r="C5564">
        <v>6.9955324702977499</v>
      </c>
      <c r="D5564">
        <v>0.62543242943149102</v>
      </c>
      <c r="E5564">
        <v>6</v>
      </c>
      <c r="F5564">
        <v>1.01722196789785</v>
      </c>
      <c r="G5564" t="s">
        <v>85</v>
      </c>
      <c r="H5564" t="s">
        <v>85</v>
      </c>
      <c r="I5564">
        <v>599</v>
      </c>
      <c r="J5564">
        <v>914</v>
      </c>
      <c r="K5564">
        <v>9.6277099271545E-2</v>
      </c>
    </row>
    <row r="5565" spans="1:11" x14ac:dyDescent="0.25">
      <c r="A5565" t="s">
        <v>86</v>
      </c>
    </row>
    <row r="5566" spans="1:11" x14ac:dyDescent="0.25">
      <c r="A5566">
        <v>134.544242241744</v>
      </c>
      <c r="B5566">
        <v>80.042017010911906</v>
      </c>
      <c r="C5566">
        <v>2000</v>
      </c>
    </row>
    <row r="5567" spans="1:11" x14ac:dyDescent="0.25">
      <c r="A5567">
        <v>129.998805069355</v>
      </c>
      <c r="B5567">
        <v>84.587454183300693</v>
      </c>
      <c r="C5567">
        <v>2000</v>
      </c>
    </row>
    <row r="5568" spans="1:11" x14ac:dyDescent="0.25">
      <c r="A5568">
        <v>129.12477302045701</v>
      </c>
      <c r="B5568">
        <v>84.587454183300693</v>
      </c>
      <c r="C5568">
        <v>2001</v>
      </c>
    </row>
    <row r="5569" spans="1:11" x14ac:dyDescent="0.25">
      <c r="A5569">
        <v>134.47251274358501</v>
      </c>
      <c r="B5569">
        <v>79.239714460173005</v>
      </c>
      <c r="C5569">
        <v>2001</v>
      </c>
    </row>
    <row r="5570" spans="1:11" x14ac:dyDescent="0.25">
      <c r="A5570">
        <v>134.95062500468899</v>
      </c>
      <c r="B5570">
        <v>78.761602199068705</v>
      </c>
      <c r="C5570">
        <v>2001</v>
      </c>
    </row>
    <row r="5571" spans="1:11" x14ac:dyDescent="0.25">
      <c r="A5571">
        <v>134.95062500468899</v>
      </c>
      <c r="B5571">
        <v>79.635634247966294</v>
      </c>
      <c r="C5571">
        <v>2000</v>
      </c>
    </row>
    <row r="5572" spans="1:11" x14ac:dyDescent="0.25">
      <c r="A5572" t="s">
        <v>87</v>
      </c>
    </row>
    <row r="5573" spans="1:11" x14ac:dyDescent="0.25">
      <c r="A5573">
        <v>907</v>
      </c>
      <c r="B5573">
        <v>0</v>
      </c>
      <c r="C5573">
        <v>3.8702050281406999</v>
      </c>
      <c r="D5573">
        <v>3.7457205079113902</v>
      </c>
      <c r="E5573">
        <v>6</v>
      </c>
      <c r="F5573">
        <v>1.01722196789785</v>
      </c>
      <c r="G5573" t="s">
        <v>85</v>
      </c>
      <c r="H5573" t="s">
        <v>85</v>
      </c>
      <c r="I5573">
        <v>784</v>
      </c>
      <c r="J5573">
        <v>754</v>
      </c>
      <c r="K5573">
        <v>9.1667699418773299E-2</v>
      </c>
    </row>
    <row r="5574" spans="1:11" x14ac:dyDescent="0.25">
      <c r="A5574" t="s">
        <v>86</v>
      </c>
    </row>
    <row r="5575" spans="1:11" x14ac:dyDescent="0.25">
      <c r="A5575">
        <v>132.714883905237</v>
      </c>
      <c r="B5575">
        <v>75.136982179767301</v>
      </c>
      <c r="C5575">
        <v>2000</v>
      </c>
    </row>
    <row r="5576" spans="1:11" x14ac:dyDescent="0.25">
      <c r="A5576">
        <v>129.97823568525601</v>
      </c>
      <c r="B5576">
        <v>72.400333959786707</v>
      </c>
      <c r="C5576">
        <v>2000</v>
      </c>
    </row>
    <row r="5577" spans="1:11" x14ac:dyDescent="0.25">
      <c r="A5577">
        <v>129.97823568525601</v>
      </c>
      <c r="B5577">
        <v>71.526301910889103</v>
      </c>
      <c r="C5577">
        <v>2001</v>
      </c>
    </row>
    <row r="5578" spans="1:11" x14ac:dyDescent="0.25">
      <c r="A5578">
        <v>132.714883905237</v>
      </c>
      <c r="B5578">
        <v>74.262950130869697</v>
      </c>
      <c r="C5578">
        <v>2001</v>
      </c>
    </row>
    <row r="5579" spans="1:11" x14ac:dyDescent="0.25">
      <c r="A5579">
        <v>135.36350827681099</v>
      </c>
      <c r="B5579">
        <v>76.911574502443301</v>
      </c>
      <c r="C5579">
        <v>2001</v>
      </c>
    </row>
    <row r="5580" spans="1:11" x14ac:dyDescent="0.25">
      <c r="A5580">
        <v>135.36350827681099</v>
      </c>
      <c r="B5580">
        <v>77.785606551341004</v>
      </c>
      <c r="C5580">
        <v>2000</v>
      </c>
    </row>
    <row r="5581" spans="1:11" x14ac:dyDescent="0.25">
      <c r="A5581" t="s">
        <v>87</v>
      </c>
    </row>
    <row r="5582" spans="1:11" x14ac:dyDescent="0.25">
      <c r="A5582">
        <v>1022</v>
      </c>
      <c r="B5582">
        <v>1</v>
      </c>
      <c r="C5582">
        <v>4.4903196283496598</v>
      </c>
      <c r="D5582">
        <v>3.07893535230833</v>
      </c>
      <c r="E5582">
        <v>6</v>
      </c>
      <c r="F5582">
        <v>1.01722196789785</v>
      </c>
      <c r="G5582" t="s">
        <v>85</v>
      </c>
      <c r="H5582" t="s">
        <v>85</v>
      </c>
      <c r="I5582">
        <v>861</v>
      </c>
      <c r="J5582">
        <v>795</v>
      </c>
      <c r="K5582">
        <v>9.3644784593262795E-2</v>
      </c>
    </row>
    <row r="5583" spans="1:11" x14ac:dyDescent="0.25">
      <c r="A5583" t="s">
        <v>86</v>
      </c>
    </row>
    <row r="5584" spans="1:11" x14ac:dyDescent="0.25">
      <c r="A5584">
        <v>36.295741052495501</v>
      </c>
      <c r="B5584">
        <v>95.548888130834797</v>
      </c>
      <c r="C5584">
        <v>2000</v>
      </c>
    </row>
    <row r="5585" spans="1:11" x14ac:dyDescent="0.25">
      <c r="A5585">
        <v>33.120605593594398</v>
      </c>
      <c r="B5585">
        <v>98.724023589735907</v>
      </c>
      <c r="C5585">
        <v>2000</v>
      </c>
    </row>
    <row r="5586" spans="1:11" x14ac:dyDescent="0.25">
      <c r="A5586">
        <v>32.246573544696801</v>
      </c>
      <c r="B5586">
        <v>98.724023589735907</v>
      </c>
      <c r="C5586">
        <v>2001</v>
      </c>
    </row>
    <row r="5587" spans="1:11" x14ac:dyDescent="0.25">
      <c r="A5587">
        <v>35.421709003597897</v>
      </c>
      <c r="B5587">
        <v>95.548888130834797</v>
      </c>
      <c r="C5587">
        <v>2001</v>
      </c>
    </row>
    <row r="5588" spans="1:11" x14ac:dyDescent="0.25">
      <c r="A5588">
        <v>37.598845070050103</v>
      </c>
      <c r="B5588">
        <v>93.371752064382505</v>
      </c>
      <c r="C5588">
        <v>2001</v>
      </c>
    </row>
    <row r="5589" spans="1:11" x14ac:dyDescent="0.25">
      <c r="A5589">
        <v>38.4728771189478</v>
      </c>
      <c r="B5589">
        <v>93.371752064382505</v>
      </c>
      <c r="C5589">
        <v>2000</v>
      </c>
    </row>
    <row r="5590" spans="1:11" x14ac:dyDescent="0.25">
      <c r="A5590" t="s">
        <v>87</v>
      </c>
    </row>
    <row r="5591" spans="1:11" x14ac:dyDescent="0.25">
      <c r="A5591">
        <v>267</v>
      </c>
      <c r="B5591">
        <v>0</v>
      </c>
      <c r="C5591">
        <v>5.2025022246397601</v>
      </c>
      <c r="D5591">
        <v>2.3635655981614598</v>
      </c>
      <c r="E5591">
        <v>8</v>
      </c>
      <c r="F5591">
        <v>1.01722196789785</v>
      </c>
      <c r="G5591" t="s">
        <v>85</v>
      </c>
      <c r="H5591" t="s">
        <v>85</v>
      </c>
      <c r="I5591">
        <v>392</v>
      </c>
      <c r="J5591">
        <v>308</v>
      </c>
      <c r="K5591">
        <v>0</v>
      </c>
    </row>
    <row r="5592" spans="1:11" x14ac:dyDescent="0.25">
      <c r="A5592" t="s">
        <v>86</v>
      </c>
    </row>
    <row r="5593" spans="1:11" x14ac:dyDescent="0.25">
      <c r="A5593">
        <v>27.451323833473399</v>
      </c>
      <c r="B5593">
        <v>103.42481806422199</v>
      </c>
      <c r="C5593">
        <v>2000</v>
      </c>
    </row>
    <row r="5594" spans="1:11" x14ac:dyDescent="0.25">
      <c r="A5594">
        <v>24.440155765924299</v>
      </c>
      <c r="B5594">
        <v>100.413649996673</v>
      </c>
      <c r="C5594">
        <v>2000</v>
      </c>
    </row>
    <row r="5595" spans="1:11" x14ac:dyDescent="0.25">
      <c r="A5595">
        <v>24.070139508261398</v>
      </c>
      <c r="B5595">
        <v>100.04363373901001</v>
      </c>
      <c r="C5595">
        <v>2000</v>
      </c>
    </row>
    <row r="5596" spans="1:11" x14ac:dyDescent="0.25">
      <c r="A5596">
        <v>24.070139508261398</v>
      </c>
      <c r="B5596">
        <v>99.169601690112103</v>
      </c>
      <c r="C5596">
        <v>2001</v>
      </c>
    </row>
    <row r="5597" spans="1:11" x14ac:dyDescent="0.25">
      <c r="A5597">
        <v>24.486887821476699</v>
      </c>
      <c r="B5597">
        <v>99.586350003327397</v>
      </c>
      <c r="C5597">
        <v>2001</v>
      </c>
    </row>
    <row r="5598" spans="1:11" x14ac:dyDescent="0.25">
      <c r="A5598">
        <v>28.046404387411101</v>
      </c>
      <c r="B5598">
        <v>103.145866569262</v>
      </c>
      <c r="C5598">
        <v>2001</v>
      </c>
    </row>
    <row r="5599" spans="1:11" x14ac:dyDescent="0.25">
      <c r="A5599">
        <v>29.8571733971303</v>
      </c>
      <c r="B5599">
        <v>104.95663557898099</v>
      </c>
      <c r="C5599">
        <v>2001</v>
      </c>
    </row>
    <row r="5600" spans="1:11" x14ac:dyDescent="0.25">
      <c r="A5600">
        <v>28.983141348232699</v>
      </c>
      <c r="B5600">
        <v>104.95663557898099</v>
      </c>
      <c r="C5600">
        <v>2000</v>
      </c>
    </row>
    <row r="5601" spans="1:11" x14ac:dyDescent="0.25">
      <c r="A5601" t="s">
        <v>87</v>
      </c>
    </row>
    <row r="5602" spans="1:11" x14ac:dyDescent="0.25">
      <c r="A5602">
        <v>1089</v>
      </c>
      <c r="B5602">
        <v>0</v>
      </c>
      <c r="C5602">
        <v>5.7129588579969699</v>
      </c>
      <c r="D5602">
        <v>1.8071755512055201</v>
      </c>
      <c r="E5602">
        <v>6</v>
      </c>
      <c r="F5602">
        <v>1.01722196789785</v>
      </c>
      <c r="G5602" t="s">
        <v>85</v>
      </c>
      <c r="H5602" t="s">
        <v>85</v>
      </c>
      <c r="I5602">
        <v>547</v>
      </c>
      <c r="J5602">
        <v>552</v>
      </c>
      <c r="K5602">
        <v>9.4413370804653396E-2</v>
      </c>
    </row>
    <row r="5603" spans="1:11" x14ac:dyDescent="0.25">
      <c r="A5603" t="s">
        <v>86</v>
      </c>
    </row>
    <row r="5604" spans="1:11" x14ac:dyDescent="0.25">
      <c r="A5604">
        <v>114.05985412474401</v>
      </c>
      <c r="B5604">
        <v>118.145476768827</v>
      </c>
      <c r="C5604">
        <v>2000</v>
      </c>
    </row>
    <row r="5605" spans="1:11" x14ac:dyDescent="0.25">
      <c r="A5605">
        <v>110.352178178892</v>
      </c>
      <c r="B5605">
        <v>114.437800822974</v>
      </c>
      <c r="C5605">
        <v>2000</v>
      </c>
    </row>
    <row r="5606" spans="1:11" x14ac:dyDescent="0.25">
      <c r="A5606">
        <v>110.352178178892</v>
      </c>
      <c r="B5606">
        <v>113.563768774077</v>
      </c>
      <c r="C5606">
        <v>2001</v>
      </c>
    </row>
    <row r="5607" spans="1:11" x14ac:dyDescent="0.25">
      <c r="A5607">
        <v>114.723846131298</v>
      </c>
      <c r="B5607">
        <v>117.935436726483</v>
      </c>
      <c r="C5607">
        <v>2001</v>
      </c>
    </row>
    <row r="5608" spans="1:11" x14ac:dyDescent="0.25">
      <c r="A5608">
        <v>116.106732239522</v>
      </c>
      <c r="B5608">
        <v>119.318322834707</v>
      </c>
      <c r="C5608">
        <v>2001</v>
      </c>
    </row>
    <row r="5609" spans="1:11" x14ac:dyDescent="0.25">
      <c r="A5609">
        <v>115.232700190624</v>
      </c>
      <c r="B5609">
        <v>119.318322834707</v>
      </c>
      <c r="C5609">
        <v>2000</v>
      </c>
    </row>
    <row r="5610" spans="1:11" x14ac:dyDescent="0.25">
      <c r="A5610" t="s">
        <v>87</v>
      </c>
    </row>
    <row r="5611" spans="1:11" x14ac:dyDescent="0.25">
      <c r="A5611">
        <v>988</v>
      </c>
      <c r="B5611">
        <v>1</v>
      </c>
      <c r="C5611">
        <v>4.9720816664832901</v>
      </c>
      <c r="D5611">
        <v>2.52003085071085</v>
      </c>
      <c r="E5611">
        <v>6</v>
      </c>
      <c r="F5611">
        <v>1.01722196789785</v>
      </c>
      <c r="G5611" t="s">
        <v>85</v>
      </c>
      <c r="H5611" t="s">
        <v>85</v>
      </c>
      <c r="I5611">
        <v>35</v>
      </c>
      <c r="J5611">
        <v>424</v>
      </c>
      <c r="K5611">
        <v>9.3028045338835699E-2</v>
      </c>
    </row>
    <row r="5612" spans="1:11" x14ac:dyDescent="0.25">
      <c r="A5612" t="s">
        <v>86</v>
      </c>
    </row>
    <row r="5613" spans="1:11" x14ac:dyDescent="0.25">
      <c r="A5613">
        <v>47.221275487551999</v>
      </c>
      <c r="B5613">
        <v>37.578906795736302</v>
      </c>
      <c r="C5613">
        <v>2000</v>
      </c>
    </row>
    <row r="5614" spans="1:11" x14ac:dyDescent="0.25">
      <c r="A5614">
        <v>43.705482824568399</v>
      </c>
      <c r="B5614">
        <v>41.094699458719901</v>
      </c>
      <c r="C5614">
        <v>2000</v>
      </c>
    </row>
    <row r="5615" spans="1:11" x14ac:dyDescent="0.25">
      <c r="A5615">
        <v>43.705482824568399</v>
      </c>
      <c r="B5615">
        <v>40.220667409822298</v>
      </c>
      <c r="C5615">
        <v>2001</v>
      </c>
    </row>
    <row r="5616" spans="1:11" x14ac:dyDescent="0.25">
      <c r="A5616">
        <v>47.221275487551999</v>
      </c>
      <c r="B5616">
        <v>36.704874746838598</v>
      </c>
      <c r="C5616">
        <v>2001</v>
      </c>
    </row>
    <row r="5617" spans="1:11" x14ac:dyDescent="0.25">
      <c r="A5617">
        <v>49.003206390888998</v>
      </c>
      <c r="B5617">
        <v>34.922943843501699</v>
      </c>
      <c r="C5617">
        <v>2001</v>
      </c>
    </row>
    <row r="5618" spans="1:11" x14ac:dyDescent="0.25">
      <c r="A5618">
        <v>49.003206390888998</v>
      </c>
      <c r="B5618">
        <v>35.796975892399303</v>
      </c>
      <c r="C5618">
        <v>2000</v>
      </c>
    </row>
    <row r="5619" spans="1:11" x14ac:dyDescent="0.25">
      <c r="A5619" t="s">
        <v>87</v>
      </c>
    </row>
    <row r="5620" spans="1:11" x14ac:dyDescent="0.25">
      <c r="A5620">
        <v>160</v>
      </c>
      <c r="B5620">
        <v>1</v>
      </c>
      <c r="C5620">
        <v>3.9253968201998202</v>
      </c>
      <c r="D5620">
        <v>3.5494003063564601</v>
      </c>
      <c r="E5620">
        <v>6</v>
      </c>
      <c r="F5620">
        <v>1.01722196789785</v>
      </c>
      <c r="G5620" t="s">
        <v>85</v>
      </c>
      <c r="H5620" t="s">
        <v>85</v>
      </c>
      <c r="I5620">
        <v>116</v>
      </c>
      <c r="J5620">
        <v>805</v>
      </c>
      <c r="K5620">
        <v>0</v>
      </c>
    </row>
    <row r="5621" spans="1:11" x14ac:dyDescent="0.25">
      <c r="A5621" t="s">
        <v>86</v>
      </c>
    </row>
    <row r="5622" spans="1:11" x14ac:dyDescent="0.25">
      <c r="A5622">
        <v>143.30375261014501</v>
      </c>
      <c r="B5622">
        <v>11.5391385562435</v>
      </c>
      <c r="C5622">
        <v>2000</v>
      </c>
    </row>
    <row r="5623" spans="1:11" x14ac:dyDescent="0.25">
      <c r="A5623">
        <v>140.52807789973301</v>
      </c>
      <c r="B5623">
        <v>14.3148132666549</v>
      </c>
      <c r="C5623">
        <v>2000</v>
      </c>
    </row>
    <row r="5624" spans="1:11" x14ac:dyDescent="0.25">
      <c r="A5624">
        <v>141.40210994863099</v>
      </c>
      <c r="B5624">
        <v>14.3148132666549</v>
      </c>
      <c r="C5624">
        <v>2001</v>
      </c>
    </row>
    <row r="5625" spans="1:11" x14ac:dyDescent="0.25">
      <c r="A5625">
        <v>144.177784659042</v>
      </c>
      <c r="B5625">
        <v>11.5391385562435</v>
      </c>
      <c r="C5625">
        <v>2001</v>
      </c>
    </row>
    <row r="5626" spans="1:11" x14ac:dyDescent="0.25">
      <c r="A5626">
        <v>146.68758968481299</v>
      </c>
      <c r="B5626">
        <v>9.0293335304732203</v>
      </c>
      <c r="C5626">
        <v>2001</v>
      </c>
    </row>
    <row r="5627" spans="1:11" x14ac:dyDescent="0.25">
      <c r="A5627">
        <v>145.813557635915</v>
      </c>
      <c r="B5627">
        <v>9.0293335304732203</v>
      </c>
      <c r="C5627">
        <v>2000</v>
      </c>
    </row>
    <row r="5628" spans="1:11" x14ac:dyDescent="0.25">
      <c r="A5628" t="s">
        <v>87</v>
      </c>
    </row>
    <row r="5629" spans="1:11" x14ac:dyDescent="0.25">
      <c r="A5629">
        <v>1018</v>
      </c>
      <c r="B5629">
        <v>1</v>
      </c>
      <c r="C5629">
        <v>0.69575714623706397</v>
      </c>
      <c r="D5629">
        <v>6.77475603304757</v>
      </c>
      <c r="E5629">
        <v>6</v>
      </c>
      <c r="F5629">
        <v>1.01722196789785</v>
      </c>
      <c r="G5629" t="s">
        <v>88</v>
      </c>
      <c r="H5629" t="s">
        <v>85</v>
      </c>
      <c r="I5629">
        <v>0</v>
      </c>
      <c r="J5629">
        <v>200</v>
      </c>
      <c r="K5629">
        <v>9.3644784593262795E-2</v>
      </c>
    </row>
    <row r="5630" spans="1:11" x14ac:dyDescent="0.25">
      <c r="A5630" t="s">
        <v>86</v>
      </c>
    </row>
    <row r="5631" spans="1:11" x14ac:dyDescent="0.25">
      <c r="A5631">
        <v>91.486162586051705</v>
      </c>
      <c r="B5631">
        <v>149.54872635901</v>
      </c>
      <c r="C5631">
        <v>2000</v>
      </c>
    </row>
    <row r="5632" spans="1:11" x14ac:dyDescent="0.25">
      <c r="A5632">
        <v>91.034888945061596</v>
      </c>
      <c r="B5632">
        <v>150</v>
      </c>
      <c r="C5632">
        <v>2000</v>
      </c>
    </row>
    <row r="5633" spans="1:11" x14ac:dyDescent="0.25">
      <c r="A5633">
        <v>90.160856896163907</v>
      </c>
      <c r="B5633">
        <v>150</v>
      </c>
      <c r="C5633">
        <v>2001</v>
      </c>
    </row>
    <row r="5634" spans="1:11" x14ac:dyDescent="0.25">
      <c r="A5634">
        <v>90.693532447500303</v>
      </c>
      <c r="B5634">
        <v>149.46732444866399</v>
      </c>
      <c r="C5634">
        <v>2001</v>
      </c>
    </row>
    <row r="5635" spans="1:11" x14ac:dyDescent="0.25">
      <c r="A5635">
        <v>95.880323448628403</v>
      </c>
      <c r="B5635">
        <v>144.28053344753599</v>
      </c>
      <c r="C5635">
        <v>2001</v>
      </c>
    </row>
    <row r="5636" spans="1:11" x14ac:dyDescent="0.25">
      <c r="A5636">
        <v>95.880323448628403</v>
      </c>
      <c r="B5636">
        <v>145.15456549643301</v>
      </c>
      <c r="C5636">
        <v>2000</v>
      </c>
    </row>
    <row r="5637" spans="1:11" x14ac:dyDescent="0.25">
      <c r="A5637" t="s">
        <v>87</v>
      </c>
    </row>
    <row r="5638" spans="1:11" x14ac:dyDescent="0.25">
      <c r="A5638">
        <v>1205</v>
      </c>
      <c r="B5638">
        <v>0</v>
      </c>
      <c r="C5638">
        <v>1.7764842984236999</v>
      </c>
      <c r="D5638">
        <v>5.6820676875659597</v>
      </c>
      <c r="E5638">
        <v>6</v>
      </c>
      <c r="F5638">
        <v>1.01722196789785</v>
      </c>
      <c r="G5638" t="s">
        <v>85</v>
      </c>
      <c r="H5638" t="s">
        <v>85</v>
      </c>
      <c r="I5638">
        <v>552</v>
      </c>
      <c r="J5638">
        <v>558</v>
      </c>
      <c r="K5638">
        <v>9.5961381564156997E-2</v>
      </c>
    </row>
    <row r="5639" spans="1:11" x14ac:dyDescent="0.25">
      <c r="A5639" t="s">
        <v>86</v>
      </c>
    </row>
    <row r="5640" spans="1:11" x14ac:dyDescent="0.25">
      <c r="A5640">
        <v>116.242956938866</v>
      </c>
      <c r="B5640">
        <v>121.02857197643699</v>
      </c>
      <c r="C5640">
        <v>2000</v>
      </c>
    </row>
    <row r="5641" spans="1:11" x14ac:dyDescent="0.25">
      <c r="A5641">
        <v>114.88270399388</v>
      </c>
      <c r="B5641">
        <v>119.66831903145101</v>
      </c>
      <c r="C5641">
        <v>2000</v>
      </c>
    </row>
    <row r="5642" spans="1:11" x14ac:dyDescent="0.25">
      <c r="A5642">
        <v>114.88270399388</v>
      </c>
      <c r="B5642">
        <v>120.542351080348</v>
      </c>
      <c r="C5642">
        <v>2001</v>
      </c>
    </row>
    <row r="5643" spans="1:11" x14ac:dyDescent="0.25">
      <c r="A5643">
        <v>116.03477923706799</v>
      </c>
      <c r="B5643">
        <v>121.69442632353601</v>
      </c>
      <c r="C5643">
        <v>2001</v>
      </c>
    </row>
    <row r="5644" spans="1:11" x14ac:dyDescent="0.25">
      <c r="A5644">
        <v>119.719680656557</v>
      </c>
      <c r="B5644">
        <v>125.379327743025</v>
      </c>
      <c r="C5644">
        <v>2001</v>
      </c>
    </row>
    <row r="5645" spans="1:11" x14ac:dyDescent="0.25">
      <c r="A5645">
        <v>120.593712705455</v>
      </c>
      <c r="B5645">
        <v>125.379327743025</v>
      </c>
      <c r="C5645">
        <v>2000</v>
      </c>
    </row>
    <row r="5646" spans="1:11" x14ac:dyDescent="0.25">
      <c r="A5646" t="s">
        <v>87</v>
      </c>
    </row>
    <row r="5647" spans="1:11" x14ac:dyDescent="0.25">
      <c r="A5647">
        <v>815</v>
      </c>
      <c r="B5647">
        <v>0</v>
      </c>
      <c r="C5647">
        <v>7.2156495398591902</v>
      </c>
      <c r="D5647">
        <v>0.22827984398696799</v>
      </c>
      <c r="E5647">
        <v>6</v>
      </c>
      <c r="F5647">
        <v>1.01722196789785</v>
      </c>
      <c r="G5647" t="s">
        <v>85</v>
      </c>
      <c r="H5647" t="s">
        <v>88</v>
      </c>
      <c r="I5647">
        <v>160</v>
      </c>
      <c r="J5647">
        <v>0</v>
      </c>
      <c r="K5647">
        <v>9.0097089164053304E-2</v>
      </c>
    </row>
    <row r="5648" spans="1:11" x14ac:dyDescent="0.25">
      <c r="A5648" t="s">
        <v>86</v>
      </c>
    </row>
    <row r="5649" spans="1:11" x14ac:dyDescent="0.25">
      <c r="A5649">
        <v>149.83858177430901</v>
      </c>
      <c r="B5649">
        <v>15.208778832679601</v>
      </c>
      <c r="C5649">
        <v>2000</v>
      </c>
    </row>
    <row r="5650" spans="1:11" x14ac:dyDescent="0.25">
      <c r="A5650">
        <v>144.736347054009</v>
      </c>
      <c r="B5650">
        <v>10.1065441123796</v>
      </c>
      <c r="C5650">
        <v>2000</v>
      </c>
    </row>
    <row r="5651" spans="1:11" x14ac:dyDescent="0.25">
      <c r="A5651">
        <v>144.736347054009</v>
      </c>
      <c r="B5651">
        <v>10.980576161277201</v>
      </c>
      <c r="C5651">
        <v>2001</v>
      </c>
    </row>
    <row r="5652" spans="1:11" x14ac:dyDescent="0.25">
      <c r="A5652">
        <v>149.83858177430901</v>
      </c>
      <c r="B5652">
        <v>16.082810881577299</v>
      </c>
      <c r="C5652">
        <v>2001</v>
      </c>
    </row>
    <row r="5653" spans="1:11" x14ac:dyDescent="0.25">
      <c r="A5653">
        <v>150</v>
      </c>
      <c r="B5653">
        <v>16.244229107268701</v>
      </c>
      <c r="C5653">
        <v>2001</v>
      </c>
    </row>
    <row r="5654" spans="1:11" x14ac:dyDescent="0.25">
      <c r="A5654">
        <v>150</v>
      </c>
      <c r="B5654">
        <v>15.370197058371</v>
      </c>
      <c r="C5654">
        <v>2000</v>
      </c>
    </row>
    <row r="5655" spans="1:11" x14ac:dyDescent="0.25">
      <c r="A5655" t="s">
        <v>87</v>
      </c>
    </row>
    <row r="5656" spans="1:11" x14ac:dyDescent="0.25">
      <c r="A5656">
        <v>395</v>
      </c>
      <c r="B5656">
        <v>1</v>
      </c>
      <c r="C5656">
        <v>5.4807286195316998</v>
      </c>
      <c r="D5656">
        <v>1.89737606323372</v>
      </c>
      <c r="E5656">
        <v>8</v>
      </c>
      <c r="F5656">
        <v>1.01722196789785</v>
      </c>
      <c r="G5656" t="s">
        <v>85</v>
      </c>
      <c r="H5656" t="s">
        <v>85</v>
      </c>
      <c r="I5656">
        <v>355</v>
      </c>
      <c r="J5656">
        <v>663</v>
      </c>
      <c r="K5656">
        <v>0</v>
      </c>
    </row>
    <row r="5657" spans="1:11" x14ac:dyDescent="0.25">
      <c r="A5657" t="s">
        <v>86</v>
      </c>
    </row>
    <row r="5658" spans="1:11" x14ac:dyDescent="0.25">
      <c r="A5658">
        <v>49.624542326091401</v>
      </c>
      <c r="B5658">
        <v>55.391624307367898</v>
      </c>
      <c r="C5658">
        <v>2000</v>
      </c>
    </row>
    <row r="5659" spans="1:11" x14ac:dyDescent="0.25">
      <c r="A5659">
        <v>46.018323505762602</v>
      </c>
      <c r="B5659">
        <v>58.997843127696697</v>
      </c>
      <c r="C5659">
        <v>2000</v>
      </c>
    </row>
    <row r="5660" spans="1:11" x14ac:dyDescent="0.25">
      <c r="A5660">
        <v>45.144291456864899</v>
      </c>
      <c r="B5660">
        <v>58.997843127696697</v>
      </c>
      <c r="C5660">
        <v>2001</v>
      </c>
    </row>
    <row r="5661" spans="1:11" x14ac:dyDescent="0.25">
      <c r="A5661">
        <v>49.288993381964197</v>
      </c>
      <c r="B5661">
        <v>54.853141202597399</v>
      </c>
      <c r="C5661">
        <v>2001</v>
      </c>
    </row>
    <row r="5662" spans="1:11" x14ac:dyDescent="0.25">
      <c r="A5662">
        <v>49.869965732253</v>
      </c>
      <c r="B5662">
        <v>54.272168852308603</v>
      </c>
      <c r="C5662">
        <v>2001</v>
      </c>
    </row>
    <row r="5663" spans="1:11" x14ac:dyDescent="0.25">
      <c r="A5663">
        <v>50.798415334801398</v>
      </c>
      <c r="B5663">
        <v>53.343719249760198</v>
      </c>
      <c r="C5663">
        <v>2001</v>
      </c>
    </row>
    <row r="5664" spans="1:11" x14ac:dyDescent="0.25">
      <c r="A5664">
        <v>50.798415334801398</v>
      </c>
      <c r="B5664">
        <v>54.217751298657902</v>
      </c>
      <c r="C5664">
        <v>2000</v>
      </c>
    </row>
    <row r="5665" spans="1:11" x14ac:dyDescent="0.25">
      <c r="A5665">
        <v>50.1300342677469</v>
      </c>
      <c r="B5665">
        <v>54.886132365712299</v>
      </c>
      <c r="C5665">
        <v>2000</v>
      </c>
    </row>
    <row r="5666" spans="1:11" x14ac:dyDescent="0.25">
      <c r="A5666" t="s">
        <v>87</v>
      </c>
    </row>
    <row r="5667" spans="1:11" x14ac:dyDescent="0.25">
      <c r="A5667">
        <v>637</v>
      </c>
      <c r="B5667">
        <v>1</v>
      </c>
      <c r="C5667">
        <v>4.55481010179302</v>
      </c>
      <c r="D5667">
        <v>2.7735173089331902</v>
      </c>
      <c r="E5667">
        <v>6</v>
      </c>
      <c r="F5667">
        <v>1.01722196789785</v>
      </c>
      <c r="G5667" t="s">
        <v>85</v>
      </c>
      <c r="H5667" t="s">
        <v>89</v>
      </c>
      <c r="I5667">
        <v>588</v>
      </c>
      <c r="J5667">
        <v>619</v>
      </c>
      <c r="K5667">
        <v>0</v>
      </c>
    </row>
    <row r="5668" spans="1:11" x14ac:dyDescent="0.25">
      <c r="A5668" t="s">
        <v>86</v>
      </c>
    </row>
    <row r="5669" spans="1:11" x14ac:dyDescent="0.25">
      <c r="A5669">
        <v>117.796573037911</v>
      </c>
      <c r="B5669">
        <v>65.501622324775497</v>
      </c>
      <c r="C5669">
        <v>2000</v>
      </c>
    </row>
    <row r="5670" spans="1:11" x14ac:dyDescent="0.25">
      <c r="A5670">
        <v>114.71164624937499</v>
      </c>
      <c r="B5670">
        <v>68.586549113312103</v>
      </c>
      <c r="C5670">
        <v>2000</v>
      </c>
    </row>
    <row r="5671" spans="1:11" x14ac:dyDescent="0.25">
      <c r="A5671">
        <v>113.83761420047701</v>
      </c>
      <c r="B5671">
        <v>68.586549113312103</v>
      </c>
      <c r="C5671">
        <v>2001</v>
      </c>
    </row>
    <row r="5672" spans="1:11" x14ac:dyDescent="0.25">
      <c r="A5672">
        <v>117.19416163193</v>
      </c>
      <c r="B5672">
        <v>65.230001681858894</v>
      </c>
      <c r="C5672">
        <v>2001</v>
      </c>
    </row>
    <row r="5673" spans="1:11" x14ac:dyDescent="0.25">
      <c r="A5673">
        <v>119.238032219581</v>
      </c>
      <c r="B5673">
        <v>63.186131094207902</v>
      </c>
      <c r="C5673">
        <v>2001</v>
      </c>
    </row>
    <row r="5674" spans="1:11" x14ac:dyDescent="0.25">
      <c r="A5674">
        <v>119.67504824402999</v>
      </c>
      <c r="B5674">
        <v>63.623147118656703</v>
      </c>
      <c r="C5674">
        <v>2000</v>
      </c>
    </row>
    <row r="5675" spans="1:11" x14ac:dyDescent="0.25">
      <c r="A5675" t="s">
        <v>87</v>
      </c>
    </row>
    <row r="5676" spans="1:11" x14ac:dyDescent="0.25">
      <c r="A5676">
        <v>779</v>
      </c>
      <c r="B5676">
        <v>0</v>
      </c>
      <c r="C5676">
        <v>2.2036214525382301</v>
      </c>
      <c r="D5676">
        <v>5.0856799520822902</v>
      </c>
      <c r="E5676">
        <v>6</v>
      </c>
      <c r="F5676">
        <v>1.01722196789785</v>
      </c>
      <c r="G5676" t="s">
        <v>85</v>
      </c>
      <c r="H5676" t="s">
        <v>85</v>
      </c>
      <c r="I5676">
        <v>794</v>
      </c>
      <c r="J5676">
        <v>313</v>
      </c>
      <c r="K5676">
        <v>8.9537010595109504E-2</v>
      </c>
    </row>
    <row r="5677" spans="1:11" x14ac:dyDescent="0.25">
      <c r="A5677" t="s">
        <v>86</v>
      </c>
    </row>
    <row r="5678" spans="1:11" x14ac:dyDescent="0.25">
      <c r="A5678">
        <v>7.5561913231183899</v>
      </c>
      <c r="B5678">
        <v>137.779162476659</v>
      </c>
      <c r="C5678">
        <v>2000</v>
      </c>
    </row>
    <row r="5679" spans="1:11" x14ac:dyDescent="0.25">
      <c r="A5679">
        <v>5.9979956508604602</v>
      </c>
      <c r="B5679">
        <v>136.220966804401</v>
      </c>
      <c r="C5679">
        <v>2000</v>
      </c>
    </row>
    <row r="5680" spans="1:11" x14ac:dyDescent="0.25">
      <c r="A5680">
        <v>5.9979956508604602</v>
      </c>
      <c r="B5680">
        <v>135.34693475550301</v>
      </c>
      <c r="C5680">
        <v>2001</v>
      </c>
    </row>
    <row r="5681" spans="1:11" x14ac:dyDescent="0.25">
      <c r="A5681">
        <v>7.5561913231183899</v>
      </c>
      <c r="B5681">
        <v>136.90513042776101</v>
      </c>
      <c r="C5681">
        <v>2001</v>
      </c>
    </row>
    <row r="5682" spans="1:11" x14ac:dyDescent="0.25">
      <c r="A5682">
        <v>11.1523101041803</v>
      </c>
      <c r="B5682">
        <v>140.501249208823</v>
      </c>
      <c r="C5682">
        <v>2001</v>
      </c>
    </row>
    <row r="5683" spans="1:11" x14ac:dyDescent="0.25">
      <c r="A5683">
        <v>11.1523101041803</v>
      </c>
      <c r="B5683">
        <v>141.37528125772101</v>
      </c>
      <c r="C5683">
        <v>2000</v>
      </c>
    </row>
    <row r="5684" spans="1:11" x14ac:dyDescent="0.25">
      <c r="A5684" t="s">
        <v>87</v>
      </c>
    </row>
    <row r="5685" spans="1:11" x14ac:dyDescent="0.25">
      <c r="A5685">
        <v>1188</v>
      </c>
      <c r="B5685">
        <v>1</v>
      </c>
      <c r="C5685">
        <v>2.2441372674213702</v>
      </c>
      <c r="D5685">
        <v>4.9874595533233803</v>
      </c>
      <c r="E5685">
        <v>6</v>
      </c>
      <c r="F5685">
        <v>1.01722196789785</v>
      </c>
      <c r="G5685" t="s">
        <v>85</v>
      </c>
      <c r="H5685" t="s">
        <v>85</v>
      </c>
      <c r="I5685">
        <v>799</v>
      </c>
      <c r="J5685">
        <v>672</v>
      </c>
      <c r="K5685">
        <v>9.5800019506126696E-2</v>
      </c>
    </row>
    <row r="5686" spans="1:11" x14ac:dyDescent="0.25">
      <c r="A5686" t="s">
        <v>86</v>
      </c>
    </row>
    <row r="5687" spans="1:11" x14ac:dyDescent="0.25">
      <c r="A5687">
        <v>79.996442738918802</v>
      </c>
      <c r="B5687">
        <v>70.230685874936199</v>
      </c>
      <c r="C5687">
        <v>2000</v>
      </c>
    </row>
    <row r="5688" spans="1:11" x14ac:dyDescent="0.25">
      <c r="A5688">
        <v>78.409598059211703</v>
      </c>
      <c r="B5688">
        <v>71.817530554643298</v>
      </c>
      <c r="C5688">
        <v>2000</v>
      </c>
    </row>
    <row r="5689" spans="1:11" x14ac:dyDescent="0.25">
      <c r="A5689">
        <v>78.409598059211703</v>
      </c>
      <c r="B5689">
        <v>72.691562603540902</v>
      </c>
      <c r="C5689">
        <v>2001</v>
      </c>
    </row>
    <row r="5690" spans="1:11" x14ac:dyDescent="0.25">
      <c r="A5690">
        <v>79.996442738918802</v>
      </c>
      <c r="B5690">
        <v>71.104717923833803</v>
      </c>
      <c r="C5690">
        <v>2001</v>
      </c>
    </row>
    <row r="5691" spans="1:11" x14ac:dyDescent="0.25">
      <c r="A5691">
        <v>83.523109209967402</v>
      </c>
      <c r="B5691">
        <v>67.578051452785203</v>
      </c>
      <c r="C5691">
        <v>2001</v>
      </c>
    </row>
    <row r="5692" spans="1:11" x14ac:dyDescent="0.25">
      <c r="A5692">
        <v>83.523109209967402</v>
      </c>
      <c r="B5692">
        <v>66.7040194038876</v>
      </c>
      <c r="C5692">
        <v>2000</v>
      </c>
    </row>
    <row r="5693" spans="1:11" x14ac:dyDescent="0.25">
      <c r="A5693" t="s">
        <v>87</v>
      </c>
    </row>
    <row r="5694" spans="1:11" x14ac:dyDescent="0.25">
      <c r="A5694">
        <v>26</v>
      </c>
      <c r="B5694">
        <v>0</v>
      </c>
      <c r="C5694">
        <v>3.2066011199575502</v>
      </c>
      <c r="D5694">
        <v>3.99612817177576</v>
      </c>
      <c r="E5694">
        <v>6</v>
      </c>
      <c r="F5694">
        <v>1.01722196789785</v>
      </c>
      <c r="G5694" t="s">
        <v>85</v>
      </c>
      <c r="H5694" t="s">
        <v>85</v>
      </c>
      <c r="I5694">
        <v>820</v>
      </c>
      <c r="J5694">
        <v>774</v>
      </c>
      <c r="K5694">
        <v>0</v>
      </c>
    </row>
    <row r="5695" spans="1:11" x14ac:dyDescent="0.25">
      <c r="A5695" t="s">
        <v>86</v>
      </c>
    </row>
    <row r="5696" spans="1:11" x14ac:dyDescent="0.25">
      <c r="A5696">
        <v>5.0432026409745303</v>
      </c>
      <c r="B5696">
        <v>24.954281044628001</v>
      </c>
      <c r="C5696">
        <v>2000</v>
      </c>
    </row>
    <row r="5697" spans="1:11" x14ac:dyDescent="0.25">
      <c r="A5697">
        <v>2.7757932444921698</v>
      </c>
      <c r="B5697">
        <v>22.686871648145701</v>
      </c>
      <c r="C5697">
        <v>2000</v>
      </c>
    </row>
    <row r="5698" spans="1:11" x14ac:dyDescent="0.25">
      <c r="A5698">
        <v>2.77579324449216</v>
      </c>
      <c r="B5698">
        <v>21.812839599248001</v>
      </c>
      <c r="C5698">
        <v>2001</v>
      </c>
    </row>
    <row r="5699" spans="1:11" x14ac:dyDescent="0.25">
      <c r="A5699">
        <v>5.0432026409745303</v>
      </c>
      <c r="B5699">
        <v>24.0802489957304</v>
      </c>
      <c r="C5699">
        <v>2001</v>
      </c>
    </row>
    <row r="5700" spans="1:11" x14ac:dyDescent="0.25">
      <c r="A5700">
        <v>7.8688919697277697</v>
      </c>
      <c r="B5700">
        <v>26.9059383244836</v>
      </c>
      <c r="C5700">
        <v>2001</v>
      </c>
    </row>
    <row r="5701" spans="1:11" x14ac:dyDescent="0.25">
      <c r="A5701">
        <v>7.8688919697277697</v>
      </c>
      <c r="B5701">
        <v>27.7799703733813</v>
      </c>
      <c r="C5701">
        <v>2000</v>
      </c>
    </row>
    <row r="5702" spans="1:11" x14ac:dyDescent="0.25">
      <c r="A5702" t="s">
        <v>87</v>
      </c>
    </row>
    <row r="5703" spans="1:11" x14ac:dyDescent="0.25">
      <c r="A5703">
        <v>875</v>
      </c>
      <c r="B5703">
        <v>0</v>
      </c>
      <c r="C5703">
        <v>3.40974912743803</v>
      </c>
      <c r="D5703">
        <v>3.77934822711924</v>
      </c>
      <c r="E5703">
        <v>6</v>
      </c>
      <c r="F5703">
        <v>1.01722196789785</v>
      </c>
      <c r="G5703" t="s">
        <v>85</v>
      </c>
      <c r="H5703" t="s">
        <v>85</v>
      </c>
      <c r="I5703">
        <v>222</v>
      </c>
      <c r="J5703">
        <v>842</v>
      </c>
      <c r="K5703">
        <v>9.1169371169763397E-2</v>
      </c>
    </row>
    <row r="5704" spans="1:11" x14ac:dyDescent="0.25">
      <c r="A5704" t="s">
        <v>86</v>
      </c>
    </row>
    <row r="5705" spans="1:11" x14ac:dyDescent="0.25">
      <c r="A5705">
        <v>93.164508793247805</v>
      </c>
      <c r="B5705">
        <v>135.36869488453399</v>
      </c>
      <c r="C5705">
        <v>2000</v>
      </c>
    </row>
    <row r="5706" spans="1:11" x14ac:dyDescent="0.25">
      <c r="A5706">
        <v>90.960726347267993</v>
      </c>
      <c r="B5706">
        <v>133.16491243855401</v>
      </c>
      <c r="C5706">
        <v>2000</v>
      </c>
    </row>
    <row r="5707" spans="1:11" x14ac:dyDescent="0.25">
      <c r="A5707">
        <v>90.960726347267993</v>
      </c>
      <c r="B5707">
        <v>132.290880389656</v>
      </c>
      <c r="C5707">
        <v>2001</v>
      </c>
    </row>
    <row r="5708" spans="1:11" x14ac:dyDescent="0.25">
      <c r="A5708">
        <v>93.579057361600803</v>
      </c>
      <c r="B5708">
        <v>134.90921140398899</v>
      </c>
      <c r="C5708">
        <v>2001</v>
      </c>
    </row>
    <row r="5709" spans="1:11" x14ac:dyDescent="0.25">
      <c r="A5709">
        <v>96.481201861734505</v>
      </c>
      <c r="B5709">
        <v>137.81135590412299</v>
      </c>
      <c r="C5709">
        <v>2001</v>
      </c>
    </row>
    <row r="5710" spans="1:11" x14ac:dyDescent="0.25">
      <c r="A5710">
        <v>95.607169812836901</v>
      </c>
      <c r="B5710">
        <v>137.81135590412299</v>
      </c>
      <c r="C5710">
        <v>2000</v>
      </c>
    </row>
    <row r="5711" spans="1:11" x14ac:dyDescent="0.25">
      <c r="A5711" t="s">
        <v>87</v>
      </c>
    </row>
    <row r="5712" spans="1:11" x14ac:dyDescent="0.25">
      <c r="A5712">
        <v>952</v>
      </c>
      <c r="B5712">
        <v>0</v>
      </c>
      <c r="C5712">
        <v>4.4940312345892703</v>
      </c>
      <c r="D5712">
        <v>2.6944423301461602</v>
      </c>
      <c r="E5712">
        <v>6</v>
      </c>
      <c r="F5712">
        <v>1.01722196789785</v>
      </c>
      <c r="G5712" t="s">
        <v>85</v>
      </c>
      <c r="H5712" t="s">
        <v>85</v>
      </c>
      <c r="I5712">
        <v>319</v>
      </c>
      <c r="J5712">
        <v>730</v>
      </c>
      <c r="K5712">
        <v>9.2594931978171202E-2</v>
      </c>
    </row>
    <row r="5713" spans="1:11" x14ac:dyDescent="0.25">
      <c r="A5713" t="s">
        <v>86</v>
      </c>
    </row>
    <row r="5714" spans="1:11" x14ac:dyDescent="0.25">
      <c r="A5714">
        <v>57.316055617907999</v>
      </c>
      <c r="B5714">
        <v>127.27083270123801</v>
      </c>
      <c r="C5714">
        <v>2000</v>
      </c>
    </row>
    <row r="5715" spans="1:11" x14ac:dyDescent="0.25">
      <c r="A5715">
        <v>54.138295657065797</v>
      </c>
      <c r="B5715">
        <v>124.093072740395</v>
      </c>
      <c r="C5715">
        <v>2000</v>
      </c>
    </row>
    <row r="5716" spans="1:11" x14ac:dyDescent="0.25">
      <c r="A5716">
        <v>54.138295657065797</v>
      </c>
      <c r="B5716">
        <v>123.21904069149799</v>
      </c>
      <c r="C5716">
        <v>2001</v>
      </c>
    </row>
    <row r="5717" spans="1:11" x14ac:dyDescent="0.25">
      <c r="A5717">
        <v>57.316055617907999</v>
      </c>
      <c r="B5717">
        <v>126.39680065234</v>
      </c>
      <c r="C5717">
        <v>2001</v>
      </c>
    </row>
    <row r="5718" spans="1:11" x14ac:dyDescent="0.25">
      <c r="A5718">
        <v>59.221314061070501</v>
      </c>
      <c r="B5718">
        <v>128.30205909550301</v>
      </c>
      <c r="C5718">
        <v>2001</v>
      </c>
    </row>
    <row r="5719" spans="1:11" x14ac:dyDescent="0.25">
      <c r="A5719">
        <v>59.221314061070501</v>
      </c>
      <c r="B5719">
        <v>129.1760911444</v>
      </c>
      <c r="C5719">
        <v>2000</v>
      </c>
    </row>
    <row r="5720" spans="1:11" x14ac:dyDescent="0.25">
      <c r="A5720" t="s">
        <v>87</v>
      </c>
    </row>
    <row r="5721" spans="1:11" x14ac:dyDescent="0.25">
      <c r="A5721">
        <v>1190</v>
      </c>
      <c r="B5721">
        <v>1</v>
      </c>
      <c r="C5721">
        <v>0.78549211668865804</v>
      </c>
      <c r="D5721">
        <v>6.3977046790743399</v>
      </c>
      <c r="E5721">
        <v>6</v>
      </c>
      <c r="F5721">
        <v>1.01722196789785</v>
      </c>
      <c r="G5721" t="s">
        <v>85</v>
      </c>
      <c r="H5721" t="s">
        <v>85</v>
      </c>
      <c r="I5721">
        <v>789</v>
      </c>
      <c r="J5721">
        <v>112</v>
      </c>
      <c r="K5721">
        <v>9.5800019506126696E-2</v>
      </c>
    </row>
    <row r="5722" spans="1:11" x14ac:dyDescent="0.25">
      <c r="A5722" t="s">
        <v>86</v>
      </c>
    </row>
    <row r="5723" spans="1:11" x14ac:dyDescent="0.25">
      <c r="A5723">
        <v>120.982428181217</v>
      </c>
      <c r="B5723">
        <v>29.695950481202601</v>
      </c>
      <c r="C5723">
        <v>2000</v>
      </c>
    </row>
    <row r="5724" spans="1:11" x14ac:dyDescent="0.25">
      <c r="A5724">
        <v>120.474789662042</v>
      </c>
      <c r="B5724">
        <v>30.2035890003772</v>
      </c>
      <c r="C5724">
        <v>2000</v>
      </c>
    </row>
    <row r="5725" spans="1:11" x14ac:dyDescent="0.25">
      <c r="A5725">
        <v>120.474789662042</v>
      </c>
      <c r="B5725">
        <v>31.077621049274899</v>
      </c>
      <c r="C5725">
        <v>2001</v>
      </c>
    </row>
    <row r="5726" spans="1:11" x14ac:dyDescent="0.25">
      <c r="A5726">
        <v>121.07800474742599</v>
      </c>
      <c r="B5726">
        <v>30.4744059638913</v>
      </c>
      <c r="C5726">
        <v>2001</v>
      </c>
    </row>
    <row r="5727" spans="1:11" x14ac:dyDescent="0.25">
      <c r="A5727">
        <v>125.991092851372</v>
      </c>
      <c r="B5727">
        <v>25.561317859944602</v>
      </c>
      <c r="C5727">
        <v>2001</v>
      </c>
    </row>
    <row r="5728" spans="1:11" x14ac:dyDescent="0.25">
      <c r="A5728">
        <v>125.117060802475</v>
      </c>
      <c r="B5728">
        <v>25.561317859944602</v>
      </c>
      <c r="C5728">
        <v>2000</v>
      </c>
    </row>
    <row r="5729" spans="1:11" x14ac:dyDescent="0.25">
      <c r="A5729" t="s">
        <v>87</v>
      </c>
    </row>
    <row r="5730" spans="1:11" x14ac:dyDescent="0.25">
      <c r="A5730">
        <v>552</v>
      </c>
      <c r="B5730">
        <v>1</v>
      </c>
      <c r="C5730">
        <v>5.3013358929720296</v>
      </c>
      <c r="D5730">
        <v>1.86006793633234</v>
      </c>
      <c r="E5730">
        <v>6</v>
      </c>
      <c r="F5730">
        <v>1.01722196789785</v>
      </c>
      <c r="G5730" t="s">
        <v>85</v>
      </c>
      <c r="H5730" t="s">
        <v>85</v>
      </c>
      <c r="I5730">
        <v>517</v>
      </c>
      <c r="J5730">
        <v>510</v>
      </c>
      <c r="K5730">
        <v>0</v>
      </c>
    </row>
    <row r="5731" spans="1:11" x14ac:dyDescent="0.25">
      <c r="A5731" t="s">
        <v>86</v>
      </c>
    </row>
    <row r="5732" spans="1:11" x14ac:dyDescent="0.25">
      <c r="A5732">
        <v>117.47998501331899</v>
      </c>
      <c r="B5732">
        <v>117.07103801201301</v>
      </c>
      <c r="C5732">
        <v>2000</v>
      </c>
    </row>
    <row r="5733" spans="1:11" x14ac:dyDescent="0.25">
      <c r="A5733">
        <v>113.40786683020499</v>
      </c>
      <c r="B5733">
        <v>121.143156195126</v>
      </c>
      <c r="C5733">
        <v>2000</v>
      </c>
    </row>
    <row r="5734" spans="1:11" x14ac:dyDescent="0.25">
      <c r="A5734">
        <v>114.281898879103</v>
      </c>
      <c r="B5734">
        <v>121.143156195126</v>
      </c>
      <c r="C5734">
        <v>2001</v>
      </c>
    </row>
    <row r="5735" spans="1:11" x14ac:dyDescent="0.25">
      <c r="A5735">
        <v>117.707001814526</v>
      </c>
      <c r="B5735">
        <v>117.718053259703</v>
      </c>
      <c r="C5735">
        <v>2001</v>
      </c>
    </row>
    <row r="5736" spans="1:11" x14ac:dyDescent="0.25">
      <c r="A5736">
        <v>118.90876006517</v>
      </c>
      <c r="B5736">
        <v>116.516295009058</v>
      </c>
      <c r="C5736">
        <v>2001</v>
      </c>
    </row>
    <row r="5737" spans="1:11" x14ac:dyDescent="0.25">
      <c r="A5737">
        <v>118.90876006517</v>
      </c>
      <c r="B5737">
        <v>115.64226296016101</v>
      </c>
      <c r="C5737">
        <v>2000</v>
      </c>
    </row>
    <row r="5738" spans="1:11" x14ac:dyDescent="0.25">
      <c r="A5738" t="s">
        <v>87</v>
      </c>
    </row>
    <row r="5739" spans="1:11" x14ac:dyDescent="0.25">
      <c r="A5739">
        <v>1015</v>
      </c>
      <c r="B5739">
        <v>1</v>
      </c>
      <c r="C5739">
        <v>5.4714312387728299</v>
      </c>
      <c r="D5739">
        <v>1.6774853848106399</v>
      </c>
      <c r="E5739">
        <v>6</v>
      </c>
      <c r="F5739">
        <v>1.01722196789785</v>
      </c>
      <c r="G5739" t="s">
        <v>85</v>
      </c>
      <c r="H5739" t="s">
        <v>85</v>
      </c>
      <c r="I5739">
        <v>903</v>
      </c>
      <c r="J5739">
        <v>855</v>
      </c>
      <c r="K5739">
        <v>9.3443328339296097E-2</v>
      </c>
    </row>
    <row r="5740" spans="1:11" x14ac:dyDescent="0.25">
      <c r="A5740" t="s">
        <v>86</v>
      </c>
    </row>
    <row r="5741" spans="1:11" x14ac:dyDescent="0.25">
      <c r="A5741">
        <v>59.199475756078897</v>
      </c>
      <c r="B5741">
        <v>82.696635727567397</v>
      </c>
      <c r="C5741">
        <v>2000</v>
      </c>
    </row>
    <row r="5742" spans="1:11" x14ac:dyDescent="0.25">
      <c r="A5742">
        <v>55.665060321644397</v>
      </c>
      <c r="B5742">
        <v>86.231051162001805</v>
      </c>
      <c r="C5742">
        <v>2000</v>
      </c>
    </row>
    <row r="5743" spans="1:11" x14ac:dyDescent="0.25">
      <c r="A5743">
        <v>55.665060321644397</v>
      </c>
      <c r="B5743">
        <v>87.105083210899394</v>
      </c>
      <c r="C5743">
        <v>2001</v>
      </c>
    </row>
    <row r="5744" spans="1:11" x14ac:dyDescent="0.25">
      <c r="A5744">
        <v>59.868417150674397</v>
      </c>
      <c r="B5744">
        <v>82.901726381869494</v>
      </c>
      <c r="C5744">
        <v>2001</v>
      </c>
    </row>
    <row r="5745" spans="1:11" x14ac:dyDescent="0.25">
      <c r="A5745">
        <v>61.157123768766397</v>
      </c>
      <c r="B5745">
        <v>81.613019763777501</v>
      </c>
      <c r="C5745">
        <v>2001</v>
      </c>
    </row>
    <row r="5746" spans="1:11" x14ac:dyDescent="0.25">
      <c r="A5746">
        <v>60.2830917198687</v>
      </c>
      <c r="B5746">
        <v>81.613019763777501</v>
      </c>
      <c r="C5746">
        <v>2000</v>
      </c>
    </row>
    <row r="5747" spans="1:11" x14ac:dyDescent="0.25">
      <c r="A5747" t="s">
        <v>87</v>
      </c>
    </row>
    <row r="5748" spans="1:11" x14ac:dyDescent="0.25">
      <c r="A5748">
        <v>101</v>
      </c>
      <c r="B5748">
        <v>0</v>
      </c>
      <c r="C5748">
        <v>2.6353751555187599</v>
      </c>
      <c r="D5748">
        <v>4.5041619672500097</v>
      </c>
      <c r="E5748">
        <v>8</v>
      </c>
      <c r="F5748">
        <v>1.01722196789785</v>
      </c>
      <c r="G5748" t="s">
        <v>89</v>
      </c>
      <c r="H5748" t="s">
        <v>89</v>
      </c>
      <c r="I5748">
        <v>104</v>
      </c>
      <c r="J5748">
        <v>870</v>
      </c>
      <c r="K5748">
        <v>0</v>
      </c>
    </row>
    <row r="5749" spans="1:11" x14ac:dyDescent="0.25">
      <c r="A5749" t="s">
        <v>86</v>
      </c>
    </row>
    <row r="5750" spans="1:11" x14ac:dyDescent="0.25">
      <c r="A5750">
        <v>118.769064655424</v>
      </c>
      <c r="B5750">
        <v>47.049756268989398</v>
      </c>
      <c r="C5750">
        <v>2000</v>
      </c>
    </row>
    <row r="5751" spans="1:11" x14ac:dyDescent="0.25">
      <c r="A5751">
        <v>116.905573011987</v>
      </c>
      <c r="B5751">
        <v>45.186264625551502</v>
      </c>
      <c r="C5751">
        <v>2000</v>
      </c>
    </row>
    <row r="5752" spans="1:11" x14ac:dyDescent="0.25">
      <c r="A5752">
        <v>117.342589036435</v>
      </c>
      <c r="B5752">
        <v>44.7492486011027</v>
      </c>
      <c r="C5752">
        <v>2001</v>
      </c>
    </row>
    <row r="5753" spans="1:11" x14ac:dyDescent="0.25">
      <c r="A5753">
        <v>119.206080679873</v>
      </c>
      <c r="B5753">
        <v>46.612740244540603</v>
      </c>
      <c r="C5753">
        <v>2001</v>
      </c>
    </row>
    <row r="5754" spans="1:11" x14ac:dyDescent="0.25">
      <c r="A5754">
        <v>122.374832423108</v>
      </c>
      <c r="B5754">
        <v>49.781491987775603</v>
      </c>
      <c r="C5754">
        <v>2001</v>
      </c>
    </row>
    <row r="5755" spans="1:11" x14ac:dyDescent="0.25">
      <c r="A5755">
        <v>122.391004150478</v>
      </c>
      <c r="B5755">
        <v>49.797663715145603</v>
      </c>
      <c r="C5755">
        <v>2001</v>
      </c>
    </row>
    <row r="5756" spans="1:11" x14ac:dyDescent="0.25">
      <c r="A5756">
        <v>121.953988126029</v>
      </c>
      <c r="B5756">
        <v>50.234679739594398</v>
      </c>
      <c r="C5756">
        <v>2000</v>
      </c>
    </row>
    <row r="5757" spans="1:11" x14ac:dyDescent="0.25">
      <c r="A5757">
        <v>121.937816398659</v>
      </c>
      <c r="B5757">
        <v>50.218508012224397</v>
      </c>
      <c r="C5757">
        <v>2000</v>
      </c>
    </row>
    <row r="5758" spans="1:11" x14ac:dyDescent="0.25">
      <c r="A5758" t="s">
        <v>87</v>
      </c>
    </row>
    <row r="5759" spans="1:11" x14ac:dyDescent="0.25">
      <c r="A5759">
        <v>776</v>
      </c>
      <c r="B5759">
        <v>1</v>
      </c>
      <c r="C5759">
        <v>3.1299154179653201</v>
      </c>
      <c r="D5759">
        <v>3.9271733921835201</v>
      </c>
      <c r="E5759">
        <v>8</v>
      </c>
      <c r="F5759">
        <v>1.01722196789785</v>
      </c>
      <c r="G5759" t="s">
        <v>89</v>
      </c>
      <c r="H5759" t="s">
        <v>85</v>
      </c>
      <c r="I5759">
        <v>743</v>
      </c>
      <c r="J5759">
        <v>674</v>
      </c>
      <c r="K5759">
        <v>8.9537010595109504E-2</v>
      </c>
    </row>
    <row r="5760" spans="1:11" x14ac:dyDescent="0.25">
      <c r="A5760" t="s">
        <v>86</v>
      </c>
    </row>
    <row r="5761" spans="1:11" x14ac:dyDescent="0.25">
      <c r="A5761">
        <v>47.4813431266954</v>
      </c>
      <c r="B5761">
        <v>70.434022928718093</v>
      </c>
      <c r="C5761">
        <v>2000</v>
      </c>
    </row>
    <row r="5762" spans="1:11" x14ac:dyDescent="0.25">
      <c r="A5762">
        <v>45.177729250760201</v>
      </c>
      <c r="B5762">
        <v>72.737636804653206</v>
      </c>
      <c r="C5762">
        <v>2000</v>
      </c>
    </row>
    <row r="5763" spans="1:11" x14ac:dyDescent="0.25">
      <c r="A5763">
        <v>45.614745275209003</v>
      </c>
      <c r="B5763">
        <v>73.174652829102001</v>
      </c>
      <c r="C5763">
        <v>2001</v>
      </c>
    </row>
    <row r="5764" spans="1:11" x14ac:dyDescent="0.25">
      <c r="A5764">
        <v>47.737500232441</v>
      </c>
      <c r="B5764">
        <v>71.051897871869997</v>
      </c>
      <c r="C5764">
        <v>2001</v>
      </c>
    </row>
    <row r="5765" spans="1:11" x14ac:dyDescent="0.25">
      <c r="A5765">
        <v>50.030400879275298</v>
      </c>
      <c r="B5765">
        <v>68.758997225035799</v>
      </c>
      <c r="C5765">
        <v>2001</v>
      </c>
    </row>
    <row r="5766" spans="1:11" x14ac:dyDescent="0.25">
      <c r="A5766">
        <v>50.386352616076501</v>
      </c>
      <c r="B5766">
        <v>68.403045488234497</v>
      </c>
      <c r="C5766">
        <v>2001</v>
      </c>
    </row>
    <row r="5767" spans="1:11" x14ac:dyDescent="0.25">
      <c r="A5767">
        <v>50.386352616076501</v>
      </c>
      <c r="B5767">
        <v>67.529013439336893</v>
      </c>
      <c r="C5767">
        <v>2000</v>
      </c>
    </row>
    <row r="5768" spans="1:11" x14ac:dyDescent="0.25">
      <c r="A5768">
        <v>49.969599120724702</v>
      </c>
      <c r="B5768">
        <v>67.945766934688706</v>
      </c>
      <c r="C5768">
        <v>2000</v>
      </c>
    </row>
    <row r="5769" spans="1:11" x14ac:dyDescent="0.25">
      <c r="A5769" t="s">
        <v>87</v>
      </c>
    </row>
    <row r="5770" spans="1:11" x14ac:dyDescent="0.25">
      <c r="A5770">
        <v>954</v>
      </c>
      <c r="B5770">
        <v>1</v>
      </c>
      <c r="C5770">
        <v>2.6893263448153801</v>
      </c>
      <c r="D5770">
        <v>4.3075524374115703</v>
      </c>
      <c r="E5770">
        <v>6</v>
      </c>
      <c r="F5770">
        <v>1.01722196789785</v>
      </c>
      <c r="G5770" t="s">
        <v>85</v>
      </c>
      <c r="H5770" t="s">
        <v>85</v>
      </c>
      <c r="I5770">
        <v>745</v>
      </c>
      <c r="J5770">
        <v>517</v>
      </c>
      <c r="K5770">
        <v>9.2594931978171202E-2</v>
      </c>
    </row>
    <row r="5771" spans="1:11" x14ac:dyDescent="0.25">
      <c r="A5771" t="s">
        <v>86</v>
      </c>
    </row>
    <row r="5772" spans="1:11" x14ac:dyDescent="0.25">
      <c r="A5772">
        <v>115.821408513104</v>
      </c>
      <c r="B5772">
        <v>129.110408616575</v>
      </c>
      <c r="C5772">
        <v>2000</v>
      </c>
    </row>
    <row r="5773" spans="1:11" x14ac:dyDescent="0.25">
      <c r="A5773">
        <v>114.087739472775</v>
      </c>
      <c r="B5773">
        <v>130.84407765690401</v>
      </c>
      <c r="C5773">
        <v>2000</v>
      </c>
    </row>
    <row r="5774" spans="1:11" x14ac:dyDescent="0.25">
      <c r="A5774">
        <v>113.213707423877</v>
      </c>
      <c r="B5774">
        <v>130.84407765690401</v>
      </c>
      <c r="C5774">
        <v>2001</v>
      </c>
    </row>
    <row r="5775" spans="1:11" x14ac:dyDescent="0.25">
      <c r="A5775">
        <v>115.283320174034</v>
      </c>
      <c r="B5775">
        <v>128.77446490674799</v>
      </c>
      <c r="C5775">
        <v>2001</v>
      </c>
    </row>
    <row r="5776" spans="1:11" x14ac:dyDescent="0.25">
      <c r="A5776">
        <v>118.598263882379</v>
      </c>
      <c r="B5776">
        <v>125.459521198403</v>
      </c>
      <c r="C5776">
        <v>2001</v>
      </c>
    </row>
    <row r="5777" spans="1:11" x14ac:dyDescent="0.25">
      <c r="A5777">
        <v>118.598263882379</v>
      </c>
      <c r="B5777">
        <v>126.3335532473</v>
      </c>
      <c r="C5777">
        <v>2000</v>
      </c>
    </row>
    <row r="5778" spans="1:11" x14ac:dyDescent="0.25">
      <c r="A5778" t="s">
        <v>87</v>
      </c>
    </row>
    <row r="5779" spans="1:11" x14ac:dyDescent="0.25">
      <c r="A5779">
        <v>971</v>
      </c>
      <c r="B5779">
        <v>1</v>
      </c>
      <c r="C5779">
        <v>4.0935671745483804</v>
      </c>
      <c r="D5779">
        <v>2.9033116076785701</v>
      </c>
      <c r="E5779">
        <v>6</v>
      </c>
      <c r="F5779">
        <v>1.01722196789785</v>
      </c>
      <c r="G5779" t="s">
        <v>85</v>
      </c>
      <c r="H5779" t="s">
        <v>85</v>
      </c>
      <c r="I5779">
        <v>745</v>
      </c>
      <c r="J5779">
        <v>517</v>
      </c>
      <c r="K5779">
        <v>9.2813824447879903E-2</v>
      </c>
    </row>
    <row r="5780" spans="1:11" x14ac:dyDescent="0.25">
      <c r="A5780" t="s">
        <v>86</v>
      </c>
    </row>
    <row r="5781" spans="1:11" x14ac:dyDescent="0.25">
      <c r="A5781">
        <v>114.952022047933</v>
      </c>
      <c r="B5781">
        <v>126.430539867343</v>
      </c>
      <c r="C5781">
        <v>2000</v>
      </c>
    </row>
    <row r="5782" spans="1:11" x14ac:dyDescent="0.25">
      <c r="A5782">
        <v>112.31311186557301</v>
      </c>
      <c r="B5782">
        <v>129.069450049702</v>
      </c>
      <c r="C5782">
        <v>2000</v>
      </c>
    </row>
    <row r="5783" spans="1:11" x14ac:dyDescent="0.25">
      <c r="A5783">
        <v>112.31311186557301</v>
      </c>
      <c r="B5783">
        <v>129.94348209859999</v>
      </c>
      <c r="C5783">
        <v>2001</v>
      </c>
    </row>
    <row r="5784" spans="1:11" x14ac:dyDescent="0.25">
      <c r="A5784">
        <v>115.463379899945</v>
      </c>
      <c r="B5784">
        <v>126.793214064228</v>
      </c>
      <c r="C5784">
        <v>2001</v>
      </c>
    </row>
    <row r="5785" spans="1:11" x14ac:dyDescent="0.25">
      <c r="A5785">
        <v>117.697668324075</v>
      </c>
      <c r="B5785">
        <v>124.558925640098</v>
      </c>
      <c r="C5785">
        <v>2001</v>
      </c>
    </row>
    <row r="5786" spans="1:11" x14ac:dyDescent="0.25">
      <c r="A5786">
        <v>116.82363627517699</v>
      </c>
      <c r="B5786">
        <v>124.558925640098</v>
      </c>
      <c r="C5786">
        <v>2000</v>
      </c>
    </row>
    <row r="5787" spans="1:11" x14ac:dyDescent="0.25">
      <c r="A5787" t="s">
        <v>87</v>
      </c>
    </row>
    <row r="5788" spans="1:11" x14ac:dyDescent="0.25">
      <c r="A5788">
        <v>1175</v>
      </c>
      <c r="B5788">
        <v>0</v>
      </c>
      <c r="C5788">
        <v>5.76796014959345</v>
      </c>
      <c r="D5788">
        <v>1.22269909134303</v>
      </c>
      <c r="E5788">
        <v>6</v>
      </c>
      <c r="F5788">
        <v>1.01722196789785</v>
      </c>
      <c r="G5788" t="s">
        <v>85</v>
      </c>
      <c r="H5788" t="s">
        <v>85</v>
      </c>
      <c r="I5788">
        <v>319</v>
      </c>
      <c r="J5788">
        <v>732</v>
      </c>
      <c r="K5788">
        <v>9.5636215209858197E-2</v>
      </c>
    </row>
    <row r="5789" spans="1:11" x14ac:dyDescent="0.25">
      <c r="A5789" t="s">
        <v>86</v>
      </c>
    </row>
    <row r="5790" spans="1:11" x14ac:dyDescent="0.25">
      <c r="A5790">
        <v>63.198632980132203</v>
      </c>
      <c r="B5790">
        <v>122.468703144266</v>
      </c>
      <c r="C5790">
        <v>2000</v>
      </c>
    </row>
    <row r="5791" spans="1:11" x14ac:dyDescent="0.25">
      <c r="A5791">
        <v>59.480649116663898</v>
      </c>
      <c r="B5791">
        <v>118.750719280797</v>
      </c>
      <c r="C5791">
        <v>2000</v>
      </c>
    </row>
    <row r="5792" spans="1:11" x14ac:dyDescent="0.25">
      <c r="A5792">
        <v>58.606617067766301</v>
      </c>
      <c r="B5792">
        <v>118.750719280797</v>
      </c>
      <c r="C5792">
        <v>2001</v>
      </c>
    </row>
    <row r="5793" spans="1:11" x14ac:dyDescent="0.25">
      <c r="A5793">
        <v>63.045760675080601</v>
      </c>
      <c r="B5793">
        <v>123.189862888112</v>
      </c>
      <c r="C5793">
        <v>2001</v>
      </c>
    </row>
    <row r="5794" spans="1:11" x14ac:dyDescent="0.25">
      <c r="A5794">
        <v>63.9867756464457</v>
      </c>
      <c r="B5794">
        <v>124.130877859477</v>
      </c>
      <c r="C5794">
        <v>2001</v>
      </c>
    </row>
    <row r="5795" spans="1:11" x14ac:dyDescent="0.25">
      <c r="A5795">
        <v>63.9867756464457</v>
      </c>
      <c r="B5795">
        <v>123.25684581057899</v>
      </c>
      <c r="C5795">
        <v>2000</v>
      </c>
    </row>
    <row r="5796" spans="1:11" x14ac:dyDescent="0.25">
      <c r="A5796" t="s">
        <v>87</v>
      </c>
    </row>
    <row r="5797" spans="1:11" x14ac:dyDescent="0.25">
      <c r="A5797">
        <v>739</v>
      </c>
      <c r="B5797">
        <v>0</v>
      </c>
      <c r="C5797">
        <v>3.29797612965262</v>
      </c>
      <c r="D5797">
        <v>3.6856908009401401</v>
      </c>
      <c r="E5797">
        <v>6</v>
      </c>
      <c r="F5797">
        <v>1.01722196789785</v>
      </c>
      <c r="G5797" t="s">
        <v>85</v>
      </c>
      <c r="H5797" t="s">
        <v>85</v>
      </c>
      <c r="I5797">
        <v>388</v>
      </c>
      <c r="J5797">
        <v>383</v>
      </c>
      <c r="K5797">
        <v>8.8543832116719706E-2</v>
      </c>
    </row>
    <row r="5798" spans="1:11" x14ac:dyDescent="0.25">
      <c r="A5798" t="s">
        <v>86</v>
      </c>
    </row>
    <row r="5799" spans="1:11" x14ac:dyDescent="0.25">
      <c r="A5799">
        <v>7.2977700258361002</v>
      </c>
      <c r="B5799">
        <v>90.893695231044106</v>
      </c>
      <c r="C5799">
        <v>2000</v>
      </c>
    </row>
    <row r="5800" spans="1:11" x14ac:dyDescent="0.25">
      <c r="A5800">
        <v>4.7593717136231097</v>
      </c>
      <c r="B5800">
        <v>88.355296918831101</v>
      </c>
      <c r="C5800">
        <v>2000</v>
      </c>
    </row>
    <row r="5801" spans="1:11" x14ac:dyDescent="0.25">
      <c r="A5801">
        <v>4.7593717136231097</v>
      </c>
      <c r="B5801">
        <v>89.229328967728705</v>
      </c>
      <c r="C5801">
        <v>2001</v>
      </c>
    </row>
    <row r="5802" spans="1:11" x14ac:dyDescent="0.25">
      <c r="A5802">
        <v>6.8850159723475999</v>
      </c>
      <c r="B5802">
        <v>91.354973226453197</v>
      </c>
      <c r="C5802">
        <v>2001</v>
      </c>
    </row>
    <row r="5803" spans="1:11" x14ac:dyDescent="0.25">
      <c r="A5803">
        <v>9.2605539333446796</v>
      </c>
      <c r="B5803">
        <v>93.730511187450304</v>
      </c>
      <c r="C5803">
        <v>2001</v>
      </c>
    </row>
    <row r="5804" spans="1:11" x14ac:dyDescent="0.25">
      <c r="A5804">
        <v>10.134585982242299</v>
      </c>
      <c r="B5804">
        <v>93.730511187450304</v>
      </c>
      <c r="C5804">
        <v>2000</v>
      </c>
    </row>
    <row r="5805" spans="1:11" x14ac:dyDescent="0.25">
      <c r="A5805" t="s">
        <v>87</v>
      </c>
    </row>
    <row r="5806" spans="1:11" x14ac:dyDescent="0.25">
      <c r="A5806">
        <v>1050</v>
      </c>
      <c r="B5806">
        <v>1</v>
      </c>
      <c r="C5806">
        <v>6.5780178203659299</v>
      </c>
      <c r="D5806">
        <v>0.39090642249224999</v>
      </c>
      <c r="E5806">
        <v>6</v>
      </c>
      <c r="F5806">
        <v>1.01722196789785</v>
      </c>
      <c r="G5806" t="s">
        <v>85</v>
      </c>
      <c r="H5806" t="s">
        <v>88</v>
      </c>
      <c r="I5806">
        <v>845</v>
      </c>
      <c r="J5806">
        <v>0</v>
      </c>
      <c r="K5806">
        <v>9.4036209728977305E-2</v>
      </c>
    </row>
    <row r="5807" spans="1:11" x14ac:dyDescent="0.25">
      <c r="A5807" t="s">
        <v>86</v>
      </c>
    </row>
    <row r="5808" spans="1:11" x14ac:dyDescent="0.25">
      <c r="A5808">
        <v>56.800448354988099</v>
      </c>
      <c r="B5808">
        <v>0.30092603139427099</v>
      </c>
      <c r="C5808">
        <v>2000</v>
      </c>
    </row>
    <row r="5809" spans="1:11" x14ac:dyDescent="0.25">
      <c r="A5809">
        <v>51.736584772233201</v>
      </c>
      <c r="B5809">
        <v>5.3647896141491804</v>
      </c>
      <c r="C5809">
        <v>2000</v>
      </c>
    </row>
    <row r="5810" spans="1:11" x14ac:dyDescent="0.25">
      <c r="A5810">
        <v>51.736584772233201</v>
      </c>
      <c r="B5810">
        <v>4.4907575652515401</v>
      </c>
      <c r="C5810">
        <v>2001</v>
      </c>
    </row>
    <row r="5811" spans="1:11" x14ac:dyDescent="0.25">
      <c r="A5811">
        <v>55.975443204571697</v>
      </c>
      <c r="B5811">
        <v>0.25189913291301802</v>
      </c>
      <c r="C5811">
        <v>2001</v>
      </c>
    </row>
    <row r="5812" spans="1:11" x14ac:dyDescent="0.25">
      <c r="A5812">
        <v>56.2273423374847</v>
      </c>
      <c r="B5812">
        <v>0</v>
      </c>
      <c r="C5812">
        <v>2001</v>
      </c>
    </row>
    <row r="5813" spans="1:11" x14ac:dyDescent="0.25">
      <c r="A5813">
        <v>57.101374386382403</v>
      </c>
      <c r="B5813">
        <v>0</v>
      </c>
      <c r="C5813">
        <v>2000</v>
      </c>
    </row>
    <row r="5814" spans="1:11" x14ac:dyDescent="0.25">
      <c r="A5814" t="s">
        <v>87</v>
      </c>
    </row>
    <row r="5815" spans="1:11" x14ac:dyDescent="0.25">
      <c r="A5815">
        <v>1093</v>
      </c>
      <c r="B5815">
        <v>0</v>
      </c>
      <c r="C5815">
        <v>5.4295861517996498</v>
      </c>
      <c r="D5815">
        <v>1.52586310150244</v>
      </c>
      <c r="E5815">
        <v>6</v>
      </c>
      <c r="F5815">
        <v>1.01722196789785</v>
      </c>
      <c r="G5815" t="s">
        <v>85</v>
      </c>
      <c r="H5815" t="s">
        <v>85</v>
      </c>
      <c r="I5815">
        <v>622</v>
      </c>
      <c r="J5815">
        <v>812</v>
      </c>
      <c r="K5815">
        <v>9.4596959481043894E-2</v>
      </c>
    </row>
    <row r="5816" spans="1:11" x14ac:dyDescent="0.25">
      <c r="A5816" t="s">
        <v>86</v>
      </c>
    </row>
    <row r="5817" spans="1:11" x14ac:dyDescent="0.25">
      <c r="A5817">
        <v>121.724638624929</v>
      </c>
      <c r="B5817">
        <v>60.6370166459293</v>
      </c>
      <c r="C5817">
        <v>2000</v>
      </c>
    </row>
    <row r="5818" spans="1:11" x14ac:dyDescent="0.25">
      <c r="A5818">
        <v>117.88534143795501</v>
      </c>
      <c r="B5818">
        <v>56.7977194589552</v>
      </c>
      <c r="C5818">
        <v>2000</v>
      </c>
    </row>
    <row r="5819" spans="1:11" x14ac:dyDescent="0.25">
      <c r="A5819">
        <v>118.759373486852</v>
      </c>
      <c r="B5819">
        <v>56.7977194589552</v>
      </c>
      <c r="C5819">
        <v>2001</v>
      </c>
    </row>
    <row r="5820" spans="1:11" x14ac:dyDescent="0.25">
      <c r="A5820">
        <v>122.59867067382601</v>
      </c>
      <c r="B5820">
        <v>60.6370166459293</v>
      </c>
      <c r="C5820">
        <v>2001</v>
      </c>
    </row>
    <row r="5821" spans="1:11" x14ac:dyDescent="0.25">
      <c r="A5821">
        <v>123.677618820061</v>
      </c>
      <c r="B5821">
        <v>61.715964792164002</v>
      </c>
      <c r="C5821">
        <v>2001</v>
      </c>
    </row>
    <row r="5822" spans="1:11" x14ac:dyDescent="0.25">
      <c r="A5822">
        <v>122.80358677116401</v>
      </c>
      <c r="B5822">
        <v>61.715964792164002</v>
      </c>
      <c r="C5822">
        <v>2000</v>
      </c>
    </row>
    <row r="5823" spans="1:11" x14ac:dyDescent="0.25">
      <c r="A5823" t="s">
        <v>87</v>
      </c>
    </row>
    <row r="5824" spans="1:11" x14ac:dyDescent="0.25">
      <c r="A5824">
        <v>898</v>
      </c>
      <c r="B5824">
        <v>0</v>
      </c>
      <c r="C5824">
        <v>1.6629977349004701</v>
      </c>
      <c r="D5824">
        <v>5.2924515184016201</v>
      </c>
      <c r="E5824">
        <v>6</v>
      </c>
      <c r="F5824">
        <v>1.01722196789785</v>
      </c>
      <c r="G5824" t="s">
        <v>85</v>
      </c>
      <c r="H5824" t="s">
        <v>85</v>
      </c>
      <c r="I5824">
        <v>622</v>
      </c>
      <c r="J5824">
        <v>812</v>
      </c>
      <c r="K5824">
        <v>9.142164214173E-2</v>
      </c>
    </row>
    <row r="5825" spans="1:11" x14ac:dyDescent="0.25">
      <c r="A5825" t="s">
        <v>86</v>
      </c>
    </row>
    <row r="5826" spans="1:11" x14ac:dyDescent="0.25">
      <c r="A5826">
        <v>118.243400272095</v>
      </c>
      <c r="B5826">
        <v>58.791494575706601</v>
      </c>
      <c r="C5826">
        <v>2000</v>
      </c>
    </row>
    <row r="5827" spans="1:11" x14ac:dyDescent="0.25">
      <c r="A5827">
        <v>117.067483296649</v>
      </c>
      <c r="B5827">
        <v>57.6155776002606</v>
      </c>
      <c r="C5827">
        <v>2000</v>
      </c>
    </row>
    <row r="5828" spans="1:11" x14ac:dyDescent="0.25">
      <c r="A5828">
        <v>117.067483296649</v>
      </c>
      <c r="B5828">
        <v>58.489609649158297</v>
      </c>
      <c r="C5828">
        <v>2001</v>
      </c>
    </row>
    <row r="5829" spans="1:11" x14ac:dyDescent="0.25">
      <c r="A5829">
        <v>118.243400272095</v>
      </c>
      <c r="B5829">
        <v>59.665526624604297</v>
      </c>
      <c r="C5829">
        <v>2001</v>
      </c>
    </row>
    <row r="5830" spans="1:11" x14ac:dyDescent="0.25">
      <c r="A5830">
        <v>121.985728629858</v>
      </c>
      <c r="B5830">
        <v>63.407854982367098</v>
      </c>
      <c r="C5830">
        <v>2001</v>
      </c>
    </row>
    <row r="5831" spans="1:11" x14ac:dyDescent="0.25">
      <c r="A5831">
        <v>121.985728629858</v>
      </c>
      <c r="B5831">
        <v>62.533822933469501</v>
      </c>
      <c r="C5831">
        <v>2000</v>
      </c>
    </row>
    <row r="5832" spans="1:11" x14ac:dyDescent="0.25">
      <c r="A5832" t="s">
        <v>87</v>
      </c>
    </row>
    <row r="5833" spans="1:11" x14ac:dyDescent="0.25">
      <c r="A5833">
        <v>942</v>
      </c>
      <c r="B5833">
        <v>0</v>
      </c>
      <c r="C5833">
        <v>5.9809428442970498</v>
      </c>
      <c r="D5833">
        <v>0.97450640900504504</v>
      </c>
      <c r="E5833">
        <v>6</v>
      </c>
      <c r="F5833">
        <v>1.01722196789785</v>
      </c>
      <c r="G5833" t="s">
        <v>85</v>
      </c>
      <c r="H5833" t="s">
        <v>85</v>
      </c>
      <c r="I5833">
        <v>622</v>
      </c>
      <c r="J5833">
        <v>812</v>
      </c>
      <c r="K5833">
        <v>9.2371134687469506E-2</v>
      </c>
    </row>
    <row r="5834" spans="1:11" x14ac:dyDescent="0.25">
      <c r="A5834" t="s">
        <v>86</v>
      </c>
    </row>
    <row r="5835" spans="1:11" x14ac:dyDescent="0.25">
      <c r="A5835">
        <v>125.448734557931</v>
      </c>
      <c r="B5835">
        <v>57.692656825162402</v>
      </c>
      <c r="C5835">
        <v>2000</v>
      </c>
    </row>
    <row r="5836" spans="1:11" x14ac:dyDescent="0.25">
      <c r="A5836">
        <v>121.21956931483901</v>
      </c>
      <c r="B5836">
        <v>53.463491582070802</v>
      </c>
      <c r="C5836">
        <v>2000</v>
      </c>
    </row>
    <row r="5837" spans="1:11" x14ac:dyDescent="0.25">
      <c r="A5837">
        <v>121.21956931483901</v>
      </c>
      <c r="B5837">
        <v>54.337523630968398</v>
      </c>
      <c r="C5837">
        <v>2001</v>
      </c>
    </row>
    <row r="5838" spans="1:11" x14ac:dyDescent="0.25">
      <c r="A5838">
        <v>125.448734557931</v>
      </c>
      <c r="B5838">
        <v>58.566688874059999</v>
      </c>
      <c r="C5838">
        <v>2001</v>
      </c>
    </row>
    <row r="5839" spans="1:11" x14ac:dyDescent="0.25">
      <c r="A5839">
        <v>126.13781464804801</v>
      </c>
      <c r="B5839">
        <v>59.2557689641773</v>
      </c>
      <c r="C5839">
        <v>2001</v>
      </c>
    </row>
    <row r="5840" spans="1:11" x14ac:dyDescent="0.25">
      <c r="A5840">
        <v>126.13781464804801</v>
      </c>
      <c r="B5840">
        <v>58.381736915279603</v>
      </c>
      <c r="C5840">
        <v>2000</v>
      </c>
    </row>
    <row r="5841" spans="1:11" x14ac:dyDescent="0.25">
      <c r="A5841" t="s">
        <v>87</v>
      </c>
    </row>
    <row r="5842" spans="1:11" x14ac:dyDescent="0.25">
      <c r="A5842">
        <v>1110</v>
      </c>
      <c r="B5842">
        <v>0</v>
      </c>
      <c r="C5842">
        <v>6.7996578234936198</v>
      </c>
      <c r="D5842">
        <v>0.115710073200987</v>
      </c>
      <c r="E5842">
        <v>6</v>
      </c>
      <c r="F5842">
        <v>1.01722196789785</v>
      </c>
      <c r="G5842" t="s">
        <v>85</v>
      </c>
      <c r="H5842" t="s">
        <v>85</v>
      </c>
      <c r="I5842">
        <v>928</v>
      </c>
      <c r="J5842">
        <v>712</v>
      </c>
      <c r="K5842">
        <v>9.4777393206033497E-2</v>
      </c>
    </row>
    <row r="5843" spans="1:11" x14ac:dyDescent="0.25">
      <c r="A5843" t="s">
        <v>86</v>
      </c>
    </row>
    <row r="5844" spans="1:11" x14ac:dyDescent="0.25">
      <c r="A5844">
        <v>63.495524792696997</v>
      </c>
      <c r="B5844">
        <v>72.399933126950302</v>
      </c>
      <c r="C5844">
        <v>2000</v>
      </c>
    </row>
    <row r="5845" spans="1:11" x14ac:dyDescent="0.25">
      <c r="A5845">
        <v>58.687440635956598</v>
      </c>
      <c r="B5845">
        <v>67.591848970209696</v>
      </c>
      <c r="C5845">
        <v>2000</v>
      </c>
    </row>
    <row r="5846" spans="1:11" x14ac:dyDescent="0.25">
      <c r="A5846">
        <v>58.687440635956598</v>
      </c>
      <c r="B5846">
        <v>68.4658810191074</v>
      </c>
      <c r="C5846">
        <v>2001</v>
      </c>
    </row>
    <row r="5847" spans="1:11" x14ac:dyDescent="0.25">
      <c r="A5847">
        <v>63.495524792697097</v>
      </c>
      <c r="B5847">
        <v>73.273965175847806</v>
      </c>
      <c r="C5847">
        <v>2001</v>
      </c>
    </row>
    <row r="5848" spans="1:11" x14ac:dyDescent="0.25">
      <c r="A5848">
        <v>63.5773441701091</v>
      </c>
      <c r="B5848">
        <v>73.355784553259895</v>
      </c>
      <c r="C5848">
        <v>2001</v>
      </c>
    </row>
    <row r="5849" spans="1:11" x14ac:dyDescent="0.25">
      <c r="A5849">
        <v>63.577344170109001</v>
      </c>
      <c r="B5849">
        <v>72.481752504362305</v>
      </c>
      <c r="C5849">
        <v>2000</v>
      </c>
    </row>
    <row r="5850" spans="1:11" x14ac:dyDescent="0.25">
      <c r="A5850" t="s">
        <v>87</v>
      </c>
    </row>
    <row r="5851" spans="1:11" x14ac:dyDescent="0.25">
      <c r="A5851">
        <v>1047</v>
      </c>
      <c r="B5851">
        <v>0</v>
      </c>
      <c r="C5851">
        <v>6.2298028956398097</v>
      </c>
      <c r="D5851">
        <v>0.62977283043110799</v>
      </c>
      <c r="E5851">
        <v>8</v>
      </c>
      <c r="F5851">
        <v>1.01722196789785</v>
      </c>
      <c r="G5851" t="s">
        <v>85</v>
      </c>
      <c r="H5851" t="s">
        <v>88</v>
      </c>
      <c r="I5851">
        <v>555</v>
      </c>
      <c r="J5851">
        <v>0</v>
      </c>
      <c r="K5851">
        <v>9.4036209728977305E-2</v>
      </c>
    </row>
    <row r="5852" spans="1:11" x14ac:dyDescent="0.25">
      <c r="A5852" t="s">
        <v>86</v>
      </c>
    </row>
    <row r="5853" spans="1:11" x14ac:dyDescent="0.25">
      <c r="A5853">
        <v>149.42344925678501</v>
      </c>
      <c r="B5853">
        <v>100.559263035572</v>
      </c>
      <c r="C5853">
        <v>2000</v>
      </c>
    </row>
    <row r="5854" spans="1:11" x14ac:dyDescent="0.25">
      <c r="A5854">
        <v>149.09526766051201</v>
      </c>
      <c r="B5854">
        <v>100.23108143929799</v>
      </c>
      <c r="C5854">
        <v>2000</v>
      </c>
    </row>
    <row r="5855" spans="1:11" x14ac:dyDescent="0.25">
      <c r="A5855">
        <v>145.14954748803299</v>
      </c>
      <c r="B5855">
        <v>96.285361266818896</v>
      </c>
      <c r="C5855">
        <v>2000</v>
      </c>
    </row>
    <row r="5856" spans="1:11" x14ac:dyDescent="0.25">
      <c r="A5856">
        <v>145.14954748803299</v>
      </c>
      <c r="B5856">
        <v>95.411329217921306</v>
      </c>
      <c r="C5856">
        <v>2001</v>
      </c>
    </row>
    <row r="5857" spans="1:11" x14ac:dyDescent="0.25">
      <c r="A5857">
        <v>149.50713683081301</v>
      </c>
      <c r="B5857">
        <v>99.768918560702005</v>
      </c>
      <c r="C5857">
        <v>2001</v>
      </c>
    </row>
    <row r="5858" spans="1:11" x14ac:dyDescent="0.25">
      <c r="A5858">
        <v>149.68591746520499</v>
      </c>
      <c r="B5858">
        <v>99.947699195093506</v>
      </c>
      <c r="C5858">
        <v>2001</v>
      </c>
    </row>
    <row r="5859" spans="1:11" x14ac:dyDescent="0.25">
      <c r="A5859">
        <v>150</v>
      </c>
      <c r="B5859">
        <v>100.26178172988899</v>
      </c>
      <c r="C5859">
        <v>2001</v>
      </c>
    </row>
    <row r="5860" spans="1:11" x14ac:dyDescent="0.25">
      <c r="A5860">
        <v>150</v>
      </c>
      <c r="B5860">
        <v>101.135813778786</v>
      </c>
      <c r="C5860">
        <v>2000</v>
      </c>
    </row>
    <row r="5861" spans="1:11" x14ac:dyDescent="0.25">
      <c r="A5861" t="s">
        <v>87</v>
      </c>
    </row>
    <row r="5862" spans="1:11" x14ac:dyDescent="0.25">
      <c r="A5862">
        <v>990</v>
      </c>
      <c r="B5862">
        <v>0</v>
      </c>
      <c r="C5862">
        <v>3.6673770897549498</v>
      </c>
      <c r="D5862">
        <v>3.1874583177000502</v>
      </c>
      <c r="E5862">
        <v>6</v>
      </c>
      <c r="F5862">
        <v>1.01722196789785</v>
      </c>
      <c r="G5862" t="s">
        <v>85</v>
      </c>
      <c r="H5862" t="s">
        <v>88</v>
      </c>
      <c r="I5862">
        <v>830</v>
      </c>
      <c r="J5862">
        <v>0</v>
      </c>
      <c r="K5862">
        <v>9.3028045338835699E-2</v>
      </c>
    </row>
    <row r="5863" spans="1:11" x14ac:dyDescent="0.25">
      <c r="A5863" t="s">
        <v>86</v>
      </c>
    </row>
    <row r="5864" spans="1:11" x14ac:dyDescent="0.25">
      <c r="A5864">
        <v>42.358939021885597</v>
      </c>
      <c r="B5864">
        <v>147.94933650069899</v>
      </c>
      <c r="C5864">
        <v>2000</v>
      </c>
    </row>
    <row r="5865" spans="1:11" x14ac:dyDescent="0.25">
      <c r="A5865">
        <v>39.999517945106902</v>
      </c>
      <c r="B5865">
        <v>145.58991542391999</v>
      </c>
      <c r="C5865">
        <v>2000</v>
      </c>
    </row>
    <row r="5866" spans="1:11" x14ac:dyDescent="0.25">
      <c r="A5866">
        <v>39.999517945106902</v>
      </c>
      <c r="B5866">
        <v>144.715883375022</v>
      </c>
      <c r="C5866">
        <v>2001</v>
      </c>
    </row>
    <row r="5867" spans="1:11" x14ac:dyDescent="0.25">
      <c r="A5867">
        <v>42.826551286996001</v>
      </c>
      <c r="B5867">
        <v>147.54291671691101</v>
      </c>
      <c r="C5867">
        <v>2001</v>
      </c>
    </row>
    <row r="5868" spans="1:11" x14ac:dyDescent="0.25">
      <c r="A5868">
        <v>45.2836345700847</v>
      </c>
      <c r="B5868">
        <v>150</v>
      </c>
      <c r="C5868">
        <v>2001</v>
      </c>
    </row>
    <row r="5869" spans="1:11" x14ac:dyDescent="0.25">
      <c r="A5869">
        <v>44.409602521187097</v>
      </c>
      <c r="B5869">
        <v>150</v>
      </c>
      <c r="C5869">
        <v>2000</v>
      </c>
    </row>
    <row r="5870" spans="1:11" x14ac:dyDescent="0.25">
      <c r="A5870" t="s">
        <v>87</v>
      </c>
    </row>
    <row r="5871" spans="1:11" x14ac:dyDescent="0.25">
      <c r="A5871">
        <v>355</v>
      </c>
      <c r="B5871">
        <v>0</v>
      </c>
      <c r="C5871">
        <v>6.0418927849005097</v>
      </c>
      <c r="D5871">
        <v>0.78025693505762195</v>
      </c>
      <c r="E5871">
        <v>6</v>
      </c>
      <c r="F5871">
        <v>1.01722196789785</v>
      </c>
      <c r="G5871" t="s">
        <v>85</v>
      </c>
      <c r="H5871" t="s">
        <v>89</v>
      </c>
      <c r="I5871">
        <v>386</v>
      </c>
      <c r="J5871">
        <v>352</v>
      </c>
      <c r="K5871">
        <v>0</v>
      </c>
    </row>
    <row r="5872" spans="1:11" x14ac:dyDescent="0.25">
      <c r="A5872" t="s">
        <v>86</v>
      </c>
    </row>
    <row r="5873" spans="1:11" x14ac:dyDescent="0.25">
      <c r="A5873">
        <v>48.709911927912103</v>
      </c>
      <c r="B5873">
        <v>61.689431549846198</v>
      </c>
      <c r="C5873">
        <v>2000</v>
      </c>
    </row>
    <row r="5874" spans="1:11" x14ac:dyDescent="0.25">
      <c r="A5874">
        <v>44.6311655736584</v>
      </c>
      <c r="B5874">
        <v>57.610685195592602</v>
      </c>
      <c r="C5874">
        <v>2000</v>
      </c>
    </row>
    <row r="5875" spans="1:11" x14ac:dyDescent="0.25">
      <c r="A5875">
        <v>43.757133524760803</v>
      </c>
      <c r="B5875">
        <v>57.610685195592602</v>
      </c>
      <c r="C5875">
        <v>2001</v>
      </c>
    </row>
    <row r="5876" spans="1:11" x14ac:dyDescent="0.25">
      <c r="A5876">
        <v>48.222913889317503</v>
      </c>
      <c r="B5876">
        <v>62.076465560149302</v>
      </c>
      <c r="C5876">
        <v>2001</v>
      </c>
    </row>
    <row r="5877" spans="1:11" x14ac:dyDescent="0.25">
      <c r="A5877">
        <v>48.799629866237503</v>
      </c>
      <c r="B5877">
        <v>62.653181537069301</v>
      </c>
      <c r="C5877">
        <v>2001</v>
      </c>
    </row>
    <row r="5878" spans="1:11" x14ac:dyDescent="0.25">
      <c r="A5878">
        <v>49.236645890686297</v>
      </c>
      <c r="B5878">
        <v>62.2161655126204</v>
      </c>
      <c r="C5878">
        <v>2000</v>
      </c>
    </row>
    <row r="5879" spans="1:11" x14ac:dyDescent="0.25">
      <c r="A5879" t="s">
        <v>87</v>
      </c>
    </row>
    <row r="5880" spans="1:11" x14ac:dyDescent="0.25">
      <c r="A5880">
        <v>1013</v>
      </c>
      <c r="B5880">
        <v>1</v>
      </c>
      <c r="C5880">
        <v>6.4971139811612701</v>
      </c>
      <c r="D5880">
        <v>0.31736239439425501</v>
      </c>
      <c r="E5880">
        <v>6</v>
      </c>
      <c r="F5880">
        <v>1.01722196789785</v>
      </c>
      <c r="G5880" t="s">
        <v>85</v>
      </c>
      <c r="H5880" t="s">
        <v>85</v>
      </c>
      <c r="I5880">
        <v>346</v>
      </c>
      <c r="J5880">
        <v>740</v>
      </c>
      <c r="K5880">
        <v>9.3443328339296097E-2</v>
      </c>
    </row>
    <row r="5881" spans="1:11" x14ac:dyDescent="0.25">
      <c r="A5881" t="s">
        <v>86</v>
      </c>
    </row>
    <row r="5882" spans="1:11" x14ac:dyDescent="0.25">
      <c r="A5882">
        <v>41.580671310136999</v>
      </c>
      <c r="B5882">
        <v>72.127834273645405</v>
      </c>
      <c r="C5882">
        <v>2000</v>
      </c>
    </row>
    <row r="5883" spans="1:11" x14ac:dyDescent="0.25">
      <c r="A5883">
        <v>37.403181359816301</v>
      </c>
      <c r="B5883">
        <v>76.305324223965997</v>
      </c>
      <c r="C5883">
        <v>2000</v>
      </c>
    </row>
    <row r="5884" spans="1:11" x14ac:dyDescent="0.25">
      <c r="A5884">
        <v>36.529149310918697</v>
      </c>
      <c r="B5884">
        <v>76.305324223965997</v>
      </c>
      <c r="C5884">
        <v>2001</v>
      </c>
    </row>
    <row r="5885" spans="1:11" x14ac:dyDescent="0.25">
      <c r="A5885">
        <v>41.539966069040197</v>
      </c>
      <c r="B5885">
        <v>71.294507465844504</v>
      </c>
      <c r="C5885">
        <v>2001</v>
      </c>
    </row>
    <row r="5886" spans="1:11" x14ac:dyDescent="0.25">
      <c r="A5886">
        <v>41.784727790758403</v>
      </c>
      <c r="B5886">
        <v>71.049745744126398</v>
      </c>
      <c r="C5886">
        <v>2001</v>
      </c>
    </row>
    <row r="5887" spans="1:11" x14ac:dyDescent="0.25">
      <c r="A5887">
        <v>41.784727790758403</v>
      </c>
      <c r="B5887">
        <v>71.923777793024001</v>
      </c>
      <c r="C5887">
        <v>2000</v>
      </c>
    </row>
    <row r="5888" spans="1:11" x14ac:dyDescent="0.25">
      <c r="A5888" t="s">
        <v>87</v>
      </c>
    </row>
    <row r="5889" spans="1:11" x14ac:dyDescent="0.25">
      <c r="A5889">
        <v>968</v>
      </c>
      <c r="B5889">
        <v>0</v>
      </c>
      <c r="C5889">
        <v>3.9119839807817098</v>
      </c>
      <c r="D5889">
        <v>2.8993943544526402</v>
      </c>
      <c r="E5889">
        <v>6</v>
      </c>
      <c r="F5889">
        <v>1.01722196789785</v>
      </c>
      <c r="G5889" t="s">
        <v>85</v>
      </c>
      <c r="H5889" t="s">
        <v>85</v>
      </c>
      <c r="I5889">
        <v>70</v>
      </c>
      <c r="J5889">
        <v>963</v>
      </c>
      <c r="K5889">
        <v>9.2813824447879903E-2</v>
      </c>
    </row>
    <row r="5890" spans="1:11" x14ac:dyDescent="0.25">
      <c r="A5890" t="s">
        <v>86</v>
      </c>
    </row>
    <row r="5891" spans="1:11" x14ac:dyDescent="0.25">
      <c r="A5891">
        <v>43.1167290905192</v>
      </c>
      <c r="B5891">
        <v>9.0781616554959399</v>
      </c>
      <c r="C5891">
        <v>2000</v>
      </c>
    </row>
    <row r="5892" spans="1:11" x14ac:dyDescent="0.25">
      <c r="A5892">
        <v>40.350538689815302</v>
      </c>
      <c r="B5892">
        <v>6.3119712547920503</v>
      </c>
      <c r="C5892">
        <v>2000</v>
      </c>
    </row>
    <row r="5893" spans="1:11" x14ac:dyDescent="0.25">
      <c r="A5893">
        <v>41.224570738712998</v>
      </c>
      <c r="B5893">
        <v>6.3119712547920503</v>
      </c>
      <c r="C5893">
        <v>2001</v>
      </c>
    </row>
    <row r="5894" spans="1:11" x14ac:dyDescent="0.25">
      <c r="A5894">
        <v>43.990761139416797</v>
      </c>
      <c r="B5894">
        <v>9.0781616554959399</v>
      </c>
      <c r="C5894">
        <v>2001</v>
      </c>
    </row>
    <row r="5895" spans="1:11" x14ac:dyDescent="0.25">
      <c r="A5895">
        <v>46.040942548784301</v>
      </c>
      <c r="B5895">
        <v>11.128343064863399</v>
      </c>
      <c r="C5895">
        <v>2001</v>
      </c>
    </row>
    <row r="5896" spans="1:11" x14ac:dyDescent="0.25">
      <c r="A5896">
        <v>45.166910499886697</v>
      </c>
      <c r="B5896">
        <v>11.128343064863399</v>
      </c>
      <c r="C5896">
        <v>2000</v>
      </c>
    </row>
    <row r="5897" spans="1:11" x14ac:dyDescent="0.25">
      <c r="A5897" t="s">
        <v>87</v>
      </c>
    </row>
    <row r="5898" spans="1:11" x14ac:dyDescent="0.25">
      <c r="A5898">
        <v>1208</v>
      </c>
      <c r="B5898">
        <v>0</v>
      </c>
      <c r="C5898">
        <v>3.9099992264154499</v>
      </c>
      <c r="D5898">
        <v>2.8974126458546601</v>
      </c>
      <c r="E5898">
        <v>6</v>
      </c>
      <c r="F5898">
        <v>1.01722196789785</v>
      </c>
      <c r="G5898" t="s">
        <v>85</v>
      </c>
      <c r="H5898" t="s">
        <v>85</v>
      </c>
      <c r="I5898">
        <v>312</v>
      </c>
      <c r="J5898">
        <v>974</v>
      </c>
      <c r="K5898">
        <v>9.6120382487224904E-2</v>
      </c>
    </row>
    <row r="5899" spans="1:11" x14ac:dyDescent="0.25">
      <c r="A5899" t="s">
        <v>86</v>
      </c>
    </row>
    <row r="5900" spans="1:11" x14ac:dyDescent="0.25">
      <c r="A5900">
        <v>47.2236127454116</v>
      </c>
      <c r="B5900">
        <v>123.383816593511</v>
      </c>
      <c r="C5900">
        <v>2000</v>
      </c>
    </row>
    <row r="5901" spans="1:11" x14ac:dyDescent="0.25">
      <c r="A5901">
        <v>44.2078152104407</v>
      </c>
      <c r="B5901">
        <v>120.36801905854</v>
      </c>
      <c r="C5901">
        <v>2000</v>
      </c>
    </row>
    <row r="5902" spans="1:11" x14ac:dyDescent="0.25">
      <c r="A5902">
        <v>45.081847259338304</v>
      </c>
      <c r="B5902">
        <v>120.36801905854</v>
      </c>
      <c r="C5902">
        <v>2001</v>
      </c>
    </row>
    <row r="5903" spans="1:11" x14ac:dyDescent="0.25">
      <c r="A5903">
        <v>47.595623659232402</v>
      </c>
      <c r="B5903">
        <v>122.88179545843499</v>
      </c>
      <c r="C5903">
        <v>2001</v>
      </c>
    </row>
    <row r="5904" spans="1:11" x14ac:dyDescent="0.25">
      <c r="A5904">
        <v>49.458398332101503</v>
      </c>
      <c r="B5904">
        <v>124.744570131304</v>
      </c>
      <c r="C5904">
        <v>2001</v>
      </c>
    </row>
    <row r="5905" spans="1:11" x14ac:dyDescent="0.25">
      <c r="A5905">
        <v>49.458398332101503</v>
      </c>
      <c r="B5905">
        <v>125.61860218020099</v>
      </c>
      <c r="C5905">
        <v>2000</v>
      </c>
    </row>
    <row r="5906" spans="1:11" x14ac:dyDescent="0.25">
      <c r="A5906" t="s">
        <v>87</v>
      </c>
    </row>
    <row r="5907" spans="1:11" x14ac:dyDescent="0.25">
      <c r="A5907">
        <v>1142</v>
      </c>
      <c r="B5907">
        <v>0</v>
      </c>
      <c r="C5907">
        <v>5.5200536706987302</v>
      </c>
      <c r="D5907">
        <v>1.28735820157137</v>
      </c>
      <c r="E5907">
        <v>8</v>
      </c>
      <c r="F5907">
        <v>1.01722196789785</v>
      </c>
      <c r="G5907" t="s">
        <v>85</v>
      </c>
      <c r="H5907" t="s">
        <v>85</v>
      </c>
      <c r="I5907">
        <v>312</v>
      </c>
      <c r="J5907">
        <v>974</v>
      </c>
      <c r="K5907">
        <v>9.5129269803373898E-2</v>
      </c>
    </row>
    <row r="5908" spans="1:11" x14ac:dyDescent="0.25">
      <c r="A5908" t="s">
        <v>86</v>
      </c>
    </row>
    <row r="5909" spans="1:11" x14ac:dyDescent="0.25">
      <c r="A5909">
        <v>50.767362205878001</v>
      </c>
      <c r="B5909">
        <v>122.169314275793</v>
      </c>
      <c r="C5909">
        <v>2000</v>
      </c>
    </row>
    <row r="5910" spans="1:11" x14ac:dyDescent="0.25">
      <c r="A5910">
        <v>50.191065751524299</v>
      </c>
      <c r="B5910">
        <v>121.59301782143901</v>
      </c>
      <c r="C5910">
        <v>2000</v>
      </c>
    </row>
    <row r="5911" spans="1:11" x14ac:dyDescent="0.25">
      <c r="A5911">
        <v>46.586941099533298</v>
      </c>
      <c r="B5911">
        <v>117.988893169448</v>
      </c>
      <c r="C5911">
        <v>2000</v>
      </c>
    </row>
    <row r="5912" spans="1:11" x14ac:dyDescent="0.25">
      <c r="A5912">
        <v>46.586941099533298</v>
      </c>
      <c r="B5912">
        <v>118.862925218345</v>
      </c>
      <c r="C5912">
        <v>2001</v>
      </c>
    </row>
    <row r="5913" spans="1:11" x14ac:dyDescent="0.25">
      <c r="A5913">
        <v>49.808934248475602</v>
      </c>
      <c r="B5913">
        <v>122.084918367288</v>
      </c>
      <c r="C5913">
        <v>2001</v>
      </c>
    </row>
    <row r="5914" spans="1:11" x14ac:dyDescent="0.25">
      <c r="A5914">
        <v>50.213054759318098</v>
      </c>
      <c r="B5914">
        <v>122.48903887813</v>
      </c>
      <c r="C5914">
        <v>2001</v>
      </c>
    </row>
    <row r="5915" spans="1:11" x14ac:dyDescent="0.25">
      <c r="A5915">
        <v>50.963492172296498</v>
      </c>
      <c r="B5915">
        <v>123.239476291109</v>
      </c>
      <c r="C5915">
        <v>2001</v>
      </c>
    </row>
    <row r="5916" spans="1:11" x14ac:dyDescent="0.25">
      <c r="A5916">
        <v>51.837524221194101</v>
      </c>
      <c r="B5916">
        <v>123.239476291109</v>
      </c>
      <c r="C5916">
        <v>2000</v>
      </c>
    </row>
    <row r="5917" spans="1:11" x14ac:dyDescent="0.25">
      <c r="A5917" t="s">
        <v>87</v>
      </c>
    </row>
    <row r="5918" spans="1:11" x14ac:dyDescent="0.25">
      <c r="A5918">
        <v>887</v>
      </c>
      <c r="B5918">
        <v>1</v>
      </c>
      <c r="C5918">
        <v>2.0508811733193899</v>
      </c>
      <c r="D5918">
        <v>4.7403838447895099</v>
      </c>
      <c r="E5918">
        <v>6</v>
      </c>
      <c r="F5918">
        <v>1.01722196789785</v>
      </c>
      <c r="G5918" t="s">
        <v>89</v>
      </c>
      <c r="H5918" t="s">
        <v>85</v>
      </c>
      <c r="I5918">
        <v>548</v>
      </c>
      <c r="J5918">
        <v>745</v>
      </c>
      <c r="K5918">
        <v>9.1169371169763397E-2</v>
      </c>
    </row>
    <row r="5919" spans="1:11" x14ac:dyDescent="0.25">
      <c r="A5919" t="s">
        <v>86</v>
      </c>
    </row>
    <row r="5920" spans="1:11" x14ac:dyDescent="0.25">
      <c r="A5920">
        <v>109.667920835853</v>
      </c>
      <c r="B5920">
        <v>133.43321653266</v>
      </c>
      <c r="C5920">
        <v>2000</v>
      </c>
    </row>
    <row r="5921" spans="1:11" x14ac:dyDescent="0.25">
      <c r="A5921">
        <v>108.151742032827</v>
      </c>
      <c r="B5921">
        <v>134.94939533568501</v>
      </c>
      <c r="C5921">
        <v>2000</v>
      </c>
    </row>
    <row r="5922" spans="1:11" x14ac:dyDescent="0.25">
      <c r="A5922">
        <v>107.714726008379</v>
      </c>
      <c r="B5922">
        <v>134.512379311236</v>
      </c>
      <c r="C5922">
        <v>2001</v>
      </c>
    </row>
    <row r="5923" spans="1:11" x14ac:dyDescent="0.25">
      <c r="A5923">
        <v>109.09893117547701</v>
      </c>
      <c r="B5923">
        <v>133.12817414413701</v>
      </c>
      <c r="C5923">
        <v>2001</v>
      </c>
    </row>
    <row r="5924" spans="1:11" x14ac:dyDescent="0.25">
      <c r="A5924">
        <v>112.29836754329401</v>
      </c>
      <c r="B5924">
        <v>129.92873777632099</v>
      </c>
      <c r="C5924">
        <v>2001</v>
      </c>
    </row>
    <row r="5925" spans="1:11" x14ac:dyDescent="0.25">
      <c r="A5925">
        <v>113.17239959219199</v>
      </c>
      <c r="B5925">
        <v>129.92873777632099</v>
      </c>
      <c r="C5925">
        <v>2000</v>
      </c>
    </row>
    <row r="5926" spans="1:11" x14ac:dyDescent="0.25">
      <c r="A5926" t="s">
        <v>87</v>
      </c>
    </row>
    <row r="5927" spans="1:11" x14ac:dyDescent="0.25">
      <c r="A5927">
        <v>886</v>
      </c>
      <c r="B5927">
        <v>0</v>
      </c>
      <c r="C5927">
        <v>4.9664800539686098</v>
      </c>
      <c r="D5927">
        <v>1.8049306552948401</v>
      </c>
      <c r="E5927">
        <v>6</v>
      </c>
      <c r="F5927">
        <v>1.01722196789785</v>
      </c>
      <c r="G5927" t="s">
        <v>85</v>
      </c>
      <c r="H5927" t="s">
        <v>85</v>
      </c>
      <c r="I5927">
        <v>556</v>
      </c>
      <c r="J5927">
        <v>836</v>
      </c>
      <c r="K5927">
        <v>9.1169371169763397E-2</v>
      </c>
    </row>
    <row r="5928" spans="1:11" x14ac:dyDescent="0.25">
      <c r="A5928" t="s">
        <v>86</v>
      </c>
    </row>
    <row r="5929" spans="1:11" x14ac:dyDescent="0.25">
      <c r="A5929">
        <v>122.624401405306</v>
      </c>
      <c r="B5929">
        <v>117.6287828361</v>
      </c>
      <c r="C5929">
        <v>2000</v>
      </c>
    </row>
    <row r="5930" spans="1:11" x14ac:dyDescent="0.25">
      <c r="A5930">
        <v>119.433098365289</v>
      </c>
      <c r="B5930">
        <v>114.437479796083</v>
      </c>
      <c r="C5930">
        <v>2000</v>
      </c>
    </row>
    <row r="5931" spans="1:11" x14ac:dyDescent="0.25">
      <c r="A5931">
        <v>119.433098365289</v>
      </c>
      <c r="B5931">
        <v>113.56344774718499</v>
      </c>
      <c r="C5931">
        <v>2001</v>
      </c>
    </row>
    <row r="5932" spans="1:11" x14ac:dyDescent="0.25">
      <c r="A5932">
        <v>123.26545877484899</v>
      </c>
      <c r="B5932">
        <v>117.395808156746</v>
      </c>
      <c r="C5932">
        <v>2001</v>
      </c>
    </row>
    <row r="5933" spans="1:11" x14ac:dyDescent="0.25">
      <c r="A5933">
        <v>124.65822482045699</v>
      </c>
      <c r="B5933">
        <v>118.788574202353</v>
      </c>
      <c r="C5933">
        <v>2001</v>
      </c>
    </row>
    <row r="5934" spans="1:11" x14ac:dyDescent="0.25">
      <c r="A5934">
        <v>123.78419277155901</v>
      </c>
      <c r="B5934">
        <v>118.788574202353</v>
      </c>
      <c r="C5934">
        <v>2000</v>
      </c>
    </row>
    <row r="5935" spans="1:11" x14ac:dyDescent="0.25">
      <c r="A5935" t="s">
        <v>87</v>
      </c>
    </row>
    <row r="5936" spans="1:11" x14ac:dyDescent="0.25">
      <c r="A5936">
        <v>872</v>
      </c>
      <c r="B5936">
        <v>0</v>
      </c>
      <c r="C5936">
        <v>4.0069315285798002</v>
      </c>
      <c r="D5936">
        <v>2.76447918068365</v>
      </c>
      <c r="E5936">
        <v>6</v>
      </c>
      <c r="F5936">
        <v>1.01722196789785</v>
      </c>
      <c r="G5936" t="s">
        <v>85</v>
      </c>
      <c r="H5936" t="s">
        <v>85</v>
      </c>
      <c r="I5936">
        <v>556</v>
      </c>
      <c r="J5936">
        <v>836</v>
      </c>
      <c r="K5936">
        <v>9.0910684189608806E-2</v>
      </c>
    </row>
    <row r="5937" spans="1:11" x14ac:dyDescent="0.25">
      <c r="A5937" t="s">
        <v>86</v>
      </c>
    </row>
    <row r="5938" spans="1:11" x14ac:dyDescent="0.25">
      <c r="A5938">
        <v>125.02382945531799</v>
      </c>
      <c r="B5938">
        <v>113.99620370409799</v>
      </c>
      <c r="C5938">
        <v>2000</v>
      </c>
    </row>
    <row r="5939" spans="1:11" x14ac:dyDescent="0.25">
      <c r="A5939">
        <v>122.449101956296</v>
      </c>
      <c r="B5939">
        <v>111.421476205076</v>
      </c>
      <c r="C5939">
        <v>2000</v>
      </c>
    </row>
    <row r="5940" spans="1:11" x14ac:dyDescent="0.25">
      <c r="A5940">
        <v>121.575069907398</v>
      </c>
      <c r="B5940">
        <v>111.421476205076</v>
      </c>
      <c r="C5940">
        <v>2001</v>
      </c>
    </row>
    <row r="5941" spans="1:11" x14ac:dyDescent="0.25">
      <c r="A5941">
        <v>124.666999319594</v>
      </c>
      <c r="B5941">
        <v>114.513405617272</v>
      </c>
      <c r="C5941">
        <v>2001</v>
      </c>
    </row>
    <row r="5942" spans="1:11" x14ac:dyDescent="0.25">
      <c r="A5942">
        <v>126.800196362566</v>
      </c>
      <c r="B5942">
        <v>116.646602660244</v>
      </c>
      <c r="C5942">
        <v>2001</v>
      </c>
    </row>
    <row r="5943" spans="1:11" x14ac:dyDescent="0.25">
      <c r="A5943">
        <v>126.800196362566</v>
      </c>
      <c r="B5943">
        <v>115.772570611346</v>
      </c>
      <c r="C5943">
        <v>2000</v>
      </c>
    </row>
    <row r="5944" spans="1:11" x14ac:dyDescent="0.25">
      <c r="A5944" t="s">
        <v>87</v>
      </c>
    </row>
    <row r="5945" spans="1:11" x14ac:dyDescent="0.25">
      <c r="A5945">
        <v>553</v>
      </c>
      <c r="B5945">
        <v>1</v>
      </c>
      <c r="C5945">
        <v>4.1895617443444202</v>
      </c>
      <c r="D5945">
        <v>2.5732127155398401</v>
      </c>
      <c r="E5945">
        <v>6</v>
      </c>
      <c r="F5945">
        <v>1.01722196789785</v>
      </c>
      <c r="G5945" t="s">
        <v>89</v>
      </c>
      <c r="H5945" t="s">
        <v>85</v>
      </c>
      <c r="I5945">
        <v>559</v>
      </c>
      <c r="J5945">
        <v>520</v>
      </c>
      <c r="K5945">
        <v>0</v>
      </c>
    </row>
    <row r="5946" spans="1:11" x14ac:dyDescent="0.25">
      <c r="A5946" t="s">
        <v>86</v>
      </c>
    </row>
    <row r="5947" spans="1:11" x14ac:dyDescent="0.25">
      <c r="A5947">
        <v>123.670098297701</v>
      </c>
      <c r="B5947">
        <v>127.831265420958</v>
      </c>
      <c r="C5947">
        <v>2000</v>
      </c>
    </row>
    <row r="5948" spans="1:11" x14ac:dyDescent="0.25">
      <c r="A5948">
        <v>120.842997233704</v>
      </c>
      <c r="B5948">
        <v>130.658366484955</v>
      </c>
      <c r="C5948">
        <v>2000</v>
      </c>
    </row>
    <row r="5949" spans="1:11" x14ac:dyDescent="0.25">
      <c r="A5949">
        <v>121.280013258152</v>
      </c>
      <c r="B5949">
        <v>131.095382509404</v>
      </c>
      <c r="C5949">
        <v>2001</v>
      </c>
    </row>
    <row r="5950" spans="1:11" x14ac:dyDescent="0.25">
      <c r="A5950">
        <v>124.377847233406</v>
      </c>
      <c r="B5950">
        <v>127.99754853415</v>
      </c>
      <c r="C5950">
        <v>2001</v>
      </c>
    </row>
    <row r="5951" spans="1:11" x14ac:dyDescent="0.25">
      <c r="A5951">
        <v>126.280524950596</v>
      </c>
      <c r="B5951">
        <v>126.09487081696</v>
      </c>
      <c r="C5951">
        <v>2001</v>
      </c>
    </row>
    <row r="5952" spans="1:11" x14ac:dyDescent="0.25">
      <c r="A5952">
        <v>125.406492901699</v>
      </c>
      <c r="B5952">
        <v>126.09487081696</v>
      </c>
      <c r="C5952">
        <v>2000</v>
      </c>
    </row>
    <row r="5953" spans="1:11" x14ac:dyDescent="0.25">
      <c r="A5953" t="s">
        <v>87</v>
      </c>
    </row>
    <row r="5954" spans="1:11" x14ac:dyDescent="0.25">
      <c r="A5954">
        <v>991</v>
      </c>
      <c r="B5954">
        <v>1</v>
      </c>
      <c r="C5954">
        <v>4.9307566156446603</v>
      </c>
      <c r="D5954">
        <v>1.7839606225174101</v>
      </c>
      <c r="E5954">
        <v>8</v>
      </c>
      <c r="F5954">
        <v>1.01722196789785</v>
      </c>
      <c r="G5954" t="s">
        <v>85</v>
      </c>
      <c r="H5954" t="s">
        <v>85</v>
      </c>
      <c r="I5954">
        <v>267</v>
      </c>
      <c r="J5954">
        <v>861</v>
      </c>
      <c r="K5954">
        <v>9.3028045338835699E-2</v>
      </c>
    </row>
    <row r="5955" spans="1:11" x14ac:dyDescent="0.25">
      <c r="A5955" t="s">
        <v>86</v>
      </c>
    </row>
    <row r="5956" spans="1:11" x14ac:dyDescent="0.25">
      <c r="A5956">
        <v>32.472074578638903</v>
      </c>
      <c r="B5956">
        <v>100.899128534407</v>
      </c>
      <c r="C5956">
        <v>2000</v>
      </c>
    </row>
    <row r="5957" spans="1:11" x14ac:dyDescent="0.25">
      <c r="A5957">
        <v>28.698854441148601</v>
      </c>
      <c r="B5957">
        <v>104.672348671897</v>
      </c>
      <c r="C5957">
        <v>2000</v>
      </c>
    </row>
    <row r="5958" spans="1:11" x14ac:dyDescent="0.25">
      <c r="A5958">
        <v>28.698854441148601</v>
      </c>
      <c r="B5958">
        <v>103.798316622999</v>
      </c>
      <c r="C5958">
        <v>2001</v>
      </c>
    </row>
    <row r="5959" spans="1:11" x14ac:dyDescent="0.25">
      <c r="A5959">
        <v>31.898777182263899</v>
      </c>
      <c r="B5959">
        <v>100.59839388188399</v>
      </c>
      <c r="C5959">
        <v>2001</v>
      </c>
    </row>
    <row r="5960" spans="1:11" x14ac:dyDescent="0.25">
      <c r="A5960">
        <v>32.585978938866397</v>
      </c>
      <c r="B5960">
        <v>99.911192125281502</v>
      </c>
      <c r="C5960">
        <v>2001</v>
      </c>
    </row>
    <row r="5961" spans="1:11" x14ac:dyDescent="0.25">
      <c r="A5961">
        <v>33.0098605095544</v>
      </c>
      <c r="B5961">
        <v>99.487310554593506</v>
      </c>
      <c r="C5961">
        <v>2001</v>
      </c>
    </row>
    <row r="5962" spans="1:11" x14ac:dyDescent="0.25">
      <c r="A5962">
        <v>33.883892558451997</v>
      </c>
      <c r="B5962">
        <v>99.487310554593506</v>
      </c>
      <c r="C5962">
        <v>2000</v>
      </c>
    </row>
    <row r="5963" spans="1:11" x14ac:dyDescent="0.25">
      <c r="A5963">
        <v>33.282395238326998</v>
      </c>
      <c r="B5963">
        <v>100.088807874719</v>
      </c>
      <c r="C5963">
        <v>2000</v>
      </c>
    </row>
    <row r="5964" spans="1:11" x14ac:dyDescent="0.25">
      <c r="A5964" t="s">
        <v>87</v>
      </c>
    </row>
    <row r="5965" spans="1:11" x14ac:dyDescent="0.25">
      <c r="A5965">
        <v>1058</v>
      </c>
      <c r="B5965">
        <v>1</v>
      </c>
      <c r="C5965">
        <v>6.1485169195205698</v>
      </c>
      <c r="D5965">
        <v>0.53415335320768498</v>
      </c>
      <c r="E5965">
        <v>6</v>
      </c>
      <c r="F5965">
        <v>1.01722196789785</v>
      </c>
      <c r="G5965" t="s">
        <v>85</v>
      </c>
      <c r="H5965" t="s">
        <v>85</v>
      </c>
      <c r="I5965">
        <v>109</v>
      </c>
      <c r="J5965">
        <v>107</v>
      </c>
      <c r="K5965">
        <v>9.4036209728977305E-2</v>
      </c>
    </row>
    <row r="5966" spans="1:11" x14ac:dyDescent="0.25">
      <c r="A5966" t="s">
        <v>86</v>
      </c>
    </row>
    <row r="5967" spans="1:11" x14ac:dyDescent="0.25">
      <c r="A5967">
        <v>148.338167427825</v>
      </c>
      <c r="B5967">
        <v>44.6761350852872</v>
      </c>
      <c r="C5967">
        <v>2000</v>
      </c>
    </row>
    <row r="5968" spans="1:11" x14ac:dyDescent="0.25">
      <c r="A5968">
        <v>144.392594261743</v>
      </c>
      <c r="B5968">
        <v>48.621708251368702</v>
      </c>
      <c r="C5968">
        <v>2000</v>
      </c>
    </row>
    <row r="5969" spans="1:11" x14ac:dyDescent="0.25">
      <c r="A5969">
        <v>144.392594261743</v>
      </c>
      <c r="B5969">
        <v>49.495740300266299</v>
      </c>
      <c r="C5969">
        <v>2001</v>
      </c>
    </row>
    <row r="5970" spans="1:11" x14ac:dyDescent="0.25">
      <c r="A5970">
        <v>149.14233711172801</v>
      </c>
      <c r="B5970">
        <v>44.745997450281401</v>
      </c>
      <c r="C5970">
        <v>2001</v>
      </c>
    </row>
    <row r="5971" spans="1:11" x14ac:dyDescent="0.25">
      <c r="A5971">
        <v>149.554971752472</v>
      </c>
      <c r="B5971">
        <v>44.333362809537597</v>
      </c>
      <c r="C5971">
        <v>2001</v>
      </c>
    </row>
    <row r="5972" spans="1:11" x14ac:dyDescent="0.25">
      <c r="A5972">
        <v>148.68093970357401</v>
      </c>
      <c r="B5972">
        <v>44.333362809537597</v>
      </c>
      <c r="C5972">
        <v>2000</v>
      </c>
    </row>
    <row r="5973" spans="1:11" x14ac:dyDescent="0.25">
      <c r="A5973" t="s">
        <v>87</v>
      </c>
    </row>
    <row r="5974" spans="1:11" x14ac:dyDescent="0.25">
      <c r="A5974">
        <v>949</v>
      </c>
      <c r="B5974">
        <v>1</v>
      </c>
      <c r="C5974">
        <v>4.1000887737412199</v>
      </c>
      <c r="D5974">
        <v>2.56033795637582</v>
      </c>
      <c r="E5974">
        <v>6</v>
      </c>
      <c r="F5974">
        <v>1.01722196789785</v>
      </c>
      <c r="G5974" t="s">
        <v>85</v>
      </c>
      <c r="H5974" t="s">
        <v>85</v>
      </c>
      <c r="I5974">
        <v>113</v>
      </c>
      <c r="J5974">
        <v>805</v>
      </c>
      <c r="K5974">
        <v>9.2371134687469506E-2</v>
      </c>
    </row>
    <row r="5975" spans="1:11" x14ac:dyDescent="0.25">
      <c r="A5975" t="s">
        <v>86</v>
      </c>
    </row>
    <row r="5976" spans="1:11" x14ac:dyDescent="0.25">
      <c r="A5976">
        <v>142.144345719564</v>
      </c>
      <c r="B5976">
        <v>8.6449991810821807</v>
      </c>
      <c r="C5976">
        <v>2000</v>
      </c>
    </row>
    <row r="5977" spans="1:11" x14ac:dyDescent="0.25">
      <c r="A5977">
        <v>139.51416762103099</v>
      </c>
      <c r="B5977">
        <v>11.2751772796154</v>
      </c>
      <c r="C5977">
        <v>2000</v>
      </c>
    </row>
    <row r="5978" spans="1:11" x14ac:dyDescent="0.25">
      <c r="A5978">
        <v>138.640135572133</v>
      </c>
      <c r="B5978">
        <v>11.2751772796154</v>
      </c>
      <c r="C5978">
        <v>2001</v>
      </c>
    </row>
    <row r="5979" spans="1:11" x14ac:dyDescent="0.25">
      <c r="A5979">
        <v>141.80835862435899</v>
      </c>
      <c r="B5979">
        <v>8.1069542273900908</v>
      </c>
      <c r="C5979">
        <v>2001</v>
      </c>
    </row>
    <row r="5980" spans="1:11" x14ac:dyDescent="0.25">
      <c r="A5980">
        <v>143.786784503044</v>
      </c>
      <c r="B5980">
        <v>6.12852834870466</v>
      </c>
      <c r="C5980">
        <v>2001</v>
      </c>
    </row>
    <row r="5981" spans="1:11" x14ac:dyDescent="0.25">
      <c r="A5981">
        <v>143.786784503044</v>
      </c>
      <c r="B5981">
        <v>7.0025603976023199</v>
      </c>
      <c r="C5981">
        <v>2000</v>
      </c>
    </row>
    <row r="5982" spans="1:11" x14ac:dyDescent="0.25">
      <c r="A5982" t="s">
        <v>87</v>
      </c>
    </row>
    <row r="5983" spans="1:11" x14ac:dyDescent="0.25">
      <c r="A5983">
        <v>343</v>
      </c>
      <c r="B5983">
        <v>0</v>
      </c>
      <c r="C5983">
        <v>3.6209395109443001</v>
      </c>
      <c r="D5983">
        <v>2.9552214608624801</v>
      </c>
      <c r="E5983">
        <v>6</v>
      </c>
      <c r="F5983">
        <v>1.01722196789785</v>
      </c>
      <c r="G5983" t="s">
        <v>85</v>
      </c>
      <c r="H5983" t="s">
        <v>85</v>
      </c>
      <c r="I5983">
        <v>848</v>
      </c>
      <c r="J5983">
        <v>385</v>
      </c>
      <c r="K5983">
        <v>0</v>
      </c>
    </row>
    <row r="5984" spans="1:11" x14ac:dyDescent="0.25">
      <c r="A5984" t="s">
        <v>86</v>
      </c>
    </row>
    <row r="5985" spans="1:11" x14ac:dyDescent="0.25">
      <c r="A5985">
        <v>41.921746950247503</v>
      </c>
      <c r="B5985">
        <v>93.817167522928202</v>
      </c>
      <c r="C5985">
        <v>2000</v>
      </c>
    </row>
    <row r="5986" spans="1:11" x14ac:dyDescent="0.25">
      <c r="A5986">
        <v>39.601984087183503</v>
      </c>
      <c r="B5986">
        <v>91.497404659864202</v>
      </c>
      <c r="C5986">
        <v>2000</v>
      </c>
    </row>
    <row r="5987" spans="1:11" x14ac:dyDescent="0.25">
      <c r="A5987">
        <v>38.7279520382858</v>
      </c>
      <c r="B5987">
        <v>91.497404659864202</v>
      </c>
      <c r="C5987">
        <v>2001</v>
      </c>
    </row>
    <row r="5988" spans="1:11" x14ac:dyDescent="0.25">
      <c r="A5988">
        <v>41.528970940131899</v>
      </c>
      <c r="B5988">
        <v>94.298423561710294</v>
      </c>
      <c r="C5988">
        <v>2001</v>
      </c>
    </row>
    <row r="5989" spans="1:11" x14ac:dyDescent="0.25">
      <c r="A5989">
        <v>43.815016080073597</v>
      </c>
      <c r="B5989">
        <v>96.5844687016519</v>
      </c>
      <c r="C5989">
        <v>2001</v>
      </c>
    </row>
    <row r="5990" spans="1:11" x14ac:dyDescent="0.25">
      <c r="A5990">
        <v>43.815016080073597</v>
      </c>
      <c r="B5990">
        <v>95.710436652754296</v>
      </c>
      <c r="C5990">
        <v>2000</v>
      </c>
    </row>
    <row r="5991" spans="1:11" x14ac:dyDescent="0.25">
      <c r="A5991" t="s">
        <v>87</v>
      </c>
    </row>
    <row r="5992" spans="1:11" x14ac:dyDescent="0.25">
      <c r="A5992">
        <v>421</v>
      </c>
      <c r="B5992">
        <v>0</v>
      </c>
      <c r="C5992">
        <v>1.52507730381065</v>
      </c>
      <c r="D5992">
        <v>5.0304275903921196</v>
      </c>
      <c r="E5992">
        <v>8</v>
      </c>
      <c r="F5992">
        <v>1.01722196789785</v>
      </c>
      <c r="G5992" t="s">
        <v>89</v>
      </c>
      <c r="H5992" t="s">
        <v>85</v>
      </c>
      <c r="I5992">
        <v>765</v>
      </c>
      <c r="J5992">
        <v>152</v>
      </c>
      <c r="K5992">
        <v>0</v>
      </c>
    </row>
    <row r="5993" spans="1:11" x14ac:dyDescent="0.25">
      <c r="A5993" t="s">
        <v>86</v>
      </c>
    </row>
    <row r="5994" spans="1:11" x14ac:dyDescent="0.25">
      <c r="A5994">
        <v>97.051149963856602</v>
      </c>
      <c r="B5994">
        <v>9.2810253590291794</v>
      </c>
      <c r="C5994">
        <v>2000</v>
      </c>
    </row>
    <row r="5995" spans="1:11" x14ac:dyDescent="0.25">
      <c r="A5995">
        <v>96.020010577990007</v>
      </c>
      <c r="B5995">
        <v>8.2498859731625505</v>
      </c>
      <c r="C5995">
        <v>2000</v>
      </c>
    </row>
    <row r="5996" spans="1:11" x14ac:dyDescent="0.25">
      <c r="A5996">
        <v>96.457026602438802</v>
      </c>
      <c r="B5996">
        <v>7.8128699487137299</v>
      </c>
      <c r="C5996">
        <v>2001</v>
      </c>
    </row>
    <row r="5997" spans="1:11" x14ac:dyDescent="0.25">
      <c r="A5997">
        <v>97.582672223288597</v>
      </c>
      <c r="B5997">
        <v>8.9385155695635206</v>
      </c>
      <c r="C5997">
        <v>2001</v>
      </c>
    </row>
    <row r="5998" spans="1:11" x14ac:dyDescent="0.25">
      <c r="A5998">
        <v>100.383329004994</v>
      </c>
      <c r="B5998">
        <v>11.739172351269101</v>
      </c>
      <c r="C5998">
        <v>2001</v>
      </c>
    </row>
    <row r="5999" spans="1:11" x14ac:dyDescent="0.25">
      <c r="A5999">
        <v>101.310976579456</v>
      </c>
      <c r="B5999">
        <v>12.666819925730501</v>
      </c>
      <c r="C5999">
        <v>2001</v>
      </c>
    </row>
    <row r="6000" spans="1:11" x14ac:dyDescent="0.25">
      <c r="A6000">
        <v>100.43694453055799</v>
      </c>
      <c r="B6000">
        <v>12.666819925730501</v>
      </c>
      <c r="C6000">
        <v>2000</v>
      </c>
    </row>
    <row r="6001" spans="1:11" x14ac:dyDescent="0.25">
      <c r="A6001">
        <v>99.616670995005805</v>
      </c>
      <c r="B6001">
        <v>11.8465463901784</v>
      </c>
      <c r="C6001">
        <v>2000</v>
      </c>
    </row>
    <row r="6002" spans="1:11" x14ac:dyDescent="0.25">
      <c r="A6002" t="s">
        <v>87</v>
      </c>
    </row>
    <row r="6003" spans="1:11" x14ac:dyDescent="0.25">
      <c r="A6003">
        <v>669</v>
      </c>
      <c r="B6003">
        <v>0</v>
      </c>
      <c r="C6003">
        <v>1.0443401719711001</v>
      </c>
      <c r="D6003">
        <v>5.4873635377707997</v>
      </c>
      <c r="E6003">
        <v>6</v>
      </c>
      <c r="F6003">
        <v>1.01722196789785</v>
      </c>
      <c r="G6003" t="s">
        <v>89</v>
      </c>
      <c r="H6003" t="s">
        <v>85</v>
      </c>
      <c r="I6003">
        <v>1220</v>
      </c>
      <c r="J6003">
        <v>711</v>
      </c>
      <c r="K6003">
        <v>0</v>
      </c>
    </row>
    <row r="6004" spans="1:11" x14ac:dyDescent="0.25">
      <c r="A6004" t="s">
        <v>86</v>
      </c>
    </row>
    <row r="6005" spans="1:11" x14ac:dyDescent="0.25">
      <c r="A6005">
        <v>50.931297466864599</v>
      </c>
      <c r="B6005">
        <v>90.638800331951998</v>
      </c>
      <c r="C6005">
        <v>2000</v>
      </c>
    </row>
    <row r="6006" spans="1:11" x14ac:dyDescent="0.25">
      <c r="A6006">
        <v>50.157900669470102</v>
      </c>
      <c r="B6006">
        <v>89.865403534557501</v>
      </c>
      <c r="C6006">
        <v>2000</v>
      </c>
    </row>
    <row r="6007" spans="1:11" x14ac:dyDescent="0.25">
      <c r="A6007">
        <v>50.594916693918897</v>
      </c>
      <c r="B6007">
        <v>89.428387510108706</v>
      </c>
      <c r="C6007">
        <v>2001</v>
      </c>
    </row>
    <row r="6008" spans="1:11" x14ac:dyDescent="0.25">
      <c r="A6008">
        <v>51.298439931456997</v>
      </c>
      <c r="B6008">
        <v>90.131910747646799</v>
      </c>
      <c r="C6008">
        <v>2001</v>
      </c>
    </row>
    <row r="6009" spans="1:11" x14ac:dyDescent="0.25">
      <c r="A6009">
        <v>54.9950206675544</v>
      </c>
      <c r="B6009">
        <v>93.828491483744102</v>
      </c>
      <c r="C6009">
        <v>2001</v>
      </c>
    </row>
    <row r="6010" spans="1:11" x14ac:dyDescent="0.25">
      <c r="A6010">
        <v>54.9950206675544</v>
      </c>
      <c r="B6010">
        <v>94.702523532641706</v>
      </c>
      <c r="C6010">
        <v>2000</v>
      </c>
    </row>
    <row r="6011" spans="1:11" x14ac:dyDescent="0.25">
      <c r="A6011" t="s">
        <v>87</v>
      </c>
    </row>
    <row r="6012" spans="1:11" x14ac:dyDescent="0.25">
      <c r="A6012">
        <v>1024</v>
      </c>
      <c r="B6012">
        <v>1</v>
      </c>
      <c r="C6012">
        <v>1.49175666982775</v>
      </c>
      <c r="D6012">
        <v>5.0005367819964901</v>
      </c>
      <c r="E6012">
        <v>6</v>
      </c>
      <c r="F6012">
        <v>1.01722196789785</v>
      </c>
      <c r="G6012" t="s">
        <v>85</v>
      </c>
      <c r="H6012" t="s">
        <v>85</v>
      </c>
      <c r="I6012">
        <v>1004</v>
      </c>
      <c r="J6012">
        <v>600</v>
      </c>
      <c r="K6012">
        <v>9.3644784593262795E-2</v>
      </c>
    </row>
    <row r="6013" spans="1:11" x14ac:dyDescent="0.25">
      <c r="A6013" t="s">
        <v>86</v>
      </c>
    </row>
    <row r="6014" spans="1:11" x14ac:dyDescent="0.25">
      <c r="A6014">
        <v>96.013456705587799</v>
      </c>
      <c r="B6014">
        <v>98.406501563840294</v>
      </c>
      <c r="C6014">
        <v>2000</v>
      </c>
    </row>
    <row r="6015" spans="1:11" x14ac:dyDescent="0.25">
      <c r="A6015">
        <v>94.858210768493606</v>
      </c>
      <c r="B6015">
        <v>99.561747500934501</v>
      </c>
      <c r="C6015">
        <v>2000</v>
      </c>
    </row>
    <row r="6016" spans="1:11" x14ac:dyDescent="0.25">
      <c r="A6016">
        <v>95.732242817391196</v>
      </c>
      <c r="B6016">
        <v>99.561747500934501</v>
      </c>
      <c r="C6016">
        <v>2001</v>
      </c>
    </row>
    <row r="6017" spans="1:11" x14ac:dyDescent="0.25">
      <c r="A6017">
        <v>96.686659394527894</v>
      </c>
      <c r="B6017">
        <v>98.607330923797804</v>
      </c>
      <c r="C6017">
        <v>2001</v>
      </c>
    </row>
    <row r="6018" spans="1:11" x14ac:dyDescent="0.25">
      <c r="A6018">
        <v>99.885971518180298</v>
      </c>
      <c r="B6018">
        <v>95.408018800145399</v>
      </c>
      <c r="C6018">
        <v>2001</v>
      </c>
    </row>
    <row r="6019" spans="1:11" x14ac:dyDescent="0.25">
      <c r="A6019">
        <v>99.885971518180298</v>
      </c>
      <c r="B6019">
        <v>94.533986751247795</v>
      </c>
      <c r="C6019">
        <v>2000</v>
      </c>
    </row>
    <row r="6020" spans="1:11" x14ac:dyDescent="0.25">
      <c r="A6020" t="s">
        <v>87</v>
      </c>
    </row>
    <row r="6021" spans="1:11" x14ac:dyDescent="0.25">
      <c r="A6021">
        <v>588</v>
      </c>
      <c r="B6021">
        <v>0</v>
      </c>
      <c r="C6021">
        <v>1.9164952237433399</v>
      </c>
      <c r="D6021">
        <v>4.4966964959232003</v>
      </c>
      <c r="E6021">
        <v>6</v>
      </c>
      <c r="F6021">
        <v>1.01722196789785</v>
      </c>
      <c r="G6021" t="s">
        <v>85</v>
      </c>
      <c r="H6021" t="s">
        <v>85</v>
      </c>
      <c r="I6021">
        <v>639</v>
      </c>
      <c r="J6021">
        <v>640</v>
      </c>
      <c r="K6021">
        <v>0</v>
      </c>
    </row>
    <row r="6022" spans="1:11" x14ac:dyDescent="0.25">
      <c r="A6022" t="s">
        <v>86</v>
      </c>
    </row>
    <row r="6023" spans="1:11" x14ac:dyDescent="0.25">
      <c r="A6023">
        <v>115.00943112886</v>
      </c>
      <c r="B6023">
        <v>68.884333992797707</v>
      </c>
      <c r="C6023">
        <v>2000</v>
      </c>
    </row>
    <row r="6024" spans="1:11" x14ac:dyDescent="0.25">
      <c r="A6024">
        <v>113.65426436004</v>
      </c>
      <c r="B6024">
        <v>67.529167223977097</v>
      </c>
      <c r="C6024">
        <v>2000</v>
      </c>
    </row>
    <row r="6025" spans="1:11" x14ac:dyDescent="0.25">
      <c r="A6025">
        <v>113.65426436004</v>
      </c>
      <c r="B6025">
        <v>68.403199272874701</v>
      </c>
      <c r="C6025">
        <v>2001</v>
      </c>
    </row>
    <row r="6026" spans="1:11" x14ac:dyDescent="0.25">
      <c r="A6026">
        <v>115.00943112886</v>
      </c>
      <c r="B6026">
        <v>69.758366041695297</v>
      </c>
      <c r="C6026">
        <v>2001</v>
      </c>
    </row>
    <row r="6027" spans="1:11" x14ac:dyDescent="0.25">
      <c r="A6027">
        <v>118.189075714065</v>
      </c>
      <c r="B6027">
        <v>72.938010626900393</v>
      </c>
      <c r="C6027">
        <v>2001</v>
      </c>
    </row>
    <row r="6028" spans="1:11" x14ac:dyDescent="0.25">
      <c r="A6028">
        <v>118.189075714065</v>
      </c>
      <c r="B6028">
        <v>72.063978578002704</v>
      </c>
      <c r="C6028">
        <v>2000</v>
      </c>
    </row>
    <row r="6029" spans="1:11" x14ac:dyDescent="0.25">
      <c r="A6029" t="s">
        <v>87</v>
      </c>
    </row>
    <row r="6030" spans="1:11" x14ac:dyDescent="0.25">
      <c r="A6030">
        <v>986</v>
      </c>
      <c r="B6030">
        <v>1</v>
      </c>
      <c r="C6030">
        <v>5.4708237479275397</v>
      </c>
      <c r="D6030">
        <v>0.92964387109486801</v>
      </c>
      <c r="E6030">
        <v>8</v>
      </c>
      <c r="F6030">
        <v>1.01722196789785</v>
      </c>
      <c r="G6030" t="s">
        <v>85</v>
      </c>
      <c r="H6030" t="s">
        <v>88</v>
      </c>
      <c r="I6030">
        <v>109</v>
      </c>
      <c r="J6030">
        <v>0</v>
      </c>
      <c r="K6030">
        <v>9.3028045338835699E-2</v>
      </c>
    </row>
    <row r="6031" spans="1:11" x14ac:dyDescent="0.25">
      <c r="A6031" t="s">
        <v>86</v>
      </c>
    </row>
    <row r="6032" spans="1:11" x14ac:dyDescent="0.25">
      <c r="A6032">
        <v>149.40696035072401</v>
      </c>
      <c r="B6032">
        <v>46.6445575754476</v>
      </c>
      <c r="C6032">
        <v>2000</v>
      </c>
    </row>
    <row r="6033" spans="1:11" x14ac:dyDescent="0.25">
      <c r="A6033">
        <v>146.04359224302601</v>
      </c>
      <c r="B6033">
        <v>50.0079256831458</v>
      </c>
      <c r="C6033">
        <v>2000</v>
      </c>
    </row>
    <row r="6034" spans="1:11" x14ac:dyDescent="0.25">
      <c r="A6034">
        <v>145.91120196827299</v>
      </c>
      <c r="B6034">
        <v>50.140315957898402</v>
      </c>
      <c r="C6034">
        <v>2000</v>
      </c>
    </row>
    <row r="6035" spans="1:11" x14ac:dyDescent="0.25">
      <c r="A6035">
        <v>145.037169919375</v>
      </c>
      <c r="B6035">
        <v>50.140315957898402</v>
      </c>
      <c r="C6035">
        <v>2001</v>
      </c>
    </row>
    <row r="6036" spans="1:11" x14ac:dyDescent="0.25">
      <c r="A6036">
        <v>145.18541156041999</v>
      </c>
      <c r="B6036">
        <v>49.9920743168542</v>
      </c>
      <c r="C6036">
        <v>2001</v>
      </c>
    </row>
    <row r="6037" spans="1:11" x14ac:dyDescent="0.25">
      <c r="A6037">
        <v>149.27832467859699</v>
      </c>
      <c r="B6037">
        <v>45.899161198677298</v>
      </c>
      <c r="C6037">
        <v>2001</v>
      </c>
    </row>
    <row r="6038" spans="1:11" x14ac:dyDescent="0.25">
      <c r="A6038">
        <v>150</v>
      </c>
      <c r="B6038">
        <v>45.177485877273902</v>
      </c>
      <c r="C6038">
        <v>2001</v>
      </c>
    </row>
    <row r="6039" spans="1:11" x14ac:dyDescent="0.25">
      <c r="A6039">
        <v>150</v>
      </c>
      <c r="B6039">
        <v>46.051517926171599</v>
      </c>
      <c r="C6039">
        <v>2000</v>
      </c>
    </row>
    <row r="6040" spans="1:11" x14ac:dyDescent="0.25">
      <c r="A6040" t="s">
        <v>87</v>
      </c>
    </row>
    <row r="6041" spans="1:11" x14ac:dyDescent="0.25">
      <c r="A6041">
        <v>1163</v>
      </c>
      <c r="B6041">
        <v>0</v>
      </c>
      <c r="C6041">
        <v>0.76314268012058095</v>
      </c>
      <c r="D6041">
        <v>5.6350732764463203</v>
      </c>
      <c r="E6041">
        <v>8</v>
      </c>
      <c r="F6041">
        <v>1.01722196789785</v>
      </c>
      <c r="G6041" t="s">
        <v>85</v>
      </c>
      <c r="H6041" t="s">
        <v>85</v>
      </c>
      <c r="I6041">
        <v>748</v>
      </c>
      <c r="J6041">
        <v>555</v>
      </c>
      <c r="K6041">
        <v>9.5469883166703101E-2</v>
      </c>
    </row>
    <row r="6042" spans="1:11" x14ac:dyDescent="0.25">
      <c r="A6042" t="s">
        <v>86</v>
      </c>
    </row>
    <row r="6043" spans="1:11" x14ac:dyDescent="0.25">
      <c r="A6043">
        <v>135.44000550184501</v>
      </c>
      <c r="B6043">
        <v>97.281504537026905</v>
      </c>
      <c r="C6043">
        <v>2000</v>
      </c>
    </row>
    <row r="6044" spans="1:11" x14ac:dyDescent="0.25">
      <c r="A6044">
        <v>134.835466945002</v>
      </c>
      <c r="B6044">
        <v>96.676965980183397</v>
      </c>
      <c r="C6044">
        <v>2000</v>
      </c>
    </row>
    <row r="6045" spans="1:11" x14ac:dyDescent="0.25">
      <c r="A6045">
        <v>134.835466945002</v>
      </c>
      <c r="B6045">
        <v>97.550998029081001</v>
      </c>
      <c r="C6045">
        <v>2001</v>
      </c>
    </row>
    <row r="6046" spans="1:11" x14ac:dyDescent="0.25">
      <c r="A6046">
        <v>135.31017511640999</v>
      </c>
      <c r="B6046">
        <v>98.025706200489907</v>
      </c>
      <c r="C6046">
        <v>2001</v>
      </c>
    </row>
    <row r="6047" spans="1:11" x14ac:dyDescent="0.25">
      <c r="A6047">
        <v>137.374304987073</v>
      </c>
      <c r="B6047">
        <v>100.08983607115201</v>
      </c>
      <c r="C6047">
        <v>2001</v>
      </c>
    </row>
    <row r="6048" spans="1:11" x14ac:dyDescent="0.25">
      <c r="A6048">
        <v>138.922672810937</v>
      </c>
      <c r="B6048">
        <v>101.638203895017</v>
      </c>
      <c r="C6048">
        <v>2001</v>
      </c>
    </row>
    <row r="6049" spans="1:11" x14ac:dyDescent="0.25">
      <c r="A6049">
        <v>139.79670485983499</v>
      </c>
      <c r="B6049">
        <v>101.638203895017</v>
      </c>
      <c r="C6049">
        <v>2000</v>
      </c>
    </row>
    <row r="6050" spans="1:11" x14ac:dyDescent="0.25">
      <c r="A6050">
        <v>138.06866489366601</v>
      </c>
      <c r="B6050">
        <v>99.910163928847695</v>
      </c>
      <c r="C6050">
        <v>2000</v>
      </c>
    </row>
    <row r="6051" spans="1:11" x14ac:dyDescent="0.25">
      <c r="A6051" t="s">
        <v>87</v>
      </c>
    </row>
    <row r="6052" spans="1:11" x14ac:dyDescent="0.25">
      <c r="A6052">
        <v>837</v>
      </c>
      <c r="B6052">
        <v>0</v>
      </c>
      <c r="C6052">
        <v>5.1650208346781996</v>
      </c>
      <c r="D6052">
        <v>1.23011143783779</v>
      </c>
      <c r="E6052">
        <v>8</v>
      </c>
      <c r="F6052">
        <v>1.01722196789785</v>
      </c>
      <c r="G6052" t="s">
        <v>85</v>
      </c>
      <c r="H6052" t="s">
        <v>89</v>
      </c>
      <c r="I6052">
        <v>142</v>
      </c>
      <c r="J6052">
        <v>115</v>
      </c>
      <c r="K6052">
        <v>9.0374042336346896E-2</v>
      </c>
    </row>
    <row r="6053" spans="1:11" x14ac:dyDescent="0.25">
      <c r="A6053" t="s">
        <v>86</v>
      </c>
    </row>
    <row r="6054" spans="1:11" x14ac:dyDescent="0.25">
      <c r="A6054">
        <v>103.512791129123</v>
      </c>
      <c r="B6054">
        <v>39.002467146208097</v>
      </c>
      <c r="C6054">
        <v>2000</v>
      </c>
    </row>
    <row r="6055" spans="1:11" x14ac:dyDescent="0.25">
      <c r="A6055">
        <v>100.413144350289</v>
      </c>
      <c r="B6055">
        <v>35.902820367374296</v>
      </c>
      <c r="C6055">
        <v>2000</v>
      </c>
    </row>
    <row r="6056" spans="1:11" x14ac:dyDescent="0.25">
      <c r="A6056">
        <v>100.038016303917</v>
      </c>
      <c r="B6056">
        <v>35.527692321002299</v>
      </c>
      <c r="C6056">
        <v>2000</v>
      </c>
    </row>
    <row r="6057" spans="1:11" x14ac:dyDescent="0.25">
      <c r="A6057">
        <v>99.163984255019201</v>
      </c>
      <c r="B6057">
        <v>35.527692321002299</v>
      </c>
      <c r="C6057">
        <v>2001</v>
      </c>
    </row>
    <row r="6058" spans="1:11" x14ac:dyDescent="0.25">
      <c r="A6058">
        <v>99.586855649711197</v>
      </c>
      <c r="B6058">
        <v>35.950563715694301</v>
      </c>
      <c r="C6058">
        <v>2001</v>
      </c>
    </row>
    <row r="6059" spans="1:11" x14ac:dyDescent="0.25">
      <c r="A6059">
        <v>102.993651944155</v>
      </c>
      <c r="B6059">
        <v>39.357360010138102</v>
      </c>
      <c r="C6059">
        <v>2001</v>
      </c>
    </row>
    <row r="6060" spans="1:11" x14ac:dyDescent="0.25">
      <c r="A6060">
        <v>103.904533663725</v>
      </c>
      <c r="B6060">
        <v>40.268241729707803</v>
      </c>
      <c r="C6060">
        <v>2001</v>
      </c>
    </row>
    <row r="6061" spans="1:11" x14ac:dyDescent="0.25">
      <c r="A6061">
        <v>104.341549688173</v>
      </c>
      <c r="B6061">
        <v>39.831225705258902</v>
      </c>
      <c r="C6061">
        <v>2000</v>
      </c>
    </row>
    <row r="6062" spans="1:11" x14ac:dyDescent="0.25">
      <c r="A6062" t="s">
        <v>87</v>
      </c>
    </row>
    <row r="6063" spans="1:11" x14ac:dyDescent="0.25">
      <c r="A6063">
        <v>993</v>
      </c>
      <c r="B6063">
        <v>1</v>
      </c>
      <c r="C6063">
        <v>5.3888879200875897</v>
      </c>
      <c r="D6063">
        <v>0.98477690452023103</v>
      </c>
      <c r="E6063">
        <v>6</v>
      </c>
      <c r="F6063">
        <v>1.01722196789785</v>
      </c>
      <c r="G6063" t="s">
        <v>85</v>
      </c>
      <c r="H6063" t="s">
        <v>85</v>
      </c>
      <c r="I6063">
        <v>593</v>
      </c>
      <c r="J6063">
        <v>723</v>
      </c>
      <c r="K6063">
        <v>9.3237811683927099E-2</v>
      </c>
    </row>
    <row r="6064" spans="1:11" x14ac:dyDescent="0.25">
      <c r="A6064" t="s">
        <v>86</v>
      </c>
    </row>
    <row r="6065" spans="1:11" x14ac:dyDescent="0.25">
      <c r="A6065">
        <v>148.363994204524</v>
      </c>
      <c r="B6065">
        <v>57.218006920730403</v>
      </c>
      <c r="C6065">
        <v>2000</v>
      </c>
    </row>
    <row r="6066" spans="1:11" x14ac:dyDescent="0.25">
      <c r="A6066">
        <v>144.922968929132</v>
      </c>
      <c r="B6066">
        <v>60.659032196122297</v>
      </c>
      <c r="C6066">
        <v>2000</v>
      </c>
    </row>
    <row r="6067" spans="1:11" x14ac:dyDescent="0.25">
      <c r="A6067">
        <v>144.922968929132</v>
      </c>
      <c r="B6067">
        <v>61.53306424502</v>
      </c>
      <c r="C6067">
        <v>2001</v>
      </c>
    </row>
    <row r="6068" spans="1:11" x14ac:dyDescent="0.25">
      <c r="A6068">
        <v>149.102982036436</v>
      </c>
      <c r="B6068">
        <v>57.353051137715497</v>
      </c>
      <c r="C6068">
        <v>2001</v>
      </c>
    </row>
    <row r="6069" spans="1:11" x14ac:dyDescent="0.25">
      <c r="A6069">
        <v>149.86684657207101</v>
      </c>
      <c r="B6069">
        <v>56.589186602080801</v>
      </c>
      <c r="C6069">
        <v>2001</v>
      </c>
    </row>
    <row r="6070" spans="1:11" x14ac:dyDescent="0.25">
      <c r="A6070">
        <v>148.99281452317399</v>
      </c>
      <c r="B6070">
        <v>56.589186602080801</v>
      </c>
      <c r="C6070">
        <v>2000</v>
      </c>
    </row>
    <row r="6071" spans="1:11" x14ac:dyDescent="0.25">
      <c r="A6071" t="s">
        <v>87</v>
      </c>
    </row>
    <row r="6072" spans="1:11" x14ac:dyDescent="0.25">
      <c r="A6072">
        <v>820</v>
      </c>
      <c r="B6072">
        <v>1</v>
      </c>
      <c r="C6072">
        <v>3.0322388173333699</v>
      </c>
      <c r="D6072">
        <v>3.33257457430883</v>
      </c>
      <c r="E6072">
        <v>6</v>
      </c>
      <c r="F6072">
        <v>1.01722196789785</v>
      </c>
      <c r="G6072" t="s">
        <v>88</v>
      </c>
      <c r="H6072" t="s">
        <v>89</v>
      </c>
      <c r="I6072">
        <v>0</v>
      </c>
      <c r="J6072">
        <v>74</v>
      </c>
      <c r="K6072">
        <v>9.0097089164053304E-2</v>
      </c>
    </row>
    <row r="6073" spans="1:11" x14ac:dyDescent="0.25">
      <c r="A6073" t="s">
        <v>86</v>
      </c>
    </row>
    <row r="6074" spans="1:11" x14ac:dyDescent="0.25">
      <c r="A6074">
        <v>2.2482152791268901</v>
      </c>
      <c r="B6074">
        <v>23.214449613511</v>
      </c>
      <c r="C6074">
        <v>2000</v>
      </c>
    </row>
    <row r="6075" spans="1:11" x14ac:dyDescent="0.25">
      <c r="A6075">
        <v>0</v>
      </c>
      <c r="B6075">
        <v>25.4626648926379</v>
      </c>
      <c r="C6075">
        <v>2000</v>
      </c>
    </row>
    <row r="6076" spans="1:11" x14ac:dyDescent="0.25">
      <c r="A6076">
        <v>0</v>
      </c>
      <c r="B6076">
        <v>24.5886328437402</v>
      </c>
      <c r="C6076">
        <v>2001</v>
      </c>
    </row>
    <row r="6077" spans="1:11" x14ac:dyDescent="0.25">
      <c r="A6077">
        <v>2.04001798070012</v>
      </c>
      <c r="B6077">
        <v>22.5486148630401</v>
      </c>
      <c r="C6077">
        <v>2001</v>
      </c>
    </row>
    <row r="6078" spans="1:11" x14ac:dyDescent="0.25">
      <c r="A6078">
        <v>4.2820946979927399</v>
      </c>
      <c r="B6078">
        <v>20.306538145747499</v>
      </c>
      <c r="C6078">
        <v>2001</v>
      </c>
    </row>
    <row r="6079" spans="1:11" x14ac:dyDescent="0.25">
      <c r="A6079">
        <v>4.7191107224415596</v>
      </c>
      <c r="B6079">
        <v>20.743554170196301</v>
      </c>
      <c r="C6079">
        <v>2000</v>
      </c>
    </row>
    <row r="6080" spans="1:11" x14ac:dyDescent="0.25">
      <c r="A6080" t="s">
        <v>87</v>
      </c>
    </row>
    <row r="6081" spans="1:11" x14ac:dyDescent="0.25">
      <c r="A6081">
        <v>1224</v>
      </c>
      <c r="B6081">
        <v>1</v>
      </c>
      <c r="C6081">
        <v>3.7555478688268602</v>
      </c>
      <c r="D6081">
        <v>2.6043516633420198</v>
      </c>
      <c r="E6081">
        <v>8</v>
      </c>
      <c r="F6081">
        <v>1.01722196789785</v>
      </c>
      <c r="G6081" t="s">
        <v>85</v>
      </c>
      <c r="H6081" t="s">
        <v>85</v>
      </c>
      <c r="I6081">
        <v>183</v>
      </c>
      <c r="J6081">
        <v>669</v>
      </c>
      <c r="K6081">
        <v>9.6277099271545E-2</v>
      </c>
    </row>
    <row r="6082" spans="1:11" x14ac:dyDescent="0.25">
      <c r="A6082" t="s">
        <v>86</v>
      </c>
    </row>
    <row r="6083" spans="1:11" x14ac:dyDescent="0.25">
      <c r="A6083">
        <v>50.094963590196301</v>
      </c>
      <c r="B6083">
        <v>93.068574843965806</v>
      </c>
      <c r="C6083">
        <v>2000</v>
      </c>
    </row>
    <row r="6084" spans="1:11" x14ac:dyDescent="0.25">
      <c r="A6084">
        <v>49.808108752831998</v>
      </c>
      <c r="B6084">
        <v>93.355429681330094</v>
      </c>
      <c r="C6084">
        <v>2000</v>
      </c>
    </row>
    <row r="6085" spans="1:11" x14ac:dyDescent="0.25">
      <c r="A6085">
        <v>47.667905722124502</v>
      </c>
      <c r="B6085">
        <v>95.495632712037704</v>
      </c>
      <c r="C6085">
        <v>2000</v>
      </c>
    </row>
    <row r="6086" spans="1:11" x14ac:dyDescent="0.25">
      <c r="A6086">
        <v>47.667905722124502</v>
      </c>
      <c r="B6086">
        <v>96.369664760935294</v>
      </c>
      <c r="C6086">
        <v>2001</v>
      </c>
    </row>
    <row r="6087" spans="1:11" x14ac:dyDescent="0.25">
      <c r="A6087">
        <v>50.191891247167902</v>
      </c>
      <c r="B6087">
        <v>93.845679235891893</v>
      </c>
      <c r="C6087">
        <v>2001</v>
      </c>
    </row>
    <row r="6088" spans="1:11" x14ac:dyDescent="0.25">
      <c r="A6088">
        <v>50.551994584288899</v>
      </c>
      <c r="B6088">
        <v>93.485575898770904</v>
      </c>
      <c r="C6088">
        <v>2001</v>
      </c>
    </row>
    <row r="6089" spans="1:11" x14ac:dyDescent="0.25">
      <c r="A6089">
        <v>52.602049833434997</v>
      </c>
      <c r="B6089">
        <v>91.435520649624806</v>
      </c>
      <c r="C6089">
        <v>2001</v>
      </c>
    </row>
    <row r="6090" spans="1:11" x14ac:dyDescent="0.25">
      <c r="A6090">
        <v>51.7280177845374</v>
      </c>
      <c r="B6090">
        <v>91.435520649624806</v>
      </c>
      <c r="C6090">
        <v>2000</v>
      </c>
    </row>
    <row r="6091" spans="1:11" x14ac:dyDescent="0.25">
      <c r="A6091" t="s">
        <v>87</v>
      </c>
    </row>
    <row r="6092" spans="1:11" x14ac:dyDescent="0.25">
      <c r="A6092">
        <v>344</v>
      </c>
      <c r="B6092">
        <v>0</v>
      </c>
      <c r="C6092">
        <v>4.7982119764981901</v>
      </c>
      <c r="D6092">
        <v>1.52507730381065</v>
      </c>
      <c r="E6092">
        <v>6</v>
      </c>
      <c r="F6092">
        <v>1.01722196789785</v>
      </c>
      <c r="G6092" t="s">
        <v>89</v>
      </c>
      <c r="H6092" t="s">
        <v>89</v>
      </c>
      <c r="I6092">
        <v>741</v>
      </c>
      <c r="J6092">
        <v>360</v>
      </c>
      <c r="K6092">
        <v>0</v>
      </c>
    </row>
    <row r="6093" spans="1:11" x14ac:dyDescent="0.25">
      <c r="A6093" t="s">
        <v>86</v>
      </c>
    </row>
    <row r="6094" spans="1:11" x14ac:dyDescent="0.25">
      <c r="A6094">
        <v>33.896366491395398</v>
      </c>
      <c r="B6094">
        <v>77.047980131608199</v>
      </c>
      <c r="C6094">
        <v>2000</v>
      </c>
    </row>
    <row r="6095" spans="1:11" x14ac:dyDescent="0.25">
      <c r="A6095">
        <v>30.503518265242999</v>
      </c>
      <c r="B6095">
        <v>73.655131905455903</v>
      </c>
      <c r="C6095">
        <v>2000</v>
      </c>
    </row>
    <row r="6096" spans="1:11" x14ac:dyDescent="0.25">
      <c r="A6096">
        <v>30.0665022407942</v>
      </c>
      <c r="B6096">
        <v>74.092147929904698</v>
      </c>
      <c r="C6096">
        <v>2001</v>
      </c>
    </row>
    <row r="6097" spans="1:11" x14ac:dyDescent="0.25">
      <c r="A6097">
        <v>33.459350466946603</v>
      </c>
      <c r="B6097">
        <v>77.484996156057093</v>
      </c>
      <c r="C6097">
        <v>2001</v>
      </c>
    </row>
    <row r="6098" spans="1:11" x14ac:dyDescent="0.25">
      <c r="A6098">
        <v>34.537742970304798</v>
      </c>
      <c r="B6098">
        <v>78.563388659415295</v>
      </c>
      <c r="C6098">
        <v>2001</v>
      </c>
    </row>
    <row r="6099" spans="1:11" x14ac:dyDescent="0.25">
      <c r="A6099">
        <v>34.9747589947536</v>
      </c>
      <c r="B6099">
        <v>78.126372634966401</v>
      </c>
      <c r="C6099">
        <v>2000</v>
      </c>
    </row>
    <row r="6100" spans="1:11" x14ac:dyDescent="0.25">
      <c r="A6100" t="s">
        <v>87</v>
      </c>
    </row>
    <row r="6101" spans="1:11" x14ac:dyDescent="0.25">
      <c r="A6101">
        <v>1010</v>
      </c>
      <c r="B6101">
        <v>1</v>
      </c>
      <c r="C6101">
        <v>6.1464086222045298</v>
      </c>
      <c r="D6101">
        <v>0.15938385595566701</v>
      </c>
      <c r="E6101">
        <v>6</v>
      </c>
      <c r="F6101">
        <v>1.01722196789785</v>
      </c>
      <c r="G6101" t="s">
        <v>85</v>
      </c>
      <c r="H6101" t="s">
        <v>85</v>
      </c>
      <c r="I6101">
        <v>103</v>
      </c>
      <c r="J6101">
        <v>119</v>
      </c>
      <c r="K6101">
        <v>9.3443328339296097E-2</v>
      </c>
    </row>
    <row r="6102" spans="1:11" x14ac:dyDescent="0.25">
      <c r="A6102" t="s">
        <v>86</v>
      </c>
    </row>
    <row r="6103" spans="1:11" x14ac:dyDescent="0.25">
      <c r="A6103">
        <v>120.287453317833</v>
      </c>
      <c r="B6103">
        <v>6.2573305251613203</v>
      </c>
      <c r="C6103">
        <v>2000</v>
      </c>
    </row>
    <row r="6104" spans="1:11" x14ac:dyDescent="0.25">
      <c r="A6104">
        <v>116.36725620243099</v>
      </c>
      <c r="B6104">
        <v>10.1775276405632</v>
      </c>
      <c r="C6104">
        <v>2000</v>
      </c>
    </row>
    <row r="6105" spans="1:11" x14ac:dyDescent="0.25">
      <c r="A6105">
        <v>115.493224153534</v>
      </c>
      <c r="B6105">
        <v>10.1775276405632</v>
      </c>
      <c r="C6105">
        <v>2001</v>
      </c>
    </row>
    <row r="6106" spans="1:11" x14ac:dyDescent="0.25">
      <c r="A6106">
        <v>120.26536147154</v>
      </c>
      <c r="B6106">
        <v>5.4053903225565403</v>
      </c>
      <c r="C6106">
        <v>2001</v>
      </c>
    </row>
    <row r="6107" spans="1:11" x14ac:dyDescent="0.25">
      <c r="A6107">
        <v>120.38910880004499</v>
      </c>
      <c r="B6107">
        <v>5.2816429940522003</v>
      </c>
      <c r="C6107">
        <v>2001</v>
      </c>
    </row>
    <row r="6108" spans="1:11" x14ac:dyDescent="0.25">
      <c r="A6108">
        <v>120.38910880004499</v>
      </c>
      <c r="B6108">
        <v>6.1556750429498299</v>
      </c>
      <c r="C6108">
        <v>2000</v>
      </c>
    </row>
    <row r="6109" spans="1:11" x14ac:dyDescent="0.25">
      <c r="A6109" t="s">
        <v>87</v>
      </c>
    </row>
    <row r="6110" spans="1:11" x14ac:dyDescent="0.25">
      <c r="A6110">
        <v>1216</v>
      </c>
      <c r="B6110">
        <v>0</v>
      </c>
      <c r="C6110">
        <v>0.47164516458863698</v>
      </c>
      <c r="D6110">
        <v>5.8314691612288803</v>
      </c>
      <c r="E6110">
        <v>6</v>
      </c>
      <c r="F6110">
        <v>1.01722196789785</v>
      </c>
      <c r="G6110" t="s">
        <v>85</v>
      </c>
      <c r="H6110" t="s">
        <v>85</v>
      </c>
      <c r="I6110">
        <v>718</v>
      </c>
      <c r="J6110">
        <v>705</v>
      </c>
      <c r="K6110">
        <v>9.6120382487224904E-2</v>
      </c>
    </row>
    <row r="6111" spans="1:11" x14ac:dyDescent="0.25">
      <c r="A6111" t="s">
        <v>86</v>
      </c>
    </row>
    <row r="6112" spans="1:11" x14ac:dyDescent="0.25">
      <c r="A6112">
        <v>93.476040075439997</v>
      </c>
      <c r="B6112">
        <v>63.045092126051799</v>
      </c>
      <c r="C6112">
        <v>2000</v>
      </c>
    </row>
    <row r="6113" spans="1:11" x14ac:dyDescent="0.25">
      <c r="A6113">
        <v>93.175237319979502</v>
      </c>
      <c r="B6113">
        <v>62.744289370591297</v>
      </c>
      <c r="C6113">
        <v>2000</v>
      </c>
    </row>
    <row r="6114" spans="1:11" x14ac:dyDescent="0.25">
      <c r="A6114">
        <v>93.175237319979502</v>
      </c>
      <c r="B6114">
        <v>61.8702573216937</v>
      </c>
      <c r="C6114">
        <v>2001</v>
      </c>
    </row>
    <row r="6115" spans="1:11" x14ac:dyDescent="0.25">
      <c r="A6115">
        <v>93.541441552907898</v>
      </c>
      <c r="B6115">
        <v>62.236461554622103</v>
      </c>
      <c r="C6115">
        <v>2001</v>
      </c>
    </row>
    <row r="6116" spans="1:11" x14ac:dyDescent="0.25">
      <c r="A6116">
        <v>98.069228226807894</v>
      </c>
      <c r="B6116">
        <v>66.764248228522106</v>
      </c>
      <c r="C6116">
        <v>2001</v>
      </c>
    </row>
    <row r="6117" spans="1:11" x14ac:dyDescent="0.25">
      <c r="A6117">
        <v>97.195196177910304</v>
      </c>
      <c r="B6117">
        <v>66.764248228522106</v>
      </c>
      <c r="C6117">
        <v>2000</v>
      </c>
    </row>
    <row r="6118" spans="1:11" x14ac:dyDescent="0.25">
      <c r="A6118" t="s">
        <v>87</v>
      </c>
    </row>
    <row r="6119" spans="1:11" x14ac:dyDescent="0.25">
      <c r="A6119">
        <v>1096</v>
      </c>
      <c r="B6119">
        <v>0</v>
      </c>
      <c r="C6119">
        <v>3.4747091760429898</v>
      </c>
      <c r="D6119">
        <v>2.8126652445546498</v>
      </c>
      <c r="E6119">
        <v>6</v>
      </c>
      <c r="F6119">
        <v>1.01722196789785</v>
      </c>
      <c r="G6119" t="s">
        <v>85</v>
      </c>
      <c r="H6119" t="s">
        <v>85</v>
      </c>
      <c r="I6119">
        <v>465</v>
      </c>
      <c r="J6119">
        <v>474</v>
      </c>
      <c r="K6119">
        <v>9.4596959481043894E-2</v>
      </c>
    </row>
    <row r="6120" spans="1:11" x14ac:dyDescent="0.25">
      <c r="A6120" t="s">
        <v>86</v>
      </c>
    </row>
    <row r="6121" spans="1:11" x14ac:dyDescent="0.25">
      <c r="A6121">
        <v>76.759377662454995</v>
      </c>
      <c r="B6121">
        <v>23.2894074513062</v>
      </c>
      <c r="C6121">
        <v>2000</v>
      </c>
    </row>
    <row r="6122" spans="1:11" x14ac:dyDescent="0.25">
      <c r="A6122">
        <v>74.302387241423901</v>
      </c>
      <c r="B6122">
        <v>20.832417030275099</v>
      </c>
      <c r="C6122">
        <v>2000</v>
      </c>
    </row>
    <row r="6123" spans="1:11" x14ac:dyDescent="0.25">
      <c r="A6123">
        <v>75.176419290321505</v>
      </c>
      <c r="B6123">
        <v>20.832417030275099</v>
      </c>
      <c r="C6123">
        <v>2001</v>
      </c>
    </row>
    <row r="6124" spans="1:11" x14ac:dyDescent="0.25">
      <c r="A6124">
        <v>77.633409711352598</v>
      </c>
      <c r="B6124">
        <v>23.2894074513062</v>
      </c>
      <c r="C6124">
        <v>2001</v>
      </c>
    </row>
    <row r="6125" spans="1:11" x14ac:dyDescent="0.25">
      <c r="A6125">
        <v>79.622264378984994</v>
      </c>
      <c r="B6125">
        <v>25.2782621189385</v>
      </c>
      <c r="C6125">
        <v>2001</v>
      </c>
    </row>
    <row r="6126" spans="1:11" x14ac:dyDescent="0.25">
      <c r="A6126">
        <v>78.748232330087305</v>
      </c>
      <c r="B6126">
        <v>25.2782621189385</v>
      </c>
      <c r="C6126">
        <v>2000</v>
      </c>
    </row>
    <row r="6127" spans="1:11" x14ac:dyDescent="0.25">
      <c r="A6127" t="s">
        <v>87</v>
      </c>
    </row>
    <row r="6128" spans="1:11" x14ac:dyDescent="0.25">
      <c r="A6128">
        <v>960</v>
      </c>
      <c r="B6128">
        <v>1</v>
      </c>
      <c r="C6128">
        <v>6.00971689291553</v>
      </c>
      <c r="D6128">
        <v>0.214674989453847</v>
      </c>
      <c r="E6128">
        <v>6</v>
      </c>
      <c r="F6128">
        <v>1.01722196789785</v>
      </c>
      <c r="G6128" t="s">
        <v>85</v>
      </c>
      <c r="H6128" t="s">
        <v>85</v>
      </c>
      <c r="I6128">
        <v>425</v>
      </c>
      <c r="J6128">
        <v>439</v>
      </c>
      <c r="K6128">
        <v>9.2594931978171202E-2</v>
      </c>
    </row>
    <row r="6129" spans="1:11" x14ac:dyDescent="0.25">
      <c r="A6129" t="s">
        <v>86</v>
      </c>
    </row>
    <row r="6130" spans="1:11" x14ac:dyDescent="0.25">
      <c r="A6130">
        <v>57.034648934861004</v>
      </c>
      <c r="B6130">
        <v>26.508568953968499</v>
      </c>
      <c r="C6130">
        <v>2000</v>
      </c>
    </row>
    <row r="6131" spans="1:11" x14ac:dyDescent="0.25">
      <c r="A6131">
        <v>52.785137366869101</v>
      </c>
      <c r="B6131">
        <v>30.758080521960402</v>
      </c>
      <c r="C6131">
        <v>2000</v>
      </c>
    </row>
    <row r="6132" spans="1:11" x14ac:dyDescent="0.25">
      <c r="A6132">
        <v>52.785137366869101</v>
      </c>
      <c r="B6132">
        <v>31.632112570858101</v>
      </c>
      <c r="C6132">
        <v>2001</v>
      </c>
    </row>
    <row r="6133" spans="1:11" x14ac:dyDescent="0.25">
      <c r="A6133">
        <v>57.034648934861004</v>
      </c>
      <c r="B6133">
        <v>27.3826010028661</v>
      </c>
      <c r="C6133">
        <v>2001</v>
      </c>
    </row>
    <row r="6134" spans="1:11" x14ac:dyDescent="0.25">
      <c r="A6134">
        <v>57.186447075655003</v>
      </c>
      <c r="B6134">
        <v>27.230802862072199</v>
      </c>
      <c r="C6134">
        <v>2001</v>
      </c>
    </row>
    <row r="6135" spans="1:11" x14ac:dyDescent="0.25">
      <c r="A6135">
        <v>57.186447075655003</v>
      </c>
      <c r="B6135">
        <v>26.356770813174499</v>
      </c>
      <c r="C6135">
        <v>2000</v>
      </c>
    </row>
    <row r="6136" spans="1:11" x14ac:dyDescent="0.25">
      <c r="A6136" t="s">
        <v>87</v>
      </c>
    </row>
    <row r="6137" spans="1:11" x14ac:dyDescent="0.25">
      <c r="A6137">
        <v>1076</v>
      </c>
      <c r="B6137">
        <v>1</v>
      </c>
      <c r="C6137">
        <v>0.57900965140856897</v>
      </c>
      <c r="D6137">
        <v>5.6298248578150201</v>
      </c>
      <c r="E6137">
        <v>6</v>
      </c>
      <c r="F6137">
        <v>1.01722196789785</v>
      </c>
      <c r="G6137" t="s">
        <v>85</v>
      </c>
      <c r="H6137" t="s">
        <v>85</v>
      </c>
      <c r="I6137">
        <v>427</v>
      </c>
      <c r="J6137">
        <v>421</v>
      </c>
      <c r="K6137">
        <v>9.4226499478247905E-2</v>
      </c>
    </row>
    <row r="6138" spans="1:11" x14ac:dyDescent="0.25">
      <c r="A6138" t="s">
        <v>86</v>
      </c>
    </row>
    <row r="6139" spans="1:11" x14ac:dyDescent="0.25">
      <c r="A6139">
        <v>93.648045220257401</v>
      </c>
      <c r="B6139">
        <v>13.8396952831371</v>
      </c>
      <c r="C6139">
        <v>2000</v>
      </c>
    </row>
    <row r="6140" spans="1:11" x14ac:dyDescent="0.25">
      <c r="A6140">
        <v>93.2386235693739</v>
      </c>
      <c r="B6140">
        <v>14.2491169340206</v>
      </c>
      <c r="C6140">
        <v>2000</v>
      </c>
    </row>
    <row r="6141" spans="1:11" x14ac:dyDescent="0.25">
      <c r="A6141">
        <v>94.112655618271503</v>
      </c>
      <c r="B6141">
        <v>14.2491169340206</v>
      </c>
      <c r="C6141">
        <v>2001</v>
      </c>
    </row>
    <row r="6142" spans="1:11" x14ac:dyDescent="0.25">
      <c r="A6142">
        <v>94.522077269155005</v>
      </c>
      <c r="B6142">
        <v>13.8396952831371</v>
      </c>
      <c r="C6142">
        <v>2001</v>
      </c>
    </row>
    <row r="6143" spans="1:11" x14ac:dyDescent="0.25">
      <c r="A6143">
        <v>98.502964603008607</v>
      </c>
      <c r="B6143">
        <v>9.8588079492835394</v>
      </c>
      <c r="C6143">
        <v>2001</v>
      </c>
    </row>
    <row r="6144" spans="1:11" x14ac:dyDescent="0.25">
      <c r="A6144">
        <v>97.628932554110904</v>
      </c>
      <c r="B6144">
        <v>9.8588079492835394</v>
      </c>
      <c r="C6144">
        <v>2000</v>
      </c>
    </row>
    <row r="6145" spans="1:11" x14ac:dyDescent="0.25">
      <c r="A6145" t="s">
        <v>87</v>
      </c>
    </row>
    <row r="6146" spans="1:11" x14ac:dyDescent="0.25">
      <c r="A6146">
        <v>989</v>
      </c>
      <c r="B6146">
        <v>0</v>
      </c>
      <c r="C6146">
        <v>3.1134214513555798</v>
      </c>
      <c r="D6146">
        <v>3.0262794669781199</v>
      </c>
      <c r="E6146">
        <v>6</v>
      </c>
      <c r="F6146">
        <v>1.01722196789785</v>
      </c>
      <c r="G6146" t="s">
        <v>85</v>
      </c>
      <c r="H6146" t="s">
        <v>85</v>
      </c>
      <c r="I6146">
        <v>906</v>
      </c>
      <c r="J6146">
        <v>712</v>
      </c>
      <c r="K6146">
        <v>9.3028045338835699E-2</v>
      </c>
    </row>
    <row r="6147" spans="1:11" x14ac:dyDescent="0.25">
      <c r="A6147" t="s">
        <v>86</v>
      </c>
    </row>
    <row r="6148" spans="1:11" x14ac:dyDescent="0.25">
      <c r="A6148">
        <v>57.416243435543201</v>
      </c>
      <c r="B6148">
        <v>74.363047773196499</v>
      </c>
      <c r="C6148">
        <v>2000</v>
      </c>
    </row>
    <row r="6149" spans="1:11" x14ac:dyDescent="0.25">
      <c r="A6149">
        <v>55.214722014598003</v>
      </c>
      <c r="B6149">
        <v>72.1615263522513</v>
      </c>
      <c r="C6149">
        <v>2000</v>
      </c>
    </row>
    <row r="6150" spans="1:11" x14ac:dyDescent="0.25">
      <c r="A6150">
        <v>55.214722014598003</v>
      </c>
      <c r="B6150">
        <v>73.035558401148904</v>
      </c>
      <c r="C6150">
        <v>2001</v>
      </c>
    </row>
    <row r="6151" spans="1:11" x14ac:dyDescent="0.25">
      <c r="A6151">
        <v>57.416243435543201</v>
      </c>
      <c r="B6151">
        <v>75.237079822094103</v>
      </c>
      <c r="C6151">
        <v>2001</v>
      </c>
    </row>
    <row r="6152" spans="1:11" x14ac:dyDescent="0.25">
      <c r="A6152">
        <v>59.556146168409001</v>
      </c>
      <c r="B6152">
        <v>77.376982554959994</v>
      </c>
      <c r="C6152">
        <v>2001</v>
      </c>
    </row>
    <row r="6153" spans="1:11" x14ac:dyDescent="0.25">
      <c r="A6153">
        <v>59.556146168409001</v>
      </c>
      <c r="B6153">
        <v>76.502950506062305</v>
      </c>
      <c r="C6153">
        <v>2000</v>
      </c>
    </row>
    <row r="6154" spans="1:11" x14ac:dyDescent="0.25">
      <c r="A6154" t="s">
        <v>87</v>
      </c>
    </row>
    <row r="6155" spans="1:11" x14ac:dyDescent="0.25">
      <c r="A6155">
        <v>936</v>
      </c>
      <c r="B6155">
        <v>0</v>
      </c>
      <c r="C6155">
        <v>3.0131822514791802</v>
      </c>
      <c r="D6155">
        <v>3.1245947949280199</v>
      </c>
      <c r="E6155">
        <v>6</v>
      </c>
      <c r="F6155">
        <v>1.01722196789785</v>
      </c>
      <c r="G6155" t="s">
        <v>85</v>
      </c>
      <c r="H6155" t="s">
        <v>85</v>
      </c>
      <c r="I6155">
        <v>632</v>
      </c>
      <c r="J6155">
        <v>623</v>
      </c>
      <c r="K6155">
        <v>9.2142179589674397E-2</v>
      </c>
    </row>
    <row r="6156" spans="1:11" x14ac:dyDescent="0.25">
      <c r="A6156" t="s">
        <v>86</v>
      </c>
    </row>
    <row r="6157" spans="1:11" x14ac:dyDescent="0.25">
      <c r="A6157">
        <v>139.47619522897301</v>
      </c>
      <c r="B6157">
        <v>57.879811661270899</v>
      </c>
      <c r="C6157">
        <v>2000</v>
      </c>
    </row>
    <row r="6158" spans="1:11" x14ac:dyDescent="0.25">
      <c r="A6158">
        <v>137.34555362600199</v>
      </c>
      <c r="B6158">
        <v>55.749170058299001</v>
      </c>
      <c r="C6158">
        <v>2000</v>
      </c>
    </row>
    <row r="6159" spans="1:11" x14ac:dyDescent="0.25">
      <c r="A6159">
        <v>137.34555362600199</v>
      </c>
      <c r="B6159">
        <v>56.623202107196697</v>
      </c>
      <c r="C6159">
        <v>2001</v>
      </c>
    </row>
    <row r="6160" spans="1:11" x14ac:dyDescent="0.25">
      <c r="A6160">
        <v>139.47619522897301</v>
      </c>
      <c r="B6160">
        <v>58.753843710168603</v>
      </c>
      <c r="C6160">
        <v>2001</v>
      </c>
    </row>
    <row r="6161" spans="1:11" x14ac:dyDescent="0.25">
      <c r="A6161">
        <v>141.685617396927</v>
      </c>
      <c r="B6161">
        <v>60.9632658781223</v>
      </c>
      <c r="C6161">
        <v>2001</v>
      </c>
    </row>
    <row r="6162" spans="1:11" x14ac:dyDescent="0.25">
      <c r="A6162">
        <v>141.685617396927</v>
      </c>
      <c r="B6162">
        <v>60.089233829224703</v>
      </c>
      <c r="C6162">
        <v>2000</v>
      </c>
    </row>
    <row r="6163" spans="1:11" x14ac:dyDescent="0.25">
      <c r="A6163" t="s">
        <v>87</v>
      </c>
    </row>
    <row r="6164" spans="1:11" x14ac:dyDescent="0.25">
      <c r="A6164">
        <v>582</v>
      </c>
      <c r="B6164">
        <v>0</v>
      </c>
      <c r="C6164">
        <v>3.6119856434645201</v>
      </c>
      <c r="D6164">
        <v>2.5257914029426698</v>
      </c>
      <c r="E6164">
        <v>6</v>
      </c>
      <c r="F6164">
        <v>1.01722196789785</v>
      </c>
      <c r="G6164" t="s">
        <v>85</v>
      </c>
      <c r="H6164" t="s">
        <v>85</v>
      </c>
      <c r="I6164">
        <v>632</v>
      </c>
      <c r="J6164">
        <v>623</v>
      </c>
      <c r="K6164">
        <v>0</v>
      </c>
    </row>
    <row r="6165" spans="1:11" x14ac:dyDescent="0.25">
      <c r="A6165" t="s">
        <v>86</v>
      </c>
    </row>
    <row r="6166" spans="1:11" x14ac:dyDescent="0.25">
      <c r="A6166">
        <v>138.40116894451</v>
      </c>
      <c r="B6166">
        <v>59.801673823875198</v>
      </c>
      <c r="C6166">
        <v>2000</v>
      </c>
    </row>
    <row r="6167" spans="1:11" x14ac:dyDescent="0.25">
      <c r="A6167">
        <v>135.84710940246799</v>
      </c>
      <c r="B6167">
        <v>57.247614281833002</v>
      </c>
      <c r="C6167">
        <v>2000</v>
      </c>
    </row>
    <row r="6168" spans="1:11" x14ac:dyDescent="0.25">
      <c r="A6168">
        <v>136.72114145136501</v>
      </c>
      <c r="B6168">
        <v>57.247614281833002</v>
      </c>
      <c r="C6168">
        <v>2001</v>
      </c>
    </row>
    <row r="6169" spans="1:11" x14ac:dyDescent="0.25">
      <c r="A6169">
        <v>139.27520099340799</v>
      </c>
      <c r="B6169">
        <v>59.801673823875198</v>
      </c>
      <c r="C6169">
        <v>2001</v>
      </c>
    </row>
    <row r="6170" spans="1:11" x14ac:dyDescent="0.25">
      <c r="A6170">
        <v>141.06120522229099</v>
      </c>
      <c r="B6170">
        <v>61.587678052758598</v>
      </c>
      <c r="C6170">
        <v>2001</v>
      </c>
    </row>
    <row r="6171" spans="1:11" x14ac:dyDescent="0.25">
      <c r="A6171">
        <v>140.18717317339301</v>
      </c>
      <c r="B6171">
        <v>61.587678052758598</v>
      </c>
      <c r="C6171">
        <v>2000</v>
      </c>
    </row>
    <row r="6172" spans="1:11" x14ac:dyDescent="0.25">
      <c r="A6172" t="s">
        <v>87</v>
      </c>
    </row>
    <row r="6173" spans="1:11" x14ac:dyDescent="0.25">
      <c r="A6173">
        <v>859</v>
      </c>
      <c r="B6173">
        <v>0</v>
      </c>
      <c r="C6173">
        <v>4.5327992229566396</v>
      </c>
      <c r="D6173">
        <v>1.6049778234505501</v>
      </c>
      <c r="E6173">
        <v>6</v>
      </c>
      <c r="F6173">
        <v>1.01722196789785</v>
      </c>
      <c r="G6173" t="s">
        <v>85</v>
      </c>
      <c r="H6173" t="s">
        <v>85</v>
      </c>
      <c r="I6173">
        <v>632</v>
      </c>
      <c r="J6173">
        <v>623</v>
      </c>
      <c r="K6173">
        <v>9.0645505931922193E-2</v>
      </c>
    </row>
    <row r="6174" spans="1:11" x14ac:dyDescent="0.25">
      <c r="A6174" t="s">
        <v>86</v>
      </c>
    </row>
    <row r="6175" spans="1:11" x14ac:dyDescent="0.25">
      <c r="A6175">
        <v>139.973523346695</v>
      </c>
      <c r="B6175">
        <v>59.531546474225202</v>
      </c>
      <c r="C6175">
        <v>2000</v>
      </c>
    </row>
    <row r="6176" spans="1:11" x14ac:dyDescent="0.25">
      <c r="A6176">
        <v>136.76835027838499</v>
      </c>
      <c r="B6176">
        <v>56.326373405915497</v>
      </c>
      <c r="C6176">
        <v>2000</v>
      </c>
    </row>
    <row r="6177" spans="1:11" x14ac:dyDescent="0.25">
      <c r="A6177">
        <v>136.76835027838499</v>
      </c>
      <c r="B6177">
        <v>57.200405454813101</v>
      </c>
      <c r="C6177">
        <v>2001</v>
      </c>
    </row>
    <row r="6178" spans="1:11" x14ac:dyDescent="0.25">
      <c r="A6178">
        <v>139.973523346695</v>
      </c>
      <c r="B6178">
        <v>60.405578523122898</v>
      </c>
      <c r="C6178">
        <v>2001</v>
      </c>
    </row>
    <row r="6179" spans="1:11" x14ac:dyDescent="0.25">
      <c r="A6179">
        <v>141.10841404931099</v>
      </c>
      <c r="B6179">
        <v>61.540469225738804</v>
      </c>
      <c r="C6179">
        <v>2001</v>
      </c>
    </row>
    <row r="6180" spans="1:11" x14ac:dyDescent="0.25">
      <c r="A6180">
        <v>141.10841404931099</v>
      </c>
      <c r="B6180">
        <v>60.6664371768411</v>
      </c>
      <c r="C6180">
        <v>2000</v>
      </c>
    </row>
    <row r="6181" spans="1:11" x14ac:dyDescent="0.25">
      <c r="A6181" t="s">
        <v>87</v>
      </c>
    </row>
    <row r="6182" spans="1:11" x14ac:dyDescent="0.25">
      <c r="A6182">
        <v>589</v>
      </c>
      <c r="B6182">
        <v>0</v>
      </c>
      <c r="C6182">
        <v>2.0100113756618301</v>
      </c>
      <c r="D6182">
        <v>4.1277656707453598</v>
      </c>
      <c r="E6182">
        <v>6</v>
      </c>
      <c r="F6182">
        <v>1.01722196789785</v>
      </c>
      <c r="G6182" t="s">
        <v>85</v>
      </c>
      <c r="H6182" t="s">
        <v>85</v>
      </c>
      <c r="I6182">
        <v>632</v>
      </c>
      <c r="J6182">
        <v>623</v>
      </c>
      <c r="K6182">
        <v>0</v>
      </c>
    </row>
    <row r="6183" spans="1:11" x14ac:dyDescent="0.25">
      <c r="A6183" t="s">
        <v>86</v>
      </c>
    </row>
    <row r="6184" spans="1:11" x14ac:dyDescent="0.25">
      <c r="A6184">
        <v>135.00243885675599</v>
      </c>
      <c r="B6184">
        <v>60.9348701755302</v>
      </c>
      <c r="C6184">
        <v>2000</v>
      </c>
    </row>
    <row r="6185" spans="1:11" x14ac:dyDescent="0.25">
      <c r="A6185">
        <v>133.58114618276301</v>
      </c>
      <c r="B6185">
        <v>59.513577501537597</v>
      </c>
      <c r="C6185">
        <v>2000</v>
      </c>
    </row>
    <row r="6186" spans="1:11" x14ac:dyDescent="0.25">
      <c r="A6186">
        <v>133.58114618276301</v>
      </c>
      <c r="B6186">
        <v>60.3876095504353</v>
      </c>
      <c r="C6186">
        <v>2001</v>
      </c>
    </row>
    <row r="6187" spans="1:11" x14ac:dyDescent="0.25">
      <c r="A6187">
        <v>135.00243885675599</v>
      </c>
      <c r="B6187">
        <v>61.808902224427896</v>
      </c>
      <c r="C6187">
        <v>2001</v>
      </c>
    </row>
    <row r="6188" spans="1:11" x14ac:dyDescent="0.25">
      <c r="A6188">
        <v>137.92120995368899</v>
      </c>
      <c r="B6188">
        <v>64.727673321360896</v>
      </c>
      <c r="C6188">
        <v>2001</v>
      </c>
    </row>
    <row r="6189" spans="1:11" x14ac:dyDescent="0.25">
      <c r="A6189">
        <v>137.92120995368899</v>
      </c>
      <c r="B6189">
        <v>63.8536412724633</v>
      </c>
      <c r="C6189">
        <v>2000</v>
      </c>
    </row>
    <row r="6190" spans="1:11" x14ac:dyDescent="0.25">
      <c r="A6190" t="s">
        <v>87</v>
      </c>
    </row>
    <row r="6191" spans="1:11" x14ac:dyDescent="0.25">
      <c r="A6191">
        <v>1139</v>
      </c>
      <c r="B6191">
        <v>1</v>
      </c>
      <c r="C6191">
        <v>2.9135737726055999</v>
      </c>
      <c r="D6191">
        <v>3.17786154614409</v>
      </c>
      <c r="E6191">
        <v>6</v>
      </c>
      <c r="F6191">
        <v>1.01722196789785</v>
      </c>
      <c r="G6191" t="s">
        <v>85</v>
      </c>
      <c r="H6191" t="s">
        <v>85</v>
      </c>
      <c r="I6191">
        <v>763</v>
      </c>
      <c r="J6191">
        <v>426</v>
      </c>
      <c r="K6191">
        <v>9.5129269803373898E-2</v>
      </c>
    </row>
    <row r="6192" spans="1:11" x14ac:dyDescent="0.25">
      <c r="A6192" t="s">
        <v>86</v>
      </c>
    </row>
    <row r="6193" spans="1:11" x14ac:dyDescent="0.25">
      <c r="A6193">
        <v>78.569965100999994</v>
      </c>
      <c r="B6193">
        <v>36.220197264311302</v>
      </c>
      <c r="C6193">
        <v>2000</v>
      </c>
    </row>
    <row r="6194" spans="1:11" x14ac:dyDescent="0.25">
      <c r="A6194">
        <v>76.718784981732995</v>
      </c>
      <c r="B6194">
        <v>38.071377383578302</v>
      </c>
      <c r="C6194">
        <v>2000</v>
      </c>
    </row>
    <row r="6195" spans="1:11" x14ac:dyDescent="0.25">
      <c r="A6195">
        <v>75.844752932835405</v>
      </c>
      <c r="B6195">
        <v>38.071377383578302</v>
      </c>
      <c r="C6195">
        <v>2001</v>
      </c>
    </row>
    <row r="6196" spans="1:11" x14ac:dyDescent="0.25">
      <c r="A6196">
        <v>78.113988357761798</v>
      </c>
      <c r="B6196">
        <v>35.802141958651802</v>
      </c>
      <c r="C6196">
        <v>2001</v>
      </c>
    </row>
    <row r="6197" spans="1:11" x14ac:dyDescent="0.25">
      <c r="A6197">
        <v>80.589064178331299</v>
      </c>
      <c r="B6197">
        <v>33.327066138082301</v>
      </c>
      <c r="C6197">
        <v>2001</v>
      </c>
    </row>
    <row r="6198" spans="1:11" x14ac:dyDescent="0.25">
      <c r="A6198">
        <v>80.589064178331299</v>
      </c>
      <c r="B6198">
        <v>34.201098186979898</v>
      </c>
      <c r="C6198">
        <v>2000</v>
      </c>
    </row>
    <row r="6199" spans="1:11" x14ac:dyDescent="0.25">
      <c r="A6199" t="s">
        <v>87</v>
      </c>
    </row>
    <row r="6200" spans="1:11" x14ac:dyDescent="0.25">
      <c r="A6200">
        <v>844</v>
      </c>
      <c r="B6200">
        <v>1</v>
      </c>
      <c r="C6200">
        <v>3.0510569900755198</v>
      </c>
      <c r="D6200">
        <v>3.0298429665577902</v>
      </c>
      <c r="E6200">
        <v>8</v>
      </c>
      <c r="F6200">
        <v>1.01722196789785</v>
      </c>
      <c r="G6200" t="s">
        <v>85</v>
      </c>
      <c r="H6200" t="s">
        <v>85</v>
      </c>
      <c r="I6200">
        <v>22</v>
      </c>
      <c r="J6200">
        <v>439</v>
      </c>
      <c r="K6200">
        <v>9.0374042336346896E-2</v>
      </c>
    </row>
    <row r="6201" spans="1:11" x14ac:dyDescent="0.25">
      <c r="A6201" t="s">
        <v>86</v>
      </c>
    </row>
    <row r="6202" spans="1:11" x14ac:dyDescent="0.25">
      <c r="A6202">
        <v>50.0537868696657</v>
      </c>
      <c r="B6202">
        <v>23.945629193882699</v>
      </c>
      <c r="C6202">
        <v>2000</v>
      </c>
    </row>
    <row r="6203" spans="1:11" x14ac:dyDescent="0.25">
      <c r="A6203">
        <v>49.7539307739493</v>
      </c>
      <c r="B6203">
        <v>24.245485289598999</v>
      </c>
      <c r="C6203">
        <v>2000</v>
      </c>
    </row>
    <row r="6204" spans="1:11" x14ac:dyDescent="0.25">
      <c r="A6204">
        <v>47.677684543513202</v>
      </c>
      <c r="B6204">
        <v>26.3217315200352</v>
      </c>
      <c r="C6204">
        <v>2000</v>
      </c>
    </row>
    <row r="6205" spans="1:11" x14ac:dyDescent="0.25">
      <c r="A6205">
        <v>48.551716592410799</v>
      </c>
      <c r="B6205">
        <v>26.3217315200352</v>
      </c>
      <c r="C6205">
        <v>2001</v>
      </c>
    </row>
    <row r="6206" spans="1:11" x14ac:dyDescent="0.25">
      <c r="A6206">
        <v>50.2460692260507</v>
      </c>
      <c r="B6206">
        <v>24.627378886395299</v>
      </c>
      <c r="C6206">
        <v>2001</v>
      </c>
    </row>
    <row r="6207" spans="1:11" x14ac:dyDescent="0.25">
      <c r="A6207">
        <v>50.490460441196397</v>
      </c>
      <c r="B6207">
        <v>24.382987671249602</v>
      </c>
      <c r="C6207">
        <v>2001</v>
      </c>
    </row>
    <row r="6208" spans="1:11" x14ac:dyDescent="0.25">
      <c r="A6208">
        <v>52.4145461630144</v>
      </c>
      <c r="B6208">
        <v>22.458901949431599</v>
      </c>
      <c r="C6208">
        <v>2001</v>
      </c>
    </row>
    <row r="6209" spans="1:11" x14ac:dyDescent="0.25">
      <c r="A6209">
        <v>52.4145461630144</v>
      </c>
      <c r="B6209">
        <v>21.584869900533999</v>
      </c>
      <c r="C6209">
        <v>2000</v>
      </c>
    </row>
    <row r="6210" spans="1:11" x14ac:dyDescent="0.25">
      <c r="A6210" t="s">
        <v>87</v>
      </c>
    </row>
    <row r="6211" spans="1:11" x14ac:dyDescent="0.25">
      <c r="A6211">
        <v>977</v>
      </c>
      <c r="B6211">
        <v>0</v>
      </c>
      <c r="C6211">
        <v>1.75926126865309</v>
      </c>
      <c r="D6211">
        <v>4.2738940958839198</v>
      </c>
      <c r="E6211">
        <v>10</v>
      </c>
      <c r="F6211">
        <v>1.01722196789785</v>
      </c>
      <c r="G6211" t="s">
        <v>85</v>
      </c>
      <c r="H6211" t="s">
        <v>85</v>
      </c>
      <c r="I6211">
        <v>461</v>
      </c>
      <c r="J6211">
        <v>871</v>
      </c>
      <c r="K6211">
        <v>9.3028045338835699E-2</v>
      </c>
    </row>
    <row r="6212" spans="1:11" x14ac:dyDescent="0.25">
      <c r="A6212" t="s">
        <v>86</v>
      </c>
    </row>
    <row r="6213" spans="1:11" x14ac:dyDescent="0.25">
      <c r="A6213">
        <v>99.004231145442105</v>
      </c>
      <c r="B6213">
        <v>48.571926929614399</v>
      </c>
      <c r="C6213">
        <v>2000</v>
      </c>
    </row>
    <row r="6214" spans="1:11" x14ac:dyDescent="0.25">
      <c r="A6214">
        <v>97.889010199759596</v>
      </c>
      <c r="B6214">
        <v>47.456705983931897</v>
      </c>
      <c r="C6214">
        <v>2000</v>
      </c>
    </row>
    <row r="6215" spans="1:11" x14ac:dyDescent="0.25">
      <c r="A6215">
        <v>97.889010199759596</v>
      </c>
      <c r="B6215">
        <v>46.5826739350343</v>
      </c>
      <c r="C6215">
        <v>2001</v>
      </c>
    </row>
    <row r="6216" spans="1:11" x14ac:dyDescent="0.25">
      <c r="A6216">
        <v>99.261760399964103</v>
      </c>
      <c r="B6216">
        <v>47.955424135238701</v>
      </c>
      <c r="C6216">
        <v>2001</v>
      </c>
    </row>
    <row r="6217" spans="1:11" x14ac:dyDescent="0.25">
      <c r="A6217">
        <v>100.21850801222401</v>
      </c>
      <c r="B6217">
        <v>48.912171747499002</v>
      </c>
      <c r="C6217">
        <v>2001</v>
      </c>
    </row>
    <row r="6218" spans="1:11" x14ac:dyDescent="0.25">
      <c r="A6218">
        <v>101.17596980259199</v>
      </c>
      <c r="B6218">
        <v>49.869633537866498</v>
      </c>
      <c r="C6218">
        <v>2001</v>
      </c>
    </row>
    <row r="6219" spans="1:11" x14ac:dyDescent="0.25">
      <c r="A6219">
        <v>102.592111294425</v>
      </c>
      <c r="B6219">
        <v>51.285775029699202</v>
      </c>
      <c r="C6219">
        <v>2001</v>
      </c>
    </row>
    <row r="6220" spans="1:11" x14ac:dyDescent="0.25">
      <c r="A6220">
        <v>101.71807924552699</v>
      </c>
      <c r="B6220">
        <v>51.285775029699202</v>
      </c>
      <c r="C6220">
        <v>2000</v>
      </c>
    </row>
    <row r="6221" spans="1:11" x14ac:dyDescent="0.25">
      <c r="A6221">
        <v>100.56267067796099</v>
      </c>
      <c r="B6221">
        <v>50.130366462133502</v>
      </c>
      <c r="C6221">
        <v>2000</v>
      </c>
    </row>
    <row r="6222" spans="1:11" x14ac:dyDescent="0.25">
      <c r="A6222">
        <v>99.781491987775595</v>
      </c>
      <c r="B6222">
        <v>49.349187771947904</v>
      </c>
      <c r="C6222">
        <v>2000</v>
      </c>
    </row>
    <row r="6223" spans="1:11" x14ac:dyDescent="0.25">
      <c r="A6223" t="s">
        <v>87</v>
      </c>
    </row>
    <row r="6224" spans="1:11" x14ac:dyDescent="0.25">
      <c r="A6224">
        <v>992</v>
      </c>
      <c r="B6224">
        <v>0</v>
      </c>
      <c r="C6224">
        <v>1.72945485273615</v>
      </c>
      <c r="D6224">
        <v>4.29026913435482</v>
      </c>
      <c r="E6224">
        <v>6</v>
      </c>
      <c r="F6224">
        <v>1.01722196789785</v>
      </c>
      <c r="G6224" t="s">
        <v>85</v>
      </c>
      <c r="H6224" t="s">
        <v>85</v>
      </c>
      <c r="I6224">
        <v>833</v>
      </c>
      <c r="J6224">
        <v>625</v>
      </c>
      <c r="K6224">
        <v>9.3237811683927099E-2</v>
      </c>
    </row>
    <row r="6225" spans="1:11" x14ac:dyDescent="0.25">
      <c r="A6225" t="s">
        <v>86</v>
      </c>
    </row>
    <row r="6226" spans="1:11" x14ac:dyDescent="0.25">
      <c r="A6226">
        <v>114.17676047338</v>
      </c>
      <c r="B6226">
        <v>88.929345081061697</v>
      </c>
      <c r="C6226">
        <v>2000</v>
      </c>
    </row>
    <row r="6227" spans="1:11" x14ac:dyDescent="0.25">
      <c r="A6227">
        <v>112.95385121925401</v>
      </c>
      <c r="B6227">
        <v>87.706435826936001</v>
      </c>
      <c r="C6227">
        <v>2000</v>
      </c>
    </row>
    <row r="6228" spans="1:11" x14ac:dyDescent="0.25">
      <c r="A6228">
        <v>113.82788326815199</v>
      </c>
      <c r="B6228">
        <v>87.706435826936001</v>
      </c>
      <c r="C6228">
        <v>2001</v>
      </c>
    </row>
    <row r="6229" spans="1:11" x14ac:dyDescent="0.25">
      <c r="A6229">
        <v>115.05079252227701</v>
      </c>
      <c r="B6229">
        <v>88.929345081061697</v>
      </c>
      <c r="C6229">
        <v>2001</v>
      </c>
    </row>
    <row r="6230" spans="1:11" x14ac:dyDescent="0.25">
      <c r="A6230">
        <v>118.084470920295</v>
      </c>
      <c r="B6230">
        <v>91.963023479079396</v>
      </c>
      <c r="C6230">
        <v>2001</v>
      </c>
    </row>
    <row r="6231" spans="1:11" x14ac:dyDescent="0.25">
      <c r="A6231">
        <v>117.210438871397</v>
      </c>
      <c r="B6231">
        <v>91.963023479079396</v>
      </c>
      <c r="C6231">
        <v>2000</v>
      </c>
    </row>
    <row r="6232" spans="1:11" x14ac:dyDescent="0.25">
      <c r="A6232" t="s">
        <v>87</v>
      </c>
    </row>
    <row r="6233" spans="1:11" x14ac:dyDescent="0.25">
      <c r="A6233">
        <v>391</v>
      </c>
      <c r="B6233">
        <v>1</v>
      </c>
      <c r="C6233">
        <v>2.8957583161953799</v>
      </c>
      <c r="D6233">
        <v>3.1165126929028801</v>
      </c>
      <c r="E6233">
        <v>6</v>
      </c>
      <c r="F6233">
        <v>1.01722196789785</v>
      </c>
      <c r="G6233" t="s">
        <v>85</v>
      </c>
      <c r="H6233" t="s">
        <v>89</v>
      </c>
      <c r="I6233">
        <v>351</v>
      </c>
      <c r="J6233">
        <v>384</v>
      </c>
      <c r="K6233">
        <v>0</v>
      </c>
    </row>
    <row r="6234" spans="1:11" x14ac:dyDescent="0.25">
      <c r="A6234" t="s">
        <v>86</v>
      </c>
    </row>
    <row r="6235" spans="1:11" x14ac:dyDescent="0.25">
      <c r="A6235">
        <v>34.633255408383299</v>
      </c>
      <c r="B6235">
        <v>56.939211646580397</v>
      </c>
      <c r="C6235">
        <v>2000</v>
      </c>
    </row>
    <row r="6236" spans="1:11" x14ac:dyDescent="0.25">
      <c r="A6236">
        <v>32.6908875599837</v>
      </c>
      <c r="B6236">
        <v>58.881579494980002</v>
      </c>
      <c r="C6236">
        <v>2000</v>
      </c>
    </row>
    <row r="6237" spans="1:11" x14ac:dyDescent="0.25">
      <c r="A6237">
        <v>31.8168555110861</v>
      </c>
      <c r="B6237">
        <v>58.881579494980002</v>
      </c>
      <c r="C6237">
        <v>2001</v>
      </c>
    </row>
    <row r="6238" spans="1:11" x14ac:dyDescent="0.25">
      <c r="A6238">
        <v>33.969708346804701</v>
      </c>
      <c r="B6238">
        <v>56.728726659261397</v>
      </c>
      <c r="C6238">
        <v>2001</v>
      </c>
    </row>
    <row r="6239" spans="1:11" x14ac:dyDescent="0.25">
      <c r="A6239">
        <v>36.286681124175203</v>
      </c>
      <c r="B6239">
        <v>54.411753881890903</v>
      </c>
      <c r="C6239">
        <v>2001</v>
      </c>
    </row>
    <row r="6240" spans="1:11" x14ac:dyDescent="0.25">
      <c r="A6240">
        <v>36.723697148623998</v>
      </c>
      <c r="B6240">
        <v>54.848769906339697</v>
      </c>
      <c r="C6240">
        <v>2000</v>
      </c>
    </row>
    <row r="6241" spans="1:11" x14ac:dyDescent="0.25">
      <c r="A6241" t="s">
        <v>87</v>
      </c>
    </row>
    <row r="6242" spans="1:11" x14ac:dyDescent="0.25">
      <c r="A6242">
        <v>1082</v>
      </c>
      <c r="B6242">
        <v>0</v>
      </c>
      <c r="C6242">
        <v>3.8336311125116298</v>
      </c>
      <c r="D6242">
        <v>2.1432696843752299</v>
      </c>
      <c r="E6242">
        <v>6</v>
      </c>
      <c r="F6242">
        <v>1.01722196789785</v>
      </c>
      <c r="G6242" t="s">
        <v>85</v>
      </c>
      <c r="H6242" t="s">
        <v>85</v>
      </c>
      <c r="I6242">
        <v>76</v>
      </c>
      <c r="J6242">
        <v>844</v>
      </c>
      <c r="K6242">
        <v>9.4413370804653396E-2</v>
      </c>
    </row>
    <row r="6243" spans="1:11" x14ac:dyDescent="0.25">
      <c r="A6243" t="s">
        <v>86</v>
      </c>
    </row>
    <row r="6244" spans="1:11" x14ac:dyDescent="0.25">
      <c r="A6244">
        <v>47.769196873613403</v>
      </c>
      <c r="B6244">
        <v>23.512599162729501</v>
      </c>
      <c r="C6244">
        <v>2000</v>
      </c>
    </row>
    <row r="6245" spans="1:11" x14ac:dyDescent="0.25">
      <c r="A6245">
        <v>45.338715827706999</v>
      </c>
      <c r="B6245">
        <v>21.0821181168231</v>
      </c>
      <c r="C6245">
        <v>2000</v>
      </c>
    </row>
    <row r="6246" spans="1:11" x14ac:dyDescent="0.25">
      <c r="A6246">
        <v>44.464683778809302</v>
      </c>
      <c r="B6246">
        <v>21.0821181168231</v>
      </c>
      <c r="C6246">
        <v>2001</v>
      </c>
    </row>
    <row r="6247" spans="1:11" x14ac:dyDescent="0.25">
      <c r="A6247">
        <v>47.455775845352299</v>
      </c>
      <c r="B6247">
        <v>24.073210183366101</v>
      </c>
      <c r="C6247">
        <v>2001</v>
      </c>
    </row>
    <row r="6248" spans="1:11" x14ac:dyDescent="0.25">
      <c r="A6248">
        <v>49.128006887216102</v>
      </c>
      <c r="B6248">
        <v>25.7454412252299</v>
      </c>
      <c r="C6248">
        <v>2001</v>
      </c>
    </row>
    <row r="6249" spans="1:11" x14ac:dyDescent="0.25">
      <c r="A6249">
        <v>49.128006887216102</v>
      </c>
      <c r="B6249">
        <v>24.8714091763322</v>
      </c>
      <c r="C6249">
        <v>2000</v>
      </c>
    </row>
    <row r="6250" spans="1:11" x14ac:dyDescent="0.25">
      <c r="A6250" t="s">
        <v>87</v>
      </c>
    </row>
    <row r="6251" spans="1:11" x14ac:dyDescent="0.25">
      <c r="A6251">
        <v>195</v>
      </c>
      <c r="B6251">
        <v>0</v>
      </c>
      <c r="C6251">
        <v>4.7787477667101497</v>
      </c>
      <c r="D6251">
        <v>1.19729720219735</v>
      </c>
      <c r="E6251">
        <v>6</v>
      </c>
      <c r="F6251">
        <v>1.01722196789785</v>
      </c>
      <c r="G6251" t="s">
        <v>89</v>
      </c>
      <c r="H6251" t="s">
        <v>88</v>
      </c>
      <c r="I6251">
        <v>857</v>
      </c>
      <c r="J6251">
        <v>0</v>
      </c>
      <c r="K6251">
        <v>0</v>
      </c>
    </row>
    <row r="6252" spans="1:11" x14ac:dyDescent="0.25">
      <c r="A6252" t="s">
        <v>86</v>
      </c>
    </row>
    <row r="6253" spans="1:11" x14ac:dyDescent="0.25">
      <c r="A6253">
        <v>54.436739173964803</v>
      </c>
      <c r="B6253">
        <v>149.109605073567</v>
      </c>
      <c r="C6253">
        <v>2000</v>
      </c>
    </row>
    <row r="6254" spans="1:11" x14ac:dyDescent="0.25">
      <c r="A6254">
        <v>50.882924165983397</v>
      </c>
      <c r="B6254">
        <v>145.555790065585</v>
      </c>
      <c r="C6254">
        <v>2000</v>
      </c>
    </row>
    <row r="6255" spans="1:11" x14ac:dyDescent="0.25">
      <c r="A6255">
        <v>50.445908141534602</v>
      </c>
      <c r="B6255">
        <v>145.99280609003401</v>
      </c>
      <c r="C6255">
        <v>2001</v>
      </c>
    </row>
    <row r="6256" spans="1:11" x14ac:dyDescent="0.25">
      <c r="A6256">
        <v>53.650263036394797</v>
      </c>
      <c r="B6256">
        <v>149.197160984894</v>
      </c>
      <c r="C6256">
        <v>2001</v>
      </c>
    </row>
    <row r="6257" spans="1:11" x14ac:dyDescent="0.25">
      <c r="A6257">
        <v>54.453102051500402</v>
      </c>
      <c r="B6257">
        <v>150</v>
      </c>
      <c r="C6257">
        <v>2001</v>
      </c>
    </row>
    <row r="6258" spans="1:11" x14ac:dyDescent="0.25">
      <c r="A6258">
        <v>55.327134100398098</v>
      </c>
      <c r="B6258">
        <v>150</v>
      </c>
      <c r="C6258">
        <v>2000</v>
      </c>
    </row>
    <row r="6259" spans="1:11" x14ac:dyDescent="0.25">
      <c r="A6259" t="s">
        <v>87</v>
      </c>
    </row>
    <row r="6260" spans="1:11" x14ac:dyDescent="0.25">
      <c r="A6260">
        <v>475</v>
      </c>
      <c r="B6260">
        <v>1</v>
      </c>
      <c r="C6260">
        <v>2.6081910272161499</v>
      </c>
      <c r="D6260">
        <v>3.3675830164806202</v>
      </c>
      <c r="E6260">
        <v>8</v>
      </c>
      <c r="F6260">
        <v>1.01722196789785</v>
      </c>
      <c r="G6260" t="s">
        <v>85</v>
      </c>
      <c r="H6260" t="s">
        <v>88</v>
      </c>
      <c r="I6260">
        <v>31</v>
      </c>
      <c r="J6260">
        <v>0</v>
      </c>
      <c r="K6260">
        <v>0</v>
      </c>
    </row>
    <row r="6261" spans="1:11" x14ac:dyDescent="0.25">
      <c r="A6261" t="s">
        <v>86</v>
      </c>
    </row>
    <row r="6262" spans="1:11" x14ac:dyDescent="0.25">
      <c r="A6262">
        <v>51.083106377870799</v>
      </c>
      <c r="B6262">
        <v>2.6169412695610799</v>
      </c>
      <c r="C6262">
        <v>2000</v>
      </c>
    </row>
    <row r="6263" spans="1:11" x14ac:dyDescent="0.25">
      <c r="A6263">
        <v>50.114033933865301</v>
      </c>
      <c r="B6263">
        <v>3.58601371356654</v>
      </c>
      <c r="C6263">
        <v>2000</v>
      </c>
    </row>
    <row r="6264" spans="1:11" x14ac:dyDescent="0.25">
      <c r="A6264">
        <v>49.037521273846501</v>
      </c>
      <c r="B6264">
        <v>4.6625263735853704</v>
      </c>
      <c r="C6264">
        <v>2000</v>
      </c>
    </row>
    <row r="6265" spans="1:11" x14ac:dyDescent="0.25">
      <c r="A6265">
        <v>49.037521273846501</v>
      </c>
      <c r="B6265">
        <v>3.7884943246877301</v>
      </c>
      <c r="C6265">
        <v>2001</v>
      </c>
    </row>
    <row r="6266" spans="1:11" x14ac:dyDescent="0.25">
      <c r="A6266">
        <v>49.8859660661346</v>
      </c>
      <c r="B6266">
        <v>2.9400495323996001</v>
      </c>
      <c r="C6266">
        <v>2001</v>
      </c>
    </row>
    <row r="6267" spans="1:11" x14ac:dyDescent="0.25">
      <c r="A6267">
        <v>50.680475293771103</v>
      </c>
      <c r="B6267">
        <v>2.1455403047631201</v>
      </c>
      <c r="C6267">
        <v>2001</v>
      </c>
    </row>
    <row r="6268" spans="1:11" x14ac:dyDescent="0.25">
      <c r="A6268">
        <v>52.826015598534198</v>
      </c>
      <c r="B6268">
        <v>0</v>
      </c>
      <c r="C6268">
        <v>2001</v>
      </c>
    </row>
    <row r="6269" spans="1:11" x14ac:dyDescent="0.25">
      <c r="A6269">
        <v>53.700047647431902</v>
      </c>
      <c r="B6269">
        <v>0</v>
      </c>
      <c r="C6269">
        <v>2000</v>
      </c>
    </row>
    <row r="6270" spans="1:11" x14ac:dyDescent="0.25">
      <c r="A6270" t="s">
        <v>87</v>
      </c>
    </row>
    <row r="6271" spans="1:11" x14ac:dyDescent="0.25">
      <c r="A6271">
        <v>25</v>
      </c>
      <c r="B6271">
        <v>0</v>
      </c>
      <c r="C6271">
        <v>3.4755366618168102</v>
      </c>
      <c r="D6271">
        <v>2.4909473026370601</v>
      </c>
      <c r="E6271">
        <v>6</v>
      </c>
      <c r="F6271">
        <v>1.01722196789785</v>
      </c>
      <c r="G6271" t="s">
        <v>89</v>
      </c>
      <c r="H6271" t="s">
        <v>89</v>
      </c>
      <c r="I6271">
        <v>39</v>
      </c>
      <c r="J6271">
        <v>14</v>
      </c>
      <c r="K6271">
        <v>0</v>
      </c>
    </row>
    <row r="6272" spans="1:11" x14ac:dyDescent="0.25">
      <c r="A6272" t="s">
        <v>86</v>
      </c>
    </row>
    <row r="6273" spans="1:11" x14ac:dyDescent="0.25">
      <c r="A6273">
        <v>15.986220398441199</v>
      </c>
      <c r="B6273">
        <v>11.183545868002399</v>
      </c>
      <c r="C6273">
        <v>2000</v>
      </c>
    </row>
    <row r="6274" spans="1:11" x14ac:dyDescent="0.25">
      <c r="A6274">
        <v>13.5286448566081</v>
      </c>
      <c r="B6274">
        <v>8.7259703261692891</v>
      </c>
      <c r="C6274">
        <v>2000</v>
      </c>
    </row>
    <row r="6275" spans="1:11" x14ac:dyDescent="0.25">
      <c r="A6275">
        <v>13.0916288321593</v>
      </c>
      <c r="B6275">
        <v>9.1629863506181106</v>
      </c>
      <c r="C6275">
        <v>2001</v>
      </c>
    </row>
    <row r="6276" spans="1:11" x14ac:dyDescent="0.25">
      <c r="A6276">
        <v>15.549204373992399</v>
      </c>
      <c r="B6276">
        <v>11.6205618924512</v>
      </c>
      <c r="C6276">
        <v>2001</v>
      </c>
    </row>
    <row r="6277" spans="1:11" x14ac:dyDescent="0.25">
      <c r="A6277">
        <v>17.310570103265398</v>
      </c>
      <c r="B6277">
        <v>13.3819276217242</v>
      </c>
      <c r="C6277">
        <v>2001</v>
      </c>
    </row>
    <row r="6278" spans="1:11" x14ac:dyDescent="0.25">
      <c r="A6278">
        <v>17.7475861277142</v>
      </c>
      <c r="B6278">
        <v>12.9449115972754</v>
      </c>
      <c r="C6278">
        <v>2000</v>
      </c>
    </row>
    <row r="6279" spans="1:11" x14ac:dyDescent="0.25">
      <c r="A6279" t="s">
        <v>87</v>
      </c>
    </row>
    <row r="6280" spans="1:11" x14ac:dyDescent="0.25">
      <c r="A6280">
        <v>1221</v>
      </c>
      <c r="B6280">
        <v>1</v>
      </c>
      <c r="C6280">
        <v>4.8502823779500197</v>
      </c>
      <c r="D6280">
        <v>1.1041915210709099</v>
      </c>
      <c r="E6280">
        <v>6</v>
      </c>
      <c r="F6280">
        <v>1.01722196789785</v>
      </c>
      <c r="G6280" t="s">
        <v>85</v>
      </c>
      <c r="H6280" t="s">
        <v>85</v>
      </c>
      <c r="I6280">
        <v>999</v>
      </c>
      <c r="J6280">
        <v>353</v>
      </c>
      <c r="K6280">
        <v>9.6277099271545E-2</v>
      </c>
    </row>
    <row r="6281" spans="1:11" x14ac:dyDescent="0.25">
      <c r="A6281" t="s">
        <v>86</v>
      </c>
    </row>
    <row r="6282" spans="1:11" x14ac:dyDescent="0.25">
      <c r="A6282">
        <v>27.921105608598399</v>
      </c>
      <c r="B6282">
        <v>79.563477260488696</v>
      </c>
      <c r="C6282">
        <v>2000</v>
      </c>
    </row>
    <row r="6283" spans="1:11" x14ac:dyDescent="0.25">
      <c r="A6283">
        <v>24.847414270428999</v>
      </c>
      <c r="B6283">
        <v>82.637168598657993</v>
      </c>
      <c r="C6283">
        <v>2000</v>
      </c>
    </row>
    <row r="6284" spans="1:11" x14ac:dyDescent="0.25">
      <c r="A6284">
        <v>23.973382221531399</v>
      </c>
      <c r="B6284">
        <v>82.637168598657993</v>
      </c>
      <c r="C6284">
        <v>2001</v>
      </c>
    </row>
    <row r="6285" spans="1:11" x14ac:dyDescent="0.25">
      <c r="A6285">
        <v>27.759026003598201</v>
      </c>
      <c r="B6285">
        <v>78.851524816591194</v>
      </c>
      <c r="C6285">
        <v>2001</v>
      </c>
    </row>
    <row r="6286" spans="1:11" x14ac:dyDescent="0.25">
      <c r="A6286">
        <v>28.620847118376201</v>
      </c>
      <c r="B6286">
        <v>77.989703701813198</v>
      </c>
      <c r="C6286">
        <v>2001</v>
      </c>
    </row>
    <row r="6287" spans="1:11" x14ac:dyDescent="0.25">
      <c r="A6287">
        <v>28.620847118376201</v>
      </c>
      <c r="B6287">
        <v>78.863735750710802</v>
      </c>
      <c r="C6287">
        <v>2000</v>
      </c>
    </row>
    <row r="6288" spans="1:11" x14ac:dyDescent="0.25">
      <c r="A6288" t="s">
        <v>87</v>
      </c>
    </row>
    <row r="6289" spans="1:11" x14ac:dyDescent="0.25">
      <c r="A6289">
        <v>1210</v>
      </c>
      <c r="B6289">
        <v>1</v>
      </c>
      <c r="C6289">
        <v>0.75357801260937396</v>
      </c>
      <c r="D6289">
        <v>5.1977831111569897</v>
      </c>
      <c r="E6289">
        <v>6</v>
      </c>
      <c r="F6289">
        <v>1.01722196789785</v>
      </c>
      <c r="G6289" t="s">
        <v>85</v>
      </c>
      <c r="H6289" t="s">
        <v>85</v>
      </c>
      <c r="I6289">
        <v>424</v>
      </c>
      <c r="J6289">
        <v>843</v>
      </c>
      <c r="K6289">
        <v>9.6120382487224904E-2</v>
      </c>
    </row>
    <row r="6290" spans="1:11" x14ac:dyDescent="0.25">
      <c r="A6290" t="s">
        <v>86</v>
      </c>
    </row>
    <row r="6291" spans="1:11" x14ac:dyDescent="0.25">
      <c r="A6291">
        <v>57.0031354326524</v>
      </c>
      <c r="B6291">
        <v>42.620512302617598</v>
      </c>
      <c r="C6291">
        <v>2000</v>
      </c>
    </row>
    <row r="6292" spans="1:11" x14ac:dyDescent="0.25">
      <c r="A6292">
        <v>56.4149391168798</v>
      </c>
      <c r="B6292">
        <v>43.208708618390098</v>
      </c>
      <c r="C6292">
        <v>2000</v>
      </c>
    </row>
    <row r="6293" spans="1:11" x14ac:dyDescent="0.25">
      <c r="A6293">
        <v>56.4149391168798</v>
      </c>
      <c r="B6293">
        <v>42.334676569492501</v>
      </c>
      <c r="C6293">
        <v>2001</v>
      </c>
    </row>
    <row r="6294" spans="1:11" x14ac:dyDescent="0.25">
      <c r="A6294">
        <v>56.892463046845599</v>
      </c>
      <c r="B6294">
        <v>41.857152639526703</v>
      </c>
      <c r="C6294">
        <v>2001</v>
      </c>
    </row>
    <row r="6295" spans="1:11" x14ac:dyDescent="0.25">
      <c r="A6295">
        <v>60.186170900336201</v>
      </c>
      <c r="B6295">
        <v>38.563444786036101</v>
      </c>
      <c r="C6295">
        <v>2001</v>
      </c>
    </row>
    <row r="6296" spans="1:11" x14ac:dyDescent="0.25">
      <c r="A6296">
        <v>61.060202949233798</v>
      </c>
      <c r="B6296">
        <v>38.563444786036101</v>
      </c>
      <c r="C6296">
        <v>2000</v>
      </c>
    </row>
    <row r="6297" spans="1:11" x14ac:dyDescent="0.25">
      <c r="A6297" t="s">
        <v>87</v>
      </c>
    </row>
    <row r="6298" spans="1:11" x14ac:dyDescent="0.25">
      <c r="A6298">
        <v>798</v>
      </c>
      <c r="B6298">
        <v>1</v>
      </c>
      <c r="C6298">
        <v>0.205110437187948</v>
      </c>
      <c r="D6298">
        <v>5.7292405807109699</v>
      </c>
      <c r="E6298">
        <v>6</v>
      </c>
      <c r="F6298">
        <v>1.01722196789785</v>
      </c>
      <c r="G6298" t="s">
        <v>89</v>
      </c>
      <c r="H6298" t="s">
        <v>88</v>
      </c>
      <c r="I6298">
        <v>603</v>
      </c>
      <c r="J6298">
        <v>0</v>
      </c>
      <c r="K6298">
        <v>8.9816640118045604E-2</v>
      </c>
    </row>
    <row r="6299" spans="1:11" x14ac:dyDescent="0.25">
      <c r="A6299" t="s">
        <v>86</v>
      </c>
    </row>
    <row r="6300" spans="1:11" x14ac:dyDescent="0.25">
      <c r="A6300">
        <v>145.73785946839999</v>
      </c>
      <c r="B6300">
        <v>88.25325347255</v>
      </c>
      <c r="C6300">
        <v>2000</v>
      </c>
    </row>
    <row r="6301" spans="1:11" x14ac:dyDescent="0.25">
      <c r="A6301">
        <v>145.58527214107801</v>
      </c>
      <c r="B6301">
        <v>88.405840799871598</v>
      </c>
      <c r="C6301">
        <v>2000</v>
      </c>
    </row>
    <row r="6302" spans="1:11" x14ac:dyDescent="0.25">
      <c r="A6302">
        <v>146.02228816552699</v>
      </c>
      <c r="B6302">
        <v>88.842856824320407</v>
      </c>
      <c r="C6302">
        <v>2001</v>
      </c>
    </row>
    <row r="6303" spans="1:11" x14ac:dyDescent="0.25">
      <c r="A6303">
        <v>146.15977080026099</v>
      </c>
      <c r="B6303">
        <v>88.705374189586493</v>
      </c>
      <c r="C6303">
        <v>2001</v>
      </c>
    </row>
    <row r="6304" spans="1:11" x14ac:dyDescent="0.25">
      <c r="A6304">
        <v>150</v>
      </c>
      <c r="B6304">
        <v>84.865144989847195</v>
      </c>
      <c r="C6304">
        <v>2001</v>
      </c>
    </row>
    <row r="6305" spans="1:11" x14ac:dyDescent="0.25">
      <c r="A6305">
        <v>150</v>
      </c>
      <c r="B6305">
        <v>83.991112940949506</v>
      </c>
      <c r="C6305">
        <v>2000</v>
      </c>
    </row>
    <row r="6306" spans="1:11" x14ac:dyDescent="0.25">
      <c r="A6306" t="s">
        <v>87</v>
      </c>
    </row>
    <row r="6307" spans="1:11" x14ac:dyDescent="0.25">
      <c r="A6307">
        <v>1169</v>
      </c>
      <c r="B6307">
        <v>1</v>
      </c>
      <c r="C6307">
        <v>3.9768291627608199</v>
      </c>
      <c r="D6307">
        <v>1.92344953606901</v>
      </c>
      <c r="E6307">
        <v>6</v>
      </c>
      <c r="F6307">
        <v>1.01722196789785</v>
      </c>
      <c r="G6307" t="s">
        <v>85</v>
      </c>
      <c r="H6307" t="s">
        <v>85</v>
      </c>
      <c r="I6307">
        <v>187</v>
      </c>
      <c r="J6307">
        <v>952</v>
      </c>
      <c r="K6307">
        <v>9.5469883166703101E-2</v>
      </c>
    </row>
    <row r="6308" spans="1:11" x14ac:dyDescent="0.25">
      <c r="A6308" t="s">
        <v>86</v>
      </c>
    </row>
    <row r="6309" spans="1:11" x14ac:dyDescent="0.25">
      <c r="A6309">
        <v>55.075586139734199</v>
      </c>
      <c r="B6309">
        <v>127.750531643513</v>
      </c>
      <c r="C6309">
        <v>2000</v>
      </c>
    </row>
    <row r="6310" spans="1:11" x14ac:dyDescent="0.25">
      <c r="A6310">
        <v>52.263543271125599</v>
      </c>
      <c r="B6310">
        <v>130.56257451212201</v>
      </c>
      <c r="C6310">
        <v>2000</v>
      </c>
    </row>
    <row r="6311" spans="1:11" x14ac:dyDescent="0.25">
      <c r="A6311">
        <v>53.137575320023302</v>
      </c>
      <c r="B6311">
        <v>130.56257451212201</v>
      </c>
      <c r="C6311">
        <v>2001</v>
      </c>
    </row>
    <row r="6312" spans="1:11" x14ac:dyDescent="0.25">
      <c r="A6312">
        <v>55.949618188631902</v>
      </c>
      <c r="B6312">
        <v>127.750531643513</v>
      </c>
      <c r="C6312">
        <v>2001</v>
      </c>
    </row>
    <row r="6313" spans="1:11" x14ac:dyDescent="0.25">
      <c r="A6313">
        <v>57.309702398856402</v>
      </c>
      <c r="B6313">
        <v>126.390447433288</v>
      </c>
      <c r="C6313">
        <v>2001</v>
      </c>
    </row>
    <row r="6314" spans="1:11" x14ac:dyDescent="0.25">
      <c r="A6314">
        <v>56.435670349958798</v>
      </c>
      <c r="B6314">
        <v>126.390447433288</v>
      </c>
      <c r="C6314">
        <v>2000</v>
      </c>
    </row>
    <row r="6315" spans="1:11" x14ac:dyDescent="0.25">
      <c r="A6315" t="s">
        <v>87</v>
      </c>
    </row>
    <row r="6316" spans="1:11" x14ac:dyDescent="0.25">
      <c r="A6316">
        <v>1067</v>
      </c>
      <c r="B6316">
        <v>1</v>
      </c>
      <c r="C6316">
        <v>3.74261230954103</v>
      </c>
      <c r="D6316">
        <v>2.1576663892888002</v>
      </c>
      <c r="E6316">
        <v>6</v>
      </c>
      <c r="F6316">
        <v>1.01722196789785</v>
      </c>
      <c r="G6316" t="s">
        <v>85</v>
      </c>
      <c r="H6316" t="s">
        <v>85</v>
      </c>
      <c r="I6316">
        <v>187</v>
      </c>
      <c r="J6316">
        <v>952</v>
      </c>
      <c r="K6316">
        <v>9.4226499478247905E-2</v>
      </c>
    </row>
    <row r="6317" spans="1:11" x14ac:dyDescent="0.25">
      <c r="A6317" t="s">
        <v>86</v>
      </c>
    </row>
    <row r="6318" spans="1:11" x14ac:dyDescent="0.25">
      <c r="A6318">
        <v>55.723099917984698</v>
      </c>
      <c r="B6318">
        <v>128.72927807212301</v>
      </c>
      <c r="C6318">
        <v>2000</v>
      </c>
    </row>
    <row r="6319" spans="1:11" x14ac:dyDescent="0.25">
      <c r="A6319">
        <v>53.076673374555902</v>
      </c>
      <c r="B6319">
        <v>131.375704615552</v>
      </c>
      <c r="C6319">
        <v>2000</v>
      </c>
    </row>
    <row r="6320" spans="1:11" x14ac:dyDescent="0.25">
      <c r="A6320">
        <v>53.950705423453599</v>
      </c>
      <c r="B6320">
        <v>131.375704615552</v>
      </c>
      <c r="C6320">
        <v>2001</v>
      </c>
    </row>
    <row r="6321" spans="1:11" x14ac:dyDescent="0.25">
      <c r="A6321">
        <v>56.597131966882301</v>
      </c>
      <c r="B6321">
        <v>128.72927807212301</v>
      </c>
      <c r="C6321">
        <v>2001</v>
      </c>
    </row>
    <row r="6322" spans="1:11" x14ac:dyDescent="0.25">
      <c r="A6322">
        <v>58.122832502286698</v>
      </c>
      <c r="B6322">
        <v>127.203577536719</v>
      </c>
      <c r="C6322">
        <v>2001</v>
      </c>
    </row>
    <row r="6323" spans="1:11" x14ac:dyDescent="0.25">
      <c r="A6323">
        <v>57.248800453389102</v>
      </c>
      <c r="B6323">
        <v>127.203577536719</v>
      </c>
      <c r="C6323">
        <v>2000</v>
      </c>
    </row>
    <row r="6324" spans="1:11" x14ac:dyDescent="0.25">
      <c r="A6324" t="s">
        <v>87</v>
      </c>
    </row>
    <row r="6325" spans="1:11" x14ac:dyDescent="0.25">
      <c r="A6325">
        <v>189</v>
      </c>
      <c r="B6325">
        <v>0</v>
      </c>
      <c r="C6325">
        <v>2.5386996947952101</v>
      </c>
      <c r="D6325">
        <v>3.3536213625328601</v>
      </c>
      <c r="E6325">
        <v>6</v>
      </c>
      <c r="F6325">
        <v>1.01722196789785</v>
      </c>
      <c r="G6325" t="s">
        <v>89</v>
      </c>
      <c r="H6325" t="s">
        <v>85</v>
      </c>
      <c r="I6325">
        <v>187</v>
      </c>
      <c r="J6325">
        <v>225</v>
      </c>
      <c r="K6325">
        <v>0</v>
      </c>
    </row>
    <row r="6326" spans="1:11" x14ac:dyDescent="0.25">
      <c r="A6326" t="s">
        <v>86</v>
      </c>
    </row>
    <row r="6327" spans="1:11" x14ac:dyDescent="0.25">
      <c r="A6327">
        <v>63.057508603423599</v>
      </c>
      <c r="B6327">
        <v>140.02297330668901</v>
      </c>
      <c r="C6327">
        <v>2000</v>
      </c>
    </row>
    <row r="6328" spans="1:11" x14ac:dyDescent="0.25">
      <c r="A6328">
        <v>61.356520757521999</v>
      </c>
      <c r="B6328">
        <v>138.321985460788</v>
      </c>
      <c r="C6328">
        <v>2000</v>
      </c>
    </row>
    <row r="6329" spans="1:11" x14ac:dyDescent="0.25">
      <c r="A6329">
        <v>60.919504733073197</v>
      </c>
      <c r="B6329">
        <v>138.75900148523701</v>
      </c>
      <c r="C6329">
        <v>2001</v>
      </c>
    </row>
    <row r="6330" spans="1:11" x14ac:dyDescent="0.25">
      <c r="A6330">
        <v>62.808780426343397</v>
      </c>
      <c r="B6330">
        <v>140.64827717850699</v>
      </c>
      <c r="C6330">
        <v>2001</v>
      </c>
    </row>
    <row r="6331" spans="1:11" x14ac:dyDescent="0.25">
      <c r="A6331">
        <v>65.304512921862596</v>
      </c>
      <c r="B6331">
        <v>143.14400967402599</v>
      </c>
      <c r="C6331">
        <v>2001</v>
      </c>
    </row>
    <row r="6332" spans="1:11" x14ac:dyDescent="0.25">
      <c r="A6332">
        <v>65.304512921862596</v>
      </c>
      <c r="B6332">
        <v>142.26997762512801</v>
      </c>
      <c r="C6332">
        <v>2000</v>
      </c>
    </row>
    <row r="6333" spans="1:11" x14ac:dyDescent="0.25">
      <c r="A6333" t="s">
        <v>87</v>
      </c>
    </row>
    <row r="6334" spans="1:11" x14ac:dyDescent="0.25">
      <c r="A6334">
        <v>1057</v>
      </c>
      <c r="B6334">
        <v>0</v>
      </c>
      <c r="C6334">
        <v>3.3484244256184601</v>
      </c>
      <c r="D6334">
        <v>2.53867027800987</v>
      </c>
      <c r="E6334">
        <v>6</v>
      </c>
      <c r="F6334">
        <v>1.01722196789785</v>
      </c>
      <c r="G6334" t="s">
        <v>85</v>
      </c>
      <c r="H6334" t="s">
        <v>85</v>
      </c>
      <c r="I6334">
        <v>790</v>
      </c>
      <c r="J6334">
        <v>838</v>
      </c>
      <c r="K6334">
        <v>9.4036209728977305E-2</v>
      </c>
    </row>
    <row r="6335" spans="1:11" x14ac:dyDescent="0.25">
      <c r="A6335" t="s">
        <v>86</v>
      </c>
    </row>
    <row r="6336" spans="1:11" x14ac:dyDescent="0.25">
      <c r="A6336">
        <v>140.05941165935701</v>
      </c>
      <c r="B6336">
        <v>3.82697323093047</v>
      </c>
      <c r="C6336">
        <v>2000</v>
      </c>
    </row>
    <row r="6337" spans="1:11" x14ac:dyDescent="0.25">
      <c r="A6337">
        <v>137.940281247218</v>
      </c>
      <c r="B6337">
        <v>1.70784281879097</v>
      </c>
      <c r="C6337">
        <v>2000</v>
      </c>
    </row>
    <row r="6338" spans="1:11" x14ac:dyDescent="0.25">
      <c r="A6338">
        <v>137.06624919832001</v>
      </c>
      <c r="B6338">
        <v>1.70784281879098</v>
      </c>
      <c r="C6338">
        <v>2001</v>
      </c>
    </row>
    <row r="6339" spans="1:11" x14ac:dyDescent="0.25">
      <c r="A6339">
        <v>139.68250602147199</v>
      </c>
      <c r="B6339">
        <v>4.32409964194244</v>
      </c>
      <c r="C6339">
        <v>2001</v>
      </c>
    </row>
    <row r="6340" spans="1:11" x14ac:dyDescent="0.25">
      <c r="A6340">
        <v>141.66606980919201</v>
      </c>
      <c r="B6340">
        <v>6.3076634296628002</v>
      </c>
      <c r="C6340">
        <v>2001</v>
      </c>
    </row>
    <row r="6341" spans="1:11" x14ac:dyDescent="0.25">
      <c r="A6341">
        <v>141.66606980919201</v>
      </c>
      <c r="B6341">
        <v>5.4336313807651404</v>
      </c>
      <c r="C6341">
        <v>2000</v>
      </c>
    </row>
    <row r="6342" spans="1:11" x14ac:dyDescent="0.25">
      <c r="A6342" t="s">
        <v>87</v>
      </c>
    </row>
    <row r="6343" spans="1:11" x14ac:dyDescent="0.25">
      <c r="A6343">
        <v>950</v>
      </c>
      <c r="B6343">
        <v>0</v>
      </c>
      <c r="C6343">
        <v>3.3356678587300599</v>
      </c>
      <c r="D6343">
        <v>2.5514268448982702</v>
      </c>
      <c r="E6343">
        <v>6</v>
      </c>
      <c r="F6343">
        <v>1.01722196789785</v>
      </c>
      <c r="G6343" t="s">
        <v>85</v>
      </c>
      <c r="H6343" t="s">
        <v>85</v>
      </c>
      <c r="I6343">
        <v>790</v>
      </c>
      <c r="J6343">
        <v>838</v>
      </c>
      <c r="K6343">
        <v>9.2594931978171202E-2</v>
      </c>
    </row>
    <row r="6344" spans="1:11" x14ac:dyDescent="0.25">
      <c r="A6344" t="s">
        <v>86</v>
      </c>
    </row>
    <row r="6345" spans="1:11" x14ac:dyDescent="0.25">
      <c r="A6345">
        <v>141.51733122421101</v>
      </c>
      <c r="B6345">
        <v>2.35290706970122</v>
      </c>
      <c r="C6345">
        <v>2000</v>
      </c>
    </row>
    <row r="6346" spans="1:11" x14ac:dyDescent="0.25">
      <c r="A6346">
        <v>139.40627411025901</v>
      </c>
      <c r="B6346">
        <v>0.24184995574962201</v>
      </c>
      <c r="C6346">
        <v>2000</v>
      </c>
    </row>
    <row r="6347" spans="1:11" x14ac:dyDescent="0.25">
      <c r="A6347">
        <v>138.53224206136099</v>
      </c>
      <c r="B6347">
        <v>0.24184995574962201</v>
      </c>
      <c r="C6347">
        <v>2001</v>
      </c>
    </row>
    <row r="6348" spans="1:11" x14ac:dyDescent="0.25">
      <c r="A6348">
        <v>141.138531672798</v>
      </c>
      <c r="B6348">
        <v>2.8481395671861098</v>
      </c>
      <c r="C6348">
        <v>2001</v>
      </c>
    </row>
    <row r="6349" spans="1:11" x14ac:dyDescent="0.25">
      <c r="A6349">
        <v>143.13206267223299</v>
      </c>
      <c r="B6349">
        <v>4.8416705666214703</v>
      </c>
      <c r="C6349">
        <v>2001</v>
      </c>
    </row>
    <row r="6350" spans="1:11" x14ac:dyDescent="0.25">
      <c r="A6350">
        <v>143.13206267223299</v>
      </c>
      <c r="B6350">
        <v>3.96763851772381</v>
      </c>
      <c r="C6350">
        <v>2000</v>
      </c>
    </row>
    <row r="6351" spans="1:11" x14ac:dyDescent="0.25">
      <c r="A6351" t="s">
        <v>87</v>
      </c>
    </row>
    <row r="6352" spans="1:11" x14ac:dyDescent="0.25">
      <c r="A6352">
        <v>39</v>
      </c>
      <c r="B6352">
        <v>0</v>
      </c>
      <c r="C6352">
        <v>2.4116645201304299</v>
      </c>
      <c r="D6352">
        <v>3.4753143703106</v>
      </c>
      <c r="E6352">
        <v>6</v>
      </c>
      <c r="F6352">
        <v>1.01722196789785</v>
      </c>
      <c r="G6352" t="s">
        <v>85</v>
      </c>
      <c r="H6352" t="s">
        <v>89</v>
      </c>
      <c r="I6352">
        <v>69</v>
      </c>
      <c r="J6352">
        <v>25</v>
      </c>
      <c r="K6352">
        <v>0</v>
      </c>
    </row>
    <row r="6353" spans="1:11" x14ac:dyDescent="0.25">
      <c r="A6353" t="s">
        <v>86</v>
      </c>
    </row>
    <row r="6354" spans="1:11" x14ac:dyDescent="0.25">
      <c r="A6354">
        <v>10.8308543282328</v>
      </c>
      <c r="B6354">
        <v>6.7669118259591903</v>
      </c>
      <c r="C6354">
        <v>2000</v>
      </c>
    </row>
    <row r="6355" spans="1:11" x14ac:dyDescent="0.25">
      <c r="A6355">
        <v>9.2150641606170005</v>
      </c>
      <c r="B6355">
        <v>5.1511216583434098</v>
      </c>
      <c r="C6355">
        <v>2000</v>
      </c>
    </row>
    <row r="6356" spans="1:11" x14ac:dyDescent="0.25">
      <c r="A6356">
        <v>8.3410321117193593</v>
      </c>
      <c r="B6356">
        <v>5.1511216583434196</v>
      </c>
      <c r="C6356">
        <v>2001</v>
      </c>
    </row>
    <row r="6357" spans="1:11" x14ac:dyDescent="0.25">
      <c r="A6357">
        <v>10.135850616366</v>
      </c>
      <c r="B6357">
        <v>6.9459401629900901</v>
      </c>
      <c r="C6357">
        <v>2001</v>
      </c>
    </row>
    <row r="6358" spans="1:11" x14ac:dyDescent="0.25">
      <c r="A6358">
        <v>12.7222628180767</v>
      </c>
      <c r="B6358">
        <v>9.5323523647007296</v>
      </c>
      <c r="C6358">
        <v>2001</v>
      </c>
    </row>
    <row r="6359" spans="1:11" x14ac:dyDescent="0.25">
      <c r="A6359">
        <v>13.159278842525501</v>
      </c>
      <c r="B6359">
        <v>9.0953363402519098</v>
      </c>
      <c r="C6359">
        <v>2000</v>
      </c>
    </row>
    <row r="6360" spans="1:11" x14ac:dyDescent="0.25">
      <c r="A6360" t="s">
        <v>87</v>
      </c>
    </row>
    <row r="6361" spans="1:11" x14ac:dyDescent="0.25">
      <c r="A6361">
        <v>879</v>
      </c>
      <c r="B6361">
        <v>1</v>
      </c>
      <c r="C6361">
        <v>3.5975918855376499</v>
      </c>
      <c r="D6361">
        <v>2.21222861279796</v>
      </c>
      <c r="E6361">
        <v>8</v>
      </c>
      <c r="F6361">
        <v>1.01722196789785</v>
      </c>
      <c r="G6361" t="s">
        <v>85</v>
      </c>
      <c r="H6361" t="s">
        <v>85</v>
      </c>
      <c r="I6361">
        <v>672</v>
      </c>
      <c r="J6361">
        <v>759</v>
      </c>
      <c r="K6361">
        <v>9.1169371169763397E-2</v>
      </c>
    </row>
    <row r="6362" spans="1:11" x14ac:dyDescent="0.25">
      <c r="A6362" t="s">
        <v>86</v>
      </c>
    </row>
    <row r="6363" spans="1:11" x14ac:dyDescent="0.25">
      <c r="A6363">
        <v>99.607769803517002</v>
      </c>
      <c r="B6363">
        <v>77.879289293972306</v>
      </c>
      <c r="C6363">
        <v>2000</v>
      </c>
    </row>
    <row r="6364" spans="1:11" x14ac:dyDescent="0.25">
      <c r="A6364">
        <v>97.153074451784505</v>
      </c>
      <c r="B6364">
        <v>80.333984645704703</v>
      </c>
      <c r="C6364">
        <v>2000</v>
      </c>
    </row>
    <row r="6365" spans="1:11" x14ac:dyDescent="0.25">
      <c r="A6365">
        <v>96.279042402886901</v>
      </c>
      <c r="B6365">
        <v>80.333984645704703</v>
      </c>
      <c r="C6365">
        <v>2001</v>
      </c>
    </row>
    <row r="6366" spans="1:11" x14ac:dyDescent="0.25">
      <c r="A6366">
        <v>98.912110287565199</v>
      </c>
      <c r="B6366">
        <v>77.700916761026406</v>
      </c>
      <c r="C6366">
        <v>2001</v>
      </c>
    </row>
    <row r="6367" spans="1:11" x14ac:dyDescent="0.25">
      <c r="A6367">
        <v>99.678116097299693</v>
      </c>
      <c r="B6367">
        <v>76.934910951291897</v>
      </c>
      <c r="C6367">
        <v>2001</v>
      </c>
    </row>
    <row r="6368" spans="1:11" x14ac:dyDescent="0.25">
      <c r="A6368">
        <v>100.38720587473701</v>
      </c>
      <c r="B6368">
        <v>76.225821173854996</v>
      </c>
      <c r="C6368">
        <v>2001</v>
      </c>
    </row>
    <row r="6369" spans="1:11" x14ac:dyDescent="0.25">
      <c r="A6369">
        <v>101.261237923634</v>
      </c>
      <c r="B6369">
        <v>76.225821173854996</v>
      </c>
      <c r="C6369">
        <v>2000</v>
      </c>
    </row>
    <row r="6370" spans="1:11" x14ac:dyDescent="0.25">
      <c r="A6370">
        <v>100.32188390269999</v>
      </c>
      <c r="B6370">
        <v>77.165175194789001</v>
      </c>
      <c r="C6370">
        <v>2000</v>
      </c>
    </row>
    <row r="6371" spans="1:11" x14ac:dyDescent="0.25">
      <c r="A6371" t="s">
        <v>87</v>
      </c>
    </row>
    <row r="6372" spans="1:11" x14ac:dyDescent="0.25">
      <c r="A6372">
        <v>350</v>
      </c>
      <c r="B6372">
        <v>0</v>
      </c>
      <c r="C6372">
        <v>4.9189045102475903</v>
      </c>
      <c r="D6372">
        <v>0.84675170423747703</v>
      </c>
      <c r="E6372">
        <v>6</v>
      </c>
      <c r="F6372">
        <v>1.01722196789785</v>
      </c>
      <c r="G6372" t="s">
        <v>85</v>
      </c>
      <c r="H6372" t="s">
        <v>89</v>
      </c>
      <c r="I6372">
        <v>397</v>
      </c>
      <c r="J6372">
        <v>740</v>
      </c>
      <c r="K6372">
        <v>0</v>
      </c>
    </row>
    <row r="6373" spans="1:11" x14ac:dyDescent="0.25">
      <c r="A6373" t="s">
        <v>86</v>
      </c>
    </row>
    <row r="6374" spans="1:11" x14ac:dyDescent="0.25">
      <c r="A6374">
        <v>32.9608468612183</v>
      </c>
      <c r="B6374">
        <v>63.111849527261299</v>
      </c>
      <c r="C6374">
        <v>2000</v>
      </c>
    </row>
    <row r="6375" spans="1:11" x14ac:dyDescent="0.25">
      <c r="A6375">
        <v>29.296238482145299</v>
      </c>
      <c r="B6375">
        <v>59.447241148188397</v>
      </c>
      <c r="C6375">
        <v>2000</v>
      </c>
    </row>
    <row r="6376" spans="1:11" x14ac:dyDescent="0.25">
      <c r="A6376">
        <v>30.170270531042998</v>
      </c>
      <c r="B6376">
        <v>59.447241148188397</v>
      </c>
      <c r="C6376">
        <v>2001</v>
      </c>
    </row>
    <row r="6377" spans="1:11" x14ac:dyDescent="0.25">
      <c r="A6377">
        <v>33.462043622380399</v>
      </c>
      <c r="B6377">
        <v>62.739014239525801</v>
      </c>
      <c r="C6377">
        <v>2001</v>
      </c>
    </row>
    <row r="6378" spans="1:11" x14ac:dyDescent="0.25">
      <c r="A6378">
        <v>34.0286971260713</v>
      </c>
      <c r="B6378">
        <v>63.305667743216702</v>
      </c>
      <c r="C6378">
        <v>2001</v>
      </c>
    </row>
    <row r="6379" spans="1:11" x14ac:dyDescent="0.25">
      <c r="A6379">
        <v>33.591681101622498</v>
      </c>
      <c r="B6379">
        <v>63.742683767665497</v>
      </c>
      <c r="C6379">
        <v>2000</v>
      </c>
    </row>
    <row r="6380" spans="1:11" x14ac:dyDescent="0.25">
      <c r="A6380" t="s">
        <v>87</v>
      </c>
    </row>
    <row r="6381" spans="1:11" x14ac:dyDescent="0.25">
      <c r="A6381">
        <v>1113</v>
      </c>
      <c r="B6381">
        <v>1</v>
      </c>
      <c r="C6381">
        <v>3.55740181969544</v>
      </c>
      <c r="D6381">
        <v>2.1528843189510001</v>
      </c>
      <c r="E6381">
        <v>6</v>
      </c>
      <c r="F6381">
        <v>1.01722196789785</v>
      </c>
      <c r="G6381" t="s">
        <v>85</v>
      </c>
      <c r="H6381" t="s">
        <v>85</v>
      </c>
      <c r="I6381">
        <v>278</v>
      </c>
      <c r="J6381">
        <v>184</v>
      </c>
      <c r="K6381">
        <v>9.4777393206033497E-2</v>
      </c>
    </row>
    <row r="6382" spans="1:11" x14ac:dyDescent="0.25">
      <c r="A6382" t="s">
        <v>86</v>
      </c>
    </row>
    <row r="6383" spans="1:11" x14ac:dyDescent="0.25">
      <c r="A6383">
        <v>44.1053787218897</v>
      </c>
      <c r="B6383">
        <v>103.061293982455</v>
      </c>
      <c r="C6383">
        <v>2000</v>
      </c>
    </row>
    <row r="6384" spans="1:11" x14ac:dyDescent="0.25">
      <c r="A6384">
        <v>41.589915771777697</v>
      </c>
      <c r="B6384">
        <v>105.57675693256699</v>
      </c>
      <c r="C6384">
        <v>2000</v>
      </c>
    </row>
    <row r="6385" spans="1:11" x14ac:dyDescent="0.25">
      <c r="A6385">
        <v>41.589915771777697</v>
      </c>
      <c r="B6385">
        <v>104.70272488366901</v>
      </c>
      <c r="C6385">
        <v>2001</v>
      </c>
    </row>
    <row r="6386" spans="1:11" x14ac:dyDescent="0.25">
      <c r="A6386">
        <v>44.1053787218897</v>
      </c>
      <c r="B6386">
        <v>102.187261933557</v>
      </c>
      <c r="C6386">
        <v>2001</v>
      </c>
    </row>
    <row r="6387" spans="1:11" x14ac:dyDescent="0.25">
      <c r="A6387">
        <v>45.627697822930102</v>
      </c>
      <c r="B6387">
        <v>100.664942832517</v>
      </c>
      <c r="C6387">
        <v>2001</v>
      </c>
    </row>
    <row r="6388" spans="1:11" x14ac:dyDescent="0.25">
      <c r="A6388">
        <v>45.627697822930102</v>
      </c>
      <c r="B6388">
        <v>101.53897488141401</v>
      </c>
      <c r="C6388">
        <v>2000</v>
      </c>
    </row>
    <row r="6389" spans="1:11" x14ac:dyDescent="0.25">
      <c r="A6389" t="s">
        <v>87</v>
      </c>
    </row>
    <row r="6390" spans="1:11" x14ac:dyDescent="0.25">
      <c r="A6390">
        <v>1100</v>
      </c>
      <c r="B6390">
        <v>1</v>
      </c>
      <c r="C6390">
        <v>4.3467198494867301</v>
      </c>
      <c r="D6390">
        <v>1.36356628915971</v>
      </c>
      <c r="E6390">
        <v>6</v>
      </c>
      <c r="F6390">
        <v>1.01722196789785</v>
      </c>
      <c r="G6390" t="s">
        <v>85</v>
      </c>
      <c r="H6390" t="s">
        <v>85</v>
      </c>
      <c r="I6390">
        <v>278</v>
      </c>
      <c r="J6390">
        <v>184</v>
      </c>
      <c r="K6390">
        <v>9.4596959481043894E-2</v>
      </c>
    </row>
    <row r="6391" spans="1:11" x14ac:dyDescent="0.25">
      <c r="A6391" t="s">
        <v>86</v>
      </c>
    </row>
    <row r="6392" spans="1:11" x14ac:dyDescent="0.25">
      <c r="A6392">
        <v>47.550097914212003</v>
      </c>
      <c r="B6392">
        <v>105.38974891202</v>
      </c>
      <c r="C6392">
        <v>2000</v>
      </c>
    </row>
    <row r="6393" spans="1:11" x14ac:dyDescent="0.25">
      <c r="A6393">
        <v>44.476502832721799</v>
      </c>
      <c r="B6393">
        <v>108.463343993511</v>
      </c>
      <c r="C6393">
        <v>2000</v>
      </c>
    </row>
    <row r="6394" spans="1:11" x14ac:dyDescent="0.25">
      <c r="A6394">
        <v>45.350534881619403</v>
      </c>
      <c r="B6394">
        <v>108.463343993511</v>
      </c>
      <c r="C6394">
        <v>2001</v>
      </c>
    </row>
    <row r="6395" spans="1:11" x14ac:dyDescent="0.25">
      <c r="A6395">
        <v>48.424129963109699</v>
      </c>
      <c r="B6395">
        <v>105.38974891202</v>
      </c>
      <c r="C6395">
        <v>2001</v>
      </c>
    </row>
    <row r="6396" spans="1:11" x14ac:dyDescent="0.25">
      <c r="A6396">
        <v>49.3883169327719</v>
      </c>
      <c r="B6396">
        <v>104.425561942358</v>
      </c>
      <c r="C6396">
        <v>2001</v>
      </c>
    </row>
    <row r="6397" spans="1:11" x14ac:dyDescent="0.25">
      <c r="A6397">
        <v>48.514284883874197</v>
      </c>
      <c r="B6397">
        <v>104.425561942358</v>
      </c>
      <c r="C6397">
        <v>2000</v>
      </c>
    </row>
    <row r="6398" spans="1:11" x14ac:dyDescent="0.25">
      <c r="A6398" t="s">
        <v>87</v>
      </c>
    </row>
    <row r="6399" spans="1:11" x14ac:dyDescent="0.25">
      <c r="A6399">
        <v>1170</v>
      </c>
      <c r="B6399">
        <v>1</v>
      </c>
      <c r="C6399">
        <v>0.59766794600770401</v>
      </c>
      <c r="D6399">
        <v>5.1126181926387204</v>
      </c>
      <c r="E6399">
        <v>8</v>
      </c>
      <c r="F6399">
        <v>1.01722196789785</v>
      </c>
      <c r="G6399" t="s">
        <v>85</v>
      </c>
      <c r="H6399" t="s">
        <v>85</v>
      </c>
      <c r="I6399">
        <v>278</v>
      </c>
      <c r="J6399">
        <v>184</v>
      </c>
      <c r="K6399">
        <v>9.5469883166703101E-2</v>
      </c>
    </row>
    <row r="6400" spans="1:11" x14ac:dyDescent="0.25">
      <c r="A6400" t="s">
        <v>86</v>
      </c>
    </row>
    <row r="6401" spans="1:11" x14ac:dyDescent="0.25">
      <c r="A6401">
        <v>47.367699299912402</v>
      </c>
      <c r="B6401">
        <v>110.493053046008</v>
      </c>
      <c r="C6401">
        <v>2000</v>
      </c>
    </row>
    <row r="6402" spans="1:11" x14ac:dyDescent="0.25">
      <c r="A6402">
        <v>46.936955592565702</v>
      </c>
      <c r="B6402">
        <v>110.92379675335501</v>
      </c>
      <c r="C6402">
        <v>2000</v>
      </c>
    </row>
    <row r="6403" spans="1:11" x14ac:dyDescent="0.25">
      <c r="A6403">
        <v>46.936955592565702</v>
      </c>
      <c r="B6403">
        <v>110.049764704457</v>
      </c>
      <c r="C6403">
        <v>2001</v>
      </c>
    </row>
    <row r="6404" spans="1:11" x14ac:dyDescent="0.25">
      <c r="A6404">
        <v>47.3514420002588</v>
      </c>
      <c r="B6404">
        <v>109.635278296764</v>
      </c>
      <c r="C6404">
        <v>2001</v>
      </c>
    </row>
    <row r="6405" spans="1:11" x14ac:dyDescent="0.25">
      <c r="A6405">
        <v>49.941084883396996</v>
      </c>
      <c r="B6405">
        <v>107.045635413626</v>
      </c>
      <c r="C6405">
        <v>2001</v>
      </c>
    </row>
    <row r="6406" spans="1:11" x14ac:dyDescent="0.25">
      <c r="A6406">
        <v>50.9747376437181</v>
      </c>
      <c r="B6406">
        <v>106.011982653305</v>
      </c>
      <c r="C6406">
        <v>2001</v>
      </c>
    </row>
    <row r="6407" spans="1:11" x14ac:dyDescent="0.25">
      <c r="A6407">
        <v>50.9747376437181</v>
      </c>
      <c r="B6407">
        <v>106.886014702202</v>
      </c>
      <c r="C6407">
        <v>2000</v>
      </c>
    </row>
    <row r="6408" spans="1:11" x14ac:dyDescent="0.25">
      <c r="A6408">
        <v>50.058915116603004</v>
      </c>
      <c r="B6408">
        <v>107.801837229317</v>
      </c>
      <c r="C6408">
        <v>2000</v>
      </c>
    </row>
    <row r="6409" spans="1:11" x14ac:dyDescent="0.25">
      <c r="A6409" t="s">
        <v>87</v>
      </c>
    </row>
    <row r="6410" spans="1:11" x14ac:dyDescent="0.25">
      <c r="A6410">
        <v>310</v>
      </c>
      <c r="B6410">
        <v>1</v>
      </c>
      <c r="C6410">
        <v>5.2527814393031198</v>
      </c>
      <c r="D6410">
        <v>0.43493758088801798</v>
      </c>
      <c r="E6410">
        <v>6</v>
      </c>
      <c r="F6410">
        <v>1.01722196789785</v>
      </c>
      <c r="G6410" t="s">
        <v>89</v>
      </c>
      <c r="H6410" t="s">
        <v>85</v>
      </c>
      <c r="I6410">
        <v>294</v>
      </c>
      <c r="J6410">
        <v>271</v>
      </c>
      <c r="K6410">
        <v>0</v>
      </c>
    </row>
    <row r="6411" spans="1:11" x14ac:dyDescent="0.25">
      <c r="A6411" t="s">
        <v>86</v>
      </c>
    </row>
    <row r="6412" spans="1:11" x14ac:dyDescent="0.25">
      <c r="A6412">
        <v>34.314549393114198</v>
      </c>
      <c r="B6412">
        <v>132.56214972243501</v>
      </c>
      <c r="C6412">
        <v>2000</v>
      </c>
    </row>
    <row r="6413" spans="1:11" x14ac:dyDescent="0.25">
      <c r="A6413">
        <v>30.802070809897302</v>
      </c>
      <c r="B6413">
        <v>136.074628305652</v>
      </c>
      <c r="C6413">
        <v>2000</v>
      </c>
    </row>
    <row r="6414" spans="1:11" x14ac:dyDescent="0.25">
      <c r="A6414">
        <v>30.3650547854484</v>
      </c>
      <c r="B6414">
        <v>135.63761228120299</v>
      </c>
      <c r="C6414">
        <v>2001</v>
      </c>
    </row>
    <row r="6415" spans="1:11" x14ac:dyDescent="0.25">
      <c r="A6415">
        <v>34.281130953875497</v>
      </c>
      <c r="B6415">
        <v>131.72153611277599</v>
      </c>
      <c r="C6415">
        <v>2001</v>
      </c>
    </row>
    <row r="6416" spans="1:11" x14ac:dyDescent="0.25">
      <c r="A6416">
        <v>34.605387486333697</v>
      </c>
      <c r="B6416">
        <v>131.39727958031801</v>
      </c>
      <c r="C6416">
        <v>2001</v>
      </c>
    </row>
    <row r="6417" spans="1:11" x14ac:dyDescent="0.25">
      <c r="A6417">
        <v>34.605387486333697</v>
      </c>
      <c r="B6417">
        <v>132.27131162921501</v>
      </c>
      <c r="C6417">
        <v>2000</v>
      </c>
    </row>
    <row r="6418" spans="1:11" x14ac:dyDescent="0.25">
      <c r="A6418" t="s">
        <v>87</v>
      </c>
    </row>
    <row r="6419" spans="1:11" x14ac:dyDescent="0.25">
      <c r="A6419">
        <v>786</v>
      </c>
      <c r="B6419">
        <v>1</v>
      </c>
      <c r="C6419">
        <v>4.8341660157619897</v>
      </c>
      <c r="D6419">
        <v>0.83543795965842804</v>
      </c>
      <c r="E6419">
        <v>6</v>
      </c>
      <c r="F6419">
        <v>1.01722196789785</v>
      </c>
      <c r="G6419" t="s">
        <v>85</v>
      </c>
      <c r="H6419" t="s">
        <v>85</v>
      </c>
      <c r="I6419">
        <v>679</v>
      </c>
      <c r="J6419">
        <v>662</v>
      </c>
      <c r="K6419">
        <v>8.9537010595109504E-2</v>
      </c>
    </row>
    <row r="6420" spans="1:11" x14ac:dyDescent="0.25">
      <c r="A6420" t="s">
        <v>86</v>
      </c>
    </row>
    <row r="6421" spans="1:11" x14ac:dyDescent="0.25">
      <c r="A6421">
        <v>70.091144582811495</v>
      </c>
      <c r="B6421">
        <v>61.890516354130099</v>
      </c>
      <c r="C6421">
        <v>2000</v>
      </c>
    </row>
    <row r="6422" spans="1:11" x14ac:dyDescent="0.25">
      <c r="A6422">
        <v>67.045493043505701</v>
      </c>
      <c r="B6422">
        <v>64.936167893435893</v>
      </c>
      <c r="C6422">
        <v>2000</v>
      </c>
    </row>
    <row r="6423" spans="1:11" x14ac:dyDescent="0.25">
      <c r="A6423">
        <v>66.171460994608097</v>
      </c>
      <c r="B6423">
        <v>64.936167893435893</v>
      </c>
      <c r="C6423">
        <v>2001</v>
      </c>
    </row>
    <row r="6424" spans="1:11" x14ac:dyDescent="0.25">
      <c r="A6424">
        <v>69.962352597556006</v>
      </c>
      <c r="B6424">
        <v>61.145276290487999</v>
      </c>
      <c r="C6424">
        <v>2001</v>
      </c>
    </row>
    <row r="6425" spans="1:11" x14ac:dyDescent="0.25">
      <c r="A6425">
        <v>70.617492436718905</v>
      </c>
      <c r="B6425">
        <v>60.4901364513251</v>
      </c>
      <c r="C6425">
        <v>2001</v>
      </c>
    </row>
    <row r="6426" spans="1:11" x14ac:dyDescent="0.25">
      <c r="A6426">
        <v>70.617492436718905</v>
      </c>
      <c r="B6426">
        <v>61.364168500222704</v>
      </c>
      <c r="C6426">
        <v>2000</v>
      </c>
    </row>
    <row r="6427" spans="1:11" x14ac:dyDescent="0.25">
      <c r="A6427" t="s">
        <v>87</v>
      </c>
    </row>
    <row r="6428" spans="1:11" x14ac:dyDescent="0.25">
      <c r="A6428">
        <v>717</v>
      </c>
      <c r="B6428">
        <v>1</v>
      </c>
      <c r="C6428">
        <v>1.8049693283210599</v>
      </c>
      <c r="D6428">
        <v>3.86463464709936</v>
      </c>
      <c r="E6428">
        <v>6</v>
      </c>
      <c r="F6428">
        <v>1.01722196789785</v>
      </c>
      <c r="G6428" t="s">
        <v>85</v>
      </c>
      <c r="H6428" t="s">
        <v>85</v>
      </c>
      <c r="I6428">
        <v>679</v>
      </c>
      <c r="J6428">
        <v>662</v>
      </c>
      <c r="K6428">
        <v>0</v>
      </c>
    </row>
    <row r="6429" spans="1:11" x14ac:dyDescent="0.25">
      <c r="A6429" t="s">
        <v>86</v>
      </c>
    </row>
    <row r="6430" spans="1:11" x14ac:dyDescent="0.25">
      <c r="A6430">
        <v>70.812036462898405</v>
      </c>
      <c r="B6430">
        <v>66.4283551590364</v>
      </c>
      <c r="C6430">
        <v>2000</v>
      </c>
    </row>
    <row r="6431" spans="1:11" x14ac:dyDescent="0.25">
      <c r="A6431">
        <v>69.674858386002299</v>
      </c>
      <c r="B6431">
        <v>67.565533235932506</v>
      </c>
      <c r="C6431">
        <v>2000</v>
      </c>
    </row>
    <row r="6432" spans="1:11" x14ac:dyDescent="0.25">
      <c r="A6432">
        <v>68.800826337104695</v>
      </c>
      <c r="B6432">
        <v>67.565533235932506</v>
      </c>
      <c r="C6432">
        <v>2001</v>
      </c>
    </row>
    <row r="6433" spans="1:11" x14ac:dyDescent="0.25">
      <c r="A6433">
        <v>70.216260363987701</v>
      </c>
      <c r="B6433">
        <v>66.1500992090495</v>
      </c>
      <c r="C6433">
        <v>2001</v>
      </c>
    </row>
    <row r="6434" spans="1:11" x14ac:dyDescent="0.25">
      <c r="A6434">
        <v>73.246857779215503</v>
      </c>
      <c r="B6434">
        <v>63.119501793821698</v>
      </c>
      <c r="C6434">
        <v>2001</v>
      </c>
    </row>
    <row r="6435" spans="1:11" x14ac:dyDescent="0.25">
      <c r="A6435">
        <v>73.246857779215503</v>
      </c>
      <c r="B6435">
        <v>63.993533842719302</v>
      </c>
      <c r="C6435">
        <v>2000</v>
      </c>
    </row>
    <row r="6436" spans="1:11" x14ac:dyDescent="0.25">
      <c r="A6436" t="s">
        <v>87</v>
      </c>
    </row>
    <row r="6437" spans="1:11" x14ac:dyDescent="0.25">
      <c r="A6437">
        <v>1126</v>
      </c>
      <c r="B6437">
        <v>1</v>
      </c>
      <c r="C6437">
        <v>3.1567060178422102</v>
      </c>
      <c r="D6437">
        <v>2.4955153295460701</v>
      </c>
      <c r="E6437">
        <v>6</v>
      </c>
      <c r="F6437">
        <v>1.01722196789785</v>
      </c>
      <c r="G6437" t="s">
        <v>85</v>
      </c>
      <c r="H6437" t="s">
        <v>85</v>
      </c>
      <c r="I6437">
        <v>113</v>
      </c>
      <c r="J6437">
        <v>1057</v>
      </c>
      <c r="K6437">
        <v>9.4954792207050207E-2</v>
      </c>
    </row>
    <row r="6438" spans="1:11" x14ac:dyDescent="0.25">
      <c r="A6438" t="s">
        <v>86</v>
      </c>
    </row>
    <row r="6439" spans="1:11" x14ac:dyDescent="0.25">
      <c r="A6439">
        <v>137.257566902441</v>
      </c>
      <c r="B6439">
        <v>4.5543200981680103</v>
      </c>
      <c r="C6439">
        <v>2000</v>
      </c>
    </row>
    <row r="6440" spans="1:11" x14ac:dyDescent="0.25">
      <c r="A6440">
        <v>135.02543867101201</v>
      </c>
      <c r="B6440">
        <v>6.78644832959663</v>
      </c>
      <c r="C6440">
        <v>2000</v>
      </c>
    </row>
    <row r="6441" spans="1:11" x14ac:dyDescent="0.25">
      <c r="A6441">
        <v>135.02543867101201</v>
      </c>
      <c r="B6441">
        <v>7.6604803784942899</v>
      </c>
      <c r="C6441">
        <v>2001</v>
      </c>
    </row>
    <row r="6442" spans="1:11" x14ac:dyDescent="0.25">
      <c r="A6442">
        <v>137.257566902441</v>
      </c>
      <c r="B6442">
        <v>5.4283521470656702</v>
      </c>
      <c r="C6442">
        <v>2001</v>
      </c>
    </row>
    <row r="6443" spans="1:11" x14ac:dyDescent="0.25">
      <c r="A6443">
        <v>139.022162714518</v>
      </c>
      <c r="B6443">
        <v>3.6637563349886602</v>
      </c>
      <c r="C6443">
        <v>2001</v>
      </c>
    </row>
    <row r="6444" spans="1:11" x14ac:dyDescent="0.25">
      <c r="A6444">
        <v>139.022162714518</v>
      </c>
      <c r="B6444">
        <v>2.7897242860910101</v>
      </c>
      <c r="C6444">
        <v>2000</v>
      </c>
    </row>
    <row r="6445" spans="1:11" x14ac:dyDescent="0.25">
      <c r="A6445" t="s">
        <v>87</v>
      </c>
    </row>
    <row r="6446" spans="1:11" x14ac:dyDescent="0.25">
      <c r="A6446">
        <v>1035</v>
      </c>
      <c r="B6446">
        <v>0</v>
      </c>
      <c r="C6446">
        <v>4.9176691301408804</v>
      </c>
      <c r="D6446">
        <v>0.70889794091884495</v>
      </c>
      <c r="E6446">
        <v>6</v>
      </c>
      <c r="F6446">
        <v>1.01722196789785</v>
      </c>
      <c r="G6446" t="s">
        <v>85</v>
      </c>
      <c r="H6446" t="s">
        <v>89</v>
      </c>
      <c r="I6446">
        <v>466</v>
      </c>
      <c r="J6446">
        <v>418</v>
      </c>
      <c r="K6446">
        <v>9.3842356677082794E-2</v>
      </c>
    </row>
    <row r="6447" spans="1:11" x14ac:dyDescent="0.25">
      <c r="A6447" t="s">
        <v>86</v>
      </c>
    </row>
    <row r="6448" spans="1:11" x14ac:dyDescent="0.25">
      <c r="A6448">
        <v>92.947600858612404</v>
      </c>
      <c r="B6448">
        <v>37.168186201220699</v>
      </c>
      <c r="C6448">
        <v>2000</v>
      </c>
    </row>
    <row r="6449" spans="1:11" x14ac:dyDescent="0.25">
      <c r="A6449">
        <v>89.279305743649303</v>
      </c>
      <c r="B6449">
        <v>33.499891086257598</v>
      </c>
      <c r="C6449">
        <v>2000</v>
      </c>
    </row>
    <row r="6450" spans="1:11" x14ac:dyDescent="0.25">
      <c r="A6450">
        <v>89.279305743649303</v>
      </c>
      <c r="B6450">
        <v>34.373923135155202</v>
      </c>
      <c r="C6450">
        <v>2001</v>
      </c>
    </row>
    <row r="6451" spans="1:11" x14ac:dyDescent="0.25">
      <c r="A6451">
        <v>92.565645007794899</v>
      </c>
      <c r="B6451">
        <v>37.660262399300798</v>
      </c>
      <c r="C6451">
        <v>2001</v>
      </c>
    </row>
    <row r="6452" spans="1:11" x14ac:dyDescent="0.25">
      <c r="A6452">
        <v>93.039381462172102</v>
      </c>
      <c r="B6452">
        <v>38.133998853678101</v>
      </c>
      <c r="C6452">
        <v>2001</v>
      </c>
    </row>
    <row r="6453" spans="1:11" x14ac:dyDescent="0.25">
      <c r="A6453">
        <v>93.476397486620996</v>
      </c>
      <c r="B6453">
        <v>37.696982829229199</v>
      </c>
      <c r="C6453">
        <v>2000</v>
      </c>
    </row>
    <row r="6454" spans="1:11" x14ac:dyDescent="0.25">
      <c r="A6454" t="s">
        <v>87</v>
      </c>
    </row>
    <row r="6455" spans="1:11" x14ac:dyDescent="0.25">
      <c r="A6455">
        <v>828</v>
      </c>
      <c r="B6455">
        <v>1</v>
      </c>
      <c r="C6455">
        <v>2.6685629633046601</v>
      </c>
      <c r="D6455">
        <v>2.9506691731672801</v>
      </c>
      <c r="E6455">
        <v>6</v>
      </c>
      <c r="F6455">
        <v>1.01722196789785</v>
      </c>
      <c r="G6455" t="s">
        <v>85</v>
      </c>
      <c r="H6455" t="s">
        <v>85</v>
      </c>
      <c r="I6455">
        <v>424</v>
      </c>
      <c r="J6455">
        <v>425</v>
      </c>
      <c r="K6455">
        <v>9.0097089164053304E-2</v>
      </c>
    </row>
    <row r="6456" spans="1:11" x14ac:dyDescent="0.25">
      <c r="A6456" t="s">
        <v>86</v>
      </c>
    </row>
    <row r="6457" spans="1:11" x14ac:dyDescent="0.25">
      <c r="A6457">
        <v>53.436611981824498</v>
      </c>
      <c r="B6457">
        <v>36.041387342833801</v>
      </c>
      <c r="C6457">
        <v>2000</v>
      </c>
    </row>
    <row r="6458" spans="1:11" x14ac:dyDescent="0.25">
      <c r="A6458">
        <v>51.342114911574001</v>
      </c>
      <c r="B6458">
        <v>38.135884413084298</v>
      </c>
      <c r="C6458">
        <v>2000</v>
      </c>
    </row>
    <row r="6459" spans="1:11" x14ac:dyDescent="0.25">
      <c r="A6459">
        <v>51.342114911574001</v>
      </c>
      <c r="B6459">
        <v>37.261852364186701</v>
      </c>
      <c r="C6459">
        <v>2001</v>
      </c>
    </row>
    <row r="6460" spans="1:11" x14ac:dyDescent="0.25">
      <c r="A6460">
        <v>53.021535776075503</v>
      </c>
      <c r="B6460">
        <v>35.5824314996852</v>
      </c>
      <c r="C6460">
        <v>2001</v>
      </c>
    </row>
    <row r="6461" spans="1:11" x14ac:dyDescent="0.25">
      <c r="A6461">
        <v>54.878496035885902</v>
      </c>
      <c r="B6461">
        <v>33.7254712398748</v>
      </c>
      <c r="C6461">
        <v>2001</v>
      </c>
    </row>
    <row r="6462" spans="1:11" x14ac:dyDescent="0.25">
      <c r="A6462">
        <v>55.752528084783499</v>
      </c>
      <c r="B6462">
        <v>33.7254712398748</v>
      </c>
      <c r="C6462">
        <v>2000</v>
      </c>
    </row>
    <row r="6463" spans="1:11" x14ac:dyDescent="0.25">
      <c r="A6463" t="s">
        <v>87</v>
      </c>
    </row>
    <row r="6464" spans="1:11" x14ac:dyDescent="0.25">
      <c r="A6464">
        <v>1217</v>
      </c>
      <c r="B6464">
        <v>1</v>
      </c>
      <c r="C6464">
        <v>1.87915482816101</v>
      </c>
      <c r="D6464">
        <v>3.6952786821452701</v>
      </c>
      <c r="E6464">
        <v>8</v>
      </c>
      <c r="F6464">
        <v>1.01722196789785</v>
      </c>
      <c r="G6464" t="s">
        <v>85</v>
      </c>
      <c r="H6464" t="s">
        <v>85</v>
      </c>
      <c r="I6464">
        <v>352</v>
      </c>
      <c r="J6464">
        <v>758</v>
      </c>
      <c r="K6464">
        <v>9.6120382487224904E-2</v>
      </c>
    </row>
    <row r="6465" spans="1:11" x14ac:dyDescent="0.25">
      <c r="A6465" t="s">
        <v>86</v>
      </c>
    </row>
    <row r="6466" spans="1:11" x14ac:dyDescent="0.25">
      <c r="A6466">
        <v>50.379424634425902</v>
      </c>
      <c r="B6466">
        <v>61.769612729573602</v>
      </c>
      <c r="C6466">
        <v>2000</v>
      </c>
    </row>
    <row r="6467" spans="1:11" x14ac:dyDescent="0.25">
      <c r="A6467">
        <v>50.239912128741203</v>
      </c>
      <c r="B6467">
        <v>61.909125235258301</v>
      </c>
      <c r="C6467">
        <v>2000</v>
      </c>
    </row>
    <row r="6468" spans="1:11" x14ac:dyDescent="0.25">
      <c r="A6468">
        <v>49.238412892547998</v>
      </c>
      <c r="B6468">
        <v>62.910624471451399</v>
      </c>
      <c r="C6468">
        <v>2000</v>
      </c>
    </row>
    <row r="6469" spans="1:11" x14ac:dyDescent="0.25">
      <c r="A6469">
        <v>48.364380843650402</v>
      </c>
      <c r="B6469">
        <v>62.910624471451399</v>
      </c>
      <c r="C6469">
        <v>2001</v>
      </c>
    </row>
    <row r="6470" spans="1:11" x14ac:dyDescent="0.25">
      <c r="A6470">
        <v>49.760087871258797</v>
      </c>
      <c r="B6470">
        <v>61.514917443842997</v>
      </c>
      <c r="C6470">
        <v>2001</v>
      </c>
    </row>
    <row r="6471" spans="1:11" x14ac:dyDescent="0.25">
      <c r="A6471">
        <v>49.880895345556702</v>
      </c>
      <c r="B6471">
        <v>61.394109969545099</v>
      </c>
      <c r="C6471">
        <v>2001</v>
      </c>
    </row>
    <row r="6472" spans="1:11" x14ac:dyDescent="0.25">
      <c r="A6472">
        <v>52.306100580061504</v>
      </c>
      <c r="B6472">
        <v>58.968904735040297</v>
      </c>
      <c r="C6472">
        <v>2001</v>
      </c>
    </row>
    <row r="6473" spans="1:11" x14ac:dyDescent="0.25">
      <c r="A6473">
        <v>53.1801326289591</v>
      </c>
      <c r="B6473">
        <v>58.968904735040297</v>
      </c>
      <c r="C6473">
        <v>2000</v>
      </c>
    </row>
    <row r="6474" spans="1:11" x14ac:dyDescent="0.25">
      <c r="A6474" t="s">
        <v>87</v>
      </c>
    </row>
    <row r="6475" spans="1:11" x14ac:dyDescent="0.25">
      <c r="A6475">
        <v>1086</v>
      </c>
      <c r="B6475">
        <v>0</v>
      </c>
      <c r="C6475">
        <v>2.40291993809547</v>
      </c>
      <c r="D6475">
        <v>3.13274113866802</v>
      </c>
      <c r="E6475">
        <v>6</v>
      </c>
      <c r="F6475">
        <v>1.01722196789785</v>
      </c>
      <c r="G6475" t="s">
        <v>85</v>
      </c>
      <c r="H6475" t="s">
        <v>85</v>
      </c>
      <c r="I6475">
        <v>794</v>
      </c>
      <c r="J6475">
        <v>307</v>
      </c>
      <c r="K6475">
        <v>9.4413370804653396E-2</v>
      </c>
    </row>
    <row r="6476" spans="1:11" x14ac:dyDescent="0.25">
      <c r="A6476" t="s">
        <v>86</v>
      </c>
    </row>
    <row r="6477" spans="1:11" x14ac:dyDescent="0.25">
      <c r="A6477">
        <v>12.2586259442655</v>
      </c>
      <c r="B6477">
        <v>133.358578476747</v>
      </c>
      <c r="C6477">
        <v>2000</v>
      </c>
    </row>
    <row r="6478" spans="1:11" x14ac:dyDescent="0.25">
      <c r="A6478">
        <v>10.5595049613898</v>
      </c>
      <c r="B6478">
        <v>131.659457493872</v>
      </c>
      <c r="C6478">
        <v>2000</v>
      </c>
    </row>
    <row r="6479" spans="1:11" x14ac:dyDescent="0.25">
      <c r="A6479">
        <v>10.5595049613898</v>
      </c>
      <c r="B6479">
        <v>130.78542544497401</v>
      </c>
      <c r="C6479">
        <v>2001</v>
      </c>
    </row>
    <row r="6480" spans="1:11" x14ac:dyDescent="0.25">
      <c r="A6480">
        <v>12.2586259442655</v>
      </c>
      <c r="B6480">
        <v>132.48454642785001</v>
      </c>
      <c r="C6480">
        <v>2001</v>
      </c>
    </row>
    <row r="6481" spans="1:11" x14ac:dyDescent="0.25">
      <c r="A6481">
        <v>14.473808447119699</v>
      </c>
      <c r="B6481">
        <v>134.699728930704</v>
      </c>
      <c r="C6481">
        <v>2001</v>
      </c>
    </row>
    <row r="6482" spans="1:11" x14ac:dyDescent="0.25">
      <c r="A6482">
        <v>14.473808447119699</v>
      </c>
      <c r="B6482">
        <v>135.57376097960099</v>
      </c>
      <c r="C6482">
        <v>2000</v>
      </c>
    </row>
    <row r="6483" spans="1:11" x14ac:dyDescent="0.25">
      <c r="A6483" t="s">
        <v>87</v>
      </c>
    </row>
    <row r="6484" spans="1:11" x14ac:dyDescent="0.25">
      <c r="A6484">
        <v>503</v>
      </c>
      <c r="B6484">
        <v>0</v>
      </c>
      <c r="C6484">
        <v>5.0527096907842699</v>
      </c>
      <c r="D6484">
        <v>0.46716500260035299</v>
      </c>
      <c r="E6484">
        <v>8</v>
      </c>
      <c r="F6484">
        <v>1.01722196789785</v>
      </c>
      <c r="G6484" t="s">
        <v>85</v>
      </c>
      <c r="H6484" t="s">
        <v>89</v>
      </c>
      <c r="I6484">
        <v>232</v>
      </c>
      <c r="J6484">
        <v>747</v>
      </c>
      <c r="K6484">
        <v>0</v>
      </c>
    </row>
    <row r="6485" spans="1:11" x14ac:dyDescent="0.25">
      <c r="A6485" t="s">
        <v>86</v>
      </c>
    </row>
    <row r="6486" spans="1:11" x14ac:dyDescent="0.25">
      <c r="A6486">
        <v>99.927085147848302</v>
      </c>
      <c r="B6486">
        <v>118.62393193039399</v>
      </c>
      <c r="C6486">
        <v>2000</v>
      </c>
    </row>
    <row r="6487" spans="1:11" x14ac:dyDescent="0.25">
      <c r="A6487">
        <v>99.772198403878207</v>
      </c>
      <c r="B6487">
        <v>118.469045186424</v>
      </c>
      <c r="C6487">
        <v>2000</v>
      </c>
    </row>
    <row r="6488" spans="1:11" x14ac:dyDescent="0.25">
      <c r="A6488">
        <v>96.142137262579695</v>
      </c>
      <c r="B6488">
        <v>114.838984045125</v>
      </c>
      <c r="C6488">
        <v>2000</v>
      </c>
    </row>
    <row r="6489" spans="1:11" x14ac:dyDescent="0.25">
      <c r="A6489">
        <v>97.016169311477299</v>
      </c>
      <c r="B6489">
        <v>114.838984045125</v>
      </c>
      <c r="C6489">
        <v>2001</v>
      </c>
    </row>
    <row r="6490" spans="1:11" x14ac:dyDescent="0.25">
      <c r="A6490">
        <v>100.22780159612201</v>
      </c>
      <c r="B6490">
        <v>118.05061632976999</v>
      </c>
      <c r="C6490">
        <v>2001</v>
      </c>
    </row>
    <row r="6491" spans="1:11" x14ac:dyDescent="0.25">
      <c r="A6491">
        <v>100.37683199765</v>
      </c>
      <c r="B6491">
        <v>118.199646731298</v>
      </c>
      <c r="C6491">
        <v>2001</v>
      </c>
    </row>
    <row r="6492" spans="1:11" x14ac:dyDescent="0.25">
      <c r="A6492">
        <v>100.70080212624499</v>
      </c>
      <c r="B6492">
        <v>118.523616859893</v>
      </c>
      <c r="C6492">
        <v>2001</v>
      </c>
    </row>
    <row r="6493" spans="1:11" x14ac:dyDescent="0.25">
      <c r="A6493">
        <v>100.263786101796</v>
      </c>
      <c r="B6493">
        <v>118.960632884342</v>
      </c>
      <c r="C6493">
        <v>2000</v>
      </c>
    </row>
    <row r="6494" spans="1:11" x14ac:dyDescent="0.25">
      <c r="A6494" t="s">
        <v>87</v>
      </c>
    </row>
    <row r="6495" spans="1:11" x14ac:dyDescent="0.25">
      <c r="A6495">
        <v>1229</v>
      </c>
      <c r="B6495">
        <v>0</v>
      </c>
      <c r="C6495">
        <v>1.20300449464204</v>
      </c>
      <c r="D6495">
        <v>4.2549899501562001</v>
      </c>
      <c r="E6495">
        <v>6</v>
      </c>
      <c r="F6495">
        <v>1.01722196789785</v>
      </c>
      <c r="G6495" t="s">
        <v>85</v>
      </c>
      <c r="H6495" t="s">
        <v>85</v>
      </c>
      <c r="I6495">
        <v>77</v>
      </c>
      <c r="J6495">
        <v>66</v>
      </c>
      <c r="K6495">
        <v>9.6277099271545E-2</v>
      </c>
    </row>
    <row r="6496" spans="1:11" x14ac:dyDescent="0.25">
      <c r="A6496" t="s">
        <v>86</v>
      </c>
    </row>
    <row r="6497" spans="1:11" x14ac:dyDescent="0.25">
      <c r="A6497">
        <v>13.6721666390346</v>
      </c>
      <c r="B6497">
        <v>35.101569317033601</v>
      </c>
      <c r="C6497">
        <v>2000</v>
      </c>
    </row>
    <row r="6498" spans="1:11" x14ac:dyDescent="0.25">
      <c r="A6498">
        <v>12.7251906654539</v>
      </c>
      <c r="B6498">
        <v>34.154593343452802</v>
      </c>
      <c r="C6498">
        <v>2000</v>
      </c>
    </row>
    <row r="6499" spans="1:11" x14ac:dyDescent="0.25">
      <c r="A6499">
        <v>13.5992227143515</v>
      </c>
      <c r="B6499">
        <v>34.154593343452802</v>
      </c>
      <c r="C6499">
        <v>2001</v>
      </c>
    </row>
    <row r="6500" spans="1:11" x14ac:dyDescent="0.25">
      <c r="A6500">
        <v>14.353552012689301</v>
      </c>
      <c r="B6500">
        <v>34.908922641790603</v>
      </c>
      <c r="C6500">
        <v>2001</v>
      </c>
    </row>
    <row r="6501" spans="1:11" x14ac:dyDescent="0.25">
      <c r="A6501">
        <v>17.021591573498</v>
      </c>
      <c r="B6501">
        <v>37.576962202599397</v>
      </c>
      <c r="C6501">
        <v>2001</v>
      </c>
    </row>
    <row r="6502" spans="1:11" x14ac:dyDescent="0.25">
      <c r="A6502">
        <v>17.021591573498</v>
      </c>
      <c r="B6502">
        <v>38.450994251497001</v>
      </c>
      <c r="C6502">
        <v>2000</v>
      </c>
    </row>
    <row r="6503" spans="1:11" x14ac:dyDescent="0.25">
      <c r="A6503" t="s">
        <v>87</v>
      </c>
    </row>
    <row r="6504" spans="1:11" x14ac:dyDescent="0.25">
      <c r="A6504">
        <v>770</v>
      </c>
      <c r="B6504">
        <v>0</v>
      </c>
      <c r="C6504">
        <v>1.69277601450329</v>
      </c>
      <c r="D6504">
        <v>3.7652184302949601</v>
      </c>
      <c r="E6504">
        <v>6</v>
      </c>
      <c r="F6504">
        <v>1.01722196789785</v>
      </c>
      <c r="G6504" t="s">
        <v>85</v>
      </c>
      <c r="H6504" t="s">
        <v>85</v>
      </c>
      <c r="I6504">
        <v>77</v>
      </c>
      <c r="J6504">
        <v>66</v>
      </c>
      <c r="K6504">
        <v>8.8948032773117705E-2</v>
      </c>
    </row>
    <row r="6505" spans="1:11" x14ac:dyDescent="0.25">
      <c r="A6505" t="s">
        <v>86</v>
      </c>
    </row>
    <row r="6506" spans="1:11" x14ac:dyDescent="0.25">
      <c r="A6506">
        <v>16.692883915471501</v>
      </c>
      <c r="B6506">
        <v>32.851924574271301</v>
      </c>
      <c r="C6506">
        <v>2000</v>
      </c>
    </row>
    <row r="6507" spans="1:11" x14ac:dyDescent="0.25">
      <c r="A6507">
        <v>15.360371675053401</v>
      </c>
      <c r="B6507">
        <v>31.5194123338533</v>
      </c>
      <c r="C6507">
        <v>2000</v>
      </c>
    </row>
    <row r="6508" spans="1:11" x14ac:dyDescent="0.25">
      <c r="A6508">
        <v>16.2344037239511</v>
      </c>
      <c r="B6508">
        <v>31.5194123338533</v>
      </c>
      <c r="C6508">
        <v>2001</v>
      </c>
    </row>
    <row r="6509" spans="1:11" x14ac:dyDescent="0.25">
      <c r="A6509">
        <v>17.2958382813034</v>
      </c>
      <c r="B6509">
        <v>32.580846891205702</v>
      </c>
      <c r="C6509">
        <v>2001</v>
      </c>
    </row>
    <row r="6510" spans="1:11" x14ac:dyDescent="0.25">
      <c r="A6510">
        <v>19.656772583097599</v>
      </c>
      <c r="B6510">
        <v>34.941781192999798</v>
      </c>
      <c r="C6510">
        <v>2001</v>
      </c>
    </row>
    <row r="6511" spans="1:11" x14ac:dyDescent="0.25">
      <c r="A6511">
        <v>19.656772583097599</v>
      </c>
      <c r="B6511">
        <v>35.815813241897402</v>
      </c>
      <c r="C6511">
        <v>2000</v>
      </c>
    </row>
    <row r="6512" spans="1:11" x14ac:dyDescent="0.25">
      <c r="A6512" t="s">
        <v>87</v>
      </c>
    </row>
    <row r="6513" spans="1:11" x14ac:dyDescent="0.25">
      <c r="A6513">
        <v>141</v>
      </c>
      <c r="B6513">
        <v>1</v>
      </c>
      <c r="C6513">
        <v>5.2856111672031201</v>
      </c>
      <c r="D6513">
        <v>0.14161107107644699</v>
      </c>
      <c r="E6513">
        <v>6</v>
      </c>
      <c r="F6513">
        <v>1.01722196789785</v>
      </c>
      <c r="G6513" t="s">
        <v>85</v>
      </c>
      <c r="H6513" t="s">
        <v>89</v>
      </c>
      <c r="I6513">
        <v>597</v>
      </c>
      <c r="J6513">
        <v>155</v>
      </c>
      <c r="K6513">
        <v>0</v>
      </c>
    </row>
    <row r="6514" spans="1:11" x14ac:dyDescent="0.25">
      <c r="A6514" t="s">
        <v>86</v>
      </c>
    </row>
    <row r="6515" spans="1:11" x14ac:dyDescent="0.25">
      <c r="A6515">
        <v>127.863985266431</v>
      </c>
      <c r="B6515">
        <v>45.591724165576501</v>
      </c>
      <c r="C6515">
        <v>2000</v>
      </c>
    </row>
    <row r="6516" spans="1:11" x14ac:dyDescent="0.25">
      <c r="A6516">
        <v>123.91368722679699</v>
      </c>
      <c r="B6516">
        <v>49.542022205210301</v>
      </c>
      <c r="C6516">
        <v>2000</v>
      </c>
    </row>
    <row r="6517" spans="1:11" x14ac:dyDescent="0.25">
      <c r="A6517">
        <v>124.787719275695</v>
      </c>
      <c r="B6517">
        <v>49.542022205210301</v>
      </c>
      <c r="C6517">
        <v>2001</v>
      </c>
    </row>
    <row r="6518" spans="1:11" x14ac:dyDescent="0.25">
      <c r="A6518">
        <v>128.31240423414999</v>
      </c>
      <c r="B6518">
        <v>46.0173372467547</v>
      </c>
      <c r="C6518">
        <v>2001</v>
      </c>
    </row>
    <row r="6519" spans="1:11" x14ac:dyDescent="0.25">
      <c r="A6519">
        <v>128.40683691116399</v>
      </c>
      <c r="B6519">
        <v>45.922904569740801</v>
      </c>
      <c r="C6519">
        <v>2001</v>
      </c>
    </row>
    <row r="6520" spans="1:11" x14ac:dyDescent="0.25">
      <c r="A6520">
        <v>127.969820886715</v>
      </c>
      <c r="B6520">
        <v>45.485888545291999</v>
      </c>
      <c r="C6520">
        <v>2000</v>
      </c>
    </row>
    <row r="6521" spans="1:11" x14ac:dyDescent="0.25">
      <c r="A6521" t="s">
        <v>87</v>
      </c>
    </row>
    <row r="6522" spans="1:11" x14ac:dyDescent="0.25">
      <c r="A6522">
        <v>1042</v>
      </c>
      <c r="B6522">
        <v>0</v>
      </c>
      <c r="C6522">
        <v>3.2096565689126901</v>
      </c>
      <c r="D6522">
        <v>2.2143777398734601</v>
      </c>
      <c r="E6522">
        <v>6</v>
      </c>
      <c r="F6522">
        <v>1.01722196789785</v>
      </c>
      <c r="G6522" t="s">
        <v>85</v>
      </c>
      <c r="H6522" t="s">
        <v>85</v>
      </c>
      <c r="I6522">
        <v>930</v>
      </c>
      <c r="J6522">
        <v>306</v>
      </c>
      <c r="K6522">
        <v>9.3842356677082794E-2</v>
      </c>
    </row>
    <row r="6523" spans="1:11" x14ac:dyDescent="0.25">
      <c r="A6523" t="s">
        <v>86</v>
      </c>
    </row>
    <row r="6524" spans="1:11" x14ac:dyDescent="0.25">
      <c r="A6524">
        <v>17.909116655545901</v>
      </c>
      <c r="B6524">
        <v>127.248703181403</v>
      </c>
      <c r="C6524">
        <v>2000</v>
      </c>
    </row>
    <row r="6525" spans="1:11" x14ac:dyDescent="0.25">
      <c r="A6525">
        <v>15.6395467303877</v>
      </c>
      <c r="B6525">
        <v>124.97913325624501</v>
      </c>
      <c r="C6525">
        <v>2000</v>
      </c>
    </row>
    <row r="6526" spans="1:11" x14ac:dyDescent="0.25">
      <c r="A6526">
        <v>15.639546730387799</v>
      </c>
      <c r="B6526">
        <v>125.853165305142</v>
      </c>
      <c r="C6526">
        <v>2001</v>
      </c>
    </row>
    <row r="6527" spans="1:11" x14ac:dyDescent="0.25">
      <c r="A6527">
        <v>17.909116655545901</v>
      </c>
      <c r="B6527">
        <v>128.12273523030001</v>
      </c>
      <c r="C6527">
        <v>2001</v>
      </c>
    </row>
    <row r="6528" spans="1:11" x14ac:dyDescent="0.25">
      <c r="A6528">
        <v>19.474918171518901</v>
      </c>
      <c r="B6528">
        <v>129.688536746273</v>
      </c>
      <c r="C6528">
        <v>2001</v>
      </c>
    </row>
    <row r="6529" spans="1:11" x14ac:dyDescent="0.25">
      <c r="A6529">
        <v>19.474918171518901</v>
      </c>
      <c r="B6529">
        <v>128.81450469737601</v>
      </c>
      <c r="C6529">
        <v>2000</v>
      </c>
    </row>
    <row r="6530" spans="1:11" x14ac:dyDescent="0.25">
      <c r="A6530" t="s">
        <v>87</v>
      </c>
    </row>
    <row r="6531" spans="1:11" x14ac:dyDescent="0.25">
      <c r="A6531">
        <v>996</v>
      </c>
      <c r="B6531">
        <v>1</v>
      </c>
      <c r="C6531">
        <v>6.4404977902555102E-2</v>
      </c>
      <c r="D6531">
        <v>5.3488360168832996</v>
      </c>
      <c r="E6531">
        <v>6</v>
      </c>
      <c r="F6531">
        <v>1.01722196789785</v>
      </c>
      <c r="G6531" t="s">
        <v>85</v>
      </c>
      <c r="H6531" t="s">
        <v>85</v>
      </c>
      <c r="I6531">
        <v>263</v>
      </c>
      <c r="J6531">
        <v>270</v>
      </c>
      <c r="K6531">
        <v>9.3237811683927099E-2</v>
      </c>
    </row>
    <row r="6532" spans="1:11" x14ac:dyDescent="0.25">
      <c r="A6532" t="s">
        <v>86</v>
      </c>
    </row>
    <row r="6533" spans="1:11" x14ac:dyDescent="0.25">
      <c r="A6533">
        <v>2.27752617479221</v>
      </c>
      <c r="B6533">
        <v>123.826855781408</v>
      </c>
      <c r="C6533">
        <v>2000</v>
      </c>
    </row>
    <row r="6534" spans="1:11" x14ac:dyDescent="0.25">
      <c r="A6534">
        <v>2.23198497817515</v>
      </c>
      <c r="B6534">
        <v>123.87239697802499</v>
      </c>
      <c r="C6534">
        <v>2000</v>
      </c>
    </row>
    <row r="6535" spans="1:11" x14ac:dyDescent="0.25">
      <c r="A6535">
        <v>1.3579529292775201</v>
      </c>
      <c r="B6535">
        <v>123.87239697802499</v>
      </c>
      <c r="C6535">
        <v>2001</v>
      </c>
    </row>
    <row r="6536" spans="1:11" x14ac:dyDescent="0.25">
      <c r="A6536">
        <v>1.4034941258945799</v>
      </c>
      <c r="B6536">
        <v>123.826855781408</v>
      </c>
      <c r="C6536">
        <v>2001</v>
      </c>
    </row>
    <row r="6537" spans="1:11" x14ac:dyDescent="0.25">
      <c r="A6537">
        <v>5.1856923448875998</v>
      </c>
      <c r="B6537">
        <v>120.044657562414</v>
      </c>
      <c r="C6537">
        <v>2001</v>
      </c>
    </row>
    <row r="6538" spans="1:11" x14ac:dyDescent="0.25">
      <c r="A6538">
        <v>6.0597243937852303</v>
      </c>
      <c r="B6538">
        <v>120.044657562414</v>
      </c>
      <c r="C6538">
        <v>2000</v>
      </c>
    </row>
    <row r="6539" spans="1:11" x14ac:dyDescent="0.25">
      <c r="A6539" t="s">
        <v>87</v>
      </c>
    </row>
    <row r="6540" spans="1:11" x14ac:dyDescent="0.25">
      <c r="A6540">
        <v>1060</v>
      </c>
      <c r="B6540">
        <v>1</v>
      </c>
      <c r="C6540">
        <v>4.5864980946153802</v>
      </c>
      <c r="D6540">
        <v>0.80973210283129005</v>
      </c>
      <c r="E6540">
        <v>6</v>
      </c>
      <c r="F6540">
        <v>1.01722196789785</v>
      </c>
      <c r="G6540" t="s">
        <v>85</v>
      </c>
      <c r="H6540" t="s">
        <v>85</v>
      </c>
      <c r="I6540">
        <v>587</v>
      </c>
      <c r="J6540">
        <v>753</v>
      </c>
      <c r="K6540">
        <v>9.4036209728977305E-2</v>
      </c>
    </row>
    <row r="6541" spans="1:11" x14ac:dyDescent="0.25">
      <c r="A6541" t="s">
        <v>86</v>
      </c>
    </row>
    <row r="6542" spans="1:11" x14ac:dyDescent="0.25">
      <c r="A6542">
        <v>126.029776661662</v>
      </c>
      <c r="B6542">
        <v>62.6264145190951</v>
      </c>
      <c r="C6542">
        <v>2000</v>
      </c>
    </row>
    <row r="6543" spans="1:11" x14ac:dyDescent="0.25">
      <c r="A6543">
        <v>122.78663275706</v>
      </c>
      <c r="B6543">
        <v>65.869558423696802</v>
      </c>
      <c r="C6543">
        <v>2000</v>
      </c>
    </row>
    <row r="6544" spans="1:11" x14ac:dyDescent="0.25">
      <c r="A6544">
        <v>121.912600708162</v>
      </c>
      <c r="B6544">
        <v>65.869558423696802</v>
      </c>
      <c r="C6544">
        <v>2001</v>
      </c>
    </row>
    <row r="6545" spans="1:11" x14ac:dyDescent="0.25">
      <c r="A6545">
        <v>125.155744612764</v>
      </c>
      <c r="B6545">
        <v>62.6264145190951</v>
      </c>
      <c r="C6545">
        <v>2001</v>
      </c>
    </row>
    <row r="6546" spans="1:11" x14ac:dyDescent="0.25">
      <c r="A6546">
        <v>125.72831167362099</v>
      </c>
      <c r="B6546">
        <v>62.0538474582387</v>
      </c>
      <c r="C6546">
        <v>2001</v>
      </c>
    </row>
    <row r="6547" spans="1:11" x14ac:dyDescent="0.25">
      <c r="A6547">
        <v>126.602343722518</v>
      </c>
      <c r="B6547">
        <v>62.0538474582387</v>
      </c>
      <c r="C6547">
        <v>2000</v>
      </c>
    </row>
    <row r="6548" spans="1:11" x14ac:dyDescent="0.25">
      <c r="A6548" t="s">
        <v>87</v>
      </c>
    </row>
    <row r="6549" spans="1:11" x14ac:dyDescent="0.25">
      <c r="A6549">
        <v>829</v>
      </c>
      <c r="B6549">
        <v>0</v>
      </c>
      <c r="C6549">
        <v>5.0387609936997499</v>
      </c>
      <c r="D6549">
        <v>0.33160390546812801</v>
      </c>
      <c r="E6549">
        <v>6</v>
      </c>
      <c r="F6549">
        <v>1.01722196789785</v>
      </c>
      <c r="G6549" t="s">
        <v>85</v>
      </c>
      <c r="H6549" t="s">
        <v>89</v>
      </c>
      <c r="I6549">
        <v>308</v>
      </c>
      <c r="J6549">
        <v>272</v>
      </c>
      <c r="K6549">
        <v>9.0374042336346896E-2</v>
      </c>
    </row>
    <row r="6550" spans="1:11" x14ac:dyDescent="0.25">
      <c r="A6550" t="s">
        <v>86</v>
      </c>
    </row>
    <row r="6551" spans="1:11" x14ac:dyDescent="0.25">
      <c r="A6551">
        <v>30.736513221505199</v>
      </c>
      <c r="B6551">
        <v>110.739179437841</v>
      </c>
      <c r="C6551">
        <v>2000</v>
      </c>
    </row>
    <row r="6552" spans="1:11" x14ac:dyDescent="0.25">
      <c r="A6552">
        <v>26.968555355438799</v>
      </c>
      <c r="B6552">
        <v>106.971221571775</v>
      </c>
      <c r="C6552">
        <v>2000</v>
      </c>
    </row>
    <row r="6553" spans="1:11" x14ac:dyDescent="0.25">
      <c r="A6553">
        <v>27.842587404336498</v>
      </c>
      <c r="B6553">
        <v>106.971221571775</v>
      </c>
      <c r="C6553">
        <v>2001</v>
      </c>
    </row>
    <row r="6554" spans="1:11" x14ac:dyDescent="0.25">
      <c r="A6554">
        <v>31.200513673116799</v>
      </c>
      <c r="B6554">
        <v>110.329147840555</v>
      </c>
      <c r="C6554">
        <v>2001</v>
      </c>
    </row>
    <row r="6555" spans="1:11" x14ac:dyDescent="0.25">
      <c r="A6555">
        <v>31.4215008297599</v>
      </c>
      <c r="B6555">
        <v>110.550134997198</v>
      </c>
      <c r="C6555">
        <v>2001</v>
      </c>
    </row>
    <row r="6556" spans="1:11" x14ac:dyDescent="0.25">
      <c r="A6556">
        <v>30.984484805311101</v>
      </c>
      <c r="B6556">
        <v>110.98715102164699</v>
      </c>
      <c r="C6556">
        <v>2000</v>
      </c>
    </row>
    <row r="6557" spans="1:11" x14ac:dyDescent="0.25">
      <c r="A6557" t="s">
        <v>87</v>
      </c>
    </row>
    <row r="6558" spans="1:11" x14ac:dyDescent="0.25">
      <c r="A6558">
        <v>908</v>
      </c>
      <c r="B6558">
        <v>0</v>
      </c>
      <c r="C6558">
        <v>0.17083103879821199</v>
      </c>
      <c r="D6558">
        <v>5.1964479286300103</v>
      </c>
      <c r="E6558">
        <v>6</v>
      </c>
      <c r="F6558">
        <v>1.01722196789785</v>
      </c>
      <c r="G6558" t="s">
        <v>85</v>
      </c>
      <c r="H6558" t="s">
        <v>85</v>
      </c>
      <c r="I6558">
        <v>64</v>
      </c>
      <c r="J6558">
        <v>895</v>
      </c>
      <c r="K6558">
        <v>9.1667699418773299E-2</v>
      </c>
    </row>
    <row r="6559" spans="1:11" x14ac:dyDescent="0.25">
      <c r="A6559" t="s">
        <v>86</v>
      </c>
    </row>
    <row r="6560" spans="1:11" x14ac:dyDescent="0.25">
      <c r="A6560">
        <v>26.124717308094699</v>
      </c>
      <c r="B6560">
        <v>39.637837748625202</v>
      </c>
      <c r="C6560">
        <v>2000</v>
      </c>
    </row>
    <row r="6561" spans="1:11" x14ac:dyDescent="0.25">
      <c r="A6561">
        <v>25.990012071565399</v>
      </c>
      <c r="B6561">
        <v>39.503132512095902</v>
      </c>
      <c r="C6561">
        <v>2000</v>
      </c>
    </row>
    <row r="6562" spans="1:11" x14ac:dyDescent="0.25">
      <c r="A6562">
        <v>26.864044120462999</v>
      </c>
      <c r="B6562">
        <v>39.503132512095902</v>
      </c>
      <c r="C6562">
        <v>2001</v>
      </c>
    </row>
    <row r="6563" spans="1:11" x14ac:dyDescent="0.25">
      <c r="A6563">
        <v>26.970930455876399</v>
      </c>
      <c r="B6563">
        <v>39.610018847509401</v>
      </c>
      <c r="C6563">
        <v>2001</v>
      </c>
    </row>
    <row r="6564" spans="1:11" x14ac:dyDescent="0.25">
      <c r="A6564">
        <v>30.222267450402601</v>
      </c>
      <c r="B6564">
        <v>42.861355842035501</v>
      </c>
      <c r="C6564">
        <v>2001</v>
      </c>
    </row>
    <row r="6565" spans="1:11" x14ac:dyDescent="0.25">
      <c r="A6565">
        <v>30.222267450402601</v>
      </c>
      <c r="B6565">
        <v>43.735387890933197</v>
      </c>
      <c r="C6565">
        <v>2000</v>
      </c>
    </row>
    <row r="6566" spans="1:11" x14ac:dyDescent="0.25">
      <c r="A6566" t="s">
        <v>87</v>
      </c>
    </row>
    <row r="6567" spans="1:11" x14ac:dyDescent="0.25">
      <c r="A6567">
        <v>387</v>
      </c>
      <c r="B6567">
        <v>1</v>
      </c>
      <c r="C6567">
        <v>3.3375472834747599</v>
      </c>
      <c r="D6567">
        <v>2.01789189791117</v>
      </c>
      <c r="E6567">
        <v>8</v>
      </c>
      <c r="F6567">
        <v>1.01722196789785</v>
      </c>
      <c r="G6567" t="s">
        <v>89</v>
      </c>
      <c r="H6567" t="s">
        <v>85</v>
      </c>
      <c r="I6567">
        <v>385</v>
      </c>
      <c r="J6567">
        <v>669</v>
      </c>
      <c r="K6567">
        <v>0</v>
      </c>
    </row>
    <row r="6568" spans="1:11" x14ac:dyDescent="0.25">
      <c r="A6568" t="s">
        <v>86</v>
      </c>
    </row>
    <row r="6569" spans="1:11" x14ac:dyDescent="0.25">
      <c r="A6569">
        <v>49.095610344765802</v>
      </c>
      <c r="B6569">
        <v>91.437096522445501</v>
      </c>
      <c r="C6569">
        <v>2000</v>
      </c>
    </row>
    <row r="6570" spans="1:11" x14ac:dyDescent="0.25">
      <c r="A6570">
        <v>46.844242651896302</v>
      </c>
      <c r="B6570">
        <v>93.688464215314994</v>
      </c>
      <c r="C6570">
        <v>2000</v>
      </c>
    </row>
    <row r="6571" spans="1:11" x14ac:dyDescent="0.25">
      <c r="A6571">
        <v>46.4072266274474</v>
      </c>
      <c r="B6571">
        <v>93.251448190866199</v>
      </c>
      <c r="C6571">
        <v>2001</v>
      </c>
    </row>
    <row r="6572" spans="1:11" x14ac:dyDescent="0.25">
      <c r="A6572">
        <v>48.8758635679294</v>
      </c>
      <c r="B6572">
        <v>90.782811250384199</v>
      </c>
      <c r="C6572">
        <v>2001</v>
      </c>
    </row>
    <row r="6573" spans="1:11" x14ac:dyDescent="0.25">
      <c r="A6573">
        <v>49.936814737016697</v>
      </c>
      <c r="B6573">
        <v>89.721860081296896</v>
      </c>
      <c r="C6573">
        <v>2001</v>
      </c>
    </row>
    <row r="6574" spans="1:11" x14ac:dyDescent="0.25">
      <c r="A6574">
        <v>50.412602001061899</v>
      </c>
      <c r="B6574">
        <v>89.246072817251701</v>
      </c>
      <c r="C6574">
        <v>2001</v>
      </c>
    </row>
    <row r="6575" spans="1:11" x14ac:dyDescent="0.25">
      <c r="A6575">
        <v>50.412602001061899</v>
      </c>
      <c r="B6575">
        <v>90.120104866149305</v>
      </c>
      <c r="C6575">
        <v>2000</v>
      </c>
    </row>
    <row r="6576" spans="1:11" x14ac:dyDescent="0.25">
      <c r="A6576">
        <v>50.063185262983197</v>
      </c>
      <c r="B6576">
        <v>90.469521604228007</v>
      </c>
      <c r="C6576">
        <v>2000</v>
      </c>
    </row>
    <row r="6577" spans="1:11" x14ac:dyDescent="0.25">
      <c r="A6577" t="s">
        <v>87</v>
      </c>
    </row>
    <row r="6578" spans="1:11" x14ac:dyDescent="0.25">
      <c r="A6578">
        <v>145</v>
      </c>
      <c r="B6578">
        <v>1</v>
      </c>
      <c r="C6578">
        <v>4.3588373977115298</v>
      </c>
      <c r="D6578">
        <v>0.92240128091073403</v>
      </c>
      <c r="E6578">
        <v>6</v>
      </c>
      <c r="F6578">
        <v>1.01722196789785</v>
      </c>
      <c r="G6578" t="s">
        <v>85</v>
      </c>
      <c r="H6578" t="s">
        <v>89</v>
      </c>
      <c r="I6578">
        <v>119</v>
      </c>
      <c r="J6578">
        <v>133</v>
      </c>
      <c r="K6578">
        <v>0</v>
      </c>
    </row>
    <row r="6579" spans="1:11" x14ac:dyDescent="0.25">
      <c r="A6579" t="s">
        <v>86</v>
      </c>
    </row>
    <row r="6580" spans="1:11" x14ac:dyDescent="0.25">
      <c r="A6580">
        <v>127.450549090747</v>
      </c>
      <c r="B6580">
        <v>6.6920999200657398</v>
      </c>
      <c r="C6580">
        <v>2000</v>
      </c>
    </row>
    <row r="6581" spans="1:11" x14ac:dyDescent="0.25">
      <c r="A6581">
        <v>124.188041383954</v>
      </c>
      <c r="B6581">
        <v>9.9546076268588202</v>
      </c>
      <c r="C6581">
        <v>2000</v>
      </c>
    </row>
    <row r="6582" spans="1:11" x14ac:dyDescent="0.25">
      <c r="A6582">
        <v>124.188041383954</v>
      </c>
      <c r="B6582">
        <v>9.0805755779611896</v>
      </c>
      <c r="C6582">
        <v>2001</v>
      </c>
    </row>
    <row r="6583" spans="1:11" x14ac:dyDescent="0.25">
      <c r="A6583">
        <v>127.08986064118299</v>
      </c>
      <c r="B6583">
        <v>6.1787563207315399</v>
      </c>
      <c r="C6583">
        <v>2001</v>
      </c>
    </row>
    <row r="6584" spans="1:11" x14ac:dyDescent="0.25">
      <c r="A6584">
        <v>127.703933054448</v>
      </c>
      <c r="B6584">
        <v>5.5646839074670904</v>
      </c>
      <c r="C6584">
        <v>2001</v>
      </c>
    </row>
    <row r="6585" spans="1:11" x14ac:dyDescent="0.25">
      <c r="A6585">
        <v>128.14094907889699</v>
      </c>
      <c r="B6585">
        <v>6.0016999319159101</v>
      </c>
      <c r="C6585">
        <v>2000</v>
      </c>
    </row>
    <row r="6586" spans="1:11" x14ac:dyDescent="0.25">
      <c r="A6586" t="s">
        <v>87</v>
      </c>
    </row>
    <row r="6587" spans="1:11" x14ac:dyDescent="0.25">
      <c r="A6587">
        <v>1146</v>
      </c>
      <c r="B6587">
        <v>0</v>
      </c>
      <c r="C6587">
        <v>4.2656055065301102</v>
      </c>
      <c r="D6587">
        <v>1.00978677858375</v>
      </c>
      <c r="E6587">
        <v>8</v>
      </c>
      <c r="F6587">
        <v>1.01722196789785</v>
      </c>
      <c r="G6587" t="s">
        <v>85</v>
      </c>
      <c r="H6587" t="s">
        <v>85</v>
      </c>
      <c r="I6587">
        <v>396</v>
      </c>
      <c r="J6587">
        <v>385</v>
      </c>
      <c r="K6587">
        <v>9.5300933138239702E-2</v>
      </c>
    </row>
    <row r="6588" spans="1:11" x14ac:dyDescent="0.25">
      <c r="A6588" t="s">
        <v>86</v>
      </c>
    </row>
    <row r="6589" spans="1:11" x14ac:dyDescent="0.25">
      <c r="A6589">
        <v>38.055357717509096</v>
      </c>
      <c r="B6589">
        <v>100.36026399835301</v>
      </c>
      <c r="C6589">
        <v>2000</v>
      </c>
    </row>
    <row r="6590" spans="1:11" x14ac:dyDescent="0.25">
      <c r="A6590">
        <v>37.899029469912797</v>
      </c>
      <c r="B6590">
        <v>100.203935750757</v>
      </c>
      <c r="C6590">
        <v>2000</v>
      </c>
    </row>
    <row r="6591" spans="1:11" x14ac:dyDescent="0.25">
      <c r="A6591">
        <v>34.880007567768601</v>
      </c>
      <c r="B6591">
        <v>97.184913848612894</v>
      </c>
      <c r="C6591">
        <v>2000</v>
      </c>
    </row>
    <row r="6592" spans="1:11" x14ac:dyDescent="0.25">
      <c r="A6592">
        <v>35.754039616666198</v>
      </c>
      <c r="B6592">
        <v>97.184913848612894</v>
      </c>
      <c r="C6592">
        <v>2001</v>
      </c>
    </row>
    <row r="6593" spans="1:11" x14ac:dyDescent="0.25">
      <c r="A6593">
        <v>38.365190017296101</v>
      </c>
      <c r="B6593">
        <v>99.796064249242804</v>
      </c>
      <c r="C6593">
        <v>2001</v>
      </c>
    </row>
    <row r="6594" spans="1:11" x14ac:dyDescent="0.25">
      <c r="A6594">
        <v>38.611166625993903</v>
      </c>
      <c r="B6594">
        <v>100.042040857941</v>
      </c>
      <c r="C6594">
        <v>2001</v>
      </c>
    </row>
    <row r="6595" spans="1:11" x14ac:dyDescent="0.25">
      <c r="A6595">
        <v>39.484305274889401</v>
      </c>
      <c r="B6595">
        <v>100.915179506836</v>
      </c>
      <c r="C6595">
        <v>2001</v>
      </c>
    </row>
    <row r="6596" spans="1:11" x14ac:dyDescent="0.25">
      <c r="A6596">
        <v>38.610273225991797</v>
      </c>
      <c r="B6596">
        <v>100.915179506836</v>
      </c>
      <c r="C6596">
        <v>2000</v>
      </c>
    </row>
    <row r="6597" spans="1:11" x14ac:dyDescent="0.25">
      <c r="A6597" t="s">
        <v>87</v>
      </c>
    </row>
    <row r="6598" spans="1:11" x14ac:dyDescent="0.25">
      <c r="A6598">
        <v>839</v>
      </c>
      <c r="B6598">
        <v>0</v>
      </c>
      <c r="C6598">
        <v>4.4004410622680199</v>
      </c>
      <c r="D6598">
        <v>0.86703117916761097</v>
      </c>
      <c r="E6598">
        <v>6</v>
      </c>
      <c r="F6598">
        <v>1.01722196789785</v>
      </c>
      <c r="G6598" t="s">
        <v>85</v>
      </c>
      <c r="H6598" t="s">
        <v>89</v>
      </c>
      <c r="I6598">
        <v>701</v>
      </c>
      <c r="J6598">
        <v>662</v>
      </c>
      <c r="K6598">
        <v>9.0374042336346896E-2</v>
      </c>
    </row>
    <row r="6599" spans="1:11" x14ac:dyDescent="0.25">
      <c r="A6599" t="s">
        <v>86</v>
      </c>
    </row>
    <row r="6600" spans="1:11" x14ac:dyDescent="0.25">
      <c r="A6600">
        <v>68.128849728455194</v>
      </c>
      <c r="B6600">
        <v>59.228542612859599</v>
      </c>
      <c r="C6600">
        <v>2000</v>
      </c>
    </row>
    <row r="6601" spans="1:11" x14ac:dyDescent="0.25">
      <c r="A6601">
        <v>65.199809388816305</v>
      </c>
      <c r="B6601">
        <v>56.299502273220703</v>
      </c>
      <c r="C6601">
        <v>2000</v>
      </c>
    </row>
    <row r="6602" spans="1:11" x14ac:dyDescent="0.25">
      <c r="A6602">
        <v>65.199809388816305</v>
      </c>
      <c r="B6602">
        <v>55.425470224323099</v>
      </c>
      <c r="C6602">
        <v>2001</v>
      </c>
    </row>
    <row r="6603" spans="1:11" x14ac:dyDescent="0.25">
      <c r="A6603">
        <v>68.493932479860305</v>
      </c>
      <c r="B6603">
        <v>58.719593315367099</v>
      </c>
      <c r="C6603">
        <v>2001</v>
      </c>
    </row>
    <row r="6604" spans="1:11" x14ac:dyDescent="0.25">
      <c r="A6604">
        <v>69.142982742671705</v>
      </c>
      <c r="B6604">
        <v>59.368643578178499</v>
      </c>
      <c r="C6604">
        <v>2001</v>
      </c>
    </row>
    <row r="6605" spans="1:11" x14ac:dyDescent="0.25">
      <c r="A6605">
        <v>68.705966718222896</v>
      </c>
      <c r="B6605">
        <v>59.805659602627301</v>
      </c>
      <c r="C6605">
        <v>2000</v>
      </c>
    </row>
    <row r="6606" spans="1:11" x14ac:dyDescent="0.25">
      <c r="A6606" t="s">
        <v>87</v>
      </c>
    </row>
    <row r="6607" spans="1:11" x14ac:dyDescent="0.25">
      <c r="A6607">
        <v>914</v>
      </c>
      <c r="B6607">
        <v>0</v>
      </c>
      <c r="C6607">
        <v>3.6451050815573498</v>
      </c>
      <c r="D6607">
        <v>1.5710267424254301</v>
      </c>
      <c r="E6607">
        <v>6</v>
      </c>
      <c r="F6607">
        <v>1.01722196789785</v>
      </c>
      <c r="G6607" t="s">
        <v>85</v>
      </c>
      <c r="H6607" t="s">
        <v>85</v>
      </c>
      <c r="I6607">
        <v>754</v>
      </c>
      <c r="J6607">
        <v>628</v>
      </c>
      <c r="K6607">
        <v>9.1907793175489E-2</v>
      </c>
    </row>
    <row r="6608" spans="1:11" x14ac:dyDescent="0.25">
      <c r="A6608" t="s">
        <v>86</v>
      </c>
    </row>
    <row r="6609" spans="1:11" x14ac:dyDescent="0.25">
      <c r="A6609">
        <v>136.809531313744</v>
      </c>
      <c r="B6609">
        <v>81.494540557020997</v>
      </c>
      <c r="C6609">
        <v>2000</v>
      </c>
    </row>
    <row r="6610" spans="1:11" x14ac:dyDescent="0.25">
      <c r="A6610">
        <v>134.232052792437</v>
      </c>
      <c r="B6610">
        <v>78.917062035714196</v>
      </c>
      <c r="C6610">
        <v>2000</v>
      </c>
    </row>
    <row r="6611" spans="1:11" x14ac:dyDescent="0.25">
      <c r="A6611">
        <v>134.232052792437</v>
      </c>
      <c r="B6611">
        <v>78.043029986816606</v>
      </c>
      <c r="C6611">
        <v>2001</v>
      </c>
    </row>
    <row r="6612" spans="1:11" x14ac:dyDescent="0.25">
      <c r="A6612">
        <v>136.809531313744</v>
      </c>
      <c r="B6612">
        <v>80.620508508123294</v>
      </c>
      <c r="C6612">
        <v>2001</v>
      </c>
    </row>
    <row r="6613" spans="1:11" x14ac:dyDescent="0.25">
      <c r="A6613">
        <v>137.92041497673901</v>
      </c>
      <c r="B6613">
        <v>81.731392171117704</v>
      </c>
      <c r="C6613">
        <v>2001</v>
      </c>
    </row>
    <row r="6614" spans="1:11" x14ac:dyDescent="0.25">
      <c r="A6614">
        <v>137.92041497673901</v>
      </c>
      <c r="B6614">
        <v>82.605424220015394</v>
      </c>
      <c r="C6614">
        <v>2000</v>
      </c>
    </row>
    <row r="6615" spans="1:11" x14ac:dyDescent="0.25">
      <c r="A6615" t="s">
        <v>87</v>
      </c>
    </row>
    <row r="6616" spans="1:11" x14ac:dyDescent="0.25">
      <c r="A6616">
        <v>928</v>
      </c>
      <c r="B6616">
        <v>1</v>
      </c>
      <c r="C6616">
        <v>1.48960625859041</v>
      </c>
      <c r="D6616">
        <v>3.7012295702035898</v>
      </c>
      <c r="E6616">
        <v>6</v>
      </c>
      <c r="F6616">
        <v>1.01722196789785</v>
      </c>
      <c r="G6616" t="s">
        <v>85</v>
      </c>
      <c r="H6616" t="s">
        <v>85</v>
      </c>
      <c r="I6616">
        <v>896</v>
      </c>
      <c r="J6616">
        <v>758</v>
      </c>
      <c r="K6616">
        <v>9.2142179589674397E-2</v>
      </c>
    </row>
    <row r="6617" spans="1:11" x14ac:dyDescent="0.25">
      <c r="A6617" t="s">
        <v>86</v>
      </c>
    </row>
    <row r="6618" spans="1:11" x14ac:dyDescent="0.25">
      <c r="A6618">
        <v>57.316488021277799</v>
      </c>
      <c r="B6618">
        <v>68.962801584888496</v>
      </c>
      <c r="C6618">
        <v>2000</v>
      </c>
    </row>
    <row r="6619" spans="1:11" x14ac:dyDescent="0.25">
      <c r="A6619">
        <v>56.137767511027398</v>
      </c>
      <c r="B6619">
        <v>70.141522095138896</v>
      </c>
      <c r="C6619">
        <v>2000</v>
      </c>
    </row>
    <row r="6620" spans="1:11" x14ac:dyDescent="0.25">
      <c r="A6620">
        <v>57.011799559925002</v>
      </c>
      <c r="B6620">
        <v>70.141522095138896</v>
      </c>
      <c r="C6620">
        <v>2001</v>
      </c>
    </row>
    <row r="6621" spans="1:11" x14ac:dyDescent="0.25">
      <c r="A6621">
        <v>57.939700423169</v>
      </c>
      <c r="B6621">
        <v>69.213621231894905</v>
      </c>
      <c r="C6621">
        <v>2001</v>
      </c>
    </row>
    <row r="6622" spans="1:11" x14ac:dyDescent="0.25">
      <c r="A6622">
        <v>60.245258750042503</v>
      </c>
      <c r="B6622">
        <v>66.908062905021396</v>
      </c>
      <c r="C6622">
        <v>2001</v>
      </c>
    </row>
    <row r="6623" spans="1:11" x14ac:dyDescent="0.25">
      <c r="A6623">
        <v>60.245258750042503</v>
      </c>
      <c r="B6623">
        <v>66.034030856123806</v>
      </c>
      <c r="C6623">
        <v>2000</v>
      </c>
    </row>
    <row r="6624" spans="1:11" x14ac:dyDescent="0.25">
      <c r="A6624" t="s">
        <v>87</v>
      </c>
    </row>
    <row r="6625" spans="1:11" x14ac:dyDescent="0.25">
      <c r="A6625">
        <v>1197</v>
      </c>
      <c r="B6625">
        <v>0</v>
      </c>
      <c r="C6625">
        <v>0.410887206172944</v>
      </c>
      <c r="D6625">
        <v>4.7723430097767601</v>
      </c>
      <c r="E6625">
        <v>6</v>
      </c>
      <c r="F6625">
        <v>1.01722196789785</v>
      </c>
      <c r="G6625" t="s">
        <v>85</v>
      </c>
      <c r="H6625" t="s">
        <v>85</v>
      </c>
      <c r="I6625">
        <v>1106</v>
      </c>
      <c r="J6625">
        <v>145</v>
      </c>
      <c r="K6625">
        <v>9.5961381564156997E-2</v>
      </c>
    </row>
    <row r="6626" spans="1:11" x14ac:dyDescent="0.25">
      <c r="A6626" t="s">
        <v>86</v>
      </c>
    </row>
    <row r="6627" spans="1:11" x14ac:dyDescent="0.25">
      <c r="A6627">
        <v>123.355660854539</v>
      </c>
      <c r="B6627">
        <v>4.0378759475511696</v>
      </c>
      <c r="C6627">
        <v>2000</v>
      </c>
    </row>
    <row r="6628" spans="1:11" x14ac:dyDescent="0.25">
      <c r="A6628">
        <v>123.065119724751</v>
      </c>
      <c r="B6628">
        <v>3.74733481776348</v>
      </c>
      <c r="C6628">
        <v>2000</v>
      </c>
    </row>
    <row r="6629" spans="1:11" x14ac:dyDescent="0.25">
      <c r="A6629">
        <v>123.065119724751</v>
      </c>
      <c r="B6629">
        <v>2.8733027688658601</v>
      </c>
      <c r="C6629">
        <v>2001</v>
      </c>
    </row>
    <row r="6630" spans="1:11" x14ac:dyDescent="0.25">
      <c r="A6630">
        <v>123.355660854539</v>
      </c>
      <c r="B6630">
        <v>3.1638438986535502</v>
      </c>
      <c r="C6630">
        <v>2001</v>
      </c>
    </row>
    <row r="6631" spans="1:11" x14ac:dyDescent="0.25">
      <c r="A6631">
        <v>126.7302169589</v>
      </c>
      <c r="B6631">
        <v>6.5384000030148997</v>
      </c>
      <c r="C6631">
        <v>2001</v>
      </c>
    </row>
    <row r="6632" spans="1:11" x14ac:dyDescent="0.25">
      <c r="A6632">
        <v>126.7302169589</v>
      </c>
      <c r="B6632">
        <v>7.4124320519125302</v>
      </c>
      <c r="C6632">
        <v>2000</v>
      </c>
    </row>
    <row r="6633" spans="1:11" x14ac:dyDescent="0.25">
      <c r="A6633" t="s">
        <v>87</v>
      </c>
    </row>
    <row r="6634" spans="1:11" x14ac:dyDescent="0.25">
      <c r="A6634">
        <v>1181</v>
      </c>
      <c r="B6634">
        <v>0</v>
      </c>
      <c r="C6634">
        <v>1.13260124640374</v>
      </c>
      <c r="D6634">
        <v>4.0506289695459703</v>
      </c>
      <c r="E6634">
        <v>6</v>
      </c>
      <c r="F6634">
        <v>1.01722196789785</v>
      </c>
      <c r="G6634" t="s">
        <v>85</v>
      </c>
      <c r="H6634" t="s">
        <v>85</v>
      </c>
      <c r="I6634">
        <v>1106</v>
      </c>
      <c r="J6634">
        <v>145</v>
      </c>
      <c r="K6634">
        <v>9.5636215209858197E-2</v>
      </c>
    </row>
    <row r="6635" spans="1:11" x14ac:dyDescent="0.25">
      <c r="A6635" t="s">
        <v>86</v>
      </c>
    </row>
    <row r="6636" spans="1:11" x14ac:dyDescent="0.25">
      <c r="A6636">
        <v>122.49007477540999</v>
      </c>
      <c r="B6636">
        <v>5.9241198105294499</v>
      </c>
      <c r="C6636">
        <v>2000</v>
      </c>
    </row>
    <row r="6637" spans="1:11" x14ac:dyDescent="0.25">
      <c r="A6637">
        <v>121.689204753697</v>
      </c>
      <c r="B6637">
        <v>5.1232497888170299</v>
      </c>
      <c r="C6637">
        <v>2000</v>
      </c>
    </row>
    <row r="6638" spans="1:11" x14ac:dyDescent="0.25">
      <c r="A6638">
        <v>121.689204753697</v>
      </c>
      <c r="B6638">
        <v>4.2492177399194002</v>
      </c>
      <c r="C6638">
        <v>2001</v>
      </c>
    </row>
    <row r="6639" spans="1:11" x14ac:dyDescent="0.25">
      <c r="A6639">
        <v>122.49007477540999</v>
      </c>
      <c r="B6639">
        <v>5.0500877616318203</v>
      </c>
      <c r="C6639">
        <v>2001</v>
      </c>
    </row>
    <row r="6640" spans="1:11" x14ac:dyDescent="0.25">
      <c r="A6640">
        <v>125.35430198784699</v>
      </c>
      <c r="B6640">
        <v>7.91431497406845</v>
      </c>
      <c r="C6640">
        <v>2001</v>
      </c>
    </row>
    <row r="6641" spans="1:11" x14ac:dyDescent="0.25">
      <c r="A6641">
        <v>125.35430198784699</v>
      </c>
      <c r="B6641">
        <v>8.7883470229660805</v>
      </c>
      <c r="C6641">
        <v>2000</v>
      </c>
    </row>
    <row r="6642" spans="1:11" x14ac:dyDescent="0.25">
      <c r="A6642" t="s">
        <v>87</v>
      </c>
    </row>
    <row r="6643" spans="1:11" x14ac:dyDescent="0.25">
      <c r="A6643">
        <v>1186</v>
      </c>
      <c r="B6643">
        <v>0</v>
      </c>
      <c r="C6643">
        <v>4.5023425272650197</v>
      </c>
      <c r="D6643">
        <v>0.64564614030472001</v>
      </c>
      <c r="E6643">
        <v>6</v>
      </c>
      <c r="F6643">
        <v>1.01722196789785</v>
      </c>
      <c r="G6643" t="s">
        <v>85</v>
      </c>
      <c r="H6643" t="s">
        <v>85</v>
      </c>
      <c r="I6643">
        <v>895</v>
      </c>
      <c r="J6643">
        <v>772</v>
      </c>
      <c r="K6643">
        <v>9.5800019506126696E-2</v>
      </c>
    </row>
    <row r="6644" spans="1:11" x14ac:dyDescent="0.25">
      <c r="A6644" t="s">
        <v>86</v>
      </c>
    </row>
    <row r="6645" spans="1:11" x14ac:dyDescent="0.25">
      <c r="A6645">
        <v>39.431726383742401</v>
      </c>
      <c r="B6645">
        <v>40.128789394244002</v>
      </c>
      <c r="C6645">
        <v>2000</v>
      </c>
    </row>
    <row r="6646" spans="1:11" x14ac:dyDescent="0.25">
      <c r="A6646">
        <v>36.6302961654171</v>
      </c>
      <c r="B6646">
        <v>37.327359175918701</v>
      </c>
      <c r="C6646">
        <v>2000</v>
      </c>
    </row>
    <row r="6647" spans="1:11" x14ac:dyDescent="0.25">
      <c r="A6647">
        <v>36.6302961654171</v>
      </c>
      <c r="B6647">
        <v>36.453327127020998</v>
      </c>
      <c r="C6647">
        <v>2001</v>
      </c>
    </row>
    <row r="6648" spans="1:11" x14ac:dyDescent="0.25">
      <c r="A6648">
        <v>40.196139811599103</v>
      </c>
      <c r="B6648">
        <v>40.019170773203101</v>
      </c>
      <c r="C6648">
        <v>2001</v>
      </c>
    </row>
    <row r="6649" spans="1:11" x14ac:dyDescent="0.25">
      <c r="A6649">
        <v>40.707489886175999</v>
      </c>
      <c r="B6649">
        <v>40.530520847779897</v>
      </c>
      <c r="C6649">
        <v>2001</v>
      </c>
    </row>
    <row r="6650" spans="1:11" x14ac:dyDescent="0.25">
      <c r="A6650">
        <v>39.833457837278303</v>
      </c>
      <c r="B6650">
        <v>40.530520847779897</v>
      </c>
      <c r="C6650">
        <v>2000</v>
      </c>
    </row>
    <row r="6651" spans="1:11" x14ac:dyDescent="0.25">
      <c r="A6651" t="s">
        <v>87</v>
      </c>
    </row>
    <row r="6652" spans="1:11" x14ac:dyDescent="0.25">
      <c r="A6652">
        <v>814</v>
      </c>
      <c r="B6652">
        <v>1</v>
      </c>
      <c r="C6652">
        <v>1.5329825273998701</v>
      </c>
      <c r="D6652">
        <v>3.5751769237910098</v>
      </c>
      <c r="E6652">
        <v>6</v>
      </c>
      <c r="F6652">
        <v>1.01722196789785</v>
      </c>
      <c r="G6652" t="s">
        <v>88</v>
      </c>
      <c r="H6652" t="s">
        <v>85</v>
      </c>
      <c r="I6652">
        <v>0</v>
      </c>
      <c r="J6652">
        <v>348</v>
      </c>
      <c r="K6652">
        <v>9.0097089164053304E-2</v>
      </c>
    </row>
    <row r="6653" spans="1:11" x14ac:dyDescent="0.25">
      <c r="A6653" t="s">
        <v>86</v>
      </c>
    </row>
    <row r="6654" spans="1:11" x14ac:dyDescent="0.25">
      <c r="A6654">
        <v>0.95283178896702303</v>
      </c>
      <c r="B6654">
        <v>65.875160817404307</v>
      </c>
      <c r="C6654">
        <v>2000</v>
      </c>
    </row>
    <row r="6655" spans="1:11" x14ac:dyDescent="0.25">
      <c r="A6655">
        <v>0</v>
      </c>
      <c r="B6655">
        <v>66.827992606371296</v>
      </c>
      <c r="C6655">
        <v>2000</v>
      </c>
    </row>
    <row r="6656" spans="1:11" x14ac:dyDescent="0.25">
      <c r="A6656">
        <v>0</v>
      </c>
      <c r="B6656">
        <v>67.7020246552689</v>
      </c>
      <c r="C6656">
        <v>2001</v>
      </c>
    </row>
    <row r="6657" spans="1:11" x14ac:dyDescent="0.25">
      <c r="A6657">
        <v>1.2151328921628599</v>
      </c>
      <c r="B6657">
        <v>66.486891763106001</v>
      </c>
      <c r="C6657">
        <v>2001</v>
      </c>
    </row>
    <row r="6658" spans="1:11" x14ac:dyDescent="0.25">
      <c r="A6658">
        <v>4.0490302117680397</v>
      </c>
      <c r="B6658">
        <v>63.652994443500901</v>
      </c>
      <c r="C6658">
        <v>2001</v>
      </c>
    </row>
    <row r="6659" spans="1:11" x14ac:dyDescent="0.25">
      <c r="A6659">
        <v>3.1749981628703998</v>
      </c>
      <c r="B6659">
        <v>63.652994443500901</v>
      </c>
      <c r="C6659">
        <v>2000</v>
      </c>
    </row>
    <row r="6660" spans="1:11" x14ac:dyDescent="0.25">
      <c r="A6660" t="s">
        <v>87</v>
      </c>
    </row>
    <row r="6661" spans="1:11" x14ac:dyDescent="0.25">
      <c r="A6661">
        <v>234</v>
      </c>
      <c r="B6661">
        <v>1</v>
      </c>
      <c r="C6661">
        <v>3.2406230768353099</v>
      </c>
      <c r="D6661">
        <v>1.84952221860355</v>
      </c>
      <c r="E6661">
        <v>6</v>
      </c>
      <c r="F6661">
        <v>1.01722196789785</v>
      </c>
      <c r="G6661" t="s">
        <v>85</v>
      </c>
      <c r="H6661" t="s">
        <v>85</v>
      </c>
      <c r="I6661">
        <v>195</v>
      </c>
      <c r="J6661">
        <v>781</v>
      </c>
      <c r="K6661">
        <v>0</v>
      </c>
    </row>
    <row r="6662" spans="1:11" x14ac:dyDescent="0.25">
      <c r="A6662" t="s">
        <v>86</v>
      </c>
    </row>
    <row r="6663" spans="1:11" x14ac:dyDescent="0.25">
      <c r="A6663">
        <v>56.652454815510602</v>
      </c>
      <c r="B6663">
        <v>147.29883703524399</v>
      </c>
      <c r="C6663">
        <v>2000</v>
      </c>
    </row>
    <row r="6664" spans="1:11" x14ac:dyDescent="0.25">
      <c r="A6664">
        <v>54.6392129755762</v>
      </c>
      <c r="B6664">
        <v>149.312078875178</v>
      </c>
      <c r="C6664">
        <v>2000</v>
      </c>
    </row>
    <row r="6665" spans="1:11" x14ac:dyDescent="0.25">
      <c r="A6665">
        <v>54.6392129755762</v>
      </c>
      <c r="B6665">
        <v>150.18611092407599</v>
      </c>
      <c r="C6665">
        <v>2001</v>
      </c>
    </row>
    <row r="6666" spans="1:11" x14ac:dyDescent="0.25">
      <c r="A6666">
        <v>57.208904241441402</v>
      </c>
      <c r="B6666">
        <v>147.61641965821099</v>
      </c>
      <c r="C6666">
        <v>2001</v>
      </c>
    </row>
    <row r="6667" spans="1:11" x14ac:dyDescent="0.25">
      <c r="A6667">
        <v>58.675505255654599</v>
      </c>
      <c r="B6667">
        <v>146.14981864399701</v>
      </c>
      <c r="C6667">
        <v>2001</v>
      </c>
    </row>
    <row r="6668" spans="1:11" x14ac:dyDescent="0.25">
      <c r="A6668">
        <v>57.801473206757002</v>
      </c>
      <c r="B6668">
        <v>146.14981864399701</v>
      </c>
      <c r="C6668">
        <v>2000</v>
      </c>
    </row>
    <row r="6669" spans="1:11" x14ac:dyDescent="0.25">
      <c r="A6669" t="s">
        <v>87</v>
      </c>
    </row>
    <row r="6670" spans="1:11" x14ac:dyDescent="0.25">
      <c r="A6670">
        <v>978</v>
      </c>
      <c r="B6670">
        <v>1</v>
      </c>
      <c r="C6670">
        <v>0.72256166933099297</v>
      </c>
      <c r="D6670">
        <v>4.3141707767926203</v>
      </c>
      <c r="E6670">
        <v>6</v>
      </c>
      <c r="F6670">
        <v>1.01722196789785</v>
      </c>
      <c r="G6670" t="s">
        <v>85</v>
      </c>
      <c r="H6670" t="s">
        <v>85</v>
      </c>
      <c r="I6670">
        <v>764</v>
      </c>
      <c r="J6670">
        <v>959</v>
      </c>
      <c r="K6670">
        <v>9.3028045338835699E-2</v>
      </c>
    </row>
    <row r="6671" spans="1:11" x14ac:dyDescent="0.25">
      <c r="A6671" t="s">
        <v>86</v>
      </c>
    </row>
    <row r="6672" spans="1:11" x14ac:dyDescent="0.25">
      <c r="A6672">
        <v>73.100844629620696</v>
      </c>
      <c r="B6672">
        <v>33.913452967039497</v>
      </c>
      <c r="C6672">
        <v>2000</v>
      </c>
    </row>
    <row r="6673" spans="1:11" x14ac:dyDescent="0.25">
      <c r="A6673">
        <v>72.527222745840604</v>
      </c>
      <c r="B6673">
        <v>34.487074850819603</v>
      </c>
      <c r="C6673">
        <v>2000</v>
      </c>
    </row>
    <row r="6674" spans="1:11" x14ac:dyDescent="0.25">
      <c r="A6674">
        <v>73.401254794738307</v>
      </c>
      <c r="B6674">
        <v>34.487074850819603</v>
      </c>
      <c r="C6674">
        <v>2001</v>
      </c>
    </row>
    <row r="6675" spans="1:11" x14ac:dyDescent="0.25">
      <c r="A6675">
        <v>73.849489423377094</v>
      </c>
      <c r="B6675">
        <v>34.038840222180802</v>
      </c>
      <c r="C6675">
        <v>2001</v>
      </c>
    </row>
    <row r="6676" spans="1:11" x14ac:dyDescent="0.25">
      <c r="A6676">
        <v>76.525746437965793</v>
      </c>
      <c r="B6676">
        <v>31.362583207592099</v>
      </c>
      <c r="C6676">
        <v>2001</v>
      </c>
    </row>
    <row r="6677" spans="1:11" x14ac:dyDescent="0.25">
      <c r="A6677">
        <v>76.525746437965793</v>
      </c>
      <c r="B6677">
        <v>30.488551158694399</v>
      </c>
      <c r="C6677">
        <v>2000</v>
      </c>
    </row>
    <row r="6678" spans="1:11" x14ac:dyDescent="0.25">
      <c r="A6678" t="s">
        <v>87</v>
      </c>
    </row>
    <row r="6679" spans="1:11" x14ac:dyDescent="0.25">
      <c r="A6679">
        <v>1077</v>
      </c>
      <c r="B6679">
        <v>0</v>
      </c>
      <c r="C6679">
        <v>1.3147705447828699</v>
      </c>
      <c r="D6679">
        <v>3.70176233271077</v>
      </c>
      <c r="E6679">
        <v>6</v>
      </c>
      <c r="F6679">
        <v>1.01722196789785</v>
      </c>
      <c r="G6679" t="s">
        <v>88</v>
      </c>
      <c r="H6679" t="s">
        <v>85</v>
      </c>
      <c r="I6679">
        <v>0</v>
      </c>
      <c r="J6679">
        <v>480</v>
      </c>
      <c r="K6679">
        <v>9.4413370804653396E-2</v>
      </c>
    </row>
    <row r="6680" spans="1:11" x14ac:dyDescent="0.25">
      <c r="A6680" t="s">
        <v>86</v>
      </c>
    </row>
    <row r="6681" spans="1:11" x14ac:dyDescent="0.25">
      <c r="A6681">
        <v>69.846637525533296</v>
      </c>
      <c r="B6681">
        <v>0.92968316792029804</v>
      </c>
      <c r="C6681">
        <v>2000</v>
      </c>
    </row>
    <row r="6682" spans="1:11" x14ac:dyDescent="0.25">
      <c r="A6682">
        <v>68.916954357612994</v>
      </c>
      <c r="B6682">
        <v>0</v>
      </c>
      <c r="C6682">
        <v>2000</v>
      </c>
    </row>
    <row r="6683" spans="1:11" x14ac:dyDescent="0.25">
      <c r="A6683">
        <v>69.790986406510598</v>
      </c>
      <c r="B6683">
        <v>0</v>
      </c>
      <c r="C6683">
        <v>2001</v>
      </c>
    </row>
    <row r="6684" spans="1:11" x14ac:dyDescent="0.25">
      <c r="A6684">
        <v>70.7206695744309</v>
      </c>
      <c r="B6684">
        <v>0.92968316792029804</v>
      </c>
      <c r="C6684">
        <v>2001</v>
      </c>
    </row>
    <row r="6685" spans="1:11" x14ac:dyDescent="0.25">
      <c r="A6685">
        <v>73.338210822231602</v>
      </c>
      <c r="B6685">
        <v>3.54722441572101</v>
      </c>
      <c r="C6685">
        <v>2001</v>
      </c>
    </row>
    <row r="6686" spans="1:11" x14ac:dyDescent="0.25">
      <c r="A6686">
        <v>72.464178773333998</v>
      </c>
      <c r="B6686">
        <v>3.54722441572101</v>
      </c>
      <c r="C6686">
        <v>2000</v>
      </c>
    </row>
    <row r="6687" spans="1:11" x14ac:dyDescent="0.25">
      <c r="A6687" t="s">
        <v>87</v>
      </c>
    </row>
    <row r="6688" spans="1:11" x14ac:dyDescent="0.25">
      <c r="A6688">
        <v>1109</v>
      </c>
      <c r="B6688">
        <v>1</v>
      </c>
      <c r="C6688">
        <v>1.5028687358336901</v>
      </c>
      <c r="D6688">
        <v>3.4630065767129401</v>
      </c>
      <c r="E6688">
        <v>6</v>
      </c>
      <c r="F6688">
        <v>1.01722196789785</v>
      </c>
      <c r="G6688" t="s">
        <v>85</v>
      </c>
      <c r="H6688" t="s">
        <v>85</v>
      </c>
      <c r="I6688">
        <v>353</v>
      </c>
      <c r="J6688">
        <v>741</v>
      </c>
      <c r="K6688">
        <v>9.4777393206033497E-2</v>
      </c>
    </row>
    <row r="6689" spans="1:11" x14ac:dyDescent="0.25">
      <c r="A6689" t="s">
        <v>86</v>
      </c>
    </row>
    <row r="6690" spans="1:11" x14ac:dyDescent="0.25">
      <c r="A6690">
        <v>25.958179656085399</v>
      </c>
      <c r="B6690">
        <v>73.811174543788894</v>
      </c>
      <c r="C6690">
        <v>2000</v>
      </c>
    </row>
    <row r="6691" spans="1:11" x14ac:dyDescent="0.25">
      <c r="A6691">
        <v>24.763232783769801</v>
      </c>
      <c r="B6691">
        <v>75.006121416104506</v>
      </c>
      <c r="C6691">
        <v>2000</v>
      </c>
    </row>
    <row r="6692" spans="1:11" x14ac:dyDescent="0.25">
      <c r="A6692">
        <v>24.763232783769801</v>
      </c>
      <c r="B6692">
        <v>74.132089367206802</v>
      </c>
      <c r="C6692">
        <v>2001</v>
      </c>
    </row>
    <row r="6693" spans="1:11" x14ac:dyDescent="0.25">
      <c r="A6693">
        <v>25.693663260136798</v>
      </c>
      <c r="B6693">
        <v>73.201658890839894</v>
      </c>
      <c r="C6693">
        <v>2001</v>
      </c>
    </row>
    <row r="6694" spans="1:11" x14ac:dyDescent="0.25">
      <c r="A6694">
        <v>27.8376208673496</v>
      </c>
      <c r="B6694">
        <v>71.057701283626997</v>
      </c>
      <c r="C6694">
        <v>2001</v>
      </c>
    </row>
    <row r="6695" spans="1:11" x14ac:dyDescent="0.25">
      <c r="A6695">
        <v>28.7116529162472</v>
      </c>
      <c r="B6695">
        <v>71.057701283626997</v>
      </c>
      <c r="C6695">
        <v>2000</v>
      </c>
    </row>
    <row r="6696" spans="1:11" x14ac:dyDescent="0.25">
      <c r="A6696" t="s">
        <v>87</v>
      </c>
    </row>
    <row r="6697" spans="1:11" x14ac:dyDescent="0.25">
      <c r="A6697">
        <v>940</v>
      </c>
      <c r="B6697">
        <v>1</v>
      </c>
      <c r="C6697">
        <v>0.18020211068755601</v>
      </c>
      <c r="D6697">
        <v>4.7636906733637296</v>
      </c>
      <c r="E6697">
        <v>6</v>
      </c>
      <c r="F6697">
        <v>1.01722196789785</v>
      </c>
      <c r="G6697" t="s">
        <v>88</v>
      </c>
      <c r="H6697" t="s">
        <v>89</v>
      </c>
      <c r="I6697">
        <v>0</v>
      </c>
      <c r="J6697">
        <v>50</v>
      </c>
      <c r="K6697">
        <v>9.2371134687469506E-2</v>
      </c>
    </row>
    <row r="6698" spans="1:11" x14ac:dyDescent="0.25">
      <c r="A6698" t="s">
        <v>86</v>
      </c>
    </row>
    <row r="6699" spans="1:11" x14ac:dyDescent="0.25">
      <c r="A6699">
        <v>0.11945764033200899</v>
      </c>
      <c r="B6699">
        <v>26.498041037188401</v>
      </c>
      <c r="C6699">
        <v>2000</v>
      </c>
    </row>
    <row r="6700" spans="1:11" x14ac:dyDescent="0.25">
      <c r="A6700">
        <v>0</v>
      </c>
      <c r="B6700">
        <v>26.617498677520398</v>
      </c>
      <c r="C6700">
        <v>2000</v>
      </c>
    </row>
    <row r="6701" spans="1:11" x14ac:dyDescent="0.25">
      <c r="A6701">
        <v>0</v>
      </c>
      <c r="B6701">
        <v>27.491530726418102</v>
      </c>
      <c r="C6701">
        <v>2001</v>
      </c>
    </row>
    <row r="6702" spans="1:11" x14ac:dyDescent="0.25">
      <c r="A6702">
        <v>0.135386628570591</v>
      </c>
      <c r="B6702">
        <v>27.356144097847501</v>
      </c>
      <c r="C6702">
        <v>2001</v>
      </c>
    </row>
    <row r="6703" spans="1:11" x14ac:dyDescent="0.25">
      <c r="A6703">
        <v>3.7143681252863101</v>
      </c>
      <c r="B6703">
        <v>23.7771626011317</v>
      </c>
      <c r="C6703">
        <v>2001</v>
      </c>
    </row>
    <row r="6704" spans="1:11" x14ac:dyDescent="0.25">
      <c r="A6704">
        <v>3.27735210083749</v>
      </c>
      <c r="B6704">
        <v>23.340146576682901</v>
      </c>
      <c r="C6704">
        <v>2000</v>
      </c>
    </row>
    <row r="6705" spans="1:11" x14ac:dyDescent="0.25">
      <c r="A6705" t="s">
        <v>87</v>
      </c>
    </row>
    <row r="6706" spans="1:11" x14ac:dyDescent="0.25">
      <c r="A6706">
        <v>866</v>
      </c>
      <c r="B6706">
        <v>0</v>
      </c>
      <c r="C6706">
        <v>4.4706759042119204</v>
      </c>
      <c r="D6706">
        <v>0.46293625920239401</v>
      </c>
      <c r="E6706">
        <v>6</v>
      </c>
      <c r="F6706">
        <v>1.01722196789785</v>
      </c>
      <c r="G6706" t="s">
        <v>85</v>
      </c>
      <c r="H6706" t="s">
        <v>85</v>
      </c>
      <c r="I6706">
        <v>846</v>
      </c>
      <c r="J6706">
        <v>466</v>
      </c>
      <c r="K6706">
        <v>9.0910684189608806E-2</v>
      </c>
    </row>
    <row r="6707" spans="1:11" x14ac:dyDescent="0.25">
      <c r="A6707" t="s">
        <v>86</v>
      </c>
    </row>
    <row r="6708" spans="1:11" x14ac:dyDescent="0.25">
      <c r="A6708">
        <v>89.205899014699199</v>
      </c>
      <c r="B6708">
        <v>32.918607078929298</v>
      </c>
      <c r="C6708">
        <v>2000</v>
      </c>
    </row>
    <row r="6709" spans="1:11" x14ac:dyDescent="0.25">
      <c r="A6709">
        <v>86.0446537663437</v>
      </c>
      <c r="B6709">
        <v>29.757361830573799</v>
      </c>
      <c r="C6709">
        <v>2000</v>
      </c>
    </row>
    <row r="6710" spans="1:11" x14ac:dyDescent="0.25">
      <c r="A6710">
        <v>86.0446537663437</v>
      </c>
      <c r="B6710">
        <v>30.6313938794714</v>
      </c>
      <c r="C6710">
        <v>2001</v>
      </c>
    </row>
    <row r="6711" spans="1:11" x14ac:dyDescent="0.25">
      <c r="A6711">
        <v>89.205899014699199</v>
      </c>
      <c r="B6711">
        <v>33.792639127827002</v>
      </c>
      <c r="C6711">
        <v>2001</v>
      </c>
    </row>
    <row r="6712" spans="1:11" x14ac:dyDescent="0.25">
      <c r="A6712">
        <v>89.533244382838404</v>
      </c>
      <c r="B6712">
        <v>34.119984495966101</v>
      </c>
      <c r="C6712">
        <v>2001</v>
      </c>
    </row>
    <row r="6713" spans="1:11" x14ac:dyDescent="0.25">
      <c r="A6713">
        <v>89.533244382838404</v>
      </c>
      <c r="B6713">
        <v>33.245952447068497</v>
      </c>
      <c r="C6713">
        <v>2000</v>
      </c>
    </row>
    <row r="6714" spans="1:11" x14ac:dyDescent="0.25">
      <c r="A6714" t="s">
        <v>87</v>
      </c>
    </row>
    <row r="6715" spans="1:11" x14ac:dyDescent="0.25">
      <c r="A6715">
        <v>945</v>
      </c>
      <c r="B6715">
        <v>0</v>
      </c>
      <c r="C6715">
        <v>4.6418418952106704</v>
      </c>
      <c r="D6715">
        <v>0.26126324324797401</v>
      </c>
      <c r="E6715">
        <v>6</v>
      </c>
      <c r="F6715">
        <v>1.01722196789785</v>
      </c>
      <c r="G6715" t="s">
        <v>85</v>
      </c>
      <c r="H6715" t="s">
        <v>85</v>
      </c>
      <c r="I6715">
        <v>73</v>
      </c>
      <c r="J6715">
        <v>895</v>
      </c>
      <c r="K6715">
        <v>9.2371134687469506E-2</v>
      </c>
    </row>
    <row r="6716" spans="1:11" x14ac:dyDescent="0.25">
      <c r="A6716" t="s">
        <v>86</v>
      </c>
    </row>
    <row r="6717" spans="1:11" x14ac:dyDescent="0.25">
      <c r="A6717">
        <v>9.3122098214923508</v>
      </c>
      <c r="B6717">
        <v>64.229390470933296</v>
      </c>
      <c r="C6717">
        <v>2000</v>
      </c>
    </row>
    <row r="6718" spans="1:11" x14ac:dyDescent="0.25">
      <c r="A6718">
        <v>5.6162024292239101</v>
      </c>
      <c r="B6718">
        <v>60.533383078664798</v>
      </c>
      <c r="C6718">
        <v>2000</v>
      </c>
    </row>
    <row r="6719" spans="1:11" x14ac:dyDescent="0.25">
      <c r="A6719">
        <v>5.6162024292239101</v>
      </c>
      <c r="B6719">
        <v>61.407415127562501</v>
      </c>
      <c r="C6719">
        <v>2001</v>
      </c>
    </row>
    <row r="6720" spans="1:11" x14ac:dyDescent="0.25">
      <c r="A6720">
        <v>8.4847507995540106</v>
      </c>
      <c r="B6720">
        <v>64.275963497892604</v>
      </c>
      <c r="C6720">
        <v>2001</v>
      </c>
    </row>
    <row r="6721" spans="1:11" x14ac:dyDescent="0.25">
      <c r="A6721">
        <v>8.6462052970498</v>
      </c>
      <c r="B6721">
        <v>64.437417995388401</v>
      </c>
      <c r="C6721">
        <v>2001</v>
      </c>
    </row>
    <row r="6722" spans="1:11" x14ac:dyDescent="0.25">
      <c r="A6722">
        <v>9.5202373459474305</v>
      </c>
      <c r="B6722">
        <v>64.437417995388401</v>
      </c>
      <c r="C6722">
        <v>2000</v>
      </c>
    </row>
    <row r="6723" spans="1:11" x14ac:dyDescent="0.25">
      <c r="A6723" t="s">
        <v>87</v>
      </c>
    </row>
    <row r="6724" spans="1:11" x14ac:dyDescent="0.25">
      <c r="A6724">
        <v>1009</v>
      </c>
      <c r="B6724">
        <v>1</v>
      </c>
      <c r="C6724">
        <v>2.7641360954584302</v>
      </c>
      <c r="D6724">
        <v>2.1125242663075499</v>
      </c>
      <c r="E6724">
        <v>6</v>
      </c>
      <c r="F6724">
        <v>1.01722196789785</v>
      </c>
      <c r="G6724" t="s">
        <v>88</v>
      </c>
      <c r="H6724" t="s">
        <v>85</v>
      </c>
      <c r="I6724">
        <v>0</v>
      </c>
      <c r="J6724">
        <v>32</v>
      </c>
      <c r="K6724">
        <v>9.3443328339296097E-2</v>
      </c>
    </row>
    <row r="6725" spans="1:11" x14ac:dyDescent="0.25">
      <c r="A6725" t="s">
        <v>86</v>
      </c>
    </row>
    <row r="6726" spans="1:11" x14ac:dyDescent="0.25">
      <c r="A6726">
        <v>2.2022440927152802</v>
      </c>
      <c r="B6726">
        <v>11.4518249880635</v>
      </c>
      <c r="C6726">
        <v>2000</v>
      </c>
    </row>
    <row r="6727" spans="1:11" x14ac:dyDescent="0.25">
      <c r="A6727">
        <v>0</v>
      </c>
      <c r="B6727">
        <v>13.6540690807788</v>
      </c>
      <c r="C6727">
        <v>2000</v>
      </c>
    </row>
    <row r="6728" spans="1:11" x14ac:dyDescent="0.25">
      <c r="A6728">
        <v>0</v>
      </c>
      <c r="B6728">
        <v>12.7800370318812</v>
      </c>
      <c r="C6728">
        <v>2001</v>
      </c>
    </row>
    <row r="6729" spans="1:11" x14ac:dyDescent="0.25">
      <c r="A6729">
        <v>1.70683466172703</v>
      </c>
      <c r="B6729">
        <v>11.0732023701541</v>
      </c>
      <c r="C6729">
        <v>2001</v>
      </c>
    </row>
    <row r="6730" spans="1:11" x14ac:dyDescent="0.25">
      <c r="A6730">
        <v>3.0113035868995399</v>
      </c>
      <c r="B6730">
        <v>9.7687334449816206</v>
      </c>
      <c r="C6730">
        <v>2001</v>
      </c>
    </row>
    <row r="6731" spans="1:11" x14ac:dyDescent="0.25">
      <c r="A6731">
        <v>3.8853356357971802</v>
      </c>
      <c r="B6731">
        <v>9.7687334449816206</v>
      </c>
      <c r="C6731">
        <v>2000</v>
      </c>
    </row>
    <row r="6732" spans="1:11" x14ac:dyDescent="0.25">
      <c r="A6732" t="s">
        <v>87</v>
      </c>
    </row>
    <row r="6733" spans="1:11" x14ac:dyDescent="0.25">
      <c r="A6733">
        <v>994</v>
      </c>
      <c r="B6733">
        <v>0</v>
      </c>
      <c r="C6733">
        <v>4.1867105573479604</v>
      </c>
      <c r="D6733">
        <v>0.62168781364840697</v>
      </c>
      <c r="E6733">
        <v>6</v>
      </c>
      <c r="F6733">
        <v>1.01722196789785</v>
      </c>
      <c r="G6733" t="s">
        <v>85</v>
      </c>
      <c r="H6733" t="s">
        <v>85</v>
      </c>
      <c r="I6733">
        <v>154</v>
      </c>
      <c r="J6733">
        <v>634</v>
      </c>
      <c r="K6733">
        <v>9.3237811683927099E-2</v>
      </c>
    </row>
    <row r="6734" spans="1:11" x14ac:dyDescent="0.25">
      <c r="A6734" t="s">
        <v>86</v>
      </c>
    </row>
    <row r="6735" spans="1:11" x14ac:dyDescent="0.25">
      <c r="A6735">
        <v>138.678600121605</v>
      </c>
      <c r="B6735">
        <v>49.392218569001699</v>
      </c>
      <c r="C6735">
        <v>2000</v>
      </c>
    </row>
    <row r="6736" spans="1:11" x14ac:dyDescent="0.25">
      <c r="A6736">
        <v>135.718148695639</v>
      </c>
      <c r="B6736">
        <v>46.4317671430356</v>
      </c>
      <c r="C6736">
        <v>2000</v>
      </c>
    </row>
    <row r="6737" spans="1:11" x14ac:dyDescent="0.25">
      <c r="A6737">
        <v>135.718148695639</v>
      </c>
      <c r="B6737">
        <v>45.557735094137897</v>
      </c>
      <c r="C6737">
        <v>2001</v>
      </c>
    </row>
    <row r="6738" spans="1:11" x14ac:dyDescent="0.25">
      <c r="A6738">
        <v>138.678600121605</v>
      </c>
      <c r="B6738">
        <v>48.518186520104003</v>
      </c>
      <c r="C6738">
        <v>2001</v>
      </c>
    </row>
    <row r="6739" spans="1:11" x14ac:dyDescent="0.25">
      <c r="A6739">
        <v>139.11819979041701</v>
      </c>
      <c r="B6739">
        <v>48.957786188915797</v>
      </c>
      <c r="C6739">
        <v>2001</v>
      </c>
    </row>
    <row r="6740" spans="1:11" x14ac:dyDescent="0.25">
      <c r="A6740">
        <v>139.11819979041701</v>
      </c>
      <c r="B6740">
        <v>49.831818237813501</v>
      </c>
      <c r="C6740">
        <v>2000</v>
      </c>
    </row>
    <row r="6741" spans="1:11" x14ac:dyDescent="0.25">
      <c r="A6741" t="s">
        <v>87</v>
      </c>
    </row>
    <row r="6742" spans="1:11" x14ac:dyDescent="0.25">
      <c r="A6742">
        <v>935</v>
      </c>
      <c r="B6742">
        <v>1</v>
      </c>
      <c r="C6742">
        <v>0.89780126848549502</v>
      </c>
      <c r="D6742">
        <v>3.9093290092057602</v>
      </c>
      <c r="E6742">
        <v>6</v>
      </c>
      <c r="F6742">
        <v>1.01722196789785</v>
      </c>
      <c r="G6742" t="s">
        <v>85</v>
      </c>
      <c r="H6742" t="s">
        <v>85</v>
      </c>
      <c r="I6742">
        <v>353</v>
      </c>
      <c r="J6742">
        <v>360</v>
      </c>
      <c r="K6742">
        <v>9.2142179589674397E-2</v>
      </c>
    </row>
    <row r="6743" spans="1:11" x14ac:dyDescent="0.25">
      <c r="A6743" t="s">
        <v>86</v>
      </c>
    </row>
    <row r="6744" spans="1:11" x14ac:dyDescent="0.25">
      <c r="A6744">
        <v>37.839755759499802</v>
      </c>
      <c r="B6744">
        <v>86.812961661626503</v>
      </c>
      <c r="C6744">
        <v>2000</v>
      </c>
    </row>
    <row r="6745" spans="1:11" x14ac:dyDescent="0.25">
      <c r="A6745">
        <v>37.2049143943959</v>
      </c>
      <c r="B6745">
        <v>87.447803026730497</v>
      </c>
      <c r="C6745">
        <v>2000</v>
      </c>
    </row>
    <row r="6746" spans="1:11" x14ac:dyDescent="0.25">
      <c r="A6746">
        <v>37.2049143943959</v>
      </c>
      <c r="B6746">
        <v>86.573770977832794</v>
      </c>
      <c r="C6746">
        <v>2001</v>
      </c>
    </row>
    <row r="6747" spans="1:11" x14ac:dyDescent="0.25">
      <c r="A6747">
        <v>37.839755759499802</v>
      </c>
      <c r="B6747">
        <v>85.938929612728899</v>
      </c>
      <c r="C6747">
        <v>2001</v>
      </c>
    </row>
    <row r="6748" spans="1:11" x14ac:dyDescent="0.25">
      <c r="A6748">
        <v>40.604068811798498</v>
      </c>
      <c r="B6748">
        <v>83.174616560430195</v>
      </c>
      <c r="C6748">
        <v>2001</v>
      </c>
    </row>
    <row r="6749" spans="1:11" x14ac:dyDescent="0.25">
      <c r="A6749">
        <v>40.604068811798498</v>
      </c>
      <c r="B6749">
        <v>84.048648609327799</v>
      </c>
      <c r="C6749">
        <v>2000</v>
      </c>
    </row>
    <row r="6750" spans="1:11" x14ac:dyDescent="0.25">
      <c r="A6750" t="s">
        <v>87</v>
      </c>
    </row>
    <row r="6751" spans="1:11" x14ac:dyDescent="0.25">
      <c r="A6751">
        <v>1118</v>
      </c>
      <c r="B6751">
        <v>0</v>
      </c>
      <c r="C6751">
        <v>3.10581443910419</v>
      </c>
      <c r="D6751">
        <v>1.68102066575807</v>
      </c>
      <c r="E6751">
        <v>6</v>
      </c>
      <c r="F6751">
        <v>1.01722196789785</v>
      </c>
      <c r="G6751" t="s">
        <v>85</v>
      </c>
      <c r="H6751" t="s">
        <v>85</v>
      </c>
      <c r="I6751">
        <v>1094</v>
      </c>
      <c r="J6751">
        <v>1037</v>
      </c>
      <c r="K6751">
        <v>9.4777393206033497E-2</v>
      </c>
    </row>
    <row r="6752" spans="1:11" x14ac:dyDescent="0.25">
      <c r="A6752" t="s">
        <v>86</v>
      </c>
    </row>
    <row r="6753" spans="1:11" x14ac:dyDescent="0.25">
      <c r="A6753">
        <v>120.87875792979401</v>
      </c>
      <c r="B6753">
        <v>79.778031603294096</v>
      </c>
      <c r="C6753">
        <v>2000</v>
      </c>
    </row>
    <row r="6754" spans="1:11" x14ac:dyDescent="0.25">
      <c r="A6754">
        <v>118.39906890802</v>
      </c>
      <c r="B6754">
        <v>77.2983425815206</v>
      </c>
      <c r="C6754">
        <v>2000</v>
      </c>
    </row>
    <row r="6755" spans="1:11" x14ac:dyDescent="0.25">
      <c r="A6755">
        <v>118.39906890802</v>
      </c>
      <c r="B6755">
        <v>78.172374630418204</v>
      </c>
      <c r="C6755">
        <v>2001</v>
      </c>
    </row>
    <row r="6756" spans="1:11" x14ac:dyDescent="0.25">
      <c r="A6756">
        <v>120.311664788242</v>
      </c>
      <c r="B6756">
        <v>80.084970510640005</v>
      </c>
      <c r="C6756">
        <v>2001</v>
      </c>
    </row>
    <row r="6757" spans="1:11" x14ac:dyDescent="0.25">
      <c r="A6757">
        <v>121.34685644664199</v>
      </c>
      <c r="B6757">
        <v>81.120162169039304</v>
      </c>
      <c r="C6757">
        <v>2001</v>
      </c>
    </row>
    <row r="6758" spans="1:11" x14ac:dyDescent="0.25">
      <c r="A6758">
        <v>122.220888495539</v>
      </c>
      <c r="B6758">
        <v>81.120162169039304</v>
      </c>
      <c r="C6758">
        <v>2000</v>
      </c>
    </row>
    <row r="6759" spans="1:11" x14ac:dyDescent="0.25">
      <c r="A6759" t="s">
        <v>87</v>
      </c>
    </row>
    <row r="6760" spans="1:11" x14ac:dyDescent="0.25">
      <c r="A6760">
        <v>733</v>
      </c>
      <c r="B6760">
        <v>0</v>
      </c>
      <c r="C6760">
        <v>2.0284710038465299</v>
      </c>
      <c r="D6760">
        <v>2.7342507200549302</v>
      </c>
      <c r="E6760">
        <v>6</v>
      </c>
      <c r="F6760">
        <v>1.01722196789785</v>
      </c>
      <c r="G6760" t="s">
        <v>85</v>
      </c>
      <c r="H6760" t="s">
        <v>85</v>
      </c>
      <c r="I6760">
        <v>301</v>
      </c>
      <c r="J6760">
        <v>304</v>
      </c>
      <c r="K6760">
        <v>8.8543832116719706E-2</v>
      </c>
    </row>
    <row r="6761" spans="1:11" x14ac:dyDescent="0.25">
      <c r="A6761" t="s">
        <v>86</v>
      </c>
    </row>
    <row r="6762" spans="1:11" x14ac:dyDescent="0.25">
      <c r="A6762">
        <v>32.858503635418799</v>
      </c>
      <c r="B6762">
        <v>127.034686451315</v>
      </c>
      <c r="C6762">
        <v>2000</v>
      </c>
    </row>
    <row r="6763" spans="1:11" x14ac:dyDescent="0.25">
      <c r="A6763">
        <v>31.610285710818602</v>
      </c>
      <c r="B6763">
        <v>125.786468526715</v>
      </c>
      <c r="C6763">
        <v>2000</v>
      </c>
    </row>
    <row r="6764" spans="1:11" x14ac:dyDescent="0.25">
      <c r="A6764">
        <v>30.736253661921001</v>
      </c>
      <c r="B6764">
        <v>125.786468526715</v>
      </c>
      <c r="C6764">
        <v>2001</v>
      </c>
    </row>
    <row r="6765" spans="1:11" x14ac:dyDescent="0.25">
      <c r="A6765">
        <v>32.356726941841202</v>
      </c>
      <c r="B6765">
        <v>127.406941806635</v>
      </c>
      <c r="C6765">
        <v>2001</v>
      </c>
    </row>
    <row r="6766" spans="1:11" x14ac:dyDescent="0.25">
      <c r="A6766">
        <v>34.541022514245</v>
      </c>
      <c r="B6766">
        <v>129.591237379039</v>
      </c>
      <c r="C6766">
        <v>2001</v>
      </c>
    </row>
    <row r="6767" spans="1:11" x14ac:dyDescent="0.25">
      <c r="A6767">
        <v>34.541022514245</v>
      </c>
      <c r="B6767">
        <v>128.71720533014101</v>
      </c>
      <c r="C6767">
        <v>2000</v>
      </c>
    </row>
    <row r="6768" spans="1:11" x14ac:dyDescent="0.25">
      <c r="A6768" t="s">
        <v>87</v>
      </c>
    </row>
    <row r="6769" spans="1:11" x14ac:dyDescent="0.25">
      <c r="A6769">
        <v>1156</v>
      </c>
      <c r="B6769">
        <v>1</v>
      </c>
      <c r="C6769">
        <v>1.6462787057056401</v>
      </c>
      <c r="D6769">
        <v>3.08719685901931</v>
      </c>
      <c r="E6769">
        <v>6</v>
      </c>
      <c r="F6769">
        <v>1.01722196789785</v>
      </c>
      <c r="G6769" t="s">
        <v>85</v>
      </c>
      <c r="H6769" t="s">
        <v>85</v>
      </c>
      <c r="I6769">
        <v>502</v>
      </c>
      <c r="J6769">
        <v>931</v>
      </c>
      <c r="K6769">
        <v>9.5300933138239702E-2</v>
      </c>
    </row>
    <row r="6770" spans="1:11" x14ac:dyDescent="0.25">
      <c r="A6770" t="s">
        <v>86</v>
      </c>
    </row>
    <row r="6771" spans="1:11" x14ac:dyDescent="0.25">
      <c r="A6771">
        <v>140.89817180805699</v>
      </c>
      <c r="B6771">
        <v>131.896627134586</v>
      </c>
      <c r="C6771">
        <v>2000</v>
      </c>
    </row>
    <row r="6772" spans="1:11" x14ac:dyDescent="0.25">
      <c r="A6772">
        <v>139.73407697152999</v>
      </c>
      <c r="B6772">
        <v>133.06072197111399</v>
      </c>
      <c r="C6772">
        <v>2000</v>
      </c>
    </row>
    <row r="6773" spans="1:11" x14ac:dyDescent="0.25">
      <c r="A6773">
        <v>139.73407697152999</v>
      </c>
      <c r="B6773">
        <v>132.186689922216</v>
      </c>
      <c r="C6773">
        <v>2001</v>
      </c>
    </row>
    <row r="6774" spans="1:11" x14ac:dyDescent="0.25">
      <c r="A6774">
        <v>140.89817180805699</v>
      </c>
      <c r="B6774">
        <v>131.02259508568901</v>
      </c>
      <c r="C6774">
        <v>2001</v>
      </c>
    </row>
    <row r="6775" spans="1:11" x14ac:dyDescent="0.25">
      <c r="A6775">
        <v>143.08114964192799</v>
      </c>
      <c r="B6775">
        <v>128.839617251818</v>
      </c>
      <c r="C6775">
        <v>2001</v>
      </c>
    </row>
    <row r="6776" spans="1:11" x14ac:dyDescent="0.25">
      <c r="A6776">
        <v>143.08114964192799</v>
      </c>
      <c r="B6776">
        <v>129.71364930071601</v>
      </c>
      <c r="C6776">
        <v>2000</v>
      </c>
    </row>
    <row r="6777" spans="1:11" x14ac:dyDescent="0.25">
      <c r="A6777" t="s">
        <v>87</v>
      </c>
    </row>
    <row r="6778" spans="1:11" x14ac:dyDescent="0.25">
      <c r="A6778">
        <v>1130</v>
      </c>
      <c r="B6778">
        <v>0</v>
      </c>
      <c r="C6778">
        <v>0.39069048574799597</v>
      </c>
      <c r="D6778">
        <v>4.3373450238937297</v>
      </c>
      <c r="E6778">
        <v>6</v>
      </c>
      <c r="F6778">
        <v>1.01722196789785</v>
      </c>
      <c r="G6778" t="s">
        <v>85</v>
      </c>
      <c r="H6778" t="s">
        <v>85</v>
      </c>
      <c r="I6778">
        <v>826</v>
      </c>
      <c r="J6778">
        <v>315</v>
      </c>
      <c r="K6778">
        <v>9.5129269803373898E-2</v>
      </c>
    </row>
    <row r="6779" spans="1:11" x14ac:dyDescent="0.25">
      <c r="A6779" t="s">
        <v>86</v>
      </c>
    </row>
    <row r="6780" spans="1:11" x14ac:dyDescent="0.25">
      <c r="A6780">
        <v>13.40541279102</v>
      </c>
      <c r="B6780">
        <v>115.725878571024</v>
      </c>
      <c r="C6780">
        <v>2000</v>
      </c>
    </row>
    <row r="6781" spans="1:11" x14ac:dyDescent="0.25">
      <c r="A6781">
        <v>13.1291528992025</v>
      </c>
      <c r="B6781">
        <v>115.449618679206</v>
      </c>
      <c r="C6781">
        <v>2000</v>
      </c>
    </row>
    <row r="6782" spans="1:11" x14ac:dyDescent="0.25">
      <c r="A6782">
        <v>13.1291528992025</v>
      </c>
      <c r="B6782">
        <v>114.575586630308</v>
      </c>
      <c r="C6782">
        <v>2001</v>
      </c>
    </row>
    <row r="6783" spans="1:11" x14ac:dyDescent="0.25">
      <c r="A6783">
        <v>13.40541279102</v>
      </c>
      <c r="B6783">
        <v>114.851846522126</v>
      </c>
      <c r="C6783">
        <v>2001</v>
      </c>
    </row>
    <row r="6784" spans="1:11" x14ac:dyDescent="0.25">
      <c r="A6784">
        <v>16.472378869760998</v>
      </c>
      <c r="B6784">
        <v>117.918812600867</v>
      </c>
      <c r="C6784">
        <v>2001</v>
      </c>
    </row>
    <row r="6785" spans="1:11" x14ac:dyDescent="0.25">
      <c r="A6785">
        <v>16.472378869760998</v>
      </c>
      <c r="B6785">
        <v>118.792844649765</v>
      </c>
      <c r="C6785">
        <v>2000</v>
      </c>
    </row>
    <row r="6786" spans="1:11" x14ac:dyDescent="0.25">
      <c r="A6786" t="s">
        <v>87</v>
      </c>
    </row>
    <row r="6787" spans="1:11" x14ac:dyDescent="0.25">
      <c r="A6787">
        <v>1052</v>
      </c>
      <c r="B6787">
        <v>1</v>
      </c>
      <c r="C6787">
        <v>0.709820923974391</v>
      </c>
      <c r="D6787">
        <v>4.0059219633850196</v>
      </c>
      <c r="E6787">
        <v>6</v>
      </c>
      <c r="F6787">
        <v>1.01722196789785</v>
      </c>
      <c r="G6787" t="s">
        <v>85</v>
      </c>
      <c r="H6787" t="s">
        <v>85</v>
      </c>
      <c r="I6787">
        <v>347</v>
      </c>
      <c r="J6787">
        <v>356</v>
      </c>
      <c r="K6787">
        <v>9.4036209728977305E-2</v>
      </c>
    </row>
    <row r="6788" spans="1:11" x14ac:dyDescent="0.25">
      <c r="A6788" t="s">
        <v>86</v>
      </c>
    </row>
    <row r="6789" spans="1:11" x14ac:dyDescent="0.25">
      <c r="A6789">
        <v>43.853268676369098</v>
      </c>
      <c r="B6789">
        <v>93.084025317367605</v>
      </c>
      <c r="C6789">
        <v>2000</v>
      </c>
    </row>
    <row r="6790" spans="1:11" x14ac:dyDescent="0.25">
      <c r="A6790">
        <v>43.351349487598704</v>
      </c>
      <c r="B6790">
        <v>93.585944506138006</v>
      </c>
      <c r="C6790">
        <v>2000</v>
      </c>
    </row>
    <row r="6791" spans="1:11" x14ac:dyDescent="0.25">
      <c r="A6791">
        <v>43.351349487598704</v>
      </c>
      <c r="B6791">
        <v>92.711912457240302</v>
      </c>
      <c r="C6791">
        <v>2001</v>
      </c>
    </row>
    <row r="6792" spans="1:11" x14ac:dyDescent="0.25">
      <c r="A6792">
        <v>43.853268676369098</v>
      </c>
      <c r="B6792">
        <v>92.209993268469901</v>
      </c>
      <c r="C6792">
        <v>2001</v>
      </c>
    </row>
    <row r="6793" spans="1:11" x14ac:dyDescent="0.25">
      <c r="A6793">
        <v>46.685883261582802</v>
      </c>
      <c r="B6793">
        <v>89.377378683256296</v>
      </c>
      <c r="C6793">
        <v>2001</v>
      </c>
    </row>
    <row r="6794" spans="1:11" x14ac:dyDescent="0.25">
      <c r="A6794">
        <v>46.685883261582802</v>
      </c>
      <c r="B6794">
        <v>90.2514107321539</v>
      </c>
      <c r="C6794">
        <v>2000</v>
      </c>
    </row>
    <row r="6795" spans="1:11" x14ac:dyDescent="0.25">
      <c r="A6795" t="s">
        <v>87</v>
      </c>
    </row>
    <row r="6796" spans="1:11" x14ac:dyDescent="0.25">
      <c r="A6796">
        <v>1001</v>
      </c>
      <c r="B6796">
        <v>1</v>
      </c>
      <c r="C6796">
        <v>0.28373615691140902</v>
      </c>
      <c r="D6796">
        <v>4.4069840970846004</v>
      </c>
      <c r="E6796">
        <v>6</v>
      </c>
      <c r="F6796">
        <v>1.01722196789785</v>
      </c>
      <c r="G6796" t="s">
        <v>85</v>
      </c>
      <c r="H6796" t="s">
        <v>89</v>
      </c>
      <c r="I6796">
        <v>845</v>
      </c>
      <c r="J6796">
        <v>1078</v>
      </c>
      <c r="K6796">
        <v>9.3237811683927099E-2</v>
      </c>
    </row>
    <row r="6797" spans="1:11" x14ac:dyDescent="0.25">
      <c r="A6797" t="s">
        <v>86</v>
      </c>
    </row>
    <row r="6798" spans="1:11" x14ac:dyDescent="0.25">
      <c r="A6798">
        <v>56.149146873778697</v>
      </c>
      <c r="B6798">
        <v>9.3496536085978192</v>
      </c>
      <c r="C6798">
        <v>2000</v>
      </c>
    </row>
    <row r="6799" spans="1:11" x14ac:dyDescent="0.25">
      <c r="A6799">
        <v>55.935297820230197</v>
      </c>
      <c r="B6799">
        <v>9.5635026621462291</v>
      </c>
      <c r="C6799">
        <v>2000</v>
      </c>
    </row>
    <row r="6800" spans="1:11" x14ac:dyDescent="0.25">
      <c r="A6800">
        <v>56.8093298691279</v>
      </c>
      <c r="B6800">
        <v>9.5635026621462398</v>
      </c>
      <c r="C6800">
        <v>2001</v>
      </c>
    </row>
    <row r="6801" spans="1:11" x14ac:dyDescent="0.25">
      <c r="A6801">
        <v>56.996744336819198</v>
      </c>
      <c r="B6801">
        <v>9.3760881944549102</v>
      </c>
      <c r="C6801">
        <v>2001</v>
      </c>
    </row>
    <row r="6802" spans="1:11" x14ac:dyDescent="0.25">
      <c r="A6802">
        <v>59.907661957153103</v>
      </c>
      <c r="B6802">
        <v>6.46517057412097</v>
      </c>
      <c r="C6802">
        <v>2001</v>
      </c>
    </row>
    <row r="6803" spans="1:11" x14ac:dyDescent="0.25">
      <c r="A6803">
        <v>59.470645932704301</v>
      </c>
      <c r="B6803">
        <v>6.0281545496721503</v>
      </c>
      <c r="C6803">
        <v>2000</v>
      </c>
    </row>
    <row r="6804" spans="1:11" x14ac:dyDescent="0.25">
      <c r="A6804" t="s">
        <v>87</v>
      </c>
    </row>
    <row r="6805" spans="1:11" x14ac:dyDescent="0.25">
      <c r="A6805">
        <v>557</v>
      </c>
      <c r="B6805">
        <v>1</v>
      </c>
      <c r="C6805">
        <v>2.8589999093221898</v>
      </c>
      <c r="D6805">
        <v>1.8310073549982899</v>
      </c>
      <c r="E6805">
        <v>6</v>
      </c>
      <c r="F6805">
        <v>1.01722196789785</v>
      </c>
      <c r="G6805" t="s">
        <v>85</v>
      </c>
      <c r="H6805" t="s">
        <v>85</v>
      </c>
      <c r="I6805">
        <v>511</v>
      </c>
      <c r="J6805">
        <v>504</v>
      </c>
      <c r="K6805">
        <v>0</v>
      </c>
    </row>
    <row r="6806" spans="1:11" x14ac:dyDescent="0.25">
      <c r="A6806" t="s">
        <v>86</v>
      </c>
    </row>
    <row r="6807" spans="1:11" x14ac:dyDescent="0.25">
      <c r="A6807">
        <v>143.96577088783701</v>
      </c>
      <c r="B6807">
        <v>117.39279726706199</v>
      </c>
      <c r="C6807">
        <v>2000</v>
      </c>
    </row>
    <row r="6808" spans="1:11" x14ac:dyDescent="0.25">
      <c r="A6808">
        <v>142.21055497564001</v>
      </c>
      <c r="B6808">
        <v>119.148013179259</v>
      </c>
      <c r="C6808">
        <v>2000</v>
      </c>
    </row>
    <row r="6809" spans="1:11" x14ac:dyDescent="0.25">
      <c r="A6809">
        <v>141.33652292674199</v>
      </c>
      <c r="B6809">
        <v>119.148013179259</v>
      </c>
      <c r="C6809">
        <v>2001</v>
      </c>
    </row>
    <row r="6810" spans="1:11" x14ac:dyDescent="0.25">
      <c r="A6810">
        <v>143.624543461131</v>
      </c>
      <c r="B6810">
        <v>116.85999264487</v>
      </c>
      <c r="C6810">
        <v>2001</v>
      </c>
    </row>
    <row r="6811" spans="1:11" x14ac:dyDescent="0.25">
      <c r="A6811">
        <v>145.089874891606</v>
      </c>
      <c r="B6811">
        <v>115.394661214395</v>
      </c>
      <c r="C6811">
        <v>2001</v>
      </c>
    </row>
    <row r="6812" spans="1:11" x14ac:dyDescent="0.25">
      <c r="A6812">
        <v>145.089874891606</v>
      </c>
      <c r="B6812">
        <v>116.268693263293</v>
      </c>
      <c r="C6812">
        <v>2000</v>
      </c>
    </row>
    <row r="6813" spans="1:11" x14ac:dyDescent="0.25">
      <c r="A6813" t="s">
        <v>87</v>
      </c>
    </row>
    <row r="6814" spans="1:11" x14ac:dyDescent="0.25">
      <c r="A6814">
        <v>871</v>
      </c>
      <c r="B6814">
        <v>1</v>
      </c>
      <c r="C6814">
        <v>1.5534439003991001</v>
      </c>
      <c r="D6814">
        <v>3.1320844380844099</v>
      </c>
      <c r="E6814">
        <v>8</v>
      </c>
      <c r="F6814">
        <v>1.01722196789785</v>
      </c>
      <c r="G6814" t="s">
        <v>85</v>
      </c>
      <c r="H6814" t="s">
        <v>85</v>
      </c>
      <c r="I6814">
        <v>592</v>
      </c>
      <c r="J6814">
        <v>598</v>
      </c>
      <c r="K6814">
        <v>9.0910684189608806E-2</v>
      </c>
    </row>
    <row r="6815" spans="1:11" x14ac:dyDescent="0.25">
      <c r="A6815" t="s">
        <v>86</v>
      </c>
    </row>
    <row r="6816" spans="1:11" x14ac:dyDescent="0.25">
      <c r="A6816">
        <v>101.742942784511</v>
      </c>
      <c r="B6816">
        <v>51.260911490715301</v>
      </c>
      <c r="C6816">
        <v>2000</v>
      </c>
    </row>
    <row r="6817" spans="1:11" x14ac:dyDescent="0.25">
      <c r="A6817">
        <v>100.79865278713299</v>
      </c>
      <c r="B6817">
        <v>52.205201488092698</v>
      </c>
      <c r="C6817">
        <v>2000</v>
      </c>
    </row>
    <row r="6818" spans="1:11" x14ac:dyDescent="0.25">
      <c r="A6818">
        <v>100.79865278713299</v>
      </c>
      <c r="B6818">
        <v>53.079233536990401</v>
      </c>
      <c r="C6818">
        <v>2001</v>
      </c>
    </row>
    <row r="6819" spans="1:11" x14ac:dyDescent="0.25">
      <c r="A6819">
        <v>102.051264222086</v>
      </c>
      <c r="B6819">
        <v>51.826622102037703</v>
      </c>
      <c r="C6819">
        <v>2001</v>
      </c>
    </row>
    <row r="6820" spans="1:11" x14ac:dyDescent="0.25">
      <c r="A6820">
        <v>103.81168907646</v>
      </c>
      <c r="B6820">
        <v>50.0661972476641</v>
      </c>
      <c r="C6820">
        <v>2001</v>
      </c>
    </row>
    <row r="6821" spans="1:11" x14ac:dyDescent="0.25">
      <c r="A6821">
        <v>104.54883767316601</v>
      </c>
      <c r="B6821">
        <v>49.3290486509581</v>
      </c>
      <c r="C6821">
        <v>2001</v>
      </c>
    </row>
    <row r="6822" spans="1:11" x14ac:dyDescent="0.25">
      <c r="A6822">
        <v>103.674805624268</v>
      </c>
      <c r="B6822">
        <v>49.3290486509581</v>
      </c>
      <c r="C6822">
        <v>2000</v>
      </c>
    </row>
    <row r="6823" spans="1:11" x14ac:dyDescent="0.25">
      <c r="A6823">
        <v>103.07005152289</v>
      </c>
      <c r="B6823">
        <v>49.9338027523359</v>
      </c>
      <c r="C6823">
        <v>2000</v>
      </c>
    </row>
    <row r="6824" spans="1:11" x14ac:dyDescent="0.25">
      <c r="A6824" t="s">
        <v>87</v>
      </c>
    </row>
    <row r="6825" spans="1:11" x14ac:dyDescent="0.25">
      <c r="A6825">
        <v>320</v>
      </c>
      <c r="B6825">
        <v>1</v>
      </c>
      <c r="C6825">
        <v>0.67761869020911503</v>
      </c>
      <c r="D6825">
        <v>4.0074820265221698</v>
      </c>
      <c r="E6825">
        <v>6</v>
      </c>
      <c r="F6825">
        <v>1.01722196789785</v>
      </c>
      <c r="G6825" t="s">
        <v>88</v>
      </c>
      <c r="H6825" t="s">
        <v>89</v>
      </c>
      <c r="I6825">
        <v>0</v>
      </c>
      <c r="J6825">
        <v>316</v>
      </c>
      <c r="K6825">
        <v>0</v>
      </c>
    </row>
    <row r="6826" spans="1:11" x14ac:dyDescent="0.25">
      <c r="A6826" t="s">
        <v>86</v>
      </c>
    </row>
    <row r="6827" spans="1:11" x14ac:dyDescent="0.25">
      <c r="A6827">
        <v>14.657277192671801</v>
      </c>
      <c r="B6827">
        <v>149.55245462931899</v>
      </c>
      <c r="C6827">
        <v>2000</v>
      </c>
    </row>
    <row r="6828" spans="1:11" x14ac:dyDescent="0.25">
      <c r="A6828">
        <v>14.2097318219908</v>
      </c>
      <c r="B6828">
        <v>150</v>
      </c>
      <c r="C6828">
        <v>2000</v>
      </c>
    </row>
    <row r="6829" spans="1:11" x14ac:dyDescent="0.25">
      <c r="A6829">
        <v>13.3356997730932</v>
      </c>
      <c r="B6829">
        <v>150</v>
      </c>
      <c r="C6829">
        <v>2001</v>
      </c>
    </row>
    <row r="6830" spans="1:11" x14ac:dyDescent="0.25">
      <c r="A6830">
        <v>13.8464519442234</v>
      </c>
      <c r="B6830">
        <v>149.48924782886999</v>
      </c>
      <c r="C6830">
        <v>2001</v>
      </c>
    </row>
    <row r="6831" spans="1:11" x14ac:dyDescent="0.25">
      <c r="A6831">
        <v>16.867074272660201</v>
      </c>
      <c r="B6831">
        <v>146.46862550043301</v>
      </c>
      <c r="C6831">
        <v>2001</v>
      </c>
    </row>
    <row r="6832" spans="1:11" x14ac:dyDescent="0.25">
      <c r="A6832">
        <v>17.304090297109099</v>
      </c>
      <c r="B6832">
        <v>146.90564152488199</v>
      </c>
      <c r="C6832">
        <v>2000</v>
      </c>
    </row>
    <row r="6833" spans="1:11" x14ac:dyDescent="0.25">
      <c r="A6833" t="s">
        <v>87</v>
      </c>
    </row>
    <row r="6834" spans="1:11" x14ac:dyDescent="0.25">
      <c r="A6834">
        <v>853</v>
      </c>
      <c r="B6834">
        <v>0</v>
      </c>
      <c r="C6834">
        <v>2.6417278178911401</v>
      </c>
      <c r="D6834">
        <v>2.0264718602826699</v>
      </c>
      <c r="E6834">
        <v>6</v>
      </c>
      <c r="F6834">
        <v>1.01722196789785</v>
      </c>
      <c r="G6834" t="s">
        <v>85</v>
      </c>
      <c r="H6834" t="s">
        <v>85</v>
      </c>
      <c r="I6834">
        <v>236</v>
      </c>
      <c r="J6834">
        <v>237</v>
      </c>
      <c r="K6834">
        <v>9.0645505931922193E-2</v>
      </c>
    </row>
    <row r="6835" spans="1:11" x14ac:dyDescent="0.25">
      <c r="A6835" t="s">
        <v>86</v>
      </c>
    </row>
    <row r="6836" spans="1:11" x14ac:dyDescent="0.25">
      <c r="A6836">
        <v>64.169270961842599</v>
      </c>
      <c r="B6836">
        <v>131.472208643296</v>
      </c>
      <c r="C6836">
        <v>2000</v>
      </c>
    </row>
    <row r="6837" spans="1:11" x14ac:dyDescent="0.25">
      <c r="A6837">
        <v>62.053980536792999</v>
      </c>
      <c r="B6837">
        <v>129.35691821824599</v>
      </c>
      <c r="C6837">
        <v>2000</v>
      </c>
    </row>
    <row r="6838" spans="1:11" x14ac:dyDescent="0.25">
      <c r="A6838">
        <v>62.928012585690603</v>
      </c>
      <c r="B6838">
        <v>129.35691821824599</v>
      </c>
      <c r="C6838">
        <v>2001</v>
      </c>
    </row>
    <row r="6839" spans="1:11" x14ac:dyDescent="0.25">
      <c r="A6839">
        <v>64.548689468800902</v>
      </c>
      <c r="B6839">
        <v>130.977595101356</v>
      </c>
      <c r="C6839">
        <v>2001</v>
      </c>
    </row>
    <row r="6840" spans="1:11" x14ac:dyDescent="0.25">
      <c r="A6840">
        <v>65.791912209611397</v>
      </c>
      <c r="B6840">
        <v>132.22081784216701</v>
      </c>
      <c r="C6840">
        <v>2001</v>
      </c>
    </row>
    <row r="6841" spans="1:11" x14ac:dyDescent="0.25">
      <c r="A6841">
        <v>65.791912209611397</v>
      </c>
      <c r="B6841">
        <v>133.094849891065</v>
      </c>
      <c r="C6841">
        <v>2000</v>
      </c>
    </row>
    <row r="6842" spans="1:11" x14ac:dyDescent="0.25">
      <c r="A6842" t="s">
        <v>87</v>
      </c>
    </row>
    <row r="6843" spans="1:11" x14ac:dyDescent="0.25">
      <c r="A6843">
        <v>33</v>
      </c>
      <c r="B6843">
        <v>0</v>
      </c>
      <c r="C6843">
        <v>0</v>
      </c>
      <c r="D6843">
        <v>4.6472998462409301</v>
      </c>
      <c r="E6843">
        <v>6</v>
      </c>
      <c r="F6843">
        <v>1.01722196789785</v>
      </c>
      <c r="G6843" t="s">
        <v>89</v>
      </c>
      <c r="H6843" t="s">
        <v>85</v>
      </c>
      <c r="I6843">
        <v>21</v>
      </c>
      <c r="J6843">
        <v>828</v>
      </c>
      <c r="K6843">
        <v>0</v>
      </c>
    </row>
    <row r="6844" spans="1:11" x14ac:dyDescent="0.25">
      <c r="A6844" t="s">
        <v>86</v>
      </c>
    </row>
    <row r="6845" spans="1:11" x14ac:dyDescent="0.25">
      <c r="A6845">
        <v>48.807988346469401</v>
      </c>
      <c r="B6845">
        <v>33.660720482771801</v>
      </c>
      <c r="C6845">
        <v>2000</v>
      </c>
    </row>
    <row r="6846" spans="1:11" x14ac:dyDescent="0.25">
      <c r="A6846">
        <v>49.245004370918203</v>
      </c>
      <c r="B6846">
        <v>33.223704458322999</v>
      </c>
      <c r="C6846">
        <v>2001</v>
      </c>
    </row>
    <row r="6847" spans="1:11" x14ac:dyDescent="0.25">
      <c r="A6847">
        <v>50.153775978741997</v>
      </c>
      <c r="B6847">
        <v>34.132476066146801</v>
      </c>
      <c r="C6847">
        <v>2001</v>
      </c>
    </row>
    <row r="6848" spans="1:11" x14ac:dyDescent="0.25">
      <c r="A6848">
        <v>52.312633594178003</v>
      </c>
      <c r="B6848">
        <v>36.291333681582699</v>
      </c>
      <c r="C6848">
        <v>2001</v>
      </c>
    </row>
    <row r="6849" spans="1:11" x14ac:dyDescent="0.25">
      <c r="A6849">
        <v>52.312633594178003</v>
      </c>
      <c r="B6849">
        <v>37.165365730480403</v>
      </c>
      <c r="C6849">
        <v>2000</v>
      </c>
    </row>
    <row r="6850" spans="1:11" x14ac:dyDescent="0.25">
      <c r="A6850">
        <v>49.846224021258003</v>
      </c>
      <c r="B6850">
        <v>34.698956157560403</v>
      </c>
      <c r="C6850">
        <v>2000</v>
      </c>
    </row>
    <row r="6851" spans="1:11" x14ac:dyDescent="0.25">
      <c r="A6851" t="s">
        <v>87</v>
      </c>
    </row>
    <row r="6852" spans="1:11" x14ac:dyDescent="0.25">
      <c r="A6852">
        <v>880</v>
      </c>
      <c r="B6852">
        <v>0</v>
      </c>
      <c r="C6852">
        <v>0.47384769962384299</v>
      </c>
      <c r="D6852">
        <v>4.1479787724649704</v>
      </c>
      <c r="E6852">
        <v>6</v>
      </c>
      <c r="F6852">
        <v>1.01722196789785</v>
      </c>
      <c r="G6852" t="s">
        <v>85</v>
      </c>
      <c r="H6852" t="s">
        <v>85</v>
      </c>
      <c r="I6852">
        <v>80</v>
      </c>
      <c r="J6852">
        <v>63</v>
      </c>
      <c r="K6852">
        <v>9.1169371169763397E-2</v>
      </c>
    </row>
    <row r="6853" spans="1:11" x14ac:dyDescent="0.25">
      <c r="A6853" t="s">
        <v>86</v>
      </c>
    </row>
    <row r="6854" spans="1:11" x14ac:dyDescent="0.25">
      <c r="A6854">
        <v>22.814305028317101</v>
      </c>
      <c r="B6854">
        <v>1.4109988004951699</v>
      </c>
      <c r="C6854">
        <v>2000</v>
      </c>
    </row>
    <row r="6855" spans="1:11" x14ac:dyDescent="0.25">
      <c r="A6855">
        <v>22.479244106663401</v>
      </c>
      <c r="B6855">
        <v>1.0759378788414999</v>
      </c>
      <c r="C6855">
        <v>2000</v>
      </c>
    </row>
    <row r="6856" spans="1:11" x14ac:dyDescent="0.25">
      <c r="A6856">
        <v>21.605212057765801</v>
      </c>
      <c r="B6856">
        <v>1.0759378788415099</v>
      </c>
      <c r="C6856">
        <v>2001</v>
      </c>
    </row>
    <row r="6857" spans="1:11" x14ac:dyDescent="0.25">
      <c r="A6857">
        <v>21.940272979419401</v>
      </c>
      <c r="B6857">
        <v>1.4109988004951699</v>
      </c>
      <c r="C6857">
        <v>2001</v>
      </c>
    </row>
    <row r="6858" spans="1:11" x14ac:dyDescent="0.25">
      <c r="A6858">
        <v>24.873336897647299</v>
      </c>
      <c r="B6858">
        <v>4.3440627187230003</v>
      </c>
      <c r="C6858">
        <v>2001</v>
      </c>
    </row>
    <row r="6859" spans="1:11" x14ac:dyDescent="0.25">
      <c r="A6859">
        <v>25.747368946544899</v>
      </c>
      <c r="B6859">
        <v>4.3440627187230003</v>
      </c>
      <c r="C6859">
        <v>2000</v>
      </c>
    </row>
    <row r="6860" spans="1:11" x14ac:dyDescent="0.25">
      <c r="A6860" t="s">
        <v>87</v>
      </c>
    </row>
    <row r="6861" spans="1:11" x14ac:dyDescent="0.25">
      <c r="A6861">
        <v>843</v>
      </c>
      <c r="B6861">
        <v>0</v>
      </c>
      <c r="C6861">
        <v>2.7036094322534598</v>
      </c>
      <c r="D6861">
        <v>1.88039254610078</v>
      </c>
      <c r="E6861">
        <v>6</v>
      </c>
      <c r="F6861">
        <v>1.01722196789785</v>
      </c>
      <c r="G6861" t="s">
        <v>89</v>
      </c>
      <c r="H6861" t="s">
        <v>85</v>
      </c>
      <c r="I6861">
        <v>425</v>
      </c>
      <c r="J6861">
        <v>478</v>
      </c>
      <c r="K6861">
        <v>9.0374042336346896E-2</v>
      </c>
    </row>
    <row r="6862" spans="1:11" x14ac:dyDescent="0.25">
      <c r="A6862" t="s">
        <v>86</v>
      </c>
    </row>
    <row r="6863" spans="1:11" x14ac:dyDescent="0.25">
      <c r="A6863">
        <v>61.113800021215603</v>
      </c>
      <c r="B6863">
        <v>38.617041858017899</v>
      </c>
      <c r="C6863">
        <v>2000</v>
      </c>
    </row>
    <row r="6864" spans="1:11" x14ac:dyDescent="0.25">
      <c r="A6864">
        <v>59.330933818354403</v>
      </c>
      <c r="B6864">
        <v>36.834175655156699</v>
      </c>
      <c r="C6864">
        <v>2000</v>
      </c>
    </row>
    <row r="6865" spans="1:11" x14ac:dyDescent="0.25">
      <c r="A6865">
        <v>58.893917793905501</v>
      </c>
      <c r="B6865">
        <v>37.271191679605501</v>
      </c>
      <c r="C6865">
        <v>2001</v>
      </c>
    </row>
    <row r="6866" spans="1:11" x14ac:dyDescent="0.25">
      <c r="A6866">
        <v>60.934532717497</v>
      </c>
      <c r="B6866">
        <v>39.311806603196999</v>
      </c>
      <c r="C6866">
        <v>2001</v>
      </c>
    </row>
    <row r="6867" spans="1:11" x14ac:dyDescent="0.25">
      <c r="A6867">
        <v>62.353804689996799</v>
      </c>
      <c r="B6867">
        <v>40.731078575696699</v>
      </c>
      <c r="C6867">
        <v>2001</v>
      </c>
    </row>
    <row r="6868" spans="1:11" x14ac:dyDescent="0.25">
      <c r="A6868">
        <v>62.353804689996799</v>
      </c>
      <c r="B6868">
        <v>39.857046526799103</v>
      </c>
      <c r="C6868">
        <v>2000</v>
      </c>
    </row>
    <row r="6869" spans="1:11" x14ac:dyDescent="0.25">
      <c r="A6869" t="s">
        <v>87</v>
      </c>
    </row>
    <row r="6870" spans="1:11" x14ac:dyDescent="0.25">
      <c r="A6870">
        <v>910</v>
      </c>
      <c r="B6870">
        <v>1</v>
      </c>
      <c r="C6870">
        <v>0.37270000467106001</v>
      </c>
      <c r="D6870">
        <v>4.2111829438475503</v>
      </c>
      <c r="E6870">
        <v>6</v>
      </c>
      <c r="F6870">
        <v>1.01722196789785</v>
      </c>
      <c r="G6870" t="s">
        <v>88</v>
      </c>
      <c r="H6870" t="s">
        <v>85</v>
      </c>
      <c r="I6870">
        <v>0</v>
      </c>
      <c r="J6870">
        <v>269</v>
      </c>
      <c r="K6870">
        <v>9.1667699418773299E-2</v>
      </c>
    </row>
    <row r="6871" spans="1:11" x14ac:dyDescent="0.25">
      <c r="A6871" t="s">
        <v>86</v>
      </c>
    </row>
    <row r="6872" spans="1:11" x14ac:dyDescent="0.25">
      <c r="A6872">
        <v>0.299070994163596</v>
      </c>
      <c r="B6872">
        <v>107.71292115302499</v>
      </c>
      <c r="C6872">
        <v>2000</v>
      </c>
    </row>
    <row r="6873" spans="1:11" x14ac:dyDescent="0.25">
      <c r="A6873">
        <v>0</v>
      </c>
      <c r="B6873">
        <v>108.01199214718901</v>
      </c>
      <c r="C6873">
        <v>2000</v>
      </c>
    </row>
    <row r="6874" spans="1:11" x14ac:dyDescent="0.25">
      <c r="A6874">
        <v>0</v>
      </c>
      <c r="B6874">
        <v>107.137960098291</v>
      </c>
      <c r="C6874">
        <v>2001</v>
      </c>
    </row>
    <row r="6875" spans="1:11" x14ac:dyDescent="0.25">
      <c r="A6875">
        <v>0.22800640713872899</v>
      </c>
      <c r="B6875">
        <v>106.90995369115301</v>
      </c>
      <c r="C6875">
        <v>2001</v>
      </c>
    </row>
    <row r="6876" spans="1:11" x14ac:dyDescent="0.25">
      <c r="A6876">
        <v>2.8042786926140599</v>
      </c>
      <c r="B6876">
        <v>104.333681405677</v>
      </c>
      <c r="C6876">
        <v>2001</v>
      </c>
    </row>
    <row r="6877" spans="1:11" x14ac:dyDescent="0.25">
      <c r="A6877">
        <v>3.67831074151169</v>
      </c>
      <c r="B6877">
        <v>104.333681405677</v>
      </c>
      <c r="C6877">
        <v>2000</v>
      </c>
    </row>
    <row r="6878" spans="1:11" x14ac:dyDescent="0.25">
      <c r="A6878" t="s">
        <v>87</v>
      </c>
    </row>
    <row r="6879" spans="1:11" x14ac:dyDescent="0.25">
      <c r="A6879">
        <v>1154</v>
      </c>
      <c r="B6879">
        <v>1</v>
      </c>
      <c r="C6879">
        <v>0.23141810491397799</v>
      </c>
      <c r="D6879">
        <v>4.3098143731613598</v>
      </c>
      <c r="E6879">
        <v>6</v>
      </c>
      <c r="F6879">
        <v>1.01722196789785</v>
      </c>
      <c r="G6879" t="s">
        <v>85</v>
      </c>
      <c r="H6879" t="s">
        <v>85</v>
      </c>
      <c r="I6879">
        <v>25</v>
      </c>
      <c r="J6879">
        <v>37</v>
      </c>
      <c r="K6879">
        <v>9.5300933138239702E-2</v>
      </c>
    </row>
    <row r="6880" spans="1:11" x14ac:dyDescent="0.25">
      <c r="A6880" t="s">
        <v>86</v>
      </c>
    </row>
    <row r="6881" spans="1:11" x14ac:dyDescent="0.25">
      <c r="A6881">
        <v>14.251781424624699</v>
      </c>
      <c r="B6881">
        <v>9.1218322716378903</v>
      </c>
      <c r="C6881">
        <v>2000</v>
      </c>
    </row>
    <row r="6882" spans="1:11" x14ac:dyDescent="0.25">
      <c r="A6882">
        <v>14.088144113350699</v>
      </c>
      <c r="B6882">
        <v>9.2854695829118992</v>
      </c>
      <c r="C6882">
        <v>2000</v>
      </c>
    </row>
    <row r="6883" spans="1:11" x14ac:dyDescent="0.25">
      <c r="A6883">
        <v>14.088144113350699</v>
      </c>
      <c r="B6883">
        <v>10.1595016318095</v>
      </c>
      <c r="C6883">
        <v>2001</v>
      </c>
    </row>
    <row r="6884" spans="1:11" x14ac:dyDescent="0.25">
      <c r="A6884">
        <v>14.251781424624699</v>
      </c>
      <c r="B6884">
        <v>9.9958643205355209</v>
      </c>
      <c r="C6884">
        <v>2001</v>
      </c>
    </row>
    <row r="6885" spans="1:11" x14ac:dyDescent="0.25">
      <c r="A6885">
        <v>17.2992803935424</v>
      </c>
      <c r="B6885">
        <v>6.9483653516178698</v>
      </c>
      <c r="C6885">
        <v>2001</v>
      </c>
    </row>
    <row r="6886" spans="1:11" x14ac:dyDescent="0.25">
      <c r="A6886">
        <v>17.2992803935424</v>
      </c>
      <c r="B6886">
        <v>6.0743333027202304</v>
      </c>
      <c r="C6886">
        <v>2000</v>
      </c>
    </row>
    <row r="6887" spans="1:11" x14ac:dyDescent="0.25">
      <c r="A6887" t="s">
        <v>87</v>
      </c>
    </row>
    <row r="6888" spans="1:11" x14ac:dyDescent="0.25">
      <c r="A6888">
        <v>894</v>
      </c>
      <c r="B6888">
        <v>0</v>
      </c>
      <c r="C6888">
        <v>0.49777935522760702</v>
      </c>
      <c r="D6888">
        <v>4.0351557089974603</v>
      </c>
      <c r="E6888">
        <v>6</v>
      </c>
      <c r="F6888">
        <v>1.01722196789785</v>
      </c>
      <c r="G6888" t="s">
        <v>85</v>
      </c>
      <c r="H6888" t="s">
        <v>85</v>
      </c>
      <c r="I6888">
        <v>390</v>
      </c>
      <c r="J6888">
        <v>384</v>
      </c>
      <c r="K6888">
        <v>9.142164214173E-2</v>
      </c>
    </row>
    <row r="6889" spans="1:11" x14ac:dyDescent="0.25">
      <c r="A6889" t="s">
        <v>86</v>
      </c>
    </row>
    <row r="6890" spans="1:11" x14ac:dyDescent="0.25">
      <c r="A6890">
        <v>39.029043977628</v>
      </c>
      <c r="B6890">
        <v>46.275703576530802</v>
      </c>
      <c r="C6890">
        <v>2000</v>
      </c>
    </row>
    <row r="6891" spans="1:11" x14ac:dyDescent="0.25">
      <c r="A6891">
        <v>38.677060820011903</v>
      </c>
      <c r="B6891">
        <v>45.923720418914598</v>
      </c>
      <c r="C6891">
        <v>2000</v>
      </c>
    </row>
    <row r="6892" spans="1:11" x14ac:dyDescent="0.25">
      <c r="A6892">
        <v>38.677060820011903</v>
      </c>
      <c r="B6892">
        <v>46.797752467812302</v>
      </c>
      <c r="C6892">
        <v>2001</v>
      </c>
    </row>
    <row r="6893" spans="1:11" x14ac:dyDescent="0.25">
      <c r="A6893">
        <v>39.029043977628</v>
      </c>
      <c r="B6893">
        <v>47.149735625428399</v>
      </c>
      <c r="C6893">
        <v>2001</v>
      </c>
    </row>
    <row r="6894" spans="1:11" x14ac:dyDescent="0.25">
      <c r="A6894">
        <v>41.882329942603697</v>
      </c>
      <c r="B6894">
        <v>50.003021590404103</v>
      </c>
      <c r="C6894">
        <v>2001</v>
      </c>
    </row>
    <row r="6895" spans="1:11" x14ac:dyDescent="0.25">
      <c r="A6895">
        <v>41.882329942603697</v>
      </c>
      <c r="B6895">
        <v>49.128989541506499</v>
      </c>
      <c r="C6895">
        <v>2000</v>
      </c>
    </row>
    <row r="6896" spans="1:11" x14ac:dyDescent="0.25">
      <c r="A6896" t="s">
        <v>87</v>
      </c>
    </row>
    <row r="6897" spans="1:11" x14ac:dyDescent="0.25">
      <c r="A6897">
        <v>929</v>
      </c>
      <c r="B6897">
        <v>0</v>
      </c>
      <c r="C6897">
        <v>0.130365865987699</v>
      </c>
      <c r="D6897">
        <v>4.3695801354935799</v>
      </c>
      <c r="E6897">
        <v>6</v>
      </c>
      <c r="F6897">
        <v>1.01722196789785</v>
      </c>
      <c r="G6897" t="s">
        <v>85</v>
      </c>
      <c r="H6897" t="s">
        <v>85</v>
      </c>
      <c r="I6897">
        <v>309</v>
      </c>
      <c r="J6897">
        <v>301</v>
      </c>
      <c r="K6897">
        <v>9.2142179589674397E-2</v>
      </c>
    </row>
    <row r="6898" spans="1:11" x14ac:dyDescent="0.25">
      <c r="A6898" t="s">
        <v>86</v>
      </c>
    </row>
    <row r="6899" spans="1:11" x14ac:dyDescent="0.25">
      <c r="A6899">
        <v>27.386719008613198</v>
      </c>
      <c r="B6899">
        <v>123.830515739429</v>
      </c>
      <c r="C6899">
        <v>2000</v>
      </c>
    </row>
    <row r="6900" spans="1:11" x14ac:dyDescent="0.25">
      <c r="A6900">
        <v>27.294536420738002</v>
      </c>
      <c r="B6900">
        <v>123.738333151554</v>
      </c>
      <c r="C6900">
        <v>2000</v>
      </c>
    </row>
    <row r="6901" spans="1:11" x14ac:dyDescent="0.25">
      <c r="A6901">
        <v>26.420504371840401</v>
      </c>
      <c r="B6901">
        <v>123.738333151554</v>
      </c>
      <c r="C6901">
        <v>2001</v>
      </c>
    </row>
    <row r="6902" spans="1:11" x14ac:dyDescent="0.25">
      <c r="A6902">
        <v>26.512686959715499</v>
      </c>
      <c r="B6902">
        <v>123.830515739429</v>
      </c>
      <c r="C6902">
        <v>2001</v>
      </c>
    </row>
    <row r="6903" spans="1:11" x14ac:dyDescent="0.25">
      <c r="A6903">
        <v>29.602446704461101</v>
      </c>
      <c r="B6903">
        <v>126.92027548417499</v>
      </c>
      <c r="C6903">
        <v>2001</v>
      </c>
    </row>
    <row r="6904" spans="1:11" x14ac:dyDescent="0.25">
      <c r="A6904">
        <v>30.476478753358698</v>
      </c>
      <c r="B6904">
        <v>126.92027548417499</v>
      </c>
      <c r="C6904">
        <v>2000</v>
      </c>
    </row>
    <row r="6905" spans="1:11" x14ac:dyDescent="0.25">
      <c r="A6905" t="s">
        <v>87</v>
      </c>
    </row>
    <row r="6906" spans="1:11" x14ac:dyDescent="0.25">
      <c r="A6906">
        <v>884</v>
      </c>
      <c r="B6906">
        <v>1</v>
      </c>
      <c r="C6906">
        <v>0.67786454133766905</v>
      </c>
      <c r="D6906">
        <v>3.79548332489858</v>
      </c>
      <c r="E6906">
        <v>6</v>
      </c>
      <c r="F6906">
        <v>1.01722196789785</v>
      </c>
      <c r="G6906" t="s">
        <v>85</v>
      </c>
      <c r="H6906" t="s">
        <v>85</v>
      </c>
      <c r="I6906">
        <v>590</v>
      </c>
      <c r="J6906">
        <v>587</v>
      </c>
      <c r="K6906">
        <v>9.1169371169763397E-2</v>
      </c>
    </row>
    <row r="6907" spans="1:11" x14ac:dyDescent="0.25">
      <c r="A6907" t="s">
        <v>86</v>
      </c>
    </row>
    <row r="6908" spans="1:11" x14ac:dyDescent="0.25">
      <c r="A6908">
        <v>115.354088941279</v>
      </c>
      <c r="B6908">
        <v>63.8046386017486</v>
      </c>
      <c r="C6908">
        <v>2000</v>
      </c>
    </row>
    <row r="6909" spans="1:11" x14ac:dyDescent="0.25">
      <c r="A6909">
        <v>114.874766327373</v>
      </c>
      <c r="B6909">
        <v>64.283961215654401</v>
      </c>
      <c r="C6909">
        <v>2000</v>
      </c>
    </row>
    <row r="6910" spans="1:11" x14ac:dyDescent="0.25">
      <c r="A6910">
        <v>114.000734278476</v>
      </c>
      <c r="B6910">
        <v>64.283961215654401</v>
      </c>
      <c r="C6910">
        <v>2001</v>
      </c>
    </row>
    <row r="6911" spans="1:11" x14ac:dyDescent="0.25">
      <c r="A6911">
        <v>114.480056892382</v>
      </c>
      <c r="B6911">
        <v>63.8046386017486</v>
      </c>
      <c r="C6911">
        <v>2001</v>
      </c>
    </row>
    <row r="6912" spans="1:11" x14ac:dyDescent="0.25">
      <c r="A6912">
        <v>117.163868889298</v>
      </c>
      <c r="B6912">
        <v>61.120826604832402</v>
      </c>
      <c r="C6912">
        <v>2001</v>
      </c>
    </row>
    <row r="6913" spans="1:11" x14ac:dyDescent="0.25">
      <c r="A6913">
        <v>118.03790093819499</v>
      </c>
      <c r="B6913">
        <v>61.120826604832402</v>
      </c>
      <c r="C6913">
        <v>2000</v>
      </c>
    </row>
    <row r="6914" spans="1:11" x14ac:dyDescent="0.25">
      <c r="A6914" t="s">
        <v>87</v>
      </c>
    </row>
    <row r="6915" spans="1:11" x14ac:dyDescent="0.25">
      <c r="A6915">
        <v>273</v>
      </c>
      <c r="B6915">
        <v>0</v>
      </c>
      <c r="C6915">
        <v>4.19380856408534</v>
      </c>
      <c r="D6915">
        <v>0.27368644843177498</v>
      </c>
      <c r="E6915">
        <v>6</v>
      </c>
      <c r="F6915">
        <v>1.01722196789785</v>
      </c>
      <c r="G6915" t="s">
        <v>85</v>
      </c>
      <c r="H6915" t="s">
        <v>89</v>
      </c>
      <c r="I6915">
        <v>301</v>
      </c>
      <c r="J6915">
        <v>262</v>
      </c>
      <c r="K6915">
        <v>0</v>
      </c>
    </row>
    <row r="6916" spans="1:11" x14ac:dyDescent="0.25">
      <c r="A6916" t="s">
        <v>86</v>
      </c>
    </row>
    <row r="6917" spans="1:11" x14ac:dyDescent="0.25">
      <c r="A6917">
        <v>32.567602790493297</v>
      </c>
      <c r="B6917">
        <v>130.34984872718599</v>
      </c>
      <c r="C6917">
        <v>2000</v>
      </c>
    </row>
    <row r="6918" spans="1:11" x14ac:dyDescent="0.25">
      <c r="A6918">
        <v>29.8072541504201</v>
      </c>
      <c r="B6918">
        <v>127.589500087113</v>
      </c>
      <c r="C6918">
        <v>2000</v>
      </c>
    </row>
    <row r="6919" spans="1:11" x14ac:dyDescent="0.25">
      <c r="A6919">
        <v>29.8072541504201</v>
      </c>
      <c r="B6919">
        <v>126.715468038216</v>
      </c>
      <c r="C6919">
        <v>2001</v>
      </c>
    </row>
    <row r="6920" spans="1:11" x14ac:dyDescent="0.25">
      <c r="A6920">
        <v>32.977846459672797</v>
      </c>
      <c r="B6920">
        <v>129.886060347468</v>
      </c>
      <c r="C6920">
        <v>2001</v>
      </c>
    </row>
    <row r="6921" spans="1:11" x14ac:dyDescent="0.25">
      <c r="A6921">
        <v>33.184758180912397</v>
      </c>
      <c r="B6921">
        <v>130.09297206870801</v>
      </c>
      <c r="C6921">
        <v>2001</v>
      </c>
    </row>
    <row r="6922" spans="1:11" x14ac:dyDescent="0.25">
      <c r="A6922">
        <v>32.747742156463602</v>
      </c>
      <c r="B6922">
        <v>130.52998809315699</v>
      </c>
      <c r="C6922">
        <v>2000</v>
      </c>
    </row>
    <row r="6923" spans="1:11" x14ac:dyDescent="0.25">
      <c r="A6923" t="s">
        <v>87</v>
      </c>
    </row>
    <row r="6924" spans="1:11" x14ac:dyDescent="0.25">
      <c r="A6924">
        <v>946</v>
      </c>
      <c r="B6924">
        <v>0</v>
      </c>
      <c r="C6924">
        <v>2.0342826591321499</v>
      </c>
      <c r="D6924">
        <v>2.4285261900656998</v>
      </c>
      <c r="E6924">
        <v>6</v>
      </c>
      <c r="F6924">
        <v>1.01722196789785</v>
      </c>
      <c r="G6924" t="s">
        <v>85</v>
      </c>
      <c r="H6924" t="s">
        <v>85</v>
      </c>
      <c r="I6924">
        <v>543</v>
      </c>
      <c r="J6924">
        <v>902</v>
      </c>
      <c r="K6924">
        <v>9.2371134687469506E-2</v>
      </c>
    </row>
    <row r="6925" spans="1:11" x14ac:dyDescent="0.25">
      <c r="A6925" t="s">
        <v>86</v>
      </c>
    </row>
    <row r="6926" spans="1:11" x14ac:dyDescent="0.25">
      <c r="A6926">
        <v>139.15742936317699</v>
      </c>
      <c r="B6926">
        <v>120.446975701697</v>
      </c>
      <c r="C6926">
        <v>2000</v>
      </c>
    </row>
    <row r="6927" spans="1:11" x14ac:dyDescent="0.25">
      <c r="A6927">
        <v>137.71897430005501</v>
      </c>
      <c r="B6927">
        <v>119.008520638574</v>
      </c>
      <c r="C6927">
        <v>2000</v>
      </c>
    </row>
    <row r="6928" spans="1:11" x14ac:dyDescent="0.25">
      <c r="A6928">
        <v>136.84494225115699</v>
      </c>
      <c r="B6928">
        <v>119.008520638574</v>
      </c>
      <c r="C6928">
        <v>2001</v>
      </c>
    </row>
    <row r="6929" spans="1:11" x14ac:dyDescent="0.25">
      <c r="A6929">
        <v>138.28339731427999</v>
      </c>
      <c r="B6929">
        <v>120.446975701697</v>
      </c>
      <c r="C6929">
        <v>2001</v>
      </c>
    </row>
    <row r="6930" spans="1:11" x14ac:dyDescent="0.25">
      <c r="A6930">
        <v>140.00062465156401</v>
      </c>
      <c r="B6930">
        <v>122.164203038981</v>
      </c>
      <c r="C6930">
        <v>2001</v>
      </c>
    </row>
    <row r="6931" spans="1:11" x14ac:dyDescent="0.25">
      <c r="A6931">
        <v>140.874656700462</v>
      </c>
      <c r="B6931">
        <v>122.164203038981</v>
      </c>
      <c r="C6931">
        <v>2000</v>
      </c>
    </row>
    <row r="6932" spans="1:11" x14ac:dyDescent="0.25">
      <c r="A6932" t="s">
        <v>87</v>
      </c>
    </row>
    <row r="6933" spans="1:11" x14ac:dyDescent="0.25">
      <c r="A6933">
        <v>1227</v>
      </c>
      <c r="B6933">
        <v>0</v>
      </c>
      <c r="C6933">
        <v>1.73097304478196</v>
      </c>
      <c r="D6933">
        <v>2.7032618051553801</v>
      </c>
      <c r="E6933">
        <v>6</v>
      </c>
      <c r="F6933">
        <v>1.01722196789785</v>
      </c>
      <c r="G6933" t="s">
        <v>85</v>
      </c>
      <c r="H6933" t="s">
        <v>85</v>
      </c>
      <c r="I6933">
        <v>462</v>
      </c>
      <c r="J6933">
        <v>1097</v>
      </c>
      <c r="K6933">
        <v>9.6277099271545E-2</v>
      </c>
    </row>
    <row r="6934" spans="1:11" x14ac:dyDescent="0.25">
      <c r="A6934" t="s">
        <v>86</v>
      </c>
    </row>
    <row r="6935" spans="1:11" x14ac:dyDescent="0.25">
      <c r="A6935">
        <v>60.269415670037198</v>
      </c>
      <c r="B6935">
        <v>33.9123915953299</v>
      </c>
      <c r="C6935">
        <v>2000</v>
      </c>
    </row>
    <row r="6936" spans="1:11" x14ac:dyDescent="0.25">
      <c r="A6936">
        <v>58.874836840151801</v>
      </c>
      <c r="B6936">
        <v>32.517812765444503</v>
      </c>
      <c r="C6936">
        <v>2000</v>
      </c>
    </row>
    <row r="6937" spans="1:11" x14ac:dyDescent="0.25">
      <c r="A6937">
        <v>59.748868889049497</v>
      </c>
      <c r="B6937">
        <v>32.517812765444503</v>
      </c>
      <c r="C6937">
        <v>2001</v>
      </c>
    </row>
    <row r="6938" spans="1:11" x14ac:dyDescent="0.25">
      <c r="A6938">
        <v>60.802255615196998</v>
      </c>
      <c r="B6938">
        <v>33.571199491592097</v>
      </c>
      <c r="C6938">
        <v>2001</v>
      </c>
    </row>
    <row r="6939" spans="1:11" x14ac:dyDescent="0.25">
      <c r="A6939">
        <v>62.447330396365103</v>
      </c>
      <c r="B6939">
        <v>35.216274272760103</v>
      </c>
      <c r="C6939">
        <v>2001</v>
      </c>
    </row>
    <row r="6940" spans="1:11" x14ac:dyDescent="0.25">
      <c r="A6940">
        <v>62.447330396365103</v>
      </c>
      <c r="B6940">
        <v>36.090306321657799</v>
      </c>
      <c r="C6940">
        <v>2000</v>
      </c>
    </row>
    <row r="6941" spans="1:11" x14ac:dyDescent="0.25">
      <c r="A6941" t="s">
        <v>87</v>
      </c>
    </row>
    <row r="6942" spans="1:11" x14ac:dyDescent="0.25">
      <c r="A6942">
        <v>342</v>
      </c>
      <c r="B6942">
        <v>0</v>
      </c>
      <c r="C6942">
        <v>7.8172295365916994E-2</v>
      </c>
      <c r="D6942">
        <v>4.3296172675067597</v>
      </c>
      <c r="E6942">
        <v>6</v>
      </c>
      <c r="F6942">
        <v>1.01722196789785</v>
      </c>
      <c r="G6942" t="s">
        <v>88</v>
      </c>
      <c r="H6942" t="s">
        <v>85</v>
      </c>
      <c r="I6942">
        <v>0</v>
      </c>
      <c r="J6942">
        <v>389</v>
      </c>
      <c r="K6942">
        <v>0</v>
      </c>
    </row>
    <row r="6943" spans="1:11" x14ac:dyDescent="0.25">
      <c r="A6943" t="s">
        <v>86</v>
      </c>
    </row>
    <row r="6944" spans="1:11" x14ac:dyDescent="0.25">
      <c r="A6944">
        <v>4.75256663396149E-2</v>
      </c>
      <c r="B6944">
        <v>71.681179352541903</v>
      </c>
      <c r="C6944">
        <v>2000</v>
      </c>
    </row>
    <row r="6945" spans="1:11" x14ac:dyDescent="0.25">
      <c r="A6945">
        <v>0</v>
      </c>
      <c r="B6945">
        <v>71.633653686202294</v>
      </c>
      <c r="C6945">
        <v>2000</v>
      </c>
    </row>
    <row r="6946" spans="1:11" x14ac:dyDescent="0.25">
      <c r="A6946">
        <v>0</v>
      </c>
      <c r="B6946">
        <v>70.759621637304704</v>
      </c>
      <c r="C6946">
        <v>2001</v>
      </c>
    </row>
    <row r="6947" spans="1:11" x14ac:dyDescent="0.25">
      <c r="A6947">
        <v>6.3026653968700802E-2</v>
      </c>
      <c r="B6947">
        <v>70.822648291273396</v>
      </c>
      <c r="C6947">
        <v>2001</v>
      </c>
    </row>
    <row r="6948" spans="1:11" x14ac:dyDescent="0.25">
      <c r="A6948">
        <v>3.55379391439938</v>
      </c>
      <c r="B6948">
        <v>74.313415551704097</v>
      </c>
      <c r="C6948">
        <v>2001</v>
      </c>
    </row>
    <row r="6949" spans="1:11" x14ac:dyDescent="0.25">
      <c r="A6949">
        <v>2.6797618655017499</v>
      </c>
      <c r="B6949">
        <v>74.313415551704097</v>
      </c>
      <c r="C6949">
        <v>2000</v>
      </c>
    </row>
    <row r="6950" spans="1:11" x14ac:dyDescent="0.25">
      <c r="A6950" t="s">
        <v>87</v>
      </c>
    </row>
    <row r="6951" spans="1:11" x14ac:dyDescent="0.25">
      <c r="A6951">
        <v>1180</v>
      </c>
      <c r="B6951">
        <v>1</v>
      </c>
      <c r="C6951">
        <v>0.981219331841096</v>
      </c>
      <c r="D6951">
        <v>3.4150353135969098</v>
      </c>
      <c r="E6951">
        <v>6</v>
      </c>
      <c r="F6951">
        <v>1.01722196789785</v>
      </c>
      <c r="G6951" t="s">
        <v>85</v>
      </c>
      <c r="H6951" t="s">
        <v>85</v>
      </c>
      <c r="I6951">
        <v>353</v>
      </c>
      <c r="J6951">
        <v>344</v>
      </c>
      <c r="K6951">
        <v>9.5636215209858197E-2</v>
      </c>
    </row>
    <row r="6952" spans="1:11" x14ac:dyDescent="0.25">
      <c r="A6952" t="s">
        <v>86</v>
      </c>
    </row>
    <row r="6953" spans="1:11" x14ac:dyDescent="0.25">
      <c r="A6953">
        <v>31.524215471669098</v>
      </c>
      <c r="B6953">
        <v>80.184371375613793</v>
      </c>
      <c r="C6953">
        <v>2000</v>
      </c>
    </row>
    <row r="6954" spans="1:11" x14ac:dyDescent="0.25">
      <c r="A6954">
        <v>30.732849107474099</v>
      </c>
      <c r="B6954">
        <v>80.975737739808807</v>
      </c>
      <c r="C6954">
        <v>2000</v>
      </c>
    </row>
    <row r="6955" spans="1:11" x14ac:dyDescent="0.25">
      <c r="A6955">
        <v>31.606881156371799</v>
      </c>
      <c r="B6955">
        <v>80.975737739808807</v>
      </c>
      <c r="C6955">
        <v>2001</v>
      </c>
    </row>
    <row r="6956" spans="1:11" x14ac:dyDescent="0.25">
      <c r="A6956">
        <v>32.203168478929101</v>
      </c>
      <c r="B6956">
        <v>80.379450417251405</v>
      </c>
      <c r="C6956">
        <v>2001</v>
      </c>
    </row>
    <row r="6957" spans="1:11" x14ac:dyDescent="0.25">
      <c r="A6957">
        <v>34.278486603535001</v>
      </c>
      <c r="B6957">
        <v>78.304132292645505</v>
      </c>
      <c r="C6957">
        <v>2001</v>
      </c>
    </row>
    <row r="6958" spans="1:11" x14ac:dyDescent="0.25">
      <c r="A6958">
        <v>34.278486603535001</v>
      </c>
      <c r="B6958">
        <v>77.430100243747802</v>
      </c>
      <c r="C6958">
        <v>2000</v>
      </c>
    </row>
    <row r="6959" spans="1:11" x14ac:dyDescent="0.25">
      <c r="A6959" t="s">
        <v>87</v>
      </c>
    </row>
    <row r="6960" spans="1:11" x14ac:dyDescent="0.25">
      <c r="A6960">
        <v>1074</v>
      </c>
      <c r="B6960">
        <v>1</v>
      </c>
      <c r="C6960">
        <v>3.8196909600420299</v>
      </c>
      <c r="D6960">
        <v>0.57546577645533104</v>
      </c>
      <c r="E6960">
        <v>10</v>
      </c>
      <c r="F6960">
        <v>1.01722196789785</v>
      </c>
      <c r="G6960" t="s">
        <v>85</v>
      </c>
      <c r="H6960" t="s">
        <v>85</v>
      </c>
      <c r="I6960">
        <v>1004</v>
      </c>
      <c r="J6960">
        <v>1073</v>
      </c>
      <c r="K6960">
        <v>9.4226499478247905E-2</v>
      </c>
    </row>
    <row r="6961" spans="1:11" x14ac:dyDescent="0.25">
      <c r="A6961" t="s">
        <v>86</v>
      </c>
    </row>
    <row r="6962" spans="1:11" x14ac:dyDescent="0.25">
      <c r="A6962">
        <v>101.255144617094</v>
      </c>
      <c r="B6962">
        <v>99.996184802683103</v>
      </c>
      <c r="C6962">
        <v>2000</v>
      </c>
    </row>
    <row r="6963" spans="1:11" x14ac:dyDescent="0.25">
      <c r="A6963">
        <v>101.03282140755201</v>
      </c>
      <c r="B6963">
        <v>100.21850801222401</v>
      </c>
      <c r="C6963">
        <v>2000</v>
      </c>
    </row>
    <row r="6964" spans="1:11" x14ac:dyDescent="0.25">
      <c r="A6964">
        <v>100.148466756115</v>
      </c>
      <c r="B6964">
        <v>101.10286266366199</v>
      </c>
      <c r="C6964">
        <v>2000</v>
      </c>
    </row>
    <row r="6965" spans="1:11" x14ac:dyDescent="0.25">
      <c r="A6965">
        <v>98.2738963436679</v>
      </c>
      <c r="B6965">
        <v>102.97743307610899</v>
      </c>
      <c r="C6965">
        <v>2000</v>
      </c>
    </row>
    <row r="6966" spans="1:11" x14ac:dyDescent="0.25">
      <c r="A6966">
        <v>98.2738963436679</v>
      </c>
      <c r="B6966">
        <v>102.10340102721101</v>
      </c>
      <c r="C6966">
        <v>2001</v>
      </c>
    </row>
    <row r="6967" spans="1:11" x14ac:dyDescent="0.25">
      <c r="A6967">
        <v>99.851533243885299</v>
      </c>
      <c r="B6967">
        <v>100.52576412699401</v>
      </c>
      <c r="C6967">
        <v>2001</v>
      </c>
    </row>
    <row r="6968" spans="1:11" x14ac:dyDescent="0.25">
      <c r="A6968">
        <v>100.59580538310399</v>
      </c>
      <c r="B6968">
        <v>99.781491987775595</v>
      </c>
      <c r="C6968">
        <v>2001</v>
      </c>
    </row>
    <row r="6969" spans="1:11" x14ac:dyDescent="0.25">
      <c r="A6969">
        <v>100.694506830008</v>
      </c>
      <c r="B6969">
        <v>99.682790540871594</v>
      </c>
      <c r="C6969">
        <v>2001</v>
      </c>
    </row>
    <row r="6970" spans="1:11" x14ac:dyDescent="0.25">
      <c r="A6970">
        <v>100.94472545197399</v>
      </c>
      <c r="B6970">
        <v>99.432571918904998</v>
      </c>
      <c r="C6970">
        <v>2001</v>
      </c>
    </row>
    <row r="6971" spans="1:11" x14ac:dyDescent="0.25">
      <c r="A6971">
        <v>101.818757500872</v>
      </c>
      <c r="B6971">
        <v>99.432571918904998</v>
      </c>
      <c r="C6971">
        <v>2000</v>
      </c>
    </row>
    <row r="6972" spans="1:11" x14ac:dyDescent="0.25">
      <c r="A6972" t="s">
        <v>87</v>
      </c>
    </row>
    <row r="6973" spans="1:11" x14ac:dyDescent="0.25">
      <c r="A6973">
        <v>1194</v>
      </c>
      <c r="B6973">
        <v>1</v>
      </c>
      <c r="C6973">
        <v>2.2892607535929699</v>
      </c>
      <c r="D6973">
        <v>2.06295078086651</v>
      </c>
      <c r="E6973">
        <v>6</v>
      </c>
      <c r="F6973">
        <v>1.01722196789785</v>
      </c>
      <c r="G6973" t="s">
        <v>85</v>
      </c>
      <c r="H6973" t="s">
        <v>85</v>
      </c>
      <c r="I6973">
        <v>847</v>
      </c>
      <c r="J6973">
        <v>358</v>
      </c>
      <c r="K6973">
        <v>9.5800019506126696E-2</v>
      </c>
    </row>
    <row r="6974" spans="1:11" x14ac:dyDescent="0.25">
      <c r="A6974" t="s">
        <v>86</v>
      </c>
    </row>
    <row r="6975" spans="1:11" x14ac:dyDescent="0.25">
      <c r="A6975">
        <v>18.360053624185198</v>
      </c>
      <c r="B6975">
        <v>95.597421049884304</v>
      </c>
      <c r="C6975">
        <v>2000</v>
      </c>
    </row>
    <row r="6976" spans="1:11" x14ac:dyDescent="0.25">
      <c r="A6976">
        <v>16.741301821415401</v>
      </c>
      <c r="B6976">
        <v>97.216172852654097</v>
      </c>
      <c r="C6976">
        <v>2000</v>
      </c>
    </row>
    <row r="6977" spans="1:11" x14ac:dyDescent="0.25">
      <c r="A6977">
        <v>15.8672697725177</v>
      </c>
      <c r="B6977">
        <v>97.216172852654097</v>
      </c>
      <c r="C6977">
        <v>2001</v>
      </c>
    </row>
    <row r="6978" spans="1:11" x14ac:dyDescent="0.25">
      <c r="A6978">
        <v>17.486021575287499</v>
      </c>
      <c r="B6978">
        <v>95.597421049884304</v>
      </c>
      <c r="C6978">
        <v>2001</v>
      </c>
    </row>
    <row r="6979" spans="1:11" x14ac:dyDescent="0.25">
      <c r="A6979">
        <v>18.944748061692302</v>
      </c>
      <c r="B6979">
        <v>94.138694563479504</v>
      </c>
      <c r="C6979">
        <v>2001</v>
      </c>
    </row>
    <row r="6980" spans="1:11" x14ac:dyDescent="0.25">
      <c r="A6980">
        <v>19.818780110590001</v>
      </c>
      <c r="B6980">
        <v>94.138694563479504</v>
      </c>
      <c r="C6980">
        <v>2000</v>
      </c>
    </row>
    <row r="6981" spans="1:11" x14ac:dyDescent="0.25">
      <c r="A6981" t="s">
        <v>87</v>
      </c>
    </row>
    <row r="6982" spans="1:11" x14ac:dyDescent="0.25">
      <c r="A6982">
        <v>479</v>
      </c>
      <c r="B6982">
        <v>1</v>
      </c>
      <c r="C6982">
        <v>1.0287192209942499</v>
      </c>
      <c r="D6982">
        <v>3.31695720984251</v>
      </c>
      <c r="E6982">
        <v>6</v>
      </c>
      <c r="F6982">
        <v>1.01722196789785</v>
      </c>
      <c r="G6982" t="s">
        <v>89</v>
      </c>
      <c r="H6982" t="s">
        <v>88</v>
      </c>
      <c r="I6982">
        <v>767</v>
      </c>
      <c r="J6982">
        <v>0</v>
      </c>
      <c r="K6982">
        <v>0</v>
      </c>
    </row>
    <row r="6983" spans="1:11" x14ac:dyDescent="0.25">
      <c r="A6983" t="s">
        <v>86</v>
      </c>
    </row>
    <row r="6984" spans="1:11" x14ac:dyDescent="0.25">
      <c r="A6984">
        <v>64.578879610500906</v>
      </c>
      <c r="B6984">
        <v>2.1786606782421098</v>
      </c>
      <c r="C6984">
        <v>2000</v>
      </c>
    </row>
    <row r="6985" spans="1:11" x14ac:dyDescent="0.25">
      <c r="A6985">
        <v>63.903191027880197</v>
      </c>
      <c r="B6985">
        <v>2.8543492608628198</v>
      </c>
      <c r="C6985">
        <v>2000</v>
      </c>
    </row>
    <row r="6986" spans="1:11" x14ac:dyDescent="0.25">
      <c r="A6986">
        <v>64.340207052329006</v>
      </c>
      <c r="B6986">
        <v>3.29136528531164</v>
      </c>
      <c r="C6986">
        <v>2001</v>
      </c>
    </row>
    <row r="6987" spans="1:11" x14ac:dyDescent="0.25">
      <c r="A6987">
        <v>65.119347143912194</v>
      </c>
      <c r="B6987">
        <v>2.5122251937283901</v>
      </c>
      <c r="C6987">
        <v>2001</v>
      </c>
    </row>
    <row r="6988" spans="1:11" x14ac:dyDescent="0.25">
      <c r="A6988">
        <v>67.631572337640605</v>
      </c>
      <c r="B6988">
        <v>0</v>
      </c>
      <c r="C6988">
        <v>2001</v>
      </c>
    </row>
    <row r="6989" spans="1:11" x14ac:dyDescent="0.25">
      <c r="A6989">
        <v>66.757540288743002</v>
      </c>
      <c r="B6989">
        <v>0</v>
      </c>
      <c r="C6989">
        <v>2000</v>
      </c>
    </row>
    <row r="6990" spans="1:11" x14ac:dyDescent="0.25">
      <c r="A6990" t="s">
        <v>87</v>
      </c>
    </row>
    <row r="6991" spans="1:11" x14ac:dyDescent="0.25">
      <c r="A6991">
        <v>1036</v>
      </c>
      <c r="B6991">
        <v>0</v>
      </c>
      <c r="C6991">
        <v>1.9425032207909001</v>
      </c>
      <c r="D6991">
        <v>2.38239644788547</v>
      </c>
      <c r="E6991">
        <v>6</v>
      </c>
      <c r="F6991">
        <v>1.01722196789785</v>
      </c>
      <c r="G6991" t="s">
        <v>85</v>
      </c>
      <c r="H6991" t="s">
        <v>85</v>
      </c>
      <c r="I6991">
        <v>638</v>
      </c>
      <c r="J6991">
        <v>639</v>
      </c>
      <c r="K6991">
        <v>9.3842356677082794E-2</v>
      </c>
    </row>
    <row r="6992" spans="1:11" x14ac:dyDescent="0.25">
      <c r="A6992" t="s">
        <v>86</v>
      </c>
    </row>
    <row r="6993" spans="1:11" x14ac:dyDescent="0.25">
      <c r="A6993">
        <v>106.25852691730501</v>
      </c>
      <c r="B6993">
        <v>72.037152999676195</v>
      </c>
      <c r="C6993">
        <v>2000</v>
      </c>
    </row>
    <row r="6994" spans="1:11" x14ac:dyDescent="0.25">
      <c r="A6994">
        <v>105.08125289159899</v>
      </c>
      <c r="B6994">
        <v>70.859878973970098</v>
      </c>
      <c r="C6994">
        <v>2000</v>
      </c>
    </row>
    <row r="6995" spans="1:11" x14ac:dyDescent="0.25">
      <c r="A6995">
        <v>104.207220842702</v>
      </c>
      <c r="B6995">
        <v>70.859878973970098</v>
      </c>
      <c r="C6995">
        <v>2001</v>
      </c>
    </row>
    <row r="6996" spans="1:11" x14ac:dyDescent="0.25">
      <c r="A6996">
        <v>105.777061216791</v>
      </c>
      <c r="B6996">
        <v>72.429719348059905</v>
      </c>
      <c r="C6996">
        <v>2001</v>
      </c>
    </row>
    <row r="6997" spans="1:11" x14ac:dyDescent="0.25">
      <c r="A6997">
        <v>107.702402750823</v>
      </c>
      <c r="B6997">
        <v>74.355060882091493</v>
      </c>
      <c r="C6997">
        <v>2001</v>
      </c>
    </row>
    <row r="6998" spans="1:11" x14ac:dyDescent="0.25">
      <c r="A6998">
        <v>107.702402750823</v>
      </c>
      <c r="B6998">
        <v>73.481028833193804</v>
      </c>
      <c r="C6998">
        <v>2000</v>
      </c>
    </row>
    <row r="6999" spans="1:11" x14ac:dyDescent="0.25">
      <c r="A6999" t="s">
        <v>87</v>
      </c>
    </row>
    <row r="7000" spans="1:11" x14ac:dyDescent="0.25">
      <c r="A7000">
        <v>747</v>
      </c>
      <c r="B7000">
        <v>0</v>
      </c>
      <c r="C7000">
        <v>0.31268297606197798</v>
      </c>
      <c r="D7000">
        <v>4.0059331411747197</v>
      </c>
      <c r="E7000">
        <v>6</v>
      </c>
      <c r="F7000">
        <v>1.01722196789785</v>
      </c>
      <c r="G7000" t="s">
        <v>89</v>
      </c>
      <c r="H7000" t="s">
        <v>89</v>
      </c>
      <c r="I7000">
        <v>503</v>
      </c>
      <c r="J7000">
        <v>745</v>
      </c>
      <c r="K7000">
        <v>8.9259099568316694E-2</v>
      </c>
    </row>
    <row r="7001" spans="1:11" x14ac:dyDescent="0.25">
      <c r="A7001" t="s">
        <v>86</v>
      </c>
    </row>
    <row r="7002" spans="1:11" x14ac:dyDescent="0.25">
      <c r="A7002">
        <v>101.148299842206</v>
      </c>
      <c r="B7002">
        <v>118.518319649402</v>
      </c>
      <c r="C7002">
        <v>2000</v>
      </c>
    </row>
    <row r="7003" spans="1:11" x14ac:dyDescent="0.25">
      <c r="A7003">
        <v>100.927199589471</v>
      </c>
      <c r="B7003">
        <v>118.297219396667</v>
      </c>
      <c r="C7003">
        <v>2000</v>
      </c>
    </row>
    <row r="7004" spans="1:11" x14ac:dyDescent="0.25">
      <c r="A7004">
        <v>100.49018356502199</v>
      </c>
      <c r="B7004">
        <v>118.734235421116</v>
      </c>
      <c r="C7004">
        <v>2001</v>
      </c>
    </row>
    <row r="7005" spans="1:11" x14ac:dyDescent="0.25">
      <c r="A7005">
        <v>100.71128381775701</v>
      </c>
      <c r="B7005">
        <v>118.955335673851</v>
      </c>
      <c r="C7005">
        <v>2001</v>
      </c>
    </row>
    <row r="7006" spans="1:11" x14ac:dyDescent="0.25">
      <c r="A7006">
        <v>103.543906306862</v>
      </c>
      <c r="B7006">
        <v>121.78795816295499</v>
      </c>
      <c r="C7006">
        <v>2001</v>
      </c>
    </row>
    <row r="7007" spans="1:11" x14ac:dyDescent="0.25">
      <c r="A7007">
        <v>103.98092233131101</v>
      </c>
      <c r="B7007">
        <v>121.35094213850699</v>
      </c>
      <c r="C7007">
        <v>2000</v>
      </c>
    </row>
    <row r="7008" spans="1:11" x14ac:dyDescent="0.25">
      <c r="A7008" t="s">
        <v>87</v>
      </c>
    </row>
    <row r="7009" spans="1:11" x14ac:dyDescent="0.25">
      <c r="A7009">
        <v>316</v>
      </c>
      <c r="B7009">
        <v>1</v>
      </c>
      <c r="C7009">
        <v>3.8983657536707899</v>
      </c>
      <c r="D7009">
        <v>0.38816482543383302</v>
      </c>
      <c r="E7009">
        <v>6</v>
      </c>
      <c r="F7009">
        <v>1.01722196789785</v>
      </c>
      <c r="G7009" t="s">
        <v>89</v>
      </c>
      <c r="H7009" t="s">
        <v>89</v>
      </c>
      <c r="I7009">
        <v>320</v>
      </c>
      <c r="J7009">
        <v>737</v>
      </c>
      <c r="K7009">
        <v>0</v>
      </c>
    </row>
    <row r="7010" spans="1:11" x14ac:dyDescent="0.25">
      <c r="A7010" t="s">
        <v>86</v>
      </c>
    </row>
    <row r="7011" spans="1:11" x14ac:dyDescent="0.25">
      <c r="A7011">
        <v>20.055215403933499</v>
      </c>
      <c r="B7011">
        <v>144.143644911774</v>
      </c>
      <c r="C7011">
        <v>2000</v>
      </c>
    </row>
    <row r="7012" spans="1:11" x14ac:dyDescent="0.25">
      <c r="A7012">
        <v>17.298654543967402</v>
      </c>
      <c r="B7012">
        <v>146.90020577173999</v>
      </c>
      <c r="C7012">
        <v>2000</v>
      </c>
    </row>
    <row r="7013" spans="1:11" x14ac:dyDescent="0.25">
      <c r="A7013">
        <v>17.7356705684163</v>
      </c>
      <c r="B7013">
        <v>147.337221796189</v>
      </c>
      <c r="C7013">
        <v>2001</v>
      </c>
    </row>
    <row r="7014" spans="1:11" x14ac:dyDescent="0.25">
      <c r="A7014">
        <v>20.492231428382301</v>
      </c>
      <c r="B7014">
        <v>144.58066093622301</v>
      </c>
      <c r="C7014">
        <v>2001</v>
      </c>
    </row>
    <row r="7015" spans="1:11" x14ac:dyDescent="0.25">
      <c r="A7015">
        <v>20.766705408664599</v>
      </c>
      <c r="B7015">
        <v>144.306186955941</v>
      </c>
      <c r="C7015">
        <v>2001</v>
      </c>
    </row>
    <row r="7016" spans="1:11" x14ac:dyDescent="0.25">
      <c r="A7016">
        <v>20.329689384215801</v>
      </c>
      <c r="B7016">
        <v>143.86917093149199</v>
      </c>
      <c r="C7016">
        <v>2000</v>
      </c>
    </row>
    <row r="7017" spans="1:11" x14ac:dyDescent="0.25">
      <c r="A7017" t="s">
        <v>87</v>
      </c>
    </row>
    <row r="7018" spans="1:11" x14ac:dyDescent="0.25">
      <c r="A7018">
        <v>955</v>
      </c>
      <c r="B7018">
        <v>0</v>
      </c>
      <c r="C7018">
        <v>1.6420138562247799</v>
      </c>
      <c r="D7018">
        <v>2.6358515923163899</v>
      </c>
      <c r="E7018">
        <v>6</v>
      </c>
      <c r="F7018">
        <v>1.01722196789785</v>
      </c>
      <c r="G7018" t="s">
        <v>85</v>
      </c>
      <c r="H7018" t="s">
        <v>85</v>
      </c>
      <c r="I7018">
        <v>383</v>
      </c>
      <c r="J7018">
        <v>920</v>
      </c>
      <c r="K7018">
        <v>9.2594931978171202E-2</v>
      </c>
    </row>
    <row r="7019" spans="1:11" x14ac:dyDescent="0.25">
      <c r="A7019" t="s">
        <v>86</v>
      </c>
    </row>
    <row r="7020" spans="1:11" x14ac:dyDescent="0.25">
      <c r="A7020">
        <v>10.0173549149353</v>
      </c>
      <c r="B7020">
        <v>95.834412470400395</v>
      </c>
      <c r="C7020">
        <v>2000</v>
      </c>
    </row>
    <row r="7021" spans="1:11" x14ac:dyDescent="0.25">
      <c r="A7021">
        <v>9.0240198071137101</v>
      </c>
      <c r="B7021">
        <v>94.841077362578901</v>
      </c>
      <c r="C7021">
        <v>2000</v>
      </c>
    </row>
    <row r="7022" spans="1:11" x14ac:dyDescent="0.25">
      <c r="A7022">
        <v>8.1499877582160796</v>
      </c>
      <c r="B7022">
        <v>94.841077362578901</v>
      </c>
      <c r="C7022">
        <v>2001</v>
      </c>
    </row>
    <row r="7023" spans="1:11" x14ac:dyDescent="0.25">
      <c r="A7023">
        <v>9.4788109154721596</v>
      </c>
      <c r="B7023">
        <v>96.169900519834997</v>
      </c>
      <c r="C7023">
        <v>2001</v>
      </c>
    </row>
    <row r="7024" spans="1:11" x14ac:dyDescent="0.25">
      <c r="A7024">
        <v>11.611911450332</v>
      </c>
      <c r="B7024">
        <v>98.303001054694803</v>
      </c>
      <c r="C7024">
        <v>2001</v>
      </c>
    </row>
    <row r="7025" spans="1:11" x14ac:dyDescent="0.25">
      <c r="A7025">
        <v>11.611911450332</v>
      </c>
      <c r="B7025">
        <v>97.4289690057971</v>
      </c>
      <c r="C7025">
        <v>2000</v>
      </c>
    </row>
    <row r="7026" spans="1:11" x14ac:dyDescent="0.25">
      <c r="A7026" t="s">
        <v>87</v>
      </c>
    </row>
    <row r="7027" spans="1:11" x14ac:dyDescent="0.25">
      <c r="A7027">
        <v>1152</v>
      </c>
      <c r="B7027">
        <v>0</v>
      </c>
      <c r="C7027">
        <v>1.3656086990976899</v>
      </c>
      <c r="D7027">
        <v>2.9122567494434701</v>
      </c>
      <c r="E7027">
        <v>6</v>
      </c>
      <c r="F7027">
        <v>1.01722196789785</v>
      </c>
      <c r="G7027" t="s">
        <v>85</v>
      </c>
      <c r="H7027" t="s">
        <v>85</v>
      </c>
      <c r="I7027">
        <v>383</v>
      </c>
      <c r="J7027">
        <v>920</v>
      </c>
      <c r="K7027">
        <v>9.5300933138239702E-2</v>
      </c>
    </row>
    <row r="7028" spans="1:11" x14ac:dyDescent="0.25">
      <c r="A7028" t="s">
        <v>86</v>
      </c>
    </row>
    <row r="7029" spans="1:11" x14ac:dyDescent="0.25">
      <c r="A7029">
        <v>8.8379528846248903</v>
      </c>
      <c r="B7029">
        <v>96.679392296517605</v>
      </c>
      <c r="C7029">
        <v>2000</v>
      </c>
    </row>
    <row r="7030" spans="1:11" x14ac:dyDescent="0.25">
      <c r="A7030">
        <v>8.0118288788999692</v>
      </c>
      <c r="B7030">
        <v>95.853268290792599</v>
      </c>
      <c r="C7030">
        <v>2000</v>
      </c>
    </row>
    <row r="7031" spans="1:11" x14ac:dyDescent="0.25">
      <c r="A7031">
        <v>8.0118288788999692</v>
      </c>
      <c r="B7031">
        <v>94.979236241894995</v>
      </c>
      <c r="C7031">
        <v>2001</v>
      </c>
    </row>
    <row r="7032" spans="1:11" x14ac:dyDescent="0.25">
      <c r="A7032">
        <v>9.1169672163336699</v>
      </c>
      <c r="B7032">
        <v>96.084374579328696</v>
      </c>
      <c r="C7032">
        <v>2001</v>
      </c>
    </row>
    <row r="7033" spans="1:11" x14ac:dyDescent="0.25">
      <c r="A7033">
        <v>11.473752571015901</v>
      </c>
      <c r="B7033">
        <v>98.441159934010898</v>
      </c>
      <c r="C7033">
        <v>2001</v>
      </c>
    </row>
    <row r="7034" spans="1:11" x14ac:dyDescent="0.25">
      <c r="A7034">
        <v>10.599720522118201</v>
      </c>
      <c r="B7034">
        <v>98.441159934010898</v>
      </c>
      <c r="C7034">
        <v>2000</v>
      </c>
    </row>
    <row r="7035" spans="1:11" x14ac:dyDescent="0.25">
      <c r="A7035" t="s">
        <v>87</v>
      </c>
    </row>
    <row r="7036" spans="1:11" x14ac:dyDescent="0.25">
      <c r="A7036">
        <v>948</v>
      </c>
      <c r="B7036">
        <v>0</v>
      </c>
      <c r="C7036">
        <v>3.5646879232079698</v>
      </c>
      <c r="D7036">
        <v>0.700701185596728</v>
      </c>
      <c r="E7036">
        <v>6</v>
      </c>
      <c r="F7036">
        <v>1.01722196789785</v>
      </c>
      <c r="G7036" t="s">
        <v>88</v>
      </c>
      <c r="H7036" t="s">
        <v>85</v>
      </c>
      <c r="I7036">
        <v>0</v>
      </c>
      <c r="J7036">
        <v>838</v>
      </c>
      <c r="K7036">
        <v>9.2371134687469506E-2</v>
      </c>
    </row>
    <row r="7037" spans="1:11" x14ac:dyDescent="0.25">
      <c r="A7037" t="s">
        <v>86</v>
      </c>
    </row>
    <row r="7038" spans="1:11" x14ac:dyDescent="0.25">
      <c r="A7038">
        <v>143.58814506680099</v>
      </c>
      <c r="B7038">
        <v>2.5206150033141199</v>
      </c>
      <c r="C7038">
        <v>2000</v>
      </c>
    </row>
    <row r="7039" spans="1:11" x14ac:dyDescent="0.25">
      <c r="A7039">
        <v>141.067530063487</v>
      </c>
      <c r="B7039">
        <v>0</v>
      </c>
      <c r="C7039">
        <v>2000</v>
      </c>
    </row>
    <row r="7040" spans="1:11" x14ac:dyDescent="0.25">
      <c r="A7040">
        <v>141.94156211238499</v>
      </c>
      <c r="B7040">
        <v>0</v>
      </c>
      <c r="C7040">
        <v>2001</v>
      </c>
    </row>
    <row r="7041" spans="1:11" x14ac:dyDescent="0.25">
      <c r="A7041">
        <v>144.46217711569901</v>
      </c>
      <c r="B7041">
        <v>2.5206150033141199</v>
      </c>
      <c r="C7041">
        <v>2001</v>
      </c>
    </row>
    <row r="7042" spans="1:11" x14ac:dyDescent="0.25">
      <c r="A7042">
        <v>144.95764767562</v>
      </c>
      <c r="B7042">
        <v>3.0160855632350199</v>
      </c>
      <c r="C7042">
        <v>2001</v>
      </c>
    </row>
    <row r="7043" spans="1:11" x14ac:dyDescent="0.25">
      <c r="A7043">
        <v>144.08361562672201</v>
      </c>
      <c r="B7043">
        <v>3.0160855632350199</v>
      </c>
      <c r="C7043">
        <v>2000</v>
      </c>
    </row>
    <row r="7044" spans="1:11" x14ac:dyDescent="0.25">
      <c r="A7044" t="s">
        <v>87</v>
      </c>
    </row>
    <row r="7045" spans="1:11" x14ac:dyDescent="0.25">
      <c r="A7045">
        <v>1000</v>
      </c>
      <c r="B7045">
        <v>1</v>
      </c>
      <c r="C7045">
        <v>0.59164616563309702</v>
      </c>
      <c r="D7045">
        <v>3.6550652873638501</v>
      </c>
      <c r="E7045">
        <v>8</v>
      </c>
      <c r="F7045">
        <v>1.01722196789785</v>
      </c>
      <c r="G7045" t="s">
        <v>85</v>
      </c>
      <c r="H7045" t="s">
        <v>85</v>
      </c>
      <c r="I7045">
        <v>33</v>
      </c>
      <c r="J7045">
        <v>425</v>
      </c>
      <c r="K7045">
        <v>9.3237811683927099E-2</v>
      </c>
    </row>
    <row r="7046" spans="1:11" x14ac:dyDescent="0.25">
      <c r="A7046" t="s">
        <v>86</v>
      </c>
    </row>
    <row r="7047" spans="1:11" x14ac:dyDescent="0.25">
      <c r="A7047">
        <v>49.961812175251602</v>
      </c>
      <c r="B7047">
        <v>33.658432065882202</v>
      </c>
      <c r="C7047">
        <v>2000</v>
      </c>
    </row>
    <row r="7048" spans="1:11" x14ac:dyDescent="0.25">
      <c r="A7048">
        <v>49.383756052415698</v>
      </c>
      <c r="B7048">
        <v>34.236488188718099</v>
      </c>
      <c r="C7048">
        <v>2000</v>
      </c>
    </row>
    <row r="7049" spans="1:11" x14ac:dyDescent="0.25">
      <c r="A7049">
        <v>49.383756052415698</v>
      </c>
      <c r="B7049">
        <v>33.362456139820502</v>
      </c>
      <c r="C7049">
        <v>2001</v>
      </c>
    </row>
    <row r="7050" spans="1:11" x14ac:dyDescent="0.25">
      <c r="A7050">
        <v>49.6424139611442</v>
      </c>
      <c r="B7050">
        <v>33.103798231092</v>
      </c>
      <c r="C7050">
        <v>2001</v>
      </c>
    </row>
    <row r="7051" spans="1:11" x14ac:dyDescent="0.25">
      <c r="A7051">
        <v>49.7647616642153</v>
      </c>
      <c r="B7051">
        <v>32.9814505280209</v>
      </c>
      <c r="C7051">
        <v>2001</v>
      </c>
    </row>
    <row r="7052" spans="1:11" x14ac:dyDescent="0.25">
      <c r="A7052">
        <v>51.949618494123598</v>
      </c>
      <c r="B7052">
        <v>30.796593698112599</v>
      </c>
      <c r="C7052">
        <v>2001</v>
      </c>
    </row>
    <row r="7053" spans="1:11" x14ac:dyDescent="0.25">
      <c r="A7053">
        <v>52.823650543021202</v>
      </c>
      <c r="B7053">
        <v>30.796593698112599</v>
      </c>
      <c r="C7053">
        <v>2000</v>
      </c>
    </row>
    <row r="7054" spans="1:11" x14ac:dyDescent="0.25">
      <c r="A7054">
        <v>50.2352383357847</v>
      </c>
      <c r="B7054">
        <v>33.385005905349097</v>
      </c>
      <c r="C7054">
        <v>2000</v>
      </c>
    </row>
    <row r="7055" spans="1:11" x14ac:dyDescent="0.25">
      <c r="A7055" t="s">
        <v>87</v>
      </c>
    </row>
    <row r="7056" spans="1:11" x14ac:dyDescent="0.25">
      <c r="A7056">
        <v>932</v>
      </c>
      <c r="B7056">
        <v>1</v>
      </c>
      <c r="C7056">
        <v>2.7776013385557401</v>
      </c>
      <c r="D7056">
        <v>1.4591157137111599</v>
      </c>
      <c r="E7056">
        <v>6</v>
      </c>
      <c r="F7056">
        <v>1.01722196789785</v>
      </c>
      <c r="G7056" t="s">
        <v>85</v>
      </c>
      <c r="H7056" t="s">
        <v>85</v>
      </c>
      <c r="I7056">
        <v>509</v>
      </c>
      <c r="J7056">
        <v>746</v>
      </c>
      <c r="K7056">
        <v>9.2142179589674397E-2</v>
      </c>
    </row>
    <row r="7057" spans="1:11" x14ac:dyDescent="0.25">
      <c r="A7057" t="s">
        <v>86</v>
      </c>
    </row>
    <row r="7058" spans="1:11" x14ac:dyDescent="0.25">
      <c r="A7058">
        <v>113.438997641982</v>
      </c>
      <c r="B7058">
        <v>144.792127186687</v>
      </c>
      <c r="C7058">
        <v>2000</v>
      </c>
    </row>
    <row r="7059" spans="1:11" x14ac:dyDescent="0.25">
      <c r="A7059">
        <v>111.761445599954</v>
      </c>
      <c r="B7059">
        <v>146.46967922871499</v>
      </c>
      <c r="C7059">
        <v>2000</v>
      </c>
    </row>
    <row r="7060" spans="1:11" x14ac:dyDescent="0.25">
      <c r="A7060">
        <v>110.887413551056</v>
      </c>
      <c r="B7060">
        <v>146.46967922871499</v>
      </c>
      <c r="C7060">
        <v>2001</v>
      </c>
    </row>
    <row r="7061" spans="1:11" x14ac:dyDescent="0.25">
      <c r="A7061">
        <v>113.137982992879</v>
      </c>
      <c r="B7061">
        <v>144.21910978689101</v>
      </c>
      <c r="C7061">
        <v>2001</v>
      </c>
    </row>
    <row r="7062" spans="1:11" x14ac:dyDescent="0.25">
      <c r="A7062">
        <v>114.320240933132</v>
      </c>
      <c r="B7062">
        <v>143.036851846639</v>
      </c>
      <c r="C7062">
        <v>2001</v>
      </c>
    </row>
    <row r="7063" spans="1:11" x14ac:dyDescent="0.25">
      <c r="A7063">
        <v>114.320240933132</v>
      </c>
      <c r="B7063">
        <v>143.91088389553701</v>
      </c>
      <c r="C7063">
        <v>2000</v>
      </c>
    </row>
    <row r="7064" spans="1:11" x14ac:dyDescent="0.25">
      <c r="A7064" t="s">
        <v>87</v>
      </c>
    </row>
    <row r="7065" spans="1:11" x14ac:dyDescent="0.25">
      <c r="A7065">
        <v>726</v>
      </c>
      <c r="B7065">
        <v>1</v>
      </c>
      <c r="C7065">
        <v>4.0398750858980303</v>
      </c>
      <c r="D7065">
        <v>0.183850921577218</v>
      </c>
      <c r="E7065">
        <v>6</v>
      </c>
      <c r="F7065">
        <v>1.01722196789785</v>
      </c>
      <c r="G7065" t="s">
        <v>85</v>
      </c>
      <c r="H7065" t="s">
        <v>89</v>
      </c>
      <c r="I7065">
        <v>723</v>
      </c>
      <c r="J7065">
        <v>150</v>
      </c>
      <c r="K7065">
        <v>8.9259099568316694E-2</v>
      </c>
    </row>
    <row r="7066" spans="1:11" x14ac:dyDescent="0.25">
      <c r="A7066" t="s">
        <v>86</v>
      </c>
    </row>
    <row r="7067" spans="1:11" x14ac:dyDescent="0.25">
      <c r="A7067">
        <v>142.139004386365</v>
      </c>
      <c r="B7067">
        <v>43.604136797154297</v>
      </c>
      <c r="C7067">
        <v>2000</v>
      </c>
    </row>
    <row r="7068" spans="1:11" x14ac:dyDescent="0.25">
      <c r="A7068">
        <v>139.07338455230601</v>
      </c>
      <c r="B7068">
        <v>46.669756631213097</v>
      </c>
      <c r="C7068">
        <v>2000</v>
      </c>
    </row>
    <row r="7069" spans="1:11" x14ac:dyDescent="0.25">
      <c r="A7069">
        <v>139.947416601204</v>
      </c>
      <c r="B7069">
        <v>46.669756631213097</v>
      </c>
      <c r="C7069">
        <v>2001</v>
      </c>
    </row>
    <row r="7070" spans="1:11" x14ac:dyDescent="0.25">
      <c r="A7070">
        <v>142.59504290391499</v>
      </c>
      <c r="B7070">
        <v>44.022130328501802</v>
      </c>
      <c r="C7070">
        <v>2001</v>
      </c>
    </row>
    <row r="7071" spans="1:11" x14ac:dyDescent="0.25">
      <c r="A7071">
        <v>142.71553389073901</v>
      </c>
      <c r="B7071">
        <v>43.9016393416778</v>
      </c>
      <c r="C7071">
        <v>2001</v>
      </c>
    </row>
    <row r="7072" spans="1:11" x14ac:dyDescent="0.25">
      <c r="A7072">
        <v>142.27851786629</v>
      </c>
      <c r="B7072">
        <v>43.464623317228998</v>
      </c>
      <c r="C7072">
        <v>2000</v>
      </c>
    </row>
    <row r="7073" spans="1:11" x14ac:dyDescent="0.25">
      <c r="A7073" t="s">
        <v>87</v>
      </c>
    </row>
    <row r="7074" spans="1:11" x14ac:dyDescent="0.25">
      <c r="A7074">
        <v>150</v>
      </c>
      <c r="B7074">
        <v>1</v>
      </c>
      <c r="C7074">
        <v>0.32326254472920402</v>
      </c>
      <c r="D7074">
        <v>3.8986587607104601</v>
      </c>
      <c r="E7074">
        <v>6</v>
      </c>
      <c r="F7074">
        <v>1.01722196789785</v>
      </c>
      <c r="G7074" t="s">
        <v>89</v>
      </c>
      <c r="H7074" t="s">
        <v>85</v>
      </c>
      <c r="I7074">
        <v>726</v>
      </c>
      <c r="J7074">
        <v>107</v>
      </c>
      <c r="K7074">
        <v>0</v>
      </c>
    </row>
    <row r="7075" spans="1:11" x14ac:dyDescent="0.25">
      <c r="A7075" t="s">
        <v>86</v>
      </c>
    </row>
    <row r="7076" spans="1:11" x14ac:dyDescent="0.25">
      <c r="A7076">
        <v>142.658484344589</v>
      </c>
      <c r="B7076">
        <v>43.420888805589101</v>
      </c>
      <c r="C7076">
        <v>2000</v>
      </c>
    </row>
    <row r="7077" spans="1:11" x14ac:dyDescent="0.25">
      <c r="A7077">
        <v>142.44663384962001</v>
      </c>
      <c r="B7077">
        <v>43.632739300558697</v>
      </c>
      <c r="C7077">
        <v>2000</v>
      </c>
    </row>
    <row r="7078" spans="1:11" x14ac:dyDescent="0.25">
      <c r="A7078">
        <v>142.88364987406899</v>
      </c>
      <c r="B7078">
        <v>44.069755325007499</v>
      </c>
      <c r="C7078">
        <v>2001</v>
      </c>
    </row>
    <row r="7079" spans="1:11" x14ac:dyDescent="0.25">
      <c r="A7079">
        <v>143.12896165406201</v>
      </c>
      <c r="B7079">
        <v>43.8244435450138</v>
      </c>
      <c r="C7079">
        <v>2001</v>
      </c>
    </row>
    <row r="7080" spans="1:11" x14ac:dyDescent="0.25">
      <c r="A7080">
        <v>146.08750707100501</v>
      </c>
      <c r="B7080">
        <v>40.865898128070803</v>
      </c>
      <c r="C7080">
        <v>2001</v>
      </c>
    </row>
    <row r="7081" spans="1:11" x14ac:dyDescent="0.25">
      <c r="A7081">
        <v>145.21347502210801</v>
      </c>
      <c r="B7081">
        <v>40.865898128070803</v>
      </c>
      <c r="C7081">
        <v>2000</v>
      </c>
    </row>
    <row r="7082" spans="1:11" x14ac:dyDescent="0.25">
      <c r="A7082" t="s">
        <v>87</v>
      </c>
    </row>
    <row r="7083" spans="1:11" x14ac:dyDescent="0.25">
      <c r="A7083">
        <v>1127</v>
      </c>
      <c r="B7083">
        <v>0</v>
      </c>
      <c r="C7083">
        <v>2.38781552832606</v>
      </c>
      <c r="D7083">
        <v>1.78396403048524</v>
      </c>
      <c r="E7083">
        <v>6</v>
      </c>
      <c r="F7083">
        <v>1.01722196789785</v>
      </c>
      <c r="G7083" t="s">
        <v>85</v>
      </c>
      <c r="H7083" t="s">
        <v>85</v>
      </c>
      <c r="I7083">
        <v>976</v>
      </c>
      <c r="J7083">
        <v>640</v>
      </c>
      <c r="K7083">
        <v>9.4954792207050207E-2</v>
      </c>
    </row>
    <row r="7084" spans="1:11" x14ac:dyDescent="0.25">
      <c r="A7084" t="s">
        <v>86</v>
      </c>
    </row>
    <row r="7085" spans="1:11" x14ac:dyDescent="0.25">
      <c r="A7085">
        <v>111.99911777488801</v>
      </c>
      <c r="B7085">
        <v>75.731030390481607</v>
      </c>
      <c r="C7085">
        <v>2000</v>
      </c>
    </row>
    <row r="7086" spans="1:11" x14ac:dyDescent="0.25">
      <c r="A7086">
        <v>110.310677222587</v>
      </c>
      <c r="B7086">
        <v>74.042589838179694</v>
      </c>
      <c r="C7086">
        <v>2000</v>
      </c>
    </row>
    <row r="7087" spans="1:11" x14ac:dyDescent="0.25">
      <c r="A7087">
        <v>110.310677222587</v>
      </c>
      <c r="B7087">
        <v>74.916621887077298</v>
      </c>
      <c r="C7087">
        <v>2001</v>
      </c>
    </row>
    <row r="7088" spans="1:11" x14ac:dyDescent="0.25">
      <c r="A7088">
        <v>111.99911777488801</v>
      </c>
      <c r="B7088">
        <v>76.605062439379196</v>
      </c>
      <c r="C7088">
        <v>2001</v>
      </c>
    </row>
    <row r="7089" spans="1:11" x14ac:dyDescent="0.25">
      <c r="A7089">
        <v>113.260570838237</v>
      </c>
      <c r="B7089">
        <v>77.866515502728205</v>
      </c>
      <c r="C7089">
        <v>2001</v>
      </c>
    </row>
    <row r="7090" spans="1:11" x14ac:dyDescent="0.25">
      <c r="A7090">
        <v>113.260570838237</v>
      </c>
      <c r="B7090">
        <v>76.992483453830602</v>
      </c>
      <c r="C7090">
        <v>2000</v>
      </c>
    </row>
    <row r="7091" spans="1:11" x14ac:dyDescent="0.25">
      <c r="A7091" t="s">
        <v>87</v>
      </c>
    </row>
    <row r="7092" spans="1:11" x14ac:dyDescent="0.25">
      <c r="A7092">
        <v>1176</v>
      </c>
      <c r="B7092">
        <v>1</v>
      </c>
      <c r="C7092">
        <v>1.0409583408026599</v>
      </c>
      <c r="D7092">
        <v>2.96949238377498</v>
      </c>
      <c r="E7092">
        <v>6</v>
      </c>
      <c r="F7092">
        <v>1.01722196789785</v>
      </c>
      <c r="G7092" t="s">
        <v>85</v>
      </c>
      <c r="H7092" t="s">
        <v>85</v>
      </c>
      <c r="I7092">
        <v>194</v>
      </c>
      <c r="J7092">
        <v>841</v>
      </c>
      <c r="K7092">
        <v>9.5636215209858197E-2</v>
      </c>
    </row>
    <row r="7093" spans="1:11" x14ac:dyDescent="0.25">
      <c r="A7093" t="s">
        <v>86</v>
      </c>
    </row>
    <row r="7094" spans="1:11" x14ac:dyDescent="0.25">
      <c r="A7094">
        <v>94.080610873953404</v>
      </c>
      <c r="B7094">
        <v>129.77318276845301</v>
      </c>
      <c r="C7094">
        <v>2000</v>
      </c>
    </row>
    <row r="7095" spans="1:11" x14ac:dyDescent="0.25">
      <c r="A7095">
        <v>93.231109666280005</v>
      </c>
      <c r="B7095">
        <v>130.62268397612701</v>
      </c>
      <c r="C7095">
        <v>2000</v>
      </c>
    </row>
    <row r="7096" spans="1:11" x14ac:dyDescent="0.25">
      <c r="A7096">
        <v>93.231109666280005</v>
      </c>
      <c r="B7096">
        <v>129.74865192722899</v>
      </c>
      <c r="C7096">
        <v>2001</v>
      </c>
    </row>
    <row r="7097" spans="1:11" x14ac:dyDescent="0.25">
      <c r="A7097">
        <v>93.853745862035197</v>
      </c>
      <c r="B7097">
        <v>129.12601573147401</v>
      </c>
      <c r="C7097">
        <v>2001</v>
      </c>
    </row>
    <row r="7098" spans="1:11" x14ac:dyDescent="0.25">
      <c r="A7098">
        <v>95.629910544794598</v>
      </c>
      <c r="B7098">
        <v>127.349851048714</v>
      </c>
      <c r="C7098">
        <v>2001</v>
      </c>
    </row>
    <row r="7099" spans="1:11" x14ac:dyDescent="0.25">
      <c r="A7099">
        <v>96.503942593692202</v>
      </c>
      <c r="B7099">
        <v>127.349851048714</v>
      </c>
      <c r="C7099">
        <v>2000</v>
      </c>
    </row>
    <row r="7100" spans="1:11" x14ac:dyDescent="0.25">
      <c r="A7100" t="s">
        <v>87</v>
      </c>
    </row>
    <row r="7101" spans="1:11" x14ac:dyDescent="0.25">
      <c r="A7101">
        <v>1174</v>
      </c>
      <c r="B7101">
        <v>1</v>
      </c>
      <c r="C7101">
        <v>3.0143581650167399</v>
      </c>
      <c r="D7101">
        <v>0.99543554616857899</v>
      </c>
      <c r="E7101">
        <v>6</v>
      </c>
      <c r="F7101">
        <v>1.01722196789785</v>
      </c>
      <c r="G7101" t="s">
        <v>85</v>
      </c>
      <c r="H7101" t="s">
        <v>85</v>
      </c>
      <c r="I7101">
        <v>596</v>
      </c>
      <c r="J7101">
        <v>832</v>
      </c>
      <c r="K7101">
        <v>9.5636215209858197E-2</v>
      </c>
    </row>
    <row r="7102" spans="1:11" x14ac:dyDescent="0.25">
      <c r="A7102" t="s">
        <v>86</v>
      </c>
    </row>
    <row r="7103" spans="1:11" x14ac:dyDescent="0.25">
      <c r="A7103">
        <v>136.82626519650699</v>
      </c>
      <c r="B7103">
        <v>70.662868976155394</v>
      </c>
      <c r="C7103">
        <v>2000</v>
      </c>
    </row>
    <row r="7104" spans="1:11" x14ac:dyDescent="0.25">
      <c r="A7104">
        <v>135.02331842947899</v>
      </c>
      <c r="B7104">
        <v>72.465815743182702</v>
      </c>
      <c r="C7104">
        <v>2000</v>
      </c>
    </row>
    <row r="7105" spans="1:11" x14ac:dyDescent="0.25">
      <c r="A7105">
        <v>134.149286380582</v>
      </c>
      <c r="B7105">
        <v>72.465815743182702</v>
      </c>
      <c r="C7105">
        <v>2001</v>
      </c>
    </row>
    <row r="7106" spans="1:11" x14ac:dyDescent="0.25">
      <c r="A7106">
        <v>136.60928581237101</v>
      </c>
      <c r="B7106">
        <v>70.005816311393303</v>
      </c>
      <c r="C7106">
        <v>2001</v>
      </c>
    </row>
    <row r="7107" spans="1:11" x14ac:dyDescent="0.25">
      <c r="A7107">
        <v>137.42165472936901</v>
      </c>
      <c r="B7107">
        <v>69.193447394395605</v>
      </c>
      <c r="C7107">
        <v>2001</v>
      </c>
    </row>
    <row r="7108" spans="1:11" x14ac:dyDescent="0.25">
      <c r="A7108">
        <v>137.42165472936901</v>
      </c>
      <c r="B7108">
        <v>70.067479443293195</v>
      </c>
      <c r="C7108">
        <v>2000</v>
      </c>
    </row>
    <row r="7109" spans="1:11" x14ac:dyDescent="0.25">
      <c r="A7109" t="s">
        <v>87</v>
      </c>
    </row>
    <row r="7110" spans="1:11" x14ac:dyDescent="0.25">
      <c r="A7110">
        <v>1079</v>
      </c>
      <c r="B7110">
        <v>1</v>
      </c>
      <c r="C7110">
        <v>1.52627617354519</v>
      </c>
      <c r="D7110">
        <v>2.4835175376401302</v>
      </c>
      <c r="E7110">
        <v>6</v>
      </c>
      <c r="F7110">
        <v>1.01722196789785</v>
      </c>
      <c r="G7110" t="s">
        <v>85</v>
      </c>
      <c r="H7110" t="s">
        <v>85</v>
      </c>
      <c r="I7110">
        <v>596</v>
      </c>
      <c r="J7110">
        <v>832</v>
      </c>
      <c r="K7110">
        <v>9.4413370804653396E-2</v>
      </c>
    </row>
    <row r="7111" spans="1:11" x14ac:dyDescent="0.25">
      <c r="A7111" t="s">
        <v>86</v>
      </c>
    </row>
    <row r="7112" spans="1:11" x14ac:dyDescent="0.25">
      <c r="A7112">
        <v>136.68816797472701</v>
      </c>
      <c r="B7112">
        <v>72.304873831648905</v>
      </c>
      <c r="C7112">
        <v>2000</v>
      </c>
    </row>
    <row r="7113" spans="1:11" x14ac:dyDescent="0.25">
      <c r="A7113">
        <v>135.77527224633701</v>
      </c>
      <c r="B7113">
        <v>73.217769560039798</v>
      </c>
      <c r="C7113">
        <v>2000</v>
      </c>
    </row>
    <row r="7114" spans="1:11" x14ac:dyDescent="0.25">
      <c r="A7114">
        <v>134.90124019743899</v>
      </c>
      <c r="B7114">
        <v>73.217769560039898</v>
      </c>
      <c r="C7114">
        <v>2001</v>
      </c>
    </row>
    <row r="7115" spans="1:11" x14ac:dyDescent="0.25">
      <c r="A7115">
        <v>136.146824933603</v>
      </c>
      <c r="B7115">
        <v>71.972184823876304</v>
      </c>
      <c r="C7115">
        <v>2001</v>
      </c>
    </row>
    <row r="7116" spans="1:11" x14ac:dyDescent="0.25">
      <c r="A7116">
        <v>138.17360854622601</v>
      </c>
      <c r="B7116">
        <v>69.945401211252701</v>
      </c>
      <c r="C7116">
        <v>2001</v>
      </c>
    </row>
    <row r="7117" spans="1:11" x14ac:dyDescent="0.25">
      <c r="A7117">
        <v>138.17360854622601</v>
      </c>
      <c r="B7117">
        <v>70.819433260150404</v>
      </c>
      <c r="C7117">
        <v>2000</v>
      </c>
    </row>
    <row r="7118" spans="1:11" x14ac:dyDescent="0.25">
      <c r="A7118" t="s">
        <v>87</v>
      </c>
    </row>
    <row r="7119" spans="1:11" x14ac:dyDescent="0.25">
      <c r="A7119">
        <v>980</v>
      </c>
      <c r="B7119">
        <v>1</v>
      </c>
      <c r="C7119">
        <v>2.1143785465431599</v>
      </c>
      <c r="D7119">
        <v>1.88433200874022</v>
      </c>
      <c r="E7119">
        <v>6</v>
      </c>
      <c r="F7119">
        <v>1.01722196789785</v>
      </c>
      <c r="G7119" t="s">
        <v>88</v>
      </c>
      <c r="H7119" t="s">
        <v>85</v>
      </c>
      <c r="I7119">
        <v>0</v>
      </c>
      <c r="J7119">
        <v>359</v>
      </c>
      <c r="K7119">
        <v>9.3028045338835699E-2</v>
      </c>
    </row>
    <row r="7120" spans="1:11" x14ac:dyDescent="0.25">
      <c r="A7120" t="s">
        <v>86</v>
      </c>
    </row>
    <row r="7121" spans="1:11" x14ac:dyDescent="0.25">
      <c r="A7121">
        <v>1.72617022574364</v>
      </c>
      <c r="B7121">
        <v>79.232658172720406</v>
      </c>
      <c r="C7121">
        <v>2000</v>
      </c>
    </row>
    <row r="7122" spans="1:11" x14ac:dyDescent="0.25">
      <c r="A7122">
        <v>0</v>
      </c>
      <c r="B7122">
        <v>80.958828398464107</v>
      </c>
      <c r="C7122">
        <v>2000</v>
      </c>
    </row>
    <row r="7123" spans="1:11" x14ac:dyDescent="0.25">
      <c r="A7123">
        <v>0</v>
      </c>
      <c r="B7123">
        <v>80.084796349566403</v>
      </c>
      <c r="C7123">
        <v>2001</v>
      </c>
    </row>
    <row r="7124" spans="1:11" x14ac:dyDescent="0.25">
      <c r="A7124">
        <v>1.2640125907683899</v>
      </c>
      <c r="B7124">
        <v>78.8207837587981</v>
      </c>
      <c r="C7124">
        <v>2001</v>
      </c>
    </row>
    <row r="7125" spans="1:11" x14ac:dyDescent="0.25">
      <c r="A7125">
        <v>2.3904993251942699</v>
      </c>
      <c r="B7125">
        <v>77.694297024372204</v>
      </c>
      <c r="C7125">
        <v>2001</v>
      </c>
    </row>
    <row r="7126" spans="1:11" x14ac:dyDescent="0.25">
      <c r="A7126">
        <v>3.2645313740919</v>
      </c>
      <c r="B7126">
        <v>77.694297024372204</v>
      </c>
      <c r="C7126">
        <v>2000</v>
      </c>
    </row>
    <row r="7127" spans="1:11" x14ac:dyDescent="0.25">
      <c r="A7127" t="s">
        <v>87</v>
      </c>
    </row>
    <row r="7128" spans="1:11" x14ac:dyDescent="0.25">
      <c r="A7128">
        <v>673</v>
      </c>
      <c r="B7128">
        <v>0</v>
      </c>
      <c r="C7128">
        <v>3.22635327344859</v>
      </c>
      <c r="D7128">
        <v>0.73737826322630395</v>
      </c>
      <c r="E7128">
        <v>6</v>
      </c>
      <c r="F7128">
        <v>1.01722196789785</v>
      </c>
      <c r="G7128" t="s">
        <v>85</v>
      </c>
      <c r="H7128" t="s">
        <v>89</v>
      </c>
      <c r="I7128">
        <v>760</v>
      </c>
      <c r="J7128">
        <v>585</v>
      </c>
      <c r="K7128">
        <v>0</v>
      </c>
    </row>
    <row r="7129" spans="1:11" x14ac:dyDescent="0.25">
      <c r="A7129" t="s">
        <v>86</v>
      </c>
    </row>
    <row r="7130" spans="1:11" x14ac:dyDescent="0.25">
      <c r="A7130">
        <v>99.648294443665094</v>
      </c>
      <c r="B7130">
        <v>85.820776009490601</v>
      </c>
      <c r="C7130">
        <v>2000</v>
      </c>
    </row>
    <row r="7131" spans="1:11" x14ac:dyDescent="0.25">
      <c r="A7131">
        <v>97.544776840845799</v>
      </c>
      <c r="B7131">
        <v>83.717258406671405</v>
      </c>
      <c r="C7131">
        <v>2000</v>
      </c>
    </row>
    <row r="7132" spans="1:11" x14ac:dyDescent="0.25">
      <c r="A7132">
        <v>96.670744791948195</v>
      </c>
      <c r="B7132">
        <v>83.717258406671405</v>
      </c>
      <c r="C7132">
        <v>2001</v>
      </c>
    </row>
    <row r="7133" spans="1:11" x14ac:dyDescent="0.25">
      <c r="A7133">
        <v>99.129979745446803</v>
      </c>
      <c r="B7133">
        <v>86.1764933601699</v>
      </c>
      <c r="C7133">
        <v>2001</v>
      </c>
    </row>
    <row r="7134" spans="1:11" x14ac:dyDescent="0.25">
      <c r="A7134">
        <v>99.6920342525584</v>
      </c>
      <c r="B7134">
        <v>86.738547867281596</v>
      </c>
      <c r="C7134">
        <v>2001</v>
      </c>
    </row>
    <row r="7135" spans="1:11" x14ac:dyDescent="0.25">
      <c r="A7135">
        <v>100.129050277007</v>
      </c>
      <c r="B7135">
        <v>86.301531842832702</v>
      </c>
      <c r="C7135">
        <v>2000</v>
      </c>
    </row>
    <row r="7136" spans="1:11" x14ac:dyDescent="0.25">
      <c r="A7136" t="s">
        <v>87</v>
      </c>
    </row>
    <row r="7137" spans="1:11" x14ac:dyDescent="0.25">
      <c r="A7137">
        <v>961</v>
      </c>
      <c r="B7137">
        <v>0</v>
      </c>
      <c r="C7137">
        <v>0.72642599204205305</v>
      </c>
      <c r="D7137">
        <v>3.19783240226631</v>
      </c>
      <c r="E7137">
        <v>6</v>
      </c>
      <c r="F7137">
        <v>1.01722196789785</v>
      </c>
      <c r="G7137" t="s">
        <v>85</v>
      </c>
      <c r="H7137" t="s">
        <v>85</v>
      </c>
      <c r="I7137">
        <v>704</v>
      </c>
      <c r="J7137">
        <v>897</v>
      </c>
      <c r="K7137">
        <v>9.2594931978171202E-2</v>
      </c>
    </row>
    <row r="7138" spans="1:11" x14ac:dyDescent="0.25">
      <c r="A7138" t="s">
        <v>86</v>
      </c>
    </row>
    <row r="7139" spans="1:11" x14ac:dyDescent="0.25">
      <c r="A7139">
        <v>65.704961764479904</v>
      </c>
      <c r="B7139">
        <v>85.740186453675904</v>
      </c>
      <c r="C7139">
        <v>2000</v>
      </c>
    </row>
    <row r="7140" spans="1:11" x14ac:dyDescent="0.25">
      <c r="A7140">
        <v>65.191301019476796</v>
      </c>
      <c r="B7140">
        <v>85.226525708672796</v>
      </c>
      <c r="C7140">
        <v>2000</v>
      </c>
    </row>
    <row r="7141" spans="1:11" x14ac:dyDescent="0.25">
      <c r="A7141">
        <v>64.317268970579207</v>
      </c>
      <c r="B7141">
        <v>85.226525708672796</v>
      </c>
      <c r="C7141">
        <v>2001</v>
      </c>
    </row>
    <row r="7142" spans="1:11" x14ac:dyDescent="0.25">
      <c r="A7142">
        <v>64.8309297155823</v>
      </c>
      <c r="B7142">
        <v>85.740186453675904</v>
      </c>
      <c r="C7142">
        <v>2001</v>
      </c>
    </row>
    <row r="7143" spans="1:11" x14ac:dyDescent="0.25">
      <c r="A7143">
        <v>67.092138692322806</v>
      </c>
      <c r="B7143">
        <v>88.001395430416494</v>
      </c>
      <c r="C7143">
        <v>2001</v>
      </c>
    </row>
    <row r="7144" spans="1:11" x14ac:dyDescent="0.25">
      <c r="A7144">
        <v>67.966170741220395</v>
      </c>
      <c r="B7144">
        <v>88.001395430416494</v>
      </c>
      <c r="C7144">
        <v>2000</v>
      </c>
    </row>
    <row r="7145" spans="1:11" x14ac:dyDescent="0.25">
      <c r="A7145" t="s">
        <v>87</v>
      </c>
    </row>
    <row r="7146" spans="1:11" x14ac:dyDescent="0.25">
      <c r="A7146">
        <v>848</v>
      </c>
      <c r="B7146">
        <v>1</v>
      </c>
      <c r="C7146">
        <v>2.8375310620069998</v>
      </c>
      <c r="D7146">
        <v>1.0786468924030099</v>
      </c>
      <c r="E7146">
        <v>6</v>
      </c>
      <c r="F7146">
        <v>1.01722196789785</v>
      </c>
      <c r="G7146" t="s">
        <v>85</v>
      </c>
      <c r="H7146" t="s">
        <v>85</v>
      </c>
      <c r="I7146">
        <v>795</v>
      </c>
      <c r="J7146">
        <v>347</v>
      </c>
      <c r="K7146">
        <v>9.0645505931922193E-2</v>
      </c>
    </row>
    <row r="7147" spans="1:11" x14ac:dyDescent="0.25">
      <c r="A7147" t="s">
        <v>86</v>
      </c>
    </row>
    <row r="7148" spans="1:11" x14ac:dyDescent="0.25">
      <c r="A7148">
        <v>39.7900472178626</v>
      </c>
      <c r="B7148">
        <v>91.309341529185104</v>
      </c>
      <c r="C7148">
        <v>2000</v>
      </c>
    </row>
    <row r="7149" spans="1:11" x14ac:dyDescent="0.25">
      <c r="A7149">
        <v>38.1002569008065</v>
      </c>
      <c r="B7149">
        <v>92.999131846241198</v>
      </c>
      <c r="C7149">
        <v>2000</v>
      </c>
    </row>
    <row r="7150" spans="1:11" x14ac:dyDescent="0.25">
      <c r="A7150">
        <v>37.226224851908803</v>
      </c>
      <c r="B7150">
        <v>92.999131846241198</v>
      </c>
      <c r="C7150">
        <v>2001</v>
      </c>
    </row>
    <row r="7151" spans="1:11" x14ac:dyDescent="0.25">
      <c r="A7151">
        <v>39.549309446397899</v>
      </c>
      <c r="B7151">
        <v>90.676047251752195</v>
      </c>
      <c r="C7151">
        <v>2001</v>
      </c>
    </row>
    <row r="7152" spans="1:11" x14ac:dyDescent="0.25">
      <c r="A7152">
        <v>40.432396864254201</v>
      </c>
      <c r="B7152">
        <v>89.792959833895907</v>
      </c>
      <c r="C7152">
        <v>2001</v>
      </c>
    </row>
    <row r="7153" spans="1:11" x14ac:dyDescent="0.25">
      <c r="A7153">
        <v>40.432396864254201</v>
      </c>
      <c r="B7153">
        <v>90.666991882793496</v>
      </c>
      <c r="C7153">
        <v>2000</v>
      </c>
    </row>
    <row r="7154" spans="1:11" x14ac:dyDescent="0.25">
      <c r="A7154" t="s">
        <v>87</v>
      </c>
    </row>
    <row r="7155" spans="1:11" x14ac:dyDescent="0.25">
      <c r="A7155">
        <v>1133</v>
      </c>
      <c r="B7155">
        <v>1</v>
      </c>
      <c r="C7155">
        <v>1.41615075533788</v>
      </c>
      <c r="D7155">
        <v>2.4639113176121201</v>
      </c>
      <c r="E7155">
        <v>6</v>
      </c>
      <c r="F7155">
        <v>1.01722196789785</v>
      </c>
      <c r="G7155" t="s">
        <v>85</v>
      </c>
      <c r="H7155" t="s">
        <v>85</v>
      </c>
      <c r="I7155">
        <v>111</v>
      </c>
      <c r="J7155">
        <v>102</v>
      </c>
      <c r="K7155">
        <v>9.5129269803373898E-2</v>
      </c>
    </row>
    <row r="7156" spans="1:11" x14ac:dyDescent="0.25">
      <c r="A7156" t="s">
        <v>86</v>
      </c>
    </row>
    <row r="7157" spans="1:11" x14ac:dyDescent="0.25">
      <c r="A7157">
        <v>141.151189636975</v>
      </c>
      <c r="B7157">
        <v>19.267233998182501</v>
      </c>
      <c r="C7157">
        <v>2000</v>
      </c>
    </row>
    <row r="7158" spans="1:11" x14ac:dyDescent="0.25">
      <c r="A7158">
        <v>140.14981983469301</v>
      </c>
      <c r="B7158">
        <v>20.268603800464302</v>
      </c>
      <c r="C7158">
        <v>2000</v>
      </c>
    </row>
    <row r="7159" spans="1:11" x14ac:dyDescent="0.25">
      <c r="A7159">
        <v>140.14981983469301</v>
      </c>
      <c r="B7159">
        <v>21.142635849362001</v>
      </c>
      <c r="C7159">
        <v>2001</v>
      </c>
    </row>
    <row r="7160" spans="1:11" x14ac:dyDescent="0.25">
      <c r="A7160">
        <v>141.151189636975</v>
      </c>
      <c r="B7160">
        <v>20.141266047080101</v>
      </c>
      <c r="C7160">
        <v>2001</v>
      </c>
    </row>
    <row r="7161" spans="1:11" x14ac:dyDescent="0.25">
      <c r="A7161">
        <v>142.89343803790101</v>
      </c>
      <c r="B7161">
        <v>18.399017646154299</v>
      </c>
      <c r="C7161">
        <v>2001</v>
      </c>
    </row>
    <row r="7162" spans="1:11" x14ac:dyDescent="0.25">
      <c r="A7162">
        <v>142.89343803790101</v>
      </c>
      <c r="B7162">
        <v>17.524985597256599</v>
      </c>
      <c r="C7162">
        <v>2000</v>
      </c>
    </row>
    <row r="7163" spans="1:11" x14ac:dyDescent="0.25">
      <c r="A7163" t="s">
        <v>87</v>
      </c>
    </row>
    <row r="7164" spans="1:11" x14ac:dyDescent="0.25">
      <c r="A7164">
        <v>938</v>
      </c>
      <c r="B7164">
        <v>1</v>
      </c>
      <c r="C7164">
        <v>1.55350712067187</v>
      </c>
      <c r="D7164">
        <v>2.3265549522781299</v>
      </c>
      <c r="E7164">
        <v>6</v>
      </c>
      <c r="F7164">
        <v>1.01722196789785</v>
      </c>
      <c r="G7164" t="s">
        <v>85</v>
      </c>
      <c r="H7164" t="s">
        <v>85</v>
      </c>
      <c r="I7164">
        <v>111</v>
      </c>
      <c r="J7164">
        <v>102</v>
      </c>
      <c r="K7164">
        <v>9.2142179589674397E-2</v>
      </c>
    </row>
    <row r="7165" spans="1:11" x14ac:dyDescent="0.25">
      <c r="A7165" t="s">
        <v>86</v>
      </c>
    </row>
    <row r="7166" spans="1:11" x14ac:dyDescent="0.25">
      <c r="A7166">
        <v>145.96671220471501</v>
      </c>
      <c r="B7166">
        <v>23.8885053311887</v>
      </c>
      <c r="C7166">
        <v>2000</v>
      </c>
    </row>
    <row r="7167" spans="1:11" x14ac:dyDescent="0.25">
      <c r="A7167">
        <v>144.86821678506601</v>
      </c>
      <c r="B7167">
        <v>24.987000750837399</v>
      </c>
      <c r="C7167">
        <v>2000</v>
      </c>
    </row>
    <row r="7168" spans="1:11" x14ac:dyDescent="0.25">
      <c r="A7168">
        <v>143.99418473616899</v>
      </c>
      <c r="B7168">
        <v>24.987000750837399</v>
      </c>
      <c r="C7168">
        <v>2001</v>
      </c>
    </row>
    <row r="7169" spans="1:11" x14ac:dyDescent="0.25">
      <c r="A7169">
        <v>145.09268015581699</v>
      </c>
      <c r="B7169">
        <v>23.8885053311887</v>
      </c>
      <c r="C7169">
        <v>2001</v>
      </c>
    </row>
    <row r="7170" spans="1:11" x14ac:dyDescent="0.25">
      <c r="A7170">
        <v>146.737802939376</v>
      </c>
      <c r="B7170">
        <v>22.2433825476297</v>
      </c>
      <c r="C7170">
        <v>2001</v>
      </c>
    </row>
    <row r="7171" spans="1:11" x14ac:dyDescent="0.25">
      <c r="A7171">
        <v>147.61183498827401</v>
      </c>
      <c r="B7171">
        <v>22.2433825476297</v>
      </c>
      <c r="C7171">
        <v>2000</v>
      </c>
    </row>
    <row r="7172" spans="1:11" x14ac:dyDescent="0.25">
      <c r="A7172" t="s">
        <v>87</v>
      </c>
    </row>
    <row r="7173" spans="1:11" x14ac:dyDescent="0.25">
      <c r="A7173">
        <v>271</v>
      </c>
      <c r="B7173">
        <v>0</v>
      </c>
      <c r="C7173">
        <v>0.90463442913522796</v>
      </c>
      <c r="D7173">
        <v>2.9716448717080799</v>
      </c>
      <c r="E7173">
        <v>6</v>
      </c>
      <c r="F7173">
        <v>1.01722196789785</v>
      </c>
      <c r="G7173" t="s">
        <v>89</v>
      </c>
      <c r="H7173" t="s">
        <v>89</v>
      </c>
      <c r="I7173">
        <v>262</v>
      </c>
      <c r="J7173">
        <v>266</v>
      </c>
      <c r="K7173">
        <v>0</v>
      </c>
    </row>
    <row r="7174" spans="1:11" x14ac:dyDescent="0.25">
      <c r="A7174" t="s">
        <v>86</v>
      </c>
    </row>
    <row r="7175" spans="1:11" x14ac:dyDescent="0.25">
      <c r="A7175">
        <v>34.236682439803303</v>
      </c>
      <c r="B7175">
        <v>131.902606582685</v>
      </c>
      <c r="C7175">
        <v>2000</v>
      </c>
    </row>
    <row r="7176" spans="1:11" x14ac:dyDescent="0.25">
      <c r="A7176">
        <v>33.597009300466901</v>
      </c>
      <c r="B7176">
        <v>131.262933443349</v>
      </c>
      <c r="C7176">
        <v>2000</v>
      </c>
    </row>
    <row r="7177" spans="1:11" x14ac:dyDescent="0.25">
      <c r="A7177">
        <v>34.034025324915802</v>
      </c>
      <c r="B7177">
        <v>130.82591741889999</v>
      </c>
      <c r="C7177">
        <v>2001</v>
      </c>
    </row>
    <row r="7178" spans="1:11" x14ac:dyDescent="0.25">
      <c r="A7178">
        <v>34.673698464252098</v>
      </c>
      <c r="B7178">
        <v>131.46559055823599</v>
      </c>
      <c r="C7178">
        <v>2001</v>
      </c>
    </row>
    <row r="7179" spans="1:11" x14ac:dyDescent="0.25">
      <c r="A7179">
        <v>36.7749687043151</v>
      </c>
      <c r="B7179">
        <v>133.56686079829899</v>
      </c>
      <c r="C7179">
        <v>2001</v>
      </c>
    </row>
    <row r="7180" spans="1:11" x14ac:dyDescent="0.25">
      <c r="A7180">
        <v>36.337952679866298</v>
      </c>
      <c r="B7180">
        <v>134.003876822748</v>
      </c>
      <c r="C7180">
        <v>2000</v>
      </c>
    </row>
    <row r="7181" spans="1:11" x14ac:dyDescent="0.25">
      <c r="A7181" t="s">
        <v>87</v>
      </c>
    </row>
    <row r="7182" spans="1:11" x14ac:dyDescent="0.25">
      <c r="A7182">
        <v>1225</v>
      </c>
      <c r="B7182">
        <v>0</v>
      </c>
      <c r="C7182">
        <v>0.49581898347173597</v>
      </c>
      <c r="D7182">
        <v>3.3452018874579998</v>
      </c>
      <c r="E7182">
        <v>6</v>
      </c>
      <c r="F7182">
        <v>1.01722196789785</v>
      </c>
      <c r="G7182" t="s">
        <v>85</v>
      </c>
      <c r="H7182" t="s">
        <v>85</v>
      </c>
      <c r="I7182">
        <v>920</v>
      </c>
      <c r="J7182">
        <v>796</v>
      </c>
      <c r="K7182">
        <v>9.6277099271545E-2</v>
      </c>
    </row>
    <row r="7183" spans="1:11" x14ac:dyDescent="0.25">
      <c r="A7183" t="s">
        <v>86</v>
      </c>
    </row>
    <row r="7184" spans="1:11" x14ac:dyDescent="0.25">
      <c r="A7184">
        <v>9.0871769448979993</v>
      </c>
      <c r="B7184">
        <v>100.767722052202</v>
      </c>
      <c r="C7184">
        <v>2000</v>
      </c>
    </row>
    <row r="7185" spans="1:11" x14ac:dyDescent="0.25">
      <c r="A7185">
        <v>8.6801676744126706</v>
      </c>
      <c r="B7185">
        <v>100.360712781716</v>
      </c>
      <c r="C7185">
        <v>2000</v>
      </c>
    </row>
    <row r="7186" spans="1:11" x14ac:dyDescent="0.25">
      <c r="A7186">
        <v>9.5541997233102993</v>
      </c>
      <c r="B7186">
        <v>100.360712781716</v>
      </c>
      <c r="C7186">
        <v>2001</v>
      </c>
    </row>
    <row r="7187" spans="1:11" x14ac:dyDescent="0.25">
      <c r="A7187">
        <v>9.8483843837327303</v>
      </c>
      <c r="B7187">
        <v>100.654897442139</v>
      </c>
      <c r="C7187">
        <v>2001</v>
      </c>
    </row>
    <row r="7188" spans="1:11" x14ac:dyDescent="0.25">
      <c r="A7188">
        <v>11.833195603375</v>
      </c>
      <c r="B7188">
        <v>102.639708661781</v>
      </c>
      <c r="C7188">
        <v>2001</v>
      </c>
    </row>
    <row r="7189" spans="1:11" x14ac:dyDescent="0.25">
      <c r="A7189">
        <v>11.833195603375</v>
      </c>
      <c r="B7189">
        <v>103.513740710679</v>
      </c>
      <c r="C7189">
        <v>2000</v>
      </c>
    </row>
    <row r="7190" spans="1:11" x14ac:dyDescent="0.25">
      <c r="A7190" t="s">
        <v>87</v>
      </c>
    </row>
    <row r="7191" spans="1:11" x14ac:dyDescent="0.25">
      <c r="A7191">
        <v>1068</v>
      </c>
      <c r="B7191">
        <v>0</v>
      </c>
      <c r="C7191">
        <v>2.3020383774420701</v>
      </c>
      <c r="D7191">
        <v>1.5334793663041399</v>
      </c>
      <c r="E7191">
        <v>6</v>
      </c>
      <c r="F7191">
        <v>1.01722196789785</v>
      </c>
      <c r="G7191" t="s">
        <v>85</v>
      </c>
      <c r="H7191" t="s">
        <v>85</v>
      </c>
      <c r="I7191">
        <v>310</v>
      </c>
      <c r="J7191">
        <v>311</v>
      </c>
      <c r="K7191">
        <v>9.4226499478247905E-2</v>
      </c>
    </row>
    <row r="7192" spans="1:11" x14ac:dyDescent="0.25">
      <c r="A7192" t="s">
        <v>86</v>
      </c>
    </row>
    <row r="7193" spans="1:11" x14ac:dyDescent="0.25">
      <c r="A7193">
        <v>33.555764228444602</v>
      </c>
      <c r="B7193">
        <v>136.05192371795101</v>
      </c>
      <c r="C7193">
        <v>2000</v>
      </c>
    </row>
    <row r="7194" spans="1:11" x14ac:dyDescent="0.25">
      <c r="A7194">
        <v>32.190269813021203</v>
      </c>
      <c r="B7194">
        <v>134.68642930252801</v>
      </c>
      <c r="C7194">
        <v>2000</v>
      </c>
    </row>
    <row r="7195" spans="1:11" x14ac:dyDescent="0.25">
      <c r="A7195">
        <v>31.316237764123599</v>
      </c>
      <c r="B7195">
        <v>134.68642930252801</v>
      </c>
      <c r="C7195">
        <v>2001</v>
      </c>
    </row>
    <row r="7196" spans="1:11" x14ac:dyDescent="0.25">
      <c r="A7196">
        <v>33.206317243182099</v>
      </c>
      <c r="B7196">
        <v>136.576508781586</v>
      </c>
      <c r="C7196">
        <v>2001</v>
      </c>
    </row>
    <row r="7197" spans="1:11" x14ac:dyDescent="0.25">
      <c r="A7197">
        <v>34.465374394536703</v>
      </c>
      <c r="B7197">
        <v>137.83556593294099</v>
      </c>
      <c r="C7197">
        <v>2001</v>
      </c>
    </row>
    <row r="7198" spans="1:11" x14ac:dyDescent="0.25">
      <c r="A7198">
        <v>34.465374394536703</v>
      </c>
      <c r="B7198">
        <v>136.96153388404301</v>
      </c>
      <c r="C7198">
        <v>2000</v>
      </c>
    </row>
    <row r="7199" spans="1:11" x14ac:dyDescent="0.25">
      <c r="A7199" t="s">
        <v>87</v>
      </c>
    </row>
    <row r="7200" spans="1:11" x14ac:dyDescent="0.25">
      <c r="A7200">
        <v>906</v>
      </c>
      <c r="B7200">
        <v>1</v>
      </c>
      <c r="C7200">
        <v>1.8459256271622799</v>
      </c>
      <c r="D7200">
        <v>1.9861045307224701</v>
      </c>
      <c r="E7200">
        <v>6</v>
      </c>
      <c r="F7200">
        <v>1.01722196789785</v>
      </c>
      <c r="G7200" t="s">
        <v>85</v>
      </c>
      <c r="H7200" t="s">
        <v>85</v>
      </c>
      <c r="I7200">
        <v>855</v>
      </c>
      <c r="J7200">
        <v>664</v>
      </c>
      <c r="K7200">
        <v>9.1667699418773299E-2</v>
      </c>
    </row>
    <row r="7201" spans="1:11" x14ac:dyDescent="0.25">
      <c r="A7201" t="s">
        <v>86</v>
      </c>
    </row>
    <row r="7202" spans="1:11" x14ac:dyDescent="0.25">
      <c r="A7202">
        <v>54.538941494368402</v>
      </c>
      <c r="B7202">
        <v>72.837306872480795</v>
      </c>
      <c r="C7202">
        <v>2000</v>
      </c>
    </row>
    <row r="7203" spans="1:11" x14ac:dyDescent="0.25">
      <c r="A7203">
        <v>53.023160161470202</v>
      </c>
      <c r="B7203">
        <v>74.353088205378995</v>
      </c>
      <c r="C7203">
        <v>2000</v>
      </c>
    </row>
    <row r="7204" spans="1:11" x14ac:dyDescent="0.25">
      <c r="A7204">
        <v>53.897192210367898</v>
      </c>
      <c r="B7204">
        <v>74.353088205378995</v>
      </c>
      <c r="C7204">
        <v>2001</v>
      </c>
    </row>
    <row r="7205" spans="1:11" x14ac:dyDescent="0.25">
      <c r="A7205">
        <v>54.991943934534603</v>
      </c>
      <c r="B7205">
        <v>73.258336481212297</v>
      </c>
      <c r="C7205">
        <v>2001</v>
      </c>
    </row>
    <row r="7206" spans="1:11" x14ac:dyDescent="0.25">
      <c r="A7206">
        <v>56.169830696270701</v>
      </c>
      <c r="B7206">
        <v>72.080449719476206</v>
      </c>
      <c r="C7206">
        <v>2001</v>
      </c>
    </row>
    <row r="7207" spans="1:11" x14ac:dyDescent="0.25">
      <c r="A7207">
        <v>56.169830696270701</v>
      </c>
      <c r="B7207">
        <v>71.206417670578503</v>
      </c>
      <c r="C7207">
        <v>2000</v>
      </c>
    </row>
    <row r="7208" spans="1:11" x14ac:dyDescent="0.25">
      <c r="A7208" t="s">
        <v>87</v>
      </c>
    </row>
    <row r="7209" spans="1:11" x14ac:dyDescent="0.25">
      <c r="A7209">
        <v>624</v>
      </c>
      <c r="B7209">
        <v>1</v>
      </c>
      <c r="C7209">
        <v>2.1635975045481399</v>
      </c>
      <c r="D7209">
        <v>1.6589924013466799</v>
      </c>
      <c r="E7209">
        <v>6</v>
      </c>
      <c r="F7209">
        <v>1.01722196789785</v>
      </c>
      <c r="G7209" t="s">
        <v>85</v>
      </c>
      <c r="H7209" t="s">
        <v>85</v>
      </c>
      <c r="I7209">
        <v>589</v>
      </c>
      <c r="J7209">
        <v>582</v>
      </c>
      <c r="K7209">
        <v>0</v>
      </c>
    </row>
    <row r="7210" spans="1:11" x14ac:dyDescent="0.25">
      <c r="A7210" t="s">
        <v>86</v>
      </c>
    </row>
    <row r="7211" spans="1:11" x14ac:dyDescent="0.25">
      <c r="A7211">
        <v>137.55248980956</v>
      </c>
      <c r="B7211">
        <v>60.919836989964999</v>
      </c>
      <c r="C7211">
        <v>2000</v>
      </c>
    </row>
    <row r="7212" spans="1:11" x14ac:dyDescent="0.25">
      <c r="A7212">
        <v>136.26994774037499</v>
      </c>
      <c r="B7212">
        <v>62.202379059149699</v>
      </c>
      <c r="C7212">
        <v>2000</v>
      </c>
    </row>
    <row r="7213" spans="1:11" x14ac:dyDescent="0.25">
      <c r="A7213">
        <v>136.26994774037499</v>
      </c>
      <c r="B7213">
        <v>63.076411108047303</v>
      </c>
      <c r="C7213">
        <v>2001</v>
      </c>
    </row>
    <row r="7214" spans="1:11" x14ac:dyDescent="0.25">
      <c r="A7214">
        <v>138.04719460563899</v>
      </c>
      <c r="B7214">
        <v>61.299164242783498</v>
      </c>
      <c r="C7214">
        <v>2001</v>
      </c>
    </row>
    <row r="7215" spans="1:11" x14ac:dyDescent="0.25">
      <c r="A7215">
        <v>139.409943008977</v>
      </c>
      <c r="B7215">
        <v>59.936415839444997</v>
      </c>
      <c r="C7215">
        <v>2001</v>
      </c>
    </row>
    <row r="7216" spans="1:11" x14ac:dyDescent="0.25">
      <c r="A7216">
        <v>138.53591096008</v>
      </c>
      <c r="B7216">
        <v>59.936415839444997</v>
      </c>
      <c r="C7216">
        <v>2000</v>
      </c>
    </row>
    <row r="7217" spans="1:11" x14ac:dyDescent="0.25">
      <c r="A7217" t="s">
        <v>87</v>
      </c>
    </row>
    <row r="7218" spans="1:11" x14ac:dyDescent="0.25">
      <c r="A7218">
        <v>1011</v>
      </c>
      <c r="B7218">
        <v>1</v>
      </c>
      <c r="C7218">
        <v>3.37214052314101</v>
      </c>
      <c r="D7218">
        <v>0.45044938275381002</v>
      </c>
      <c r="E7218">
        <v>6</v>
      </c>
      <c r="F7218">
        <v>1.01722196789785</v>
      </c>
      <c r="G7218" t="s">
        <v>85</v>
      </c>
      <c r="H7218" t="s">
        <v>85</v>
      </c>
      <c r="I7218">
        <v>589</v>
      </c>
      <c r="J7218">
        <v>582</v>
      </c>
      <c r="K7218">
        <v>9.3443328339296097E-2</v>
      </c>
    </row>
    <row r="7219" spans="1:11" x14ac:dyDescent="0.25">
      <c r="A7219" t="s">
        <v>86</v>
      </c>
    </row>
    <row r="7220" spans="1:11" x14ac:dyDescent="0.25">
      <c r="A7220">
        <v>137.30340471951899</v>
      </c>
      <c r="B7220">
        <v>59.2379463429697</v>
      </c>
      <c r="C7220">
        <v>2000</v>
      </c>
    </row>
    <row r="7221" spans="1:11" x14ac:dyDescent="0.25">
      <c r="A7221">
        <v>135.30445987185701</v>
      </c>
      <c r="B7221">
        <v>61.236891190631702</v>
      </c>
      <c r="C7221">
        <v>2000</v>
      </c>
    </row>
    <row r="7222" spans="1:11" x14ac:dyDescent="0.25">
      <c r="A7222">
        <v>134.43042782295899</v>
      </c>
      <c r="B7222">
        <v>61.236891190631702</v>
      </c>
      <c r="C7222">
        <v>2001</v>
      </c>
    </row>
    <row r="7223" spans="1:11" x14ac:dyDescent="0.25">
      <c r="A7223">
        <v>137.200409837351</v>
      </c>
      <c r="B7223">
        <v>58.466909176239803</v>
      </c>
      <c r="C7223">
        <v>2001</v>
      </c>
    </row>
    <row r="7224" spans="1:11" x14ac:dyDescent="0.25">
      <c r="A7224">
        <v>137.57042309156199</v>
      </c>
      <c r="B7224">
        <v>58.096895922029397</v>
      </c>
      <c r="C7224">
        <v>2001</v>
      </c>
    </row>
    <row r="7225" spans="1:11" x14ac:dyDescent="0.25">
      <c r="A7225">
        <v>137.57042309156199</v>
      </c>
      <c r="B7225">
        <v>58.9709279709271</v>
      </c>
      <c r="C7225">
        <v>2000</v>
      </c>
    </row>
    <row r="7226" spans="1:11" x14ac:dyDescent="0.25">
      <c r="A7226" t="s">
        <v>87</v>
      </c>
    </row>
    <row r="7227" spans="1:11" x14ac:dyDescent="0.25">
      <c r="A7227">
        <v>1046</v>
      </c>
      <c r="B7227">
        <v>1</v>
      </c>
      <c r="C7227">
        <v>3.0232085916178701</v>
      </c>
      <c r="D7227">
        <v>0.77629629995666205</v>
      </c>
      <c r="E7227">
        <v>6</v>
      </c>
      <c r="F7227">
        <v>1.01722196789785</v>
      </c>
      <c r="G7227" t="s">
        <v>85</v>
      </c>
      <c r="H7227" t="s">
        <v>85</v>
      </c>
      <c r="I7227">
        <v>663</v>
      </c>
      <c r="J7227">
        <v>1023</v>
      </c>
      <c r="K7227">
        <v>9.3842356677082794E-2</v>
      </c>
    </row>
    <row r="7228" spans="1:11" x14ac:dyDescent="0.25">
      <c r="A7228" t="s">
        <v>86</v>
      </c>
    </row>
    <row r="7229" spans="1:11" x14ac:dyDescent="0.25">
      <c r="A7229">
        <v>55.869042863032</v>
      </c>
      <c r="B7229">
        <v>54.317462149278001</v>
      </c>
      <c r="C7229">
        <v>2000</v>
      </c>
    </row>
    <row r="7230" spans="1:11" x14ac:dyDescent="0.25">
      <c r="A7230">
        <v>53.383584524226698</v>
      </c>
      <c r="B7230">
        <v>56.802920488083203</v>
      </c>
      <c r="C7230">
        <v>2000</v>
      </c>
    </row>
    <row r="7231" spans="1:11" x14ac:dyDescent="0.25">
      <c r="A7231">
        <v>54.257616573124402</v>
      </c>
      <c r="B7231">
        <v>56.802920488083203</v>
      </c>
      <c r="C7231">
        <v>2001</v>
      </c>
    </row>
    <row r="7232" spans="1:11" x14ac:dyDescent="0.25">
      <c r="A7232">
        <v>56.047620826467998</v>
      </c>
      <c r="B7232">
        <v>55.012916234739599</v>
      </c>
      <c r="C7232">
        <v>2001</v>
      </c>
    </row>
    <row r="7233" spans="1:11" x14ac:dyDescent="0.25">
      <c r="A7233">
        <v>56.5072562226594</v>
      </c>
      <c r="B7233">
        <v>54.553280838548197</v>
      </c>
      <c r="C7233">
        <v>2001</v>
      </c>
    </row>
    <row r="7234" spans="1:11" x14ac:dyDescent="0.25">
      <c r="A7234">
        <v>56.5072562226594</v>
      </c>
      <c r="B7234">
        <v>53.6792487896506</v>
      </c>
      <c r="C7234">
        <v>2000</v>
      </c>
    </row>
    <row r="7235" spans="1:11" x14ac:dyDescent="0.25">
      <c r="A7235" t="s">
        <v>87</v>
      </c>
    </row>
    <row r="7236" spans="1:11" x14ac:dyDescent="0.25">
      <c r="A7236">
        <v>1072</v>
      </c>
      <c r="B7236">
        <v>1</v>
      </c>
      <c r="C7236">
        <v>2.7436730431706402</v>
      </c>
      <c r="D7236">
        <v>1.0558318484039</v>
      </c>
      <c r="E7236">
        <v>6</v>
      </c>
      <c r="F7236">
        <v>1.01722196789785</v>
      </c>
      <c r="G7236" t="s">
        <v>85</v>
      </c>
      <c r="H7236" t="s">
        <v>85</v>
      </c>
      <c r="I7236">
        <v>663</v>
      </c>
      <c r="J7236">
        <v>1023</v>
      </c>
      <c r="K7236">
        <v>9.4226499478247905E-2</v>
      </c>
    </row>
    <row r="7237" spans="1:11" x14ac:dyDescent="0.25">
      <c r="A7237" t="s">
        <v>86</v>
      </c>
    </row>
    <row r="7238" spans="1:11" x14ac:dyDescent="0.25">
      <c r="A7238">
        <v>59.978790370815297</v>
      </c>
      <c r="B7238">
        <v>58.886836532829697</v>
      </c>
      <c r="C7238">
        <v>2000</v>
      </c>
    </row>
    <row r="7239" spans="1:11" x14ac:dyDescent="0.25">
      <c r="A7239">
        <v>57.723145469894199</v>
      </c>
      <c r="B7239">
        <v>61.142481433750703</v>
      </c>
      <c r="C7239">
        <v>2000</v>
      </c>
    </row>
    <row r="7240" spans="1:11" x14ac:dyDescent="0.25">
      <c r="A7240">
        <v>57.723145469894199</v>
      </c>
      <c r="B7240">
        <v>60.268449384853099</v>
      </c>
      <c r="C7240">
        <v>2001</v>
      </c>
    </row>
    <row r="7241" spans="1:11" x14ac:dyDescent="0.25">
      <c r="A7241">
        <v>59.347640197342599</v>
      </c>
      <c r="B7241">
        <v>58.643954657404699</v>
      </c>
      <c r="C7241">
        <v>2001</v>
      </c>
    </row>
    <row r="7242" spans="1:11" x14ac:dyDescent="0.25">
      <c r="A7242">
        <v>59.972785119429197</v>
      </c>
      <c r="B7242">
        <v>58.018809735318101</v>
      </c>
      <c r="C7242">
        <v>2001</v>
      </c>
    </row>
    <row r="7243" spans="1:11" x14ac:dyDescent="0.25">
      <c r="A7243">
        <v>60.846817168326901</v>
      </c>
      <c r="B7243">
        <v>58.018809735318101</v>
      </c>
      <c r="C7243">
        <v>2000</v>
      </c>
    </row>
    <row r="7244" spans="1:11" x14ac:dyDescent="0.25">
      <c r="A7244" t="s">
        <v>87</v>
      </c>
    </row>
    <row r="7245" spans="1:11" x14ac:dyDescent="0.25">
      <c r="A7245">
        <v>1002</v>
      </c>
      <c r="B7245">
        <v>0</v>
      </c>
      <c r="C7245">
        <v>2.0863990812647701</v>
      </c>
      <c r="D7245">
        <v>1.68306035919997</v>
      </c>
      <c r="E7245">
        <v>6</v>
      </c>
      <c r="F7245">
        <v>1.01722196789785</v>
      </c>
      <c r="G7245" t="s">
        <v>85</v>
      </c>
      <c r="H7245" t="s">
        <v>85</v>
      </c>
      <c r="I7245">
        <v>854</v>
      </c>
      <c r="J7245">
        <v>228</v>
      </c>
      <c r="K7245">
        <v>9.3237811683927099E-2</v>
      </c>
    </row>
    <row r="7246" spans="1:11" x14ac:dyDescent="0.25">
      <c r="A7246" t="s">
        <v>86</v>
      </c>
    </row>
    <row r="7247" spans="1:11" x14ac:dyDescent="0.25">
      <c r="A7247">
        <v>67.531578336633203</v>
      </c>
      <c r="B7247">
        <v>115.420112859188</v>
      </c>
      <c r="C7247">
        <v>2000</v>
      </c>
    </row>
    <row r="7248" spans="1:11" x14ac:dyDescent="0.25">
      <c r="A7248">
        <v>66.0562713980095</v>
      </c>
      <c r="B7248">
        <v>113.94480592056399</v>
      </c>
      <c r="C7248">
        <v>2000</v>
      </c>
    </row>
    <row r="7249" spans="1:11" x14ac:dyDescent="0.25">
      <c r="A7249">
        <v>66.930303446907104</v>
      </c>
      <c r="B7249">
        <v>113.94480592056399</v>
      </c>
      <c r="C7249">
        <v>2001</v>
      </c>
    </row>
    <row r="7250" spans="1:11" x14ac:dyDescent="0.25">
      <c r="A7250">
        <v>68.405610385530807</v>
      </c>
      <c r="B7250">
        <v>115.420112859188</v>
      </c>
      <c r="C7250">
        <v>2001</v>
      </c>
    </row>
    <row r="7251" spans="1:11" x14ac:dyDescent="0.25">
      <c r="A7251">
        <v>69.595713778667402</v>
      </c>
      <c r="B7251">
        <v>116.61021625232399</v>
      </c>
      <c r="C7251">
        <v>2001</v>
      </c>
    </row>
    <row r="7252" spans="1:11" x14ac:dyDescent="0.25">
      <c r="A7252">
        <v>68.721681729769799</v>
      </c>
      <c r="B7252">
        <v>116.61021625232399</v>
      </c>
      <c r="C7252">
        <v>2000</v>
      </c>
    </row>
    <row r="7253" spans="1:11" x14ac:dyDescent="0.25">
      <c r="A7253" t="s">
        <v>87</v>
      </c>
    </row>
    <row r="7254" spans="1:11" x14ac:dyDescent="0.25">
      <c r="A7254">
        <v>1215</v>
      </c>
      <c r="B7254">
        <v>0</v>
      </c>
      <c r="C7254">
        <v>2.17180748015139</v>
      </c>
      <c r="D7254">
        <v>1.5976519603133601</v>
      </c>
      <c r="E7254">
        <v>6</v>
      </c>
      <c r="F7254">
        <v>1.01722196789785</v>
      </c>
      <c r="G7254" t="s">
        <v>85</v>
      </c>
      <c r="H7254" t="s">
        <v>85</v>
      </c>
      <c r="I7254">
        <v>854</v>
      </c>
      <c r="J7254">
        <v>228</v>
      </c>
      <c r="K7254">
        <v>9.6120382487224904E-2</v>
      </c>
    </row>
    <row r="7255" spans="1:11" x14ac:dyDescent="0.25">
      <c r="A7255" t="s">
        <v>86</v>
      </c>
    </row>
    <row r="7256" spans="1:11" x14ac:dyDescent="0.25">
      <c r="A7256">
        <v>65.528712817257201</v>
      </c>
      <c r="B7256">
        <v>117.54376409461</v>
      </c>
      <c r="C7256">
        <v>2000</v>
      </c>
    </row>
    <row r="7257" spans="1:11" x14ac:dyDescent="0.25">
      <c r="A7257">
        <v>63.993013020610498</v>
      </c>
      <c r="B7257">
        <v>116.008064297963</v>
      </c>
      <c r="C7257">
        <v>2000</v>
      </c>
    </row>
    <row r="7258" spans="1:11" x14ac:dyDescent="0.25">
      <c r="A7258">
        <v>64.867045069508194</v>
      </c>
      <c r="B7258">
        <v>116.008064297963</v>
      </c>
      <c r="C7258">
        <v>2001</v>
      </c>
    </row>
    <row r="7259" spans="1:11" x14ac:dyDescent="0.25">
      <c r="A7259">
        <v>66.402744866154904</v>
      </c>
      <c r="B7259">
        <v>117.54376409461</v>
      </c>
      <c r="C7259">
        <v>2001</v>
      </c>
    </row>
    <row r="7260" spans="1:11" x14ac:dyDescent="0.25">
      <c r="A7260">
        <v>67.532455401268393</v>
      </c>
      <c r="B7260">
        <v>118.673474629723</v>
      </c>
      <c r="C7260">
        <v>2001</v>
      </c>
    </row>
    <row r="7261" spans="1:11" x14ac:dyDescent="0.25">
      <c r="A7261">
        <v>66.658423352370804</v>
      </c>
      <c r="B7261">
        <v>118.673474629723</v>
      </c>
      <c r="C7261">
        <v>2000</v>
      </c>
    </row>
    <row r="7262" spans="1:11" x14ac:dyDescent="0.25">
      <c r="A7262" t="s">
        <v>87</v>
      </c>
    </row>
    <row r="7263" spans="1:11" x14ac:dyDescent="0.25">
      <c r="A7263">
        <v>1037</v>
      </c>
      <c r="B7263">
        <v>1</v>
      </c>
      <c r="C7263">
        <v>2.61055595932705</v>
      </c>
      <c r="D7263">
        <v>1.15526419954875</v>
      </c>
      <c r="E7263">
        <v>6</v>
      </c>
      <c r="F7263">
        <v>1.01722196789785</v>
      </c>
      <c r="G7263" t="s">
        <v>85</v>
      </c>
      <c r="H7263" t="s">
        <v>85</v>
      </c>
      <c r="I7263">
        <v>811</v>
      </c>
      <c r="J7263">
        <v>599</v>
      </c>
      <c r="K7263">
        <v>9.3842356677082794E-2</v>
      </c>
    </row>
    <row r="7264" spans="1:11" x14ac:dyDescent="0.25">
      <c r="A7264" t="s">
        <v>86</v>
      </c>
    </row>
    <row r="7265" spans="1:11" x14ac:dyDescent="0.25">
      <c r="A7265">
        <v>123.559305625753</v>
      </c>
      <c r="B7265">
        <v>79.781745038824994</v>
      </c>
      <c r="C7265">
        <v>2000</v>
      </c>
    </row>
    <row r="7266" spans="1:11" x14ac:dyDescent="0.25">
      <c r="A7266">
        <v>121.713363804246</v>
      </c>
      <c r="B7266">
        <v>81.627686860332105</v>
      </c>
      <c r="C7266">
        <v>2000</v>
      </c>
    </row>
    <row r="7267" spans="1:11" x14ac:dyDescent="0.25">
      <c r="A7267">
        <v>120.83933175534899</v>
      </c>
      <c r="B7267">
        <v>81.627686860332105</v>
      </c>
      <c r="C7267">
        <v>2001</v>
      </c>
    </row>
    <row r="7268" spans="1:11" x14ac:dyDescent="0.25">
      <c r="A7268">
        <v>122.68527357685601</v>
      </c>
      <c r="B7268">
        <v>79.781745038824994</v>
      </c>
      <c r="C7268">
        <v>2001</v>
      </c>
    </row>
    <row r="7269" spans="1:11" x14ac:dyDescent="0.25">
      <c r="A7269">
        <v>123.502168726419</v>
      </c>
      <c r="B7269">
        <v>78.964849889261998</v>
      </c>
      <c r="C7269">
        <v>2001</v>
      </c>
    </row>
    <row r="7270" spans="1:11" x14ac:dyDescent="0.25">
      <c r="A7270">
        <v>124.37620077531599</v>
      </c>
      <c r="B7270">
        <v>78.964849889261998</v>
      </c>
      <c r="C7270">
        <v>2000</v>
      </c>
    </row>
    <row r="7271" spans="1:11" x14ac:dyDescent="0.25">
      <c r="A7271" t="s">
        <v>87</v>
      </c>
    </row>
    <row r="7272" spans="1:11" x14ac:dyDescent="0.25">
      <c r="A7272">
        <v>1094</v>
      </c>
      <c r="B7272">
        <v>1</v>
      </c>
      <c r="C7272">
        <v>1.0106715660578101</v>
      </c>
      <c r="D7272">
        <v>2.7551485928180002</v>
      </c>
      <c r="E7272">
        <v>6</v>
      </c>
      <c r="F7272">
        <v>1.01722196789785</v>
      </c>
      <c r="G7272" t="s">
        <v>85</v>
      </c>
      <c r="H7272" t="s">
        <v>85</v>
      </c>
      <c r="I7272">
        <v>811</v>
      </c>
      <c r="J7272">
        <v>599</v>
      </c>
      <c r="K7272">
        <v>9.4596959481043894E-2</v>
      </c>
    </row>
    <row r="7273" spans="1:11" x14ac:dyDescent="0.25">
      <c r="A7273" t="s">
        <v>86</v>
      </c>
    </row>
    <row r="7274" spans="1:11" x14ac:dyDescent="0.25">
      <c r="A7274">
        <v>118.60619693464</v>
      </c>
      <c r="B7274">
        <v>77.091214554901498</v>
      </c>
      <c r="C7274">
        <v>2000</v>
      </c>
    </row>
    <row r="7275" spans="1:11" x14ac:dyDescent="0.25">
      <c r="A7275">
        <v>117.89154421672799</v>
      </c>
      <c r="B7275">
        <v>77.805867272813401</v>
      </c>
      <c r="C7275">
        <v>2000</v>
      </c>
    </row>
    <row r="7276" spans="1:11" x14ac:dyDescent="0.25">
      <c r="A7276">
        <v>117.89154421672799</v>
      </c>
      <c r="B7276">
        <v>78.679899321711005</v>
      </c>
      <c r="C7276">
        <v>2001</v>
      </c>
    </row>
    <row r="7277" spans="1:11" x14ac:dyDescent="0.25">
      <c r="A7277">
        <v>118.60619693464</v>
      </c>
      <c r="B7277">
        <v>77.965246603799102</v>
      </c>
      <c r="C7277">
        <v>2001</v>
      </c>
    </row>
    <row r="7278" spans="1:11" x14ac:dyDescent="0.25">
      <c r="A7278">
        <v>120.554381187798</v>
      </c>
      <c r="B7278">
        <v>76.017062350640899</v>
      </c>
      <c r="C7278">
        <v>2001</v>
      </c>
    </row>
    <row r="7279" spans="1:11" x14ac:dyDescent="0.25">
      <c r="A7279">
        <v>120.554381187798</v>
      </c>
      <c r="B7279">
        <v>75.143030301743295</v>
      </c>
      <c r="C7279">
        <v>2000</v>
      </c>
    </row>
    <row r="7280" spans="1:11" x14ac:dyDescent="0.25">
      <c r="A7280" t="s">
        <v>87</v>
      </c>
    </row>
    <row r="7281" spans="1:11" x14ac:dyDescent="0.25">
      <c r="A7281">
        <v>1040</v>
      </c>
      <c r="B7281">
        <v>0</v>
      </c>
      <c r="C7281">
        <v>0.253374456265135</v>
      </c>
      <c r="D7281">
        <v>3.4959194293934401</v>
      </c>
      <c r="E7281">
        <v>6</v>
      </c>
      <c r="F7281">
        <v>1.01722196789785</v>
      </c>
      <c r="G7281" t="s">
        <v>85</v>
      </c>
      <c r="H7281" t="s">
        <v>85</v>
      </c>
      <c r="I7281">
        <v>227</v>
      </c>
      <c r="J7281">
        <v>222</v>
      </c>
      <c r="K7281">
        <v>9.3842356677082794E-2</v>
      </c>
    </row>
    <row r="7282" spans="1:11" x14ac:dyDescent="0.25">
      <c r="A7282" t="s">
        <v>86</v>
      </c>
    </row>
    <row r="7283" spans="1:11" x14ac:dyDescent="0.25">
      <c r="A7283">
        <v>72.727617644809698</v>
      </c>
      <c r="B7283">
        <v>145.63907884951601</v>
      </c>
      <c r="C7283">
        <v>2000</v>
      </c>
    </row>
    <row r="7284" spans="1:11" x14ac:dyDescent="0.25">
      <c r="A7284">
        <v>72.518921634898604</v>
      </c>
      <c r="B7284">
        <v>145.43038283960499</v>
      </c>
      <c r="C7284">
        <v>2000</v>
      </c>
    </row>
    <row r="7285" spans="1:11" x14ac:dyDescent="0.25">
      <c r="A7285">
        <v>73.392953683796307</v>
      </c>
      <c r="B7285">
        <v>145.43038283960399</v>
      </c>
      <c r="C7285">
        <v>2001</v>
      </c>
    </row>
    <row r="7286" spans="1:11" x14ac:dyDescent="0.25">
      <c r="A7286">
        <v>73.542583266294201</v>
      </c>
      <c r="B7286">
        <v>145.58001242210199</v>
      </c>
      <c r="C7286">
        <v>2001</v>
      </c>
    </row>
    <row r="7287" spans="1:11" x14ac:dyDescent="0.25">
      <c r="A7287">
        <v>75.607088790557896</v>
      </c>
      <c r="B7287">
        <v>147.64451794636599</v>
      </c>
      <c r="C7287">
        <v>2001</v>
      </c>
    </row>
    <row r="7288" spans="1:11" x14ac:dyDescent="0.25">
      <c r="A7288">
        <v>75.607088790557896</v>
      </c>
      <c r="B7288">
        <v>148.51854999526401</v>
      </c>
      <c r="C7288">
        <v>2000</v>
      </c>
    </row>
    <row r="7289" spans="1:11" x14ac:dyDescent="0.25">
      <c r="A7289" t="s">
        <v>87</v>
      </c>
    </row>
    <row r="7290" spans="1:11" x14ac:dyDescent="0.25">
      <c r="A7290">
        <v>1212</v>
      </c>
      <c r="B7290">
        <v>1</v>
      </c>
      <c r="C7290">
        <v>2.4923629593028598</v>
      </c>
      <c r="D7290">
        <v>1.2487711153805101</v>
      </c>
      <c r="E7290">
        <v>6</v>
      </c>
      <c r="F7290">
        <v>1.01722196789785</v>
      </c>
      <c r="G7290" t="s">
        <v>85</v>
      </c>
      <c r="H7290" t="s">
        <v>85</v>
      </c>
      <c r="I7290">
        <v>585</v>
      </c>
      <c r="J7290">
        <v>751</v>
      </c>
      <c r="K7290">
        <v>9.6120382487224904E-2</v>
      </c>
    </row>
    <row r="7291" spans="1:11" x14ac:dyDescent="0.25">
      <c r="A7291" t="s">
        <v>86</v>
      </c>
    </row>
    <row r="7292" spans="1:11" x14ac:dyDescent="0.25">
      <c r="A7292">
        <v>106.68707865136101</v>
      </c>
      <c r="B7292">
        <v>89.991444523451307</v>
      </c>
      <c r="C7292">
        <v>2000</v>
      </c>
    </row>
    <row r="7293" spans="1:11" x14ac:dyDescent="0.25">
      <c r="A7293">
        <v>104.92471190165899</v>
      </c>
      <c r="B7293">
        <v>91.753811273152493</v>
      </c>
      <c r="C7293">
        <v>2000</v>
      </c>
    </row>
    <row r="7294" spans="1:11" x14ac:dyDescent="0.25">
      <c r="A7294">
        <v>104.92471190165899</v>
      </c>
      <c r="B7294">
        <v>92.627843322050097</v>
      </c>
      <c r="C7294">
        <v>2001</v>
      </c>
    </row>
    <row r="7295" spans="1:11" x14ac:dyDescent="0.25">
      <c r="A7295">
        <v>106.68707865136101</v>
      </c>
      <c r="B7295">
        <v>90.865476572348896</v>
      </c>
      <c r="C7295">
        <v>2001</v>
      </c>
    </row>
    <row r="7296" spans="1:11" x14ac:dyDescent="0.25">
      <c r="A7296">
        <v>107.57009317519601</v>
      </c>
      <c r="B7296">
        <v>89.982462048513497</v>
      </c>
      <c r="C7296">
        <v>2001</v>
      </c>
    </row>
    <row r="7297" spans="1:11" x14ac:dyDescent="0.25">
      <c r="A7297">
        <v>107.57009317519601</v>
      </c>
      <c r="B7297">
        <v>89.108429999615794</v>
      </c>
      <c r="C7297">
        <v>2000</v>
      </c>
    </row>
    <row r="7298" spans="1:11" x14ac:dyDescent="0.25">
      <c r="A7298" t="s">
        <v>87</v>
      </c>
    </row>
    <row r="7299" spans="1:11" x14ac:dyDescent="0.25">
      <c r="A7299">
        <v>1084</v>
      </c>
      <c r="B7299">
        <v>0</v>
      </c>
      <c r="C7299">
        <v>3.2639338402130802</v>
      </c>
      <c r="D7299">
        <v>0.471005322744389</v>
      </c>
      <c r="E7299">
        <v>6</v>
      </c>
      <c r="F7299">
        <v>1.01722196789785</v>
      </c>
      <c r="G7299" t="s">
        <v>85</v>
      </c>
      <c r="H7299" t="s">
        <v>85</v>
      </c>
      <c r="I7299">
        <v>818</v>
      </c>
      <c r="J7299">
        <v>713</v>
      </c>
      <c r="K7299">
        <v>9.4413370804653396E-2</v>
      </c>
    </row>
    <row r="7300" spans="1:11" x14ac:dyDescent="0.25">
      <c r="A7300" t="s">
        <v>86</v>
      </c>
    </row>
    <row r="7301" spans="1:11" x14ac:dyDescent="0.25">
      <c r="A7301">
        <v>82.177042316736802</v>
      </c>
      <c r="B7301">
        <v>59.840577496141499</v>
      </c>
      <c r="C7301">
        <v>2000</v>
      </c>
    </row>
    <row r="7302" spans="1:11" x14ac:dyDescent="0.25">
      <c r="A7302">
        <v>79.869092564977905</v>
      </c>
      <c r="B7302">
        <v>57.532627744382602</v>
      </c>
      <c r="C7302">
        <v>2000</v>
      </c>
    </row>
    <row r="7303" spans="1:11" x14ac:dyDescent="0.25">
      <c r="A7303">
        <v>80.743124613875494</v>
      </c>
      <c r="B7303">
        <v>57.532627744382502</v>
      </c>
      <c r="C7303">
        <v>2001</v>
      </c>
    </row>
    <row r="7304" spans="1:11" x14ac:dyDescent="0.25">
      <c r="A7304">
        <v>83.051074365634406</v>
      </c>
      <c r="B7304">
        <v>59.840577496141499</v>
      </c>
      <c r="C7304">
        <v>2001</v>
      </c>
    </row>
    <row r="7305" spans="1:11" x14ac:dyDescent="0.25">
      <c r="A7305">
        <v>83.384125423321905</v>
      </c>
      <c r="B7305">
        <v>60.173628553828998</v>
      </c>
      <c r="C7305">
        <v>2001</v>
      </c>
    </row>
    <row r="7306" spans="1:11" x14ac:dyDescent="0.25">
      <c r="A7306">
        <v>82.510093374424301</v>
      </c>
      <c r="B7306">
        <v>60.173628553828998</v>
      </c>
      <c r="C7306">
        <v>2000</v>
      </c>
    </row>
    <row r="7307" spans="1:11" x14ac:dyDescent="0.25">
      <c r="A7307" t="s">
        <v>87</v>
      </c>
    </row>
    <row r="7308" spans="1:11" x14ac:dyDescent="0.25">
      <c r="A7308">
        <v>1189</v>
      </c>
      <c r="B7308">
        <v>0</v>
      </c>
      <c r="C7308">
        <v>2.95867735426947</v>
      </c>
      <c r="D7308">
        <v>0.76722394385625103</v>
      </c>
      <c r="E7308">
        <v>8</v>
      </c>
      <c r="F7308">
        <v>1.01722196789785</v>
      </c>
      <c r="G7308" t="s">
        <v>85</v>
      </c>
      <c r="H7308" t="s">
        <v>85</v>
      </c>
      <c r="I7308">
        <v>75</v>
      </c>
      <c r="J7308">
        <v>76</v>
      </c>
      <c r="K7308">
        <v>9.5800019506126696E-2</v>
      </c>
    </row>
    <row r="7309" spans="1:11" x14ac:dyDescent="0.25">
      <c r="A7309" t="s">
        <v>86</v>
      </c>
    </row>
    <row r="7310" spans="1:11" x14ac:dyDescent="0.25">
      <c r="A7310">
        <v>50.865412042451503</v>
      </c>
      <c r="B7310">
        <v>14.300903471839399</v>
      </c>
      <c r="C7310">
        <v>2000</v>
      </c>
    </row>
    <row r="7311" spans="1:11" x14ac:dyDescent="0.25">
      <c r="A7311">
        <v>50.272103186468001</v>
      </c>
      <c r="B7311">
        <v>13.7075946158559</v>
      </c>
      <c r="C7311">
        <v>2000</v>
      </c>
    </row>
    <row r="7312" spans="1:11" x14ac:dyDescent="0.25">
      <c r="A7312">
        <v>48.858061183634597</v>
      </c>
      <c r="B7312">
        <v>12.2935526130225</v>
      </c>
      <c r="C7312">
        <v>2000</v>
      </c>
    </row>
    <row r="7313" spans="1:11" x14ac:dyDescent="0.25">
      <c r="A7313">
        <v>47.984029134737</v>
      </c>
      <c r="B7313">
        <v>12.2935526130225</v>
      </c>
      <c r="C7313">
        <v>2001</v>
      </c>
    </row>
    <row r="7314" spans="1:11" x14ac:dyDescent="0.25">
      <c r="A7314">
        <v>49.727896813531999</v>
      </c>
      <c r="B7314">
        <v>14.0374202918176</v>
      </c>
      <c r="C7314">
        <v>2001</v>
      </c>
    </row>
    <row r="7315" spans="1:11" x14ac:dyDescent="0.25">
      <c r="A7315">
        <v>50.1608799170141</v>
      </c>
      <c r="B7315">
        <v>14.4704033952997</v>
      </c>
      <c r="C7315">
        <v>2001</v>
      </c>
    </row>
    <row r="7316" spans="1:11" x14ac:dyDescent="0.25">
      <c r="A7316">
        <v>50.6186392086734</v>
      </c>
      <c r="B7316">
        <v>14.928162686959</v>
      </c>
      <c r="C7316">
        <v>2001</v>
      </c>
    </row>
    <row r="7317" spans="1:11" x14ac:dyDescent="0.25">
      <c r="A7317">
        <v>51.492671257571097</v>
      </c>
      <c r="B7317">
        <v>14.928162686959</v>
      </c>
      <c r="C7317">
        <v>2000</v>
      </c>
    </row>
    <row r="7318" spans="1:11" x14ac:dyDescent="0.25">
      <c r="A7318" t="s">
        <v>87</v>
      </c>
    </row>
    <row r="7319" spans="1:11" x14ac:dyDescent="0.25">
      <c r="A7319">
        <v>939</v>
      </c>
      <c r="B7319">
        <v>0</v>
      </c>
      <c r="C7319">
        <v>1.2974577060049699</v>
      </c>
      <c r="D7319">
        <v>2.4284435921207499</v>
      </c>
      <c r="E7319">
        <v>8</v>
      </c>
      <c r="F7319">
        <v>1.01722196789785</v>
      </c>
      <c r="G7319" t="s">
        <v>85</v>
      </c>
      <c r="H7319" t="s">
        <v>85</v>
      </c>
      <c r="I7319">
        <v>75</v>
      </c>
      <c r="J7319">
        <v>76</v>
      </c>
      <c r="K7319">
        <v>9.2371134687469506E-2</v>
      </c>
    </row>
    <row r="7320" spans="1:11" x14ac:dyDescent="0.25">
      <c r="A7320" t="s">
        <v>86</v>
      </c>
    </row>
    <row r="7321" spans="1:11" x14ac:dyDescent="0.25">
      <c r="A7321">
        <v>50.143562427555203</v>
      </c>
      <c r="B7321">
        <v>12.4783913195115</v>
      </c>
      <c r="C7321">
        <v>2000</v>
      </c>
    </row>
    <row r="7322" spans="1:11" x14ac:dyDescent="0.25">
      <c r="A7322">
        <v>49.408392452350398</v>
      </c>
      <c r="B7322">
        <v>11.743221344306701</v>
      </c>
      <c r="C7322">
        <v>2000</v>
      </c>
    </row>
    <row r="7323" spans="1:11" x14ac:dyDescent="0.25">
      <c r="A7323">
        <v>48.534360403452801</v>
      </c>
      <c r="B7323">
        <v>11.743221344306701</v>
      </c>
      <c r="C7323">
        <v>2001</v>
      </c>
    </row>
    <row r="7324" spans="1:11" x14ac:dyDescent="0.25">
      <c r="A7324">
        <v>49.6340727126857</v>
      </c>
      <c r="B7324">
        <v>12.8429336535396</v>
      </c>
      <c r="C7324">
        <v>2001</v>
      </c>
    </row>
    <row r="7325" spans="1:11" x14ac:dyDescent="0.25">
      <c r="A7325">
        <v>49.767344135867397</v>
      </c>
      <c r="B7325">
        <v>12.9762050767213</v>
      </c>
      <c r="C7325">
        <v>2001</v>
      </c>
    </row>
    <row r="7326" spans="1:11" x14ac:dyDescent="0.25">
      <c r="A7326">
        <v>51.168970477389301</v>
      </c>
      <c r="B7326">
        <v>14.377831418243201</v>
      </c>
      <c r="C7326">
        <v>2001</v>
      </c>
    </row>
    <row r="7327" spans="1:11" x14ac:dyDescent="0.25">
      <c r="A7327">
        <v>52.043002526286898</v>
      </c>
      <c r="B7327">
        <v>14.377831418243201</v>
      </c>
      <c r="C7327">
        <v>2000</v>
      </c>
    </row>
    <row r="7328" spans="1:11" x14ac:dyDescent="0.25">
      <c r="A7328">
        <v>50.232655864132603</v>
      </c>
      <c r="B7328">
        <v>12.567484756088801</v>
      </c>
      <c r="C7328">
        <v>2000</v>
      </c>
    </row>
    <row r="7329" spans="1:11" x14ac:dyDescent="0.25">
      <c r="A7329" t="s">
        <v>87</v>
      </c>
    </row>
    <row r="7330" spans="1:11" x14ac:dyDescent="0.25">
      <c r="A7330">
        <v>1138</v>
      </c>
      <c r="B7330">
        <v>0</v>
      </c>
      <c r="C7330">
        <v>2.9248944655117599</v>
      </c>
      <c r="D7330">
        <v>0.801006832613957</v>
      </c>
      <c r="E7330">
        <v>6</v>
      </c>
      <c r="F7330">
        <v>1.01722196789785</v>
      </c>
      <c r="G7330" t="s">
        <v>85</v>
      </c>
      <c r="H7330" t="s">
        <v>85</v>
      </c>
      <c r="I7330">
        <v>75</v>
      </c>
      <c r="J7330">
        <v>76</v>
      </c>
      <c r="K7330">
        <v>9.5129269803373898E-2</v>
      </c>
    </row>
    <row r="7331" spans="1:11" x14ac:dyDescent="0.25">
      <c r="A7331" t="s">
        <v>86</v>
      </c>
    </row>
    <row r="7332" spans="1:11" x14ac:dyDescent="0.25">
      <c r="A7332">
        <v>52.429731819978798</v>
      </c>
      <c r="B7332">
        <v>12.8583073983151</v>
      </c>
      <c r="C7332">
        <v>2000</v>
      </c>
    </row>
    <row r="7333" spans="1:11" x14ac:dyDescent="0.25">
      <c r="A7333">
        <v>50.361519109160398</v>
      </c>
      <c r="B7333">
        <v>10.790094687496699</v>
      </c>
      <c r="C7333">
        <v>2000</v>
      </c>
    </row>
    <row r="7334" spans="1:11" x14ac:dyDescent="0.25">
      <c r="A7334">
        <v>50.361519109160398</v>
      </c>
      <c r="B7334">
        <v>9.9160626385990795</v>
      </c>
      <c r="C7334">
        <v>2001</v>
      </c>
    </row>
    <row r="7335" spans="1:11" x14ac:dyDescent="0.25">
      <c r="A7335">
        <v>52.429731819978798</v>
      </c>
      <c r="B7335">
        <v>11.9842753494175</v>
      </c>
      <c r="C7335">
        <v>2001</v>
      </c>
    </row>
    <row r="7336" spans="1:11" x14ac:dyDescent="0.25">
      <c r="A7336">
        <v>52.996129183096897</v>
      </c>
      <c r="B7336">
        <v>12.5506727125355</v>
      </c>
      <c r="C7336">
        <v>2001</v>
      </c>
    </row>
    <row r="7337" spans="1:11" x14ac:dyDescent="0.25">
      <c r="A7337">
        <v>52.996129183096897</v>
      </c>
      <c r="B7337">
        <v>13.424704761433199</v>
      </c>
      <c r="C7337">
        <v>2000</v>
      </c>
    </row>
    <row r="7338" spans="1:11" x14ac:dyDescent="0.25">
      <c r="A7338" t="s">
        <v>87</v>
      </c>
    </row>
    <row r="7339" spans="1:11" x14ac:dyDescent="0.25">
      <c r="A7339">
        <v>1211</v>
      </c>
      <c r="B7339">
        <v>1</v>
      </c>
      <c r="C7339">
        <v>2.86330846969491</v>
      </c>
      <c r="D7339">
        <v>0.85709659950099104</v>
      </c>
      <c r="E7339">
        <v>6</v>
      </c>
      <c r="F7339">
        <v>1.01722196789785</v>
      </c>
      <c r="G7339" t="s">
        <v>85</v>
      </c>
      <c r="H7339" t="s">
        <v>85</v>
      </c>
      <c r="I7339">
        <v>508</v>
      </c>
      <c r="J7339">
        <v>507</v>
      </c>
      <c r="K7339">
        <v>9.6120382487224904E-2</v>
      </c>
    </row>
    <row r="7340" spans="1:11" x14ac:dyDescent="0.25">
      <c r="A7340" t="s">
        <v>86</v>
      </c>
    </row>
    <row r="7341" spans="1:11" x14ac:dyDescent="0.25">
      <c r="A7341">
        <v>125.853845193905</v>
      </c>
      <c r="B7341">
        <v>141.32034233367099</v>
      </c>
      <c r="C7341">
        <v>2000</v>
      </c>
    </row>
    <row r="7342" spans="1:11" x14ac:dyDescent="0.25">
      <c r="A7342">
        <v>123.829180358355</v>
      </c>
      <c r="B7342">
        <v>143.34500716922099</v>
      </c>
      <c r="C7342">
        <v>2000</v>
      </c>
    </row>
    <row r="7343" spans="1:11" x14ac:dyDescent="0.25">
      <c r="A7343">
        <v>122.955148309457</v>
      </c>
      <c r="B7343">
        <v>143.34500716922099</v>
      </c>
      <c r="C7343">
        <v>2001</v>
      </c>
    </row>
    <row r="7344" spans="1:11" x14ac:dyDescent="0.25">
      <c r="A7344">
        <v>124.979813145007</v>
      </c>
      <c r="B7344">
        <v>141.32034233367099</v>
      </c>
      <c r="C7344">
        <v>2001</v>
      </c>
    </row>
    <row r="7345" spans="1:11" x14ac:dyDescent="0.25">
      <c r="A7345">
        <v>125.585871962646</v>
      </c>
      <c r="B7345">
        <v>140.714283516032</v>
      </c>
      <c r="C7345">
        <v>2001</v>
      </c>
    </row>
    <row r="7346" spans="1:11" x14ac:dyDescent="0.25">
      <c r="A7346">
        <v>126.459904011544</v>
      </c>
      <c r="B7346">
        <v>140.714283516032</v>
      </c>
      <c r="C7346">
        <v>2000</v>
      </c>
    </row>
    <row r="7347" spans="1:11" x14ac:dyDescent="0.25">
      <c r="A7347" t="s">
        <v>87</v>
      </c>
    </row>
    <row r="7348" spans="1:11" x14ac:dyDescent="0.25">
      <c r="A7348">
        <v>156</v>
      </c>
      <c r="B7348">
        <v>1</v>
      </c>
      <c r="C7348">
        <v>1.61625162798765</v>
      </c>
      <c r="D7348">
        <v>2.0644012416096298</v>
      </c>
      <c r="E7348">
        <v>6</v>
      </c>
      <c r="F7348">
        <v>1.01722196789785</v>
      </c>
      <c r="G7348" t="s">
        <v>85</v>
      </c>
      <c r="H7348" t="s">
        <v>85</v>
      </c>
      <c r="I7348">
        <v>119</v>
      </c>
      <c r="J7348">
        <v>114</v>
      </c>
      <c r="K7348">
        <v>0</v>
      </c>
    </row>
    <row r="7349" spans="1:11" x14ac:dyDescent="0.25">
      <c r="A7349" t="s">
        <v>86</v>
      </c>
    </row>
    <row r="7350" spans="1:11" x14ac:dyDescent="0.25">
      <c r="A7350">
        <v>126.845579365679</v>
      </c>
      <c r="B7350">
        <v>9.94261488965161</v>
      </c>
      <c r="C7350">
        <v>2000</v>
      </c>
    </row>
    <row r="7351" spans="1:11" x14ac:dyDescent="0.25">
      <c r="A7351">
        <v>125.510814006213</v>
      </c>
      <c r="B7351">
        <v>11.2773802491176</v>
      </c>
      <c r="C7351">
        <v>2000</v>
      </c>
    </row>
    <row r="7352" spans="1:11" x14ac:dyDescent="0.25">
      <c r="A7352">
        <v>125.510814006213</v>
      </c>
      <c r="B7352">
        <v>10.4033482002199</v>
      </c>
      <c r="C7352">
        <v>2001</v>
      </c>
    </row>
    <row r="7353" spans="1:11" x14ac:dyDescent="0.25">
      <c r="A7353">
        <v>126.461773619254</v>
      </c>
      <c r="B7353">
        <v>9.4523885871781896</v>
      </c>
      <c r="C7353">
        <v>2001</v>
      </c>
    </row>
    <row r="7354" spans="1:11" x14ac:dyDescent="0.25">
      <c r="A7354">
        <v>127.67641258505</v>
      </c>
      <c r="B7354">
        <v>8.2377496213828092</v>
      </c>
      <c r="C7354">
        <v>2001</v>
      </c>
    </row>
    <row r="7355" spans="1:11" x14ac:dyDescent="0.25">
      <c r="A7355">
        <v>128.550444633947</v>
      </c>
      <c r="B7355">
        <v>8.2377496213828092</v>
      </c>
      <c r="C7355">
        <v>2000</v>
      </c>
    </row>
    <row r="7356" spans="1:11" x14ac:dyDescent="0.25">
      <c r="A7356" t="s">
        <v>87</v>
      </c>
    </row>
    <row r="7357" spans="1:11" x14ac:dyDescent="0.25">
      <c r="A7357">
        <v>1119</v>
      </c>
      <c r="B7357">
        <v>1</v>
      </c>
      <c r="C7357">
        <v>1.31614039967811</v>
      </c>
      <c r="D7357">
        <v>2.3391717430946501</v>
      </c>
      <c r="E7357">
        <v>6</v>
      </c>
      <c r="F7357">
        <v>1.01722196789785</v>
      </c>
      <c r="G7357" t="s">
        <v>85</v>
      </c>
      <c r="H7357" t="s">
        <v>85</v>
      </c>
      <c r="I7357">
        <v>581</v>
      </c>
      <c r="J7357">
        <v>811</v>
      </c>
      <c r="K7357">
        <v>9.4777393206033497E-2</v>
      </c>
    </row>
    <row r="7358" spans="1:11" x14ac:dyDescent="0.25">
      <c r="A7358" t="s">
        <v>86</v>
      </c>
    </row>
    <row r="7359" spans="1:11" x14ac:dyDescent="0.25">
      <c r="A7359">
        <v>117.91220613192399</v>
      </c>
      <c r="B7359">
        <v>81.134617591814106</v>
      </c>
      <c r="C7359">
        <v>2000</v>
      </c>
    </row>
    <row r="7360" spans="1:11" x14ac:dyDescent="0.25">
      <c r="A7360">
        <v>116.981554330318</v>
      </c>
      <c r="B7360">
        <v>82.065269393420095</v>
      </c>
      <c r="C7360">
        <v>2000</v>
      </c>
    </row>
    <row r="7361" spans="1:11" x14ac:dyDescent="0.25">
      <c r="A7361">
        <v>116.981554330318</v>
      </c>
      <c r="B7361">
        <v>82.939301442317699</v>
      </c>
      <c r="C7361">
        <v>2001</v>
      </c>
    </row>
    <row r="7362" spans="1:11" x14ac:dyDescent="0.25">
      <c r="A7362">
        <v>117.91220613192399</v>
      </c>
      <c r="B7362">
        <v>82.008649640711795</v>
      </c>
      <c r="C7362">
        <v>2001</v>
      </c>
    </row>
    <row r="7363" spans="1:11" x14ac:dyDescent="0.25">
      <c r="A7363">
        <v>119.56625033382601</v>
      </c>
      <c r="B7363">
        <v>80.3546054388096</v>
      </c>
      <c r="C7363">
        <v>2001</v>
      </c>
    </row>
    <row r="7364" spans="1:11" x14ac:dyDescent="0.25">
      <c r="A7364">
        <v>119.56625033382601</v>
      </c>
      <c r="B7364">
        <v>79.480573389911896</v>
      </c>
      <c r="C7364">
        <v>2000</v>
      </c>
    </row>
    <row r="7365" spans="1:11" x14ac:dyDescent="0.25">
      <c r="A7365" t="s">
        <v>87</v>
      </c>
    </row>
    <row r="7366" spans="1:11" x14ac:dyDescent="0.25">
      <c r="A7366">
        <v>933</v>
      </c>
      <c r="B7366">
        <v>1</v>
      </c>
      <c r="C7366">
        <v>1.0672558669433201</v>
      </c>
      <c r="D7366">
        <v>2.52791089551538</v>
      </c>
      <c r="E7366">
        <v>6</v>
      </c>
      <c r="F7366">
        <v>1.01722196789785</v>
      </c>
      <c r="G7366" t="s">
        <v>85</v>
      </c>
      <c r="H7366" t="s">
        <v>85</v>
      </c>
      <c r="I7366">
        <v>801</v>
      </c>
      <c r="J7366">
        <v>423</v>
      </c>
      <c r="K7366">
        <v>9.2142179589674397E-2</v>
      </c>
    </row>
    <row r="7367" spans="1:11" x14ac:dyDescent="0.25">
      <c r="A7367" t="s">
        <v>86</v>
      </c>
    </row>
    <row r="7368" spans="1:11" x14ac:dyDescent="0.25">
      <c r="A7368">
        <v>80.7036771041913</v>
      </c>
      <c r="B7368">
        <v>36.440032644402301</v>
      </c>
      <c r="C7368">
        <v>2000</v>
      </c>
    </row>
    <row r="7369" spans="1:11" x14ac:dyDescent="0.25">
      <c r="A7369">
        <v>79.949013243414598</v>
      </c>
      <c r="B7369">
        <v>37.194696505179003</v>
      </c>
      <c r="C7369">
        <v>2000</v>
      </c>
    </row>
    <row r="7370" spans="1:11" x14ac:dyDescent="0.25">
      <c r="A7370">
        <v>80.823045292312202</v>
      </c>
      <c r="B7370">
        <v>37.194696505179003</v>
      </c>
      <c r="C7370">
        <v>2001</v>
      </c>
    </row>
    <row r="7371" spans="1:11" x14ac:dyDescent="0.25">
      <c r="A7371">
        <v>81.577709153089003</v>
      </c>
      <c r="B7371">
        <v>36.440032644402301</v>
      </c>
      <c r="C7371">
        <v>2001</v>
      </c>
    </row>
    <row r="7372" spans="1:11" x14ac:dyDescent="0.25">
      <c r="A7372">
        <v>83.365212089543206</v>
      </c>
      <c r="B7372">
        <v>34.652529707947998</v>
      </c>
      <c r="C7372">
        <v>2001</v>
      </c>
    </row>
    <row r="7373" spans="1:11" x14ac:dyDescent="0.25">
      <c r="A7373">
        <v>82.491180040645602</v>
      </c>
      <c r="B7373">
        <v>34.652529707947998</v>
      </c>
      <c r="C7373">
        <v>2000</v>
      </c>
    </row>
    <row r="7374" spans="1:11" x14ac:dyDescent="0.25">
      <c r="A7374" t="s">
        <v>87</v>
      </c>
    </row>
    <row r="7375" spans="1:11" x14ac:dyDescent="0.25">
      <c r="A7375">
        <v>965</v>
      </c>
      <c r="B7375">
        <v>1</v>
      </c>
      <c r="C7375">
        <v>1.73676339615278</v>
      </c>
      <c r="D7375">
        <v>1.8584033663059201</v>
      </c>
      <c r="E7375">
        <v>6</v>
      </c>
      <c r="F7375">
        <v>1.01722196789785</v>
      </c>
      <c r="G7375" t="s">
        <v>85</v>
      </c>
      <c r="H7375" t="s">
        <v>85</v>
      </c>
      <c r="I7375">
        <v>801</v>
      </c>
      <c r="J7375">
        <v>423</v>
      </c>
      <c r="K7375">
        <v>9.2813824447879903E-2</v>
      </c>
    </row>
    <row r="7376" spans="1:11" x14ac:dyDescent="0.25">
      <c r="A7376" t="s">
        <v>86</v>
      </c>
    </row>
    <row r="7377" spans="1:11" x14ac:dyDescent="0.25">
      <c r="A7377">
        <v>83.416295129542902</v>
      </c>
      <c r="B7377">
        <v>38.205824041835001</v>
      </c>
      <c r="C7377">
        <v>2000</v>
      </c>
    </row>
    <row r="7378" spans="1:11" x14ac:dyDescent="0.25">
      <c r="A7378">
        <v>82.188217954806703</v>
      </c>
      <c r="B7378">
        <v>39.433901216571201</v>
      </c>
      <c r="C7378">
        <v>2000</v>
      </c>
    </row>
    <row r="7379" spans="1:11" x14ac:dyDescent="0.25">
      <c r="A7379">
        <v>83.062250003704406</v>
      </c>
      <c r="B7379">
        <v>39.433901216571201</v>
      </c>
      <c r="C7379">
        <v>2001</v>
      </c>
    </row>
    <row r="7380" spans="1:11" x14ac:dyDescent="0.25">
      <c r="A7380">
        <v>84.290327178440606</v>
      </c>
      <c r="B7380">
        <v>38.205824041835001</v>
      </c>
      <c r="C7380">
        <v>2001</v>
      </c>
    </row>
    <row r="7381" spans="1:11" x14ac:dyDescent="0.25">
      <c r="A7381">
        <v>85.604416800935397</v>
      </c>
      <c r="B7381">
        <v>36.891734419340203</v>
      </c>
      <c r="C7381">
        <v>2001</v>
      </c>
    </row>
    <row r="7382" spans="1:11" x14ac:dyDescent="0.25">
      <c r="A7382">
        <v>84.730384752037807</v>
      </c>
      <c r="B7382">
        <v>36.891734419340203</v>
      </c>
      <c r="C7382">
        <v>2000</v>
      </c>
    </row>
    <row r="7383" spans="1:11" x14ac:dyDescent="0.25">
      <c r="A7383" t="s">
        <v>87</v>
      </c>
    </row>
    <row r="7384" spans="1:11" x14ac:dyDescent="0.25">
      <c r="A7384">
        <v>393</v>
      </c>
      <c r="B7384">
        <v>1</v>
      </c>
      <c r="C7384">
        <v>3.66482653041054E-2</v>
      </c>
      <c r="D7384">
        <v>3.5221496110300499</v>
      </c>
      <c r="E7384">
        <v>6</v>
      </c>
      <c r="F7384">
        <v>1.01722196789785</v>
      </c>
      <c r="G7384" t="s">
        <v>89</v>
      </c>
      <c r="H7384" t="s">
        <v>89</v>
      </c>
      <c r="I7384">
        <v>368</v>
      </c>
      <c r="J7384">
        <v>397</v>
      </c>
      <c r="K7384">
        <v>0</v>
      </c>
    </row>
    <row r="7385" spans="1:11" x14ac:dyDescent="0.25">
      <c r="A7385" t="s">
        <v>86</v>
      </c>
    </row>
    <row r="7386" spans="1:11" x14ac:dyDescent="0.25">
      <c r="A7386">
        <v>25.866181081559802</v>
      </c>
      <c r="B7386">
        <v>63.510899570072702</v>
      </c>
      <c r="C7386">
        <v>2000</v>
      </c>
    </row>
    <row r="7387" spans="1:11" x14ac:dyDescent="0.25">
      <c r="A7387">
        <v>25.8402668446445</v>
      </c>
      <c r="B7387">
        <v>63.536813806987901</v>
      </c>
      <c r="C7387">
        <v>2000</v>
      </c>
    </row>
    <row r="7388" spans="1:11" x14ac:dyDescent="0.25">
      <c r="A7388">
        <v>25.403250820195701</v>
      </c>
      <c r="B7388">
        <v>63.099797782539099</v>
      </c>
      <c r="C7388">
        <v>2001</v>
      </c>
    </row>
    <row r="7389" spans="1:11" x14ac:dyDescent="0.25">
      <c r="A7389">
        <v>25.429165057111</v>
      </c>
      <c r="B7389">
        <v>63.0738835456239</v>
      </c>
      <c r="C7389">
        <v>2001</v>
      </c>
    </row>
    <row r="7390" spans="1:11" x14ac:dyDescent="0.25">
      <c r="A7390">
        <v>27.9197009314239</v>
      </c>
      <c r="B7390">
        <v>60.583347671310896</v>
      </c>
      <c r="C7390">
        <v>2001</v>
      </c>
    </row>
    <row r="7391" spans="1:11" x14ac:dyDescent="0.25">
      <c r="A7391">
        <v>28.356716955872699</v>
      </c>
      <c r="B7391">
        <v>61.020363695759798</v>
      </c>
      <c r="C7391">
        <v>2000</v>
      </c>
    </row>
    <row r="7392" spans="1:11" x14ac:dyDescent="0.25">
      <c r="A7392" t="s">
        <v>87</v>
      </c>
    </row>
    <row r="7393" spans="1:11" x14ac:dyDescent="0.25">
      <c r="A7393">
        <v>923</v>
      </c>
      <c r="B7393">
        <v>1</v>
      </c>
      <c r="C7393">
        <v>2.4560299886457102</v>
      </c>
      <c r="D7393">
        <v>1.0660273027723399</v>
      </c>
      <c r="E7393">
        <v>6</v>
      </c>
      <c r="F7393">
        <v>1.01722196789785</v>
      </c>
      <c r="G7393" t="s">
        <v>85</v>
      </c>
      <c r="H7393" t="s">
        <v>85</v>
      </c>
      <c r="I7393">
        <v>763</v>
      </c>
      <c r="J7393">
        <v>801</v>
      </c>
      <c r="K7393">
        <v>9.1907793175489E-2</v>
      </c>
    </row>
    <row r="7394" spans="1:11" x14ac:dyDescent="0.25">
      <c r="A7394" t="s">
        <v>86</v>
      </c>
    </row>
    <row r="7395" spans="1:11" x14ac:dyDescent="0.25">
      <c r="A7395">
        <v>88.399644528771105</v>
      </c>
      <c r="B7395">
        <v>46.888373235593797</v>
      </c>
      <c r="C7395">
        <v>2000</v>
      </c>
    </row>
    <row r="7396" spans="1:11" x14ac:dyDescent="0.25">
      <c r="A7396">
        <v>86.967712681259798</v>
      </c>
      <c r="B7396">
        <v>48.320305083105097</v>
      </c>
      <c r="C7396">
        <v>2000</v>
      </c>
    </row>
    <row r="7397" spans="1:11" x14ac:dyDescent="0.25">
      <c r="A7397">
        <v>86.967712681259798</v>
      </c>
      <c r="B7397">
        <v>49.194337132002701</v>
      </c>
      <c r="C7397">
        <v>2001</v>
      </c>
    </row>
    <row r="7398" spans="1:11" x14ac:dyDescent="0.25">
      <c r="A7398">
        <v>89.009131753286397</v>
      </c>
      <c r="B7398">
        <v>47.152918059976201</v>
      </c>
      <c r="C7398">
        <v>2001</v>
      </c>
    </row>
    <row r="7399" spans="1:11" x14ac:dyDescent="0.25">
      <c r="A7399">
        <v>89.895199300197902</v>
      </c>
      <c r="B7399">
        <v>46.266850513064703</v>
      </c>
      <c r="C7399">
        <v>2001</v>
      </c>
    </row>
    <row r="7400" spans="1:11" x14ac:dyDescent="0.25">
      <c r="A7400">
        <v>89.021167251300199</v>
      </c>
      <c r="B7400">
        <v>46.266850513064703</v>
      </c>
      <c r="C7400">
        <v>2000</v>
      </c>
    </row>
    <row r="7401" spans="1:11" x14ac:dyDescent="0.25">
      <c r="A7401" t="s">
        <v>87</v>
      </c>
    </row>
    <row r="7402" spans="1:11" x14ac:dyDescent="0.25">
      <c r="A7402">
        <v>913</v>
      </c>
      <c r="B7402">
        <v>1</v>
      </c>
      <c r="C7402">
        <v>3.2019483054430999</v>
      </c>
      <c r="D7402">
        <v>0.31716693838420401</v>
      </c>
      <c r="E7402">
        <v>6</v>
      </c>
      <c r="F7402">
        <v>1.01722196789785</v>
      </c>
      <c r="G7402" t="s">
        <v>85</v>
      </c>
      <c r="H7402" t="s">
        <v>85</v>
      </c>
      <c r="I7402">
        <v>666</v>
      </c>
      <c r="J7402">
        <v>680</v>
      </c>
      <c r="K7402">
        <v>9.1907793175489E-2</v>
      </c>
    </row>
    <row r="7403" spans="1:11" x14ac:dyDescent="0.25">
      <c r="A7403" t="s">
        <v>86</v>
      </c>
    </row>
    <row r="7404" spans="1:11" x14ac:dyDescent="0.25">
      <c r="A7404">
        <v>80.818899620798007</v>
      </c>
      <c r="B7404">
        <v>90.476458459299806</v>
      </c>
      <c r="C7404">
        <v>2000</v>
      </c>
    </row>
    <row r="7405" spans="1:11" x14ac:dyDescent="0.25">
      <c r="A7405">
        <v>78.952409387078305</v>
      </c>
      <c r="B7405">
        <v>92.342948693019395</v>
      </c>
      <c r="C7405">
        <v>2000</v>
      </c>
    </row>
    <row r="7406" spans="1:11" x14ac:dyDescent="0.25">
      <c r="A7406">
        <v>78.952409387078305</v>
      </c>
      <c r="B7406">
        <v>93.216980741917098</v>
      </c>
      <c r="C7406">
        <v>2001</v>
      </c>
    </row>
    <row r="7407" spans="1:11" x14ac:dyDescent="0.25">
      <c r="A7407">
        <v>81.614157872933802</v>
      </c>
      <c r="B7407">
        <v>90.555232256061601</v>
      </c>
      <c r="C7407">
        <v>2001</v>
      </c>
    </row>
    <row r="7408" spans="1:11" x14ac:dyDescent="0.25">
      <c r="A7408">
        <v>81.877815664214395</v>
      </c>
      <c r="B7408">
        <v>90.291574464780993</v>
      </c>
      <c r="C7408">
        <v>2001</v>
      </c>
    </row>
    <row r="7409" spans="1:11" x14ac:dyDescent="0.25">
      <c r="A7409">
        <v>81.003783615316706</v>
      </c>
      <c r="B7409">
        <v>90.291574464780993</v>
      </c>
      <c r="C7409">
        <v>2000</v>
      </c>
    </row>
    <row r="7410" spans="1:11" x14ac:dyDescent="0.25">
      <c r="A7410" t="s">
        <v>87</v>
      </c>
    </row>
    <row r="7411" spans="1:11" x14ac:dyDescent="0.25">
      <c r="A7411">
        <v>985</v>
      </c>
      <c r="B7411">
        <v>0</v>
      </c>
      <c r="C7411">
        <v>2.0709592089228601</v>
      </c>
      <c r="D7411">
        <v>1.41336483218649</v>
      </c>
      <c r="E7411">
        <v>6</v>
      </c>
      <c r="F7411">
        <v>1.01722196789785</v>
      </c>
      <c r="G7411" t="s">
        <v>85</v>
      </c>
      <c r="H7411" t="s">
        <v>85</v>
      </c>
      <c r="I7411">
        <v>949</v>
      </c>
      <c r="J7411">
        <v>160</v>
      </c>
      <c r="K7411">
        <v>9.3028045338835699E-2</v>
      </c>
    </row>
    <row r="7412" spans="1:11" x14ac:dyDescent="0.25">
      <c r="A7412" t="s">
        <v>86</v>
      </c>
    </row>
    <row r="7413" spans="1:11" x14ac:dyDescent="0.25">
      <c r="A7413">
        <v>144.201623017434</v>
      </c>
      <c r="B7413">
        <v>8.9970066881809494</v>
      </c>
      <c r="C7413">
        <v>2000</v>
      </c>
    </row>
    <row r="7414" spans="1:11" x14ac:dyDescent="0.25">
      <c r="A7414">
        <v>142.99698061494999</v>
      </c>
      <c r="B7414">
        <v>7.7923642856964701</v>
      </c>
      <c r="C7414">
        <v>2000</v>
      </c>
    </row>
    <row r="7415" spans="1:11" x14ac:dyDescent="0.25">
      <c r="A7415">
        <v>142.122948566052</v>
      </c>
      <c r="B7415">
        <v>7.7923642856964701</v>
      </c>
      <c r="C7415">
        <v>2001</v>
      </c>
    </row>
    <row r="7416" spans="1:11" x14ac:dyDescent="0.25">
      <c r="A7416">
        <v>143.847084763948</v>
      </c>
      <c r="B7416">
        <v>9.5165004835921305</v>
      </c>
      <c r="C7416">
        <v>2001</v>
      </c>
    </row>
    <row r="7417" spans="1:11" x14ac:dyDescent="0.25">
      <c r="A7417">
        <v>145.02375374782099</v>
      </c>
      <c r="B7417">
        <v>10.693169467464999</v>
      </c>
      <c r="C7417">
        <v>2001</v>
      </c>
    </row>
    <row r="7418" spans="1:11" x14ac:dyDescent="0.25">
      <c r="A7418">
        <v>145.02375374782099</v>
      </c>
      <c r="B7418">
        <v>9.8191374185673599</v>
      </c>
      <c r="C7418">
        <v>2000</v>
      </c>
    </row>
    <row r="7419" spans="1:11" x14ac:dyDescent="0.25">
      <c r="A7419" t="s">
        <v>87</v>
      </c>
    </row>
    <row r="7420" spans="1:11" x14ac:dyDescent="0.25">
      <c r="A7420">
        <v>916</v>
      </c>
      <c r="B7420">
        <v>0</v>
      </c>
      <c r="C7420">
        <v>1.7914464461156601</v>
      </c>
      <c r="D7420">
        <v>1.6717769563766001</v>
      </c>
      <c r="E7420">
        <v>6</v>
      </c>
      <c r="F7420">
        <v>1.01722196789785</v>
      </c>
      <c r="G7420" t="s">
        <v>85</v>
      </c>
      <c r="H7420" t="s">
        <v>85</v>
      </c>
      <c r="I7420">
        <v>796</v>
      </c>
      <c r="J7420">
        <v>398</v>
      </c>
      <c r="K7420">
        <v>9.1907793175489E-2</v>
      </c>
    </row>
    <row r="7421" spans="1:11" x14ac:dyDescent="0.25">
      <c r="A7421" t="s">
        <v>86</v>
      </c>
    </row>
    <row r="7422" spans="1:11" x14ac:dyDescent="0.25">
      <c r="A7422">
        <v>31.956951645174001</v>
      </c>
      <c r="B7422">
        <v>85.923472529241593</v>
      </c>
      <c r="C7422">
        <v>2000</v>
      </c>
    </row>
    <row r="7423" spans="1:11" x14ac:dyDescent="0.25">
      <c r="A7423">
        <v>30.690207714993001</v>
      </c>
      <c r="B7423">
        <v>84.656728599060699</v>
      </c>
      <c r="C7423">
        <v>2000</v>
      </c>
    </row>
    <row r="7424" spans="1:11" x14ac:dyDescent="0.25">
      <c r="A7424">
        <v>29.8161756660954</v>
      </c>
      <c r="B7424">
        <v>84.656728599060699</v>
      </c>
      <c r="C7424">
        <v>2001</v>
      </c>
    </row>
    <row r="7425" spans="1:11" x14ac:dyDescent="0.25">
      <c r="A7425">
        <v>31.082919596276302</v>
      </c>
      <c r="B7425">
        <v>85.923472529241593</v>
      </c>
      <c r="C7425">
        <v>2001</v>
      </c>
    </row>
    <row r="7426" spans="1:11" x14ac:dyDescent="0.25">
      <c r="A7426">
        <v>32.265044418761597</v>
      </c>
      <c r="B7426">
        <v>87.1055973517269</v>
      </c>
      <c r="C7426">
        <v>2001</v>
      </c>
    </row>
    <row r="7427" spans="1:11" x14ac:dyDescent="0.25">
      <c r="A7427">
        <v>33.139076467659301</v>
      </c>
      <c r="B7427">
        <v>87.1055973517269</v>
      </c>
      <c r="C7427">
        <v>2000</v>
      </c>
    </row>
    <row r="7428" spans="1:11" x14ac:dyDescent="0.25">
      <c r="A7428" t="s">
        <v>87</v>
      </c>
    </row>
    <row r="7429" spans="1:11" x14ac:dyDescent="0.25">
      <c r="A7429">
        <v>226</v>
      </c>
      <c r="B7429">
        <v>1</v>
      </c>
      <c r="C7429">
        <v>0.52948685263233097</v>
      </c>
      <c r="D7429">
        <v>2.9326867569799</v>
      </c>
      <c r="E7429">
        <v>6</v>
      </c>
      <c r="F7429">
        <v>1.01722196789785</v>
      </c>
      <c r="G7429" t="s">
        <v>89</v>
      </c>
      <c r="H7429" t="s">
        <v>89</v>
      </c>
      <c r="I7429">
        <v>240</v>
      </c>
      <c r="J7429">
        <v>842</v>
      </c>
      <c r="K7429">
        <v>0</v>
      </c>
    </row>
    <row r="7430" spans="1:11" x14ac:dyDescent="0.25">
      <c r="A7430" t="s">
        <v>86</v>
      </c>
    </row>
    <row r="7431" spans="1:11" x14ac:dyDescent="0.25">
      <c r="A7431">
        <v>85.570954998294198</v>
      </c>
      <c r="B7431">
        <v>147.83462056184399</v>
      </c>
      <c r="C7431">
        <v>2000</v>
      </c>
    </row>
    <row r="7432" spans="1:11" x14ac:dyDescent="0.25">
      <c r="A7432">
        <v>85.196551254248703</v>
      </c>
      <c r="B7432">
        <v>148.20902430588899</v>
      </c>
      <c r="C7432">
        <v>2000</v>
      </c>
    </row>
    <row r="7433" spans="1:11" x14ac:dyDescent="0.25">
      <c r="A7433">
        <v>85.633567278697498</v>
      </c>
      <c r="B7433">
        <v>148.646040330338</v>
      </c>
      <c r="C7433">
        <v>2001</v>
      </c>
    </row>
    <row r="7434" spans="1:11" x14ac:dyDescent="0.25">
      <c r="A7434">
        <v>86.007971022743007</v>
      </c>
      <c r="B7434">
        <v>148.271636586293</v>
      </c>
      <c r="C7434">
        <v>2001</v>
      </c>
    </row>
    <row r="7435" spans="1:11" x14ac:dyDescent="0.25">
      <c r="A7435">
        <v>88.081693715699402</v>
      </c>
      <c r="B7435">
        <v>146.19791389333599</v>
      </c>
      <c r="C7435">
        <v>2001</v>
      </c>
    </row>
    <row r="7436" spans="1:11" x14ac:dyDescent="0.25">
      <c r="A7436">
        <v>87.644677691250607</v>
      </c>
      <c r="B7436">
        <v>145.76089786888701</v>
      </c>
      <c r="C7436">
        <v>2000</v>
      </c>
    </row>
    <row r="7437" spans="1:11" x14ac:dyDescent="0.25">
      <c r="A7437" t="s">
        <v>87</v>
      </c>
    </row>
    <row r="7438" spans="1:11" x14ac:dyDescent="0.25">
      <c r="A7438">
        <v>1021</v>
      </c>
      <c r="B7438">
        <v>0</v>
      </c>
      <c r="C7438">
        <v>0.91359650790769797</v>
      </c>
      <c r="D7438">
        <v>2.4501678888507601</v>
      </c>
      <c r="E7438">
        <v>6</v>
      </c>
      <c r="F7438">
        <v>1.01722196789785</v>
      </c>
      <c r="G7438" t="s">
        <v>85</v>
      </c>
      <c r="H7438" t="s">
        <v>85</v>
      </c>
      <c r="I7438">
        <v>391</v>
      </c>
      <c r="J7438">
        <v>400</v>
      </c>
      <c r="K7438">
        <v>9.3644784593262795E-2</v>
      </c>
    </row>
    <row r="7439" spans="1:11" x14ac:dyDescent="0.25">
      <c r="A7439" t="s">
        <v>86</v>
      </c>
    </row>
    <row r="7440" spans="1:11" x14ac:dyDescent="0.25">
      <c r="A7440">
        <v>34.0014962490119</v>
      </c>
      <c r="B7440">
        <v>58.6256047677673</v>
      </c>
      <c r="C7440">
        <v>2000</v>
      </c>
    </row>
    <row r="7441" spans="1:11" x14ac:dyDescent="0.25">
      <c r="A7441">
        <v>33.474179268104102</v>
      </c>
      <c r="B7441">
        <v>58.098287786859601</v>
      </c>
      <c r="C7441">
        <v>2000</v>
      </c>
    </row>
    <row r="7442" spans="1:11" x14ac:dyDescent="0.25">
      <c r="A7442">
        <v>33.474179268104102</v>
      </c>
      <c r="B7442">
        <v>57.224255737961897</v>
      </c>
      <c r="C7442">
        <v>2001</v>
      </c>
    </row>
    <row r="7443" spans="1:11" x14ac:dyDescent="0.25">
      <c r="A7443">
        <v>34.238882859216098</v>
      </c>
      <c r="B7443">
        <v>57.988959329074</v>
      </c>
      <c r="C7443">
        <v>2001</v>
      </c>
    </row>
    <row r="7444" spans="1:11" x14ac:dyDescent="0.25">
      <c r="A7444">
        <v>36.289735907814702</v>
      </c>
      <c r="B7444">
        <v>60.039812377672497</v>
      </c>
      <c r="C7444">
        <v>2001</v>
      </c>
    </row>
    <row r="7445" spans="1:11" x14ac:dyDescent="0.25">
      <c r="A7445">
        <v>35.415703858917098</v>
      </c>
      <c r="B7445">
        <v>60.039812377672497</v>
      </c>
      <c r="C7445">
        <v>2000</v>
      </c>
    </row>
    <row r="7446" spans="1:11" x14ac:dyDescent="0.25">
      <c r="A7446" t="s">
        <v>87</v>
      </c>
    </row>
    <row r="7447" spans="1:11" x14ac:dyDescent="0.25">
      <c r="A7447">
        <v>982</v>
      </c>
      <c r="B7447">
        <v>1</v>
      </c>
      <c r="C7447">
        <v>0.61422268481126696</v>
      </c>
      <c r="D7447">
        <v>2.6831832276152499</v>
      </c>
      <c r="E7447">
        <v>6</v>
      </c>
      <c r="F7447">
        <v>1.01722196789785</v>
      </c>
      <c r="G7447" t="s">
        <v>85</v>
      </c>
      <c r="H7447" t="s">
        <v>85</v>
      </c>
      <c r="I7447">
        <v>745</v>
      </c>
      <c r="J7447">
        <v>823</v>
      </c>
      <c r="K7447">
        <v>9.3028045338835699E-2</v>
      </c>
    </row>
    <row r="7448" spans="1:11" x14ac:dyDescent="0.25">
      <c r="A7448" t="s">
        <v>86</v>
      </c>
    </row>
    <row r="7449" spans="1:11" x14ac:dyDescent="0.25">
      <c r="A7449">
        <v>108.445235842106</v>
      </c>
      <c r="B7449">
        <v>124.332931975058</v>
      </c>
      <c r="C7449">
        <v>2000</v>
      </c>
    </row>
    <row r="7450" spans="1:11" x14ac:dyDescent="0.25">
      <c r="A7450">
        <v>108.010914816517</v>
      </c>
      <c r="B7450">
        <v>124.76725300064599</v>
      </c>
      <c r="C7450">
        <v>2000</v>
      </c>
    </row>
    <row r="7451" spans="1:11" x14ac:dyDescent="0.25">
      <c r="A7451">
        <v>107.13688276761999</v>
      </c>
      <c r="B7451">
        <v>124.76725300064599</v>
      </c>
      <c r="C7451">
        <v>2001</v>
      </c>
    </row>
    <row r="7452" spans="1:11" x14ac:dyDescent="0.25">
      <c r="A7452">
        <v>107.571203793208</v>
      </c>
      <c r="B7452">
        <v>124.332931975058</v>
      </c>
      <c r="C7452">
        <v>2001</v>
      </c>
    </row>
    <row r="7453" spans="1:11" x14ac:dyDescent="0.25">
      <c r="A7453">
        <v>109.46850084862101</v>
      </c>
      <c r="B7453">
        <v>122.435634919645</v>
      </c>
      <c r="C7453">
        <v>2001</v>
      </c>
    </row>
    <row r="7454" spans="1:11" x14ac:dyDescent="0.25">
      <c r="A7454">
        <v>110.34253289751901</v>
      </c>
      <c r="B7454">
        <v>122.435634919645</v>
      </c>
      <c r="C7454">
        <v>2000</v>
      </c>
    </row>
    <row r="7455" spans="1:11" x14ac:dyDescent="0.25">
      <c r="A7455" t="s">
        <v>87</v>
      </c>
    </row>
    <row r="7456" spans="1:11" x14ac:dyDescent="0.25">
      <c r="A7456">
        <v>1099</v>
      </c>
      <c r="B7456">
        <v>0</v>
      </c>
      <c r="C7456">
        <v>2.13686652441223</v>
      </c>
      <c r="D7456">
        <v>1.10096759996689</v>
      </c>
      <c r="E7456">
        <v>6</v>
      </c>
      <c r="F7456">
        <v>1.01722196789785</v>
      </c>
      <c r="G7456" t="s">
        <v>88</v>
      </c>
      <c r="H7456" t="s">
        <v>85</v>
      </c>
      <c r="I7456">
        <v>0</v>
      </c>
      <c r="J7456">
        <v>996</v>
      </c>
      <c r="K7456">
        <v>9.4596959481043894E-2</v>
      </c>
    </row>
    <row r="7457" spans="1:11" x14ac:dyDescent="0.25">
      <c r="A7457" t="s">
        <v>86</v>
      </c>
    </row>
    <row r="7458" spans="1:11" x14ac:dyDescent="0.25">
      <c r="A7458">
        <v>1.5109928099024299</v>
      </c>
      <c r="B7458">
        <v>123.036385834691</v>
      </c>
      <c r="C7458">
        <v>2000</v>
      </c>
    </row>
    <row r="7459" spans="1:11" x14ac:dyDescent="0.25">
      <c r="A7459">
        <v>0</v>
      </c>
      <c r="B7459">
        <v>121.525393024788</v>
      </c>
      <c r="C7459">
        <v>2000</v>
      </c>
    </row>
    <row r="7460" spans="1:11" x14ac:dyDescent="0.25">
      <c r="A7460">
        <v>0</v>
      </c>
      <c r="B7460">
        <v>120.651360975891</v>
      </c>
      <c r="C7460">
        <v>2001</v>
      </c>
    </row>
    <row r="7461" spans="1:11" x14ac:dyDescent="0.25">
      <c r="A7461">
        <v>1.5109928099024299</v>
      </c>
      <c r="B7461">
        <v>122.162353785793</v>
      </c>
      <c r="C7461">
        <v>2001</v>
      </c>
    </row>
    <row r="7462" spans="1:11" x14ac:dyDescent="0.25">
      <c r="A7462">
        <v>2.2894944657057001</v>
      </c>
      <c r="B7462">
        <v>122.940855441596</v>
      </c>
      <c r="C7462">
        <v>2001</v>
      </c>
    </row>
    <row r="7463" spans="1:11" x14ac:dyDescent="0.25">
      <c r="A7463">
        <v>2.2894944657057001</v>
      </c>
      <c r="B7463">
        <v>123.814887490494</v>
      </c>
      <c r="C7463">
        <v>2000</v>
      </c>
    </row>
    <row r="7464" spans="1:11" x14ac:dyDescent="0.25">
      <c r="A7464" t="s">
        <v>87</v>
      </c>
    </row>
    <row r="7465" spans="1:11" x14ac:dyDescent="0.25">
      <c r="A7465">
        <v>516</v>
      </c>
      <c r="B7465">
        <v>0</v>
      </c>
      <c r="C7465">
        <v>2.5672096542928098</v>
      </c>
      <c r="D7465">
        <v>0.65526355622773702</v>
      </c>
      <c r="E7465">
        <v>6</v>
      </c>
      <c r="F7465">
        <v>1.01722196789785</v>
      </c>
      <c r="G7465" t="s">
        <v>85</v>
      </c>
      <c r="H7465" t="s">
        <v>89</v>
      </c>
      <c r="I7465">
        <v>804</v>
      </c>
      <c r="J7465">
        <v>745</v>
      </c>
      <c r="K7465">
        <v>0</v>
      </c>
    </row>
    <row r="7466" spans="1:11" x14ac:dyDescent="0.25">
      <c r="A7466" t="s">
        <v>86</v>
      </c>
    </row>
    <row r="7467" spans="1:11" x14ac:dyDescent="0.25">
      <c r="A7467">
        <v>104.284795390353</v>
      </c>
      <c r="B7467">
        <v>120.209250103567</v>
      </c>
      <c r="C7467">
        <v>2000</v>
      </c>
    </row>
    <row r="7468" spans="1:11" x14ac:dyDescent="0.25">
      <c r="A7468">
        <v>102.64358023117499</v>
      </c>
      <c r="B7468">
        <v>118.568034944389</v>
      </c>
      <c r="C7468">
        <v>2000</v>
      </c>
    </row>
    <row r="7469" spans="1:11" x14ac:dyDescent="0.25">
      <c r="A7469">
        <v>101.76954818227701</v>
      </c>
      <c r="B7469">
        <v>118.568034944389</v>
      </c>
      <c r="C7469">
        <v>2001</v>
      </c>
    </row>
    <row r="7470" spans="1:11" x14ac:dyDescent="0.25">
      <c r="A7470">
        <v>103.758915733656</v>
      </c>
      <c r="B7470">
        <v>120.55740249576699</v>
      </c>
      <c r="C7470">
        <v>2001</v>
      </c>
    </row>
    <row r="7471" spans="1:11" x14ac:dyDescent="0.25">
      <c r="A7471">
        <v>104.266688853853</v>
      </c>
      <c r="B7471">
        <v>121.06517561596399</v>
      </c>
      <c r="C7471">
        <v>2001</v>
      </c>
    </row>
    <row r="7472" spans="1:11" x14ac:dyDescent="0.25">
      <c r="A7472">
        <v>104.70370487830201</v>
      </c>
      <c r="B7472">
        <v>120.628159591516</v>
      </c>
      <c r="C7472">
        <v>2000</v>
      </c>
    </row>
    <row r="7473" spans="1:11" x14ac:dyDescent="0.25">
      <c r="A7473" t="s">
        <v>87</v>
      </c>
    </row>
    <row r="7474" spans="1:11" x14ac:dyDescent="0.25">
      <c r="A7474">
        <v>1069</v>
      </c>
      <c r="B7474">
        <v>1</v>
      </c>
      <c r="C7474">
        <v>1.1870548100690399</v>
      </c>
      <c r="D7474">
        <v>2.0274335657553699</v>
      </c>
      <c r="E7474">
        <v>6</v>
      </c>
      <c r="F7474">
        <v>1.01722196789785</v>
      </c>
      <c r="G7474" t="s">
        <v>85</v>
      </c>
      <c r="H7474" t="s">
        <v>85</v>
      </c>
      <c r="I7474">
        <v>265</v>
      </c>
      <c r="J7474">
        <v>779</v>
      </c>
      <c r="K7474">
        <v>9.4226499478247905E-2</v>
      </c>
    </row>
    <row r="7475" spans="1:11" x14ac:dyDescent="0.25">
      <c r="A7475" t="s">
        <v>86</v>
      </c>
    </row>
    <row r="7476" spans="1:11" x14ac:dyDescent="0.25">
      <c r="A7476">
        <v>4.6223467395834001</v>
      </c>
      <c r="B7476">
        <v>137.712541938626</v>
      </c>
      <c r="C7476">
        <v>2000</v>
      </c>
    </row>
    <row r="7477" spans="1:11" x14ac:dyDescent="0.25">
      <c r="A7477">
        <v>3.7829722337434801</v>
      </c>
      <c r="B7477">
        <v>138.55191644446501</v>
      </c>
      <c r="C7477">
        <v>2000</v>
      </c>
    </row>
    <row r="7478" spans="1:11" x14ac:dyDescent="0.25">
      <c r="A7478">
        <v>4.6570042826411404</v>
      </c>
      <c r="B7478">
        <v>138.55191644446501</v>
      </c>
      <c r="C7478">
        <v>2001</v>
      </c>
    </row>
    <row r="7479" spans="1:11" x14ac:dyDescent="0.25">
      <c r="A7479">
        <v>5.49637878848106</v>
      </c>
      <c r="B7479">
        <v>137.712541938626</v>
      </c>
      <c r="C7479">
        <v>2001</v>
      </c>
    </row>
    <row r="7480" spans="1:11" x14ac:dyDescent="0.25">
      <c r="A7480">
        <v>6.9299908112319004</v>
      </c>
      <c r="B7480">
        <v>136.27892991587501</v>
      </c>
      <c r="C7480">
        <v>2001</v>
      </c>
    </row>
    <row r="7481" spans="1:11" x14ac:dyDescent="0.25">
      <c r="A7481">
        <v>6.0559587623342397</v>
      </c>
      <c r="B7481">
        <v>136.27892991587501</v>
      </c>
      <c r="C7481">
        <v>2000</v>
      </c>
    </row>
    <row r="7482" spans="1:11" x14ac:dyDescent="0.25">
      <c r="A7482" t="s">
        <v>87</v>
      </c>
    </row>
    <row r="7483" spans="1:11" x14ac:dyDescent="0.25">
      <c r="A7483">
        <v>975</v>
      </c>
      <c r="B7483">
        <v>0</v>
      </c>
      <c r="C7483">
        <v>2.7000754540155998</v>
      </c>
      <c r="D7483">
        <v>0.51254000476363604</v>
      </c>
      <c r="E7483">
        <v>6</v>
      </c>
      <c r="F7483">
        <v>1.01722196789785</v>
      </c>
      <c r="G7483" t="s">
        <v>85</v>
      </c>
      <c r="H7483" t="s">
        <v>85</v>
      </c>
      <c r="I7483">
        <v>756</v>
      </c>
      <c r="J7483">
        <v>638</v>
      </c>
      <c r="K7483">
        <v>9.2813824447879903E-2</v>
      </c>
    </row>
    <row r="7484" spans="1:11" x14ac:dyDescent="0.25">
      <c r="A7484" t="s">
        <v>86</v>
      </c>
    </row>
    <row r="7485" spans="1:11" x14ac:dyDescent="0.25">
      <c r="A7485">
        <v>107.06667483647701</v>
      </c>
      <c r="B7485">
        <v>68.149616003097194</v>
      </c>
      <c r="C7485">
        <v>2000</v>
      </c>
    </row>
    <row r="7486" spans="1:11" x14ac:dyDescent="0.25">
      <c r="A7486">
        <v>105.15743317322701</v>
      </c>
      <c r="B7486">
        <v>66.240374339847406</v>
      </c>
      <c r="C7486">
        <v>2000</v>
      </c>
    </row>
    <row r="7487" spans="1:11" x14ac:dyDescent="0.25">
      <c r="A7487">
        <v>105.15743317322701</v>
      </c>
      <c r="B7487">
        <v>65.366342290949802</v>
      </c>
      <c r="C7487">
        <v>2001</v>
      </c>
    </row>
    <row r="7488" spans="1:11" x14ac:dyDescent="0.25">
      <c r="A7488">
        <v>107.06667483647701</v>
      </c>
      <c r="B7488">
        <v>67.275583954199604</v>
      </c>
      <c r="C7488">
        <v>2001</v>
      </c>
    </row>
    <row r="7489" spans="1:11" x14ac:dyDescent="0.25">
      <c r="A7489">
        <v>107.429095349474</v>
      </c>
      <c r="B7489">
        <v>67.638004467197305</v>
      </c>
      <c r="C7489">
        <v>2001</v>
      </c>
    </row>
    <row r="7490" spans="1:11" x14ac:dyDescent="0.25">
      <c r="A7490">
        <v>107.429095349474</v>
      </c>
      <c r="B7490">
        <v>68.512036516094994</v>
      </c>
      <c r="C7490">
        <v>2000</v>
      </c>
    </row>
    <row r="7491" spans="1:11" x14ac:dyDescent="0.25">
      <c r="A7491" t="s">
        <v>87</v>
      </c>
    </row>
    <row r="7492" spans="1:11" x14ac:dyDescent="0.25">
      <c r="A7492">
        <v>1059</v>
      </c>
      <c r="B7492">
        <v>0</v>
      </c>
      <c r="C7492">
        <v>2.2631433558390102</v>
      </c>
      <c r="D7492">
        <v>0.94947210294023399</v>
      </c>
      <c r="E7492">
        <v>6</v>
      </c>
      <c r="F7492">
        <v>1.01722196789785</v>
      </c>
      <c r="G7492" t="s">
        <v>85</v>
      </c>
      <c r="H7492" t="s">
        <v>85</v>
      </c>
      <c r="I7492">
        <v>756</v>
      </c>
      <c r="J7492">
        <v>638</v>
      </c>
      <c r="K7492">
        <v>9.4036209728977305E-2</v>
      </c>
    </row>
    <row r="7493" spans="1:11" x14ac:dyDescent="0.25">
      <c r="A7493" t="s">
        <v>86</v>
      </c>
    </row>
    <row r="7494" spans="1:11" x14ac:dyDescent="0.25">
      <c r="A7494">
        <v>106.060742061605</v>
      </c>
      <c r="B7494">
        <v>68.537633478891905</v>
      </c>
      <c r="C7494">
        <v>2000</v>
      </c>
    </row>
    <row r="7495" spans="1:11" x14ac:dyDescent="0.25">
      <c r="A7495">
        <v>104.460458047893</v>
      </c>
      <c r="B7495">
        <v>66.937349465180802</v>
      </c>
      <c r="C7495">
        <v>2000</v>
      </c>
    </row>
    <row r="7496" spans="1:11" x14ac:dyDescent="0.25">
      <c r="A7496">
        <v>103.58642599899601</v>
      </c>
      <c r="B7496">
        <v>66.937349465180802</v>
      </c>
      <c r="C7496">
        <v>2001</v>
      </c>
    </row>
    <row r="7497" spans="1:11" x14ac:dyDescent="0.25">
      <c r="A7497">
        <v>105.186710012707</v>
      </c>
      <c r="B7497">
        <v>68.537633478891905</v>
      </c>
      <c r="C7497">
        <v>2001</v>
      </c>
    </row>
    <row r="7498" spans="1:11" x14ac:dyDescent="0.25">
      <c r="A7498">
        <v>105.858088175243</v>
      </c>
      <c r="B7498">
        <v>69.209011641428305</v>
      </c>
      <c r="C7498">
        <v>2001</v>
      </c>
    </row>
    <row r="7499" spans="1:11" x14ac:dyDescent="0.25">
      <c r="A7499">
        <v>106.732120224141</v>
      </c>
      <c r="B7499">
        <v>69.209011641428404</v>
      </c>
      <c r="C7499">
        <v>2000</v>
      </c>
    </row>
    <row r="7500" spans="1:11" x14ac:dyDescent="0.25">
      <c r="A7500" t="s">
        <v>87</v>
      </c>
    </row>
    <row r="7501" spans="1:11" x14ac:dyDescent="0.25">
      <c r="A7501">
        <v>1204</v>
      </c>
      <c r="B7501">
        <v>1</v>
      </c>
      <c r="C7501">
        <v>0.29078149655165197</v>
      </c>
      <c r="D7501">
        <v>2.8967719972934098</v>
      </c>
      <c r="E7501">
        <v>6</v>
      </c>
      <c r="F7501">
        <v>1.01722196789785</v>
      </c>
      <c r="G7501" t="s">
        <v>85</v>
      </c>
      <c r="H7501" t="s">
        <v>89</v>
      </c>
      <c r="I7501">
        <v>427</v>
      </c>
      <c r="J7501">
        <v>459</v>
      </c>
      <c r="K7501">
        <v>9.5961381564156997E-2</v>
      </c>
    </row>
    <row r="7502" spans="1:11" x14ac:dyDescent="0.25">
      <c r="A7502" t="s">
        <v>86</v>
      </c>
    </row>
    <row r="7503" spans="1:11" x14ac:dyDescent="0.25">
      <c r="A7503">
        <v>89.879967904749407</v>
      </c>
      <c r="B7503">
        <v>10.439367767481301</v>
      </c>
      <c r="C7503">
        <v>2000</v>
      </c>
    </row>
    <row r="7504" spans="1:11" x14ac:dyDescent="0.25">
      <c r="A7504">
        <v>89.654421153792001</v>
      </c>
      <c r="B7504">
        <v>10.6649145184387</v>
      </c>
      <c r="C7504">
        <v>2000</v>
      </c>
    </row>
    <row r="7505" spans="1:11" x14ac:dyDescent="0.25">
      <c r="A7505">
        <v>90.528453202689604</v>
      </c>
      <c r="B7505">
        <v>10.6649145184387</v>
      </c>
      <c r="C7505">
        <v>2001</v>
      </c>
    </row>
    <row r="7506" spans="1:11" x14ac:dyDescent="0.25">
      <c r="A7506">
        <v>90.714133587842795</v>
      </c>
      <c r="B7506">
        <v>10.479234133285599</v>
      </c>
      <c r="C7506">
        <v>2001</v>
      </c>
    </row>
    <row r="7507" spans="1:11" x14ac:dyDescent="0.25">
      <c r="A7507">
        <v>92.563885881358004</v>
      </c>
      <c r="B7507">
        <v>8.6294818397703796</v>
      </c>
      <c r="C7507">
        <v>2001</v>
      </c>
    </row>
    <row r="7508" spans="1:11" x14ac:dyDescent="0.25">
      <c r="A7508">
        <v>92.126869856909195</v>
      </c>
      <c r="B7508">
        <v>8.1924658153215599</v>
      </c>
      <c r="C7508">
        <v>2000</v>
      </c>
    </row>
    <row r="7509" spans="1:11" x14ac:dyDescent="0.25">
      <c r="A7509" t="s">
        <v>87</v>
      </c>
    </row>
    <row r="7510" spans="1:11" x14ac:dyDescent="0.25">
      <c r="A7510">
        <v>715</v>
      </c>
      <c r="B7510">
        <v>1</v>
      </c>
      <c r="C7510">
        <v>2.7764418886309099</v>
      </c>
      <c r="D7510">
        <v>0.40251850291654601</v>
      </c>
      <c r="E7510">
        <v>6</v>
      </c>
      <c r="F7510">
        <v>1.01722196789785</v>
      </c>
      <c r="G7510" t="s">
        <v>89</v>
      </c>
      <c r="H7510" t="s">
        <v>89</v>
      </c>
      <c r="I7510">
        <v>696</v>
      </c>
      <c r="J7510">
        <v>714</v>
      </c>
      <c r="K7510">
        <v>0</v>
      </c>
    </row>
    <row r="7511" spans="1:11" x14ac:dyDescent="0.25">
      <c r="A7511" t="s">
        <v>86</v>
      </c>
    </row>
    <row r="7512" spans="1:11" x14ac:dyDescent="0.25">
      <c r="A7512">
        <v>82.879326942316098</v>
      </c>
      <c r="B7512">
        <v>65.0840450767774</v>
      </c>
      <c r="C7512">
        <v>2000</v>
      </c>
    </row>
    <row r="7513" spans="1:11" x14ac:dyDescent="0.25">
      <c r="A7513">
        <v>80.916086055294798</v>
      </c>
      <c r="B7513">
        <v>67.0472859637987</v>
      </c>
      <c r="C7513">
        <v>2000</v>
      </c>
    </row>
    <row r="7514" spans="1:11" x14ac:dyDescent="0.25">
      <c r="A7514">
        <v>80.479070030846003</v>
      </c>
      <c r="B7514">
        <v>66.610269939349905</v>
      </c>
      <c r="C7514">
        <v>2001</v>
      </c>
    </row>
    <row r="7515" spans="1:11" x14ac:dyDescent="0.25">
      <c r="A7515">
        <v>82.442310917867303</v>
      </c>
      <c r="B7515">
        <v>64.647029052328605</v>
      </c>
      <c r="C7515">
        <v>2001</v>
      </c>
    </row>
    <row r="7516" spans="1:11" x14ac:dyDescent="0.25">
      <c r="A7516">
        <v>82.726934480832696</v>
      </c>
      <c r="B7516">
        <v>64.362405489363297</v>
      </c>
      <c r="C7516">
        <v>2001</v>
      </c>
    </row>
    <row r="7517" spans="1:11" x14ac:dyDescent="0.25">
      <c r="A7517">
        <v>83.163950505281505</v>
      </c>
      <c r="B7517">
        <v>64.799421513812106</v>
      </c>
      <c r="C7517">
        <v>2000</v>
      </c>
    </row>
    <row r="7518" spans="1:11" x14ac:dyDescent="0.25">
      <c r="A7518" t="s">
        <v>87</v>
      </c>
    </row>
    <row r="7519" spans="1:11" x14ac:dyDescent="0.25">
      <c r="A7519">
        <v>1233</v>
      </c>
      <c r="B7519">
        <v>1</v>
      </c>
      <c r="C7519">
        <v>0.237078245571851</v>
      </c>
      <c r="D7519">
        <v>2.9357809470963998</v>
      </c>
      <c r="E7519">
        <v>6</v>
      </c>
      <c r="F7519">
        <v>1.01722196789785</v>
      </c>
      <c r="G7519" t="s">
        <v>85</v>
      </c>
      <c r="H7519" t="s">
        <v>85</v>
      </c>
      <c r="I7519">
        <v>721</v>
      </c>
      <c r="J7519">
        <v>837</v>
      </c>
      <c r="K7519">
        <v>9.6277099271545E-2</v>
      </c>
    </row>
    <row r="7520" spans="1:11" x14ac:dyDescent="0.25">
      <c r="A7520" t="s">
        <v>86</v>
      </c>
    </row>
    <row r="7521" spans="1:11" x14ac:dyDescent="0.25">
      <c r="A7521">
        <v>101.870613413794</v>
      </c>
      <c r="B7521">
        <v>41.512110662419403</v>
      </c>
      <c r="C7521">
        <v>2000</v>
      </c>
    </row>
    <row r="7522" spans="1:11" x14ac:dyDescent="0.25">
      <c r="A7522">
        <v>101.702973778678</v>
      </c>
      <c r="B7522">
        <v>41.679750297535101</v>
      </c>
      <c r="C7522">
        <v>2000</v>
      </c>
    </row>
    <row r="7523" spans="1:11" x14ac:dyDescent="0.25">
      <c r="A7523">
        <v>100.82894172978</v>
      </c>
      <c r="B7523">
        <v>41.679750297535101</v>
      </c>
      <c r="C7523">
        <v>2001</v>
      </c>
    </row>
    <row r="7524" spans="1:11" x14ac:dyDescent="0.25">
      <c r="A7524">
        <v>100.996581364896</v>
      </c>
      <c r="B7524">
        <v>41.512110662419403</v>
      </c>
      <c r="C7524">
        <v>2001</v>
      </c>
    </row>
    <row r="7525" spans="1:11" x14ac:dyDescent="0.25">
      <c r="A7525">
        <v>103.072491980666</v>
      </c>
      <c r="B7525">
        <v>39.436200046649297</v>
      </c>
      <c r="C7525">
        <v>2001</v>
      </c>
    </row>
    <row r="7526" spans="1:11" x14ac:dyDescent="0.25">
      <c r="A7526">
        <v>103.946524029564</v>
      </c>
      <c r="B7526">
        <v>39.436200046649297</v>
      </c>
      <c r="C7526">
        <v>2000</v>
      </c>
    </row>
    <row r="7527" spans="1:11" x14ac:dyDescent="0.25">
      <c r="A7527" t="s">
        <v>87</v>
      </c>
    </row>
    <row r="7528" spans="1:11" x14ac:dyDescent="0.25">
      <c r="A7528">
        <v>997</v>
      </c>
      <c r="B7528">
        <v>0</v>
      </c>
      <c r="C7528">
        <v>2.40565610820931</v>
      </c>
      <c r="D7528">
        <v>0.70958628456614303</v>
      </c>
      <c r="E7528">
        <v>6</v>
      </c>
      <c r="F7528">
        <v>1.01722196789785</v>
      </c>
      <c r="G7528" t="s">
        <v>85</v>
      </c>
      <c r="H7528" t="s">
        <v>85</v>
      </c>
      <c r="I7528">
        <v>713</v>
      </c>
      <c r="J7528">
        <v>715</v>
      </c>
      <c r="K7528">
        <v>9.3237811683927099E-2</v>
      </c>
    </row>
    <row r="7529" spans="1:11" x14ac:dyDescent="0.25">
      <c r="A7529" t="s">
        <v>86</v>
      </c>
    </row>
    <row r="7530" spans="1:11" x14ac:dyDescent="0.25">
      <c r="A7530">
        <v>81.824472863536201</v>
      </c>
      <c r="B7530">
        <v>64.936306605951302</v>
      </c>
      <c r="C7530">
        <v>2000</v>
      </c>
    </row>
    <row r="7531" spans="1:11" x14ac:dyDescent="0.25">
      <c r="A7531">
        <v>79.785944092919095</v>
      </c>
      <c r="B7531">
        <v>62.897777835334203</v>
      </c>
      <c r="C7531">
        <v>2000</v>
      </c>
    </row>
    <row r="7532" spans="1:11" x14ac:dyDescent="0.25">
      <c r="A7532">
        <v>79.785944092919095</v>
      </c>
      <c r="B7532">
        <v>63.7718098842318</v>
      </c>
      <c r="C7532">
        <v>2001</v>
      </c>
    </row>
    <row r="7533" spans="1:11" x14ac:dyDescent="0.25">
      <c r="A7533">
        <v>81.149526816937296</v>
      </c>
      <c r="B7533">
        <v>65.135392608250001</v>
      </c>
      <c r="C7533">
        <v>2001</v>
      </c>
    </row>
    <row r="7534" spans="1:11" x14ac:dyDescent="0.25">
      <c r="A7534">
        <v>81.551737089441602</v>
      </c>
      <c r="B7534">
        <v>65.537602880754307</v>
      </c>
      <c r="C7534">
        <v>2001</v>
      </c>
    </row>
    <row r="7535" spans="1:11" x14ac:dyDescent="0.25">
      <c r="A7535">
        <v>82.425769138339206</v>
      </c>
      <c r="B7535">
        <v>65.537602880754307</v>
      </c>
      <c r="C7535">
        <v>2000</v>
      </c>
    </row>
    <row r="7536" spans="1:11" x14ac:dyDescent="0.25">
      <c r="A7536" t="s">
        <v>87</v>
      </c>
    </row>
    <row r="7537" spans="1:11" x14ac:dyDescent="0.25">
      <c r="A7537">
        <v>947</v>
      </c>
      <c r="B7537">
        <v>1</v>
      </c>
      <c r="C7537">
        <v>0.290021750216027</v>
      </c>
      <c r="D7537">
        <v>2.82372829838559</v>
      </c>
      <c r="E7537">
        <v>6</v>
      </c>
      <c r="F7537">
        <v>1.01722196789785</v>
      </c>
      <c r="G7537" t="s">
        <v>85</v>
      </c>
      <c r="H7537" t="s">
        <v>85</v>
      </c>
      <c r="I7537">
        <v>501</v>
      </c>
      <c r="J7537">
        <v>803</v>
      </c>
      <c r="K7537">
        <v>9.2371134687469506E-2</v>
      </c>
    </row>
    <row r="7538" spans="1:11" x14ac:dyDescent="0.25">
      <c r="A7538" t="s">
        <v>86</v>
      </c>
    </row>
    <row r="7539" spans="1:11" x14ac:dyDescent="0.25">
      <c r="A7539">
        <v>133.86846561165001</v>
      </c>
      <c r="B7539">
        <v>134.27485851582901</v>
      </c>
      <c r="C7539">
        <v>2000</v>
      </c>
    </row>
    <row r="7540" spans="1:11" x14ac:dyDescent="0.25">
      <c r="A7540">
        <v>133.66338926538</v>
      </c>
      <c r="B7540">
        <v>134.47993486209799</v>
      </c>
      <c r="C7540">
        <v>2000</v>
      </c>
    </row>
    <row r="7541" spans="1:11" x14ac:dyDescent="0.25">
      <c r="A7541">
        <v>133.66338926538</v>
      </c>
      <c r="B7541">
        <v>133.6059028132</v>
      </c>
      <c r="C7541">
        <v>2001</v>
      </c>
    </row>
    <row r="7542" spans="1:11" x14ac:dyDescent="0.25">
      <c r="A7542">
        <v>133.86846561165001</v>
      </c>
      <c r="B7542">
        <v>133.40082646693099</v>
      </c>
      <c r="C7542">
        <v>2001</v>
      </c>
    </row>
    <row r="7543" spans="1:11" x14ac:dyDescent="0.25">
      <c r="A7543">
        <v>135.865143039667</v>
      </c>
      <c r="B7543">
        <v>131.404149038914</v>
      </c>
      <c r="C7543">
        <v>2001</v>
      </c>
    </row>
    <row r="7544" spans="1:11" x14ac:dyDescent="0.25">
      <c r="A7544">
        <v>135.865143039667</v>
      </c>
      <c r="B7544">
        <v>132.27818108781199</v>
      </c>
      <c r="C7544">
        <v>2000</v>
      </c>
    </row>
    <row r="7545" spans="1:11" x14ac:dyDescent="0.25">
      <c r="A7545" t="s">
        <v>87</v>
      </c>
    </row>
    <row r="7546" spans="1:11" x14ac:dyDescent="0.25">
      <c r="A7546">
        <v>1007</v>
      </c>
      <c r="B7546">
        <v>1</v>
      </c>
      <c r="C7546">
        <v>2.3714053894328702</v>
      </c>
      <c r="D7546">
        <v>0.74234465916875103</v>
      </c>
      <c r="E7546">
        <v>6</v>
      </c>
      <c r="F7546">
        <v>1.01722196789785</v>
      </c>
      <c r="G7546" t="s">
        <v>85</v>
      </c>
      <c r="H7546" t="s">
        <v>85</v>
      </c>
      <c r="I7546">
        <v>501</v>
      </c>
      <c r="J7546">
        <v>803</v>
      </c>
      <c r="K7546">
        <v>9.3443328339296097E-2</v>
      </c>
    </row>
    <row r="7547" spans="1:11" x14ac:dyDescent="0.25">
      <c r="A7547" t="s">
        <v>86</v>
      </c>
    </row>
    <row r="7548" spans="1:11" x14ac:dyDescent="0.25">
      <c r="A7548">
        <v>141.26429482887701</v>
      </c>
      <c r="B7548">
        <v>138.72716676197399</v>
      </c>
      <c r="C7548">
        <v>2000</v>
      </c>
    </row>
    <row r="7549" spans="1:11" x14ac:dyDescent="0.25">
      <c r="A7549">
        <v>139.58745799706699</v>
      </c>
      <c r="B7549">
        <v>140.40400359378401</v>
      </c>
      <c r="C7549">
        <v>2000</v>
      </c>
    </row>
    <row r="7550" spans="1:11" x14ac:dyDescent="0.25">
      <c r="A7550">
        <v>139.58745799706699</v>
      </c>
      <c r="B7550">
        <v>139.52997154488699</v>
      </c>
      <c r="C7550">
        <v>2001</v>
      </c>
    </row>
    <row r="7551" spans="1:11" x14ac:dyDescent="0.25">
      <c r="A7551">
        <v>141.26429482887701</v>
      </c>
      <c r="B7551">
        <v>137.853134713076</v>
      </c>
      <c r="C7551">
        <v>2001</v>
      </c>
    </row>
    <row r="7552" spans="1:11" x14ac:dyDescent="0.25">
      <c r="A7552">
        <v>141.789211771353</v>
      </c>
      <c r="B7552">
        <v>137.32821777059999</v>
      </c>
      <c r="C7552">
        <v>2001</v>
      </c>
    </row>
    <row r="7553" spans="1:11" x14ac:dyDescent="0.25">
      <c r="A7553">
        <v>141.789211771353</v>
      </c>
      <c r="B7553">
        <v>138.20224981949801</v>
      </c>
      <c r="C7553">
        <v>2000</v>
      </c>
    </row>
    <row r="7554" spans="1:11" x14ac:dyDescent="0.25">
      <c r="A7554" t="s">
        <v>87</v>
      </c>
    </row>
    <row r="7555" spans="1:11" x14ac:dyDescent="0.25">
      <c r="A7555">
        <v>1117</v>
      </c>
      <c r="B7555">
        <v>1</v>
      </c>
      <c r="C7555">
        <v>1.4849468915580999</v>
      </c>
      <c r="D7555">
        <v>1.5554454970412901</v>
      </c>
      <c r="E7555">
        <v>8</v>
      </c>
      <c r="F7555">
        <v>1.01722196789785</v>
      </c>
      <c r="G7555" t="s">
        <v>85</v>
      </c>
      <c r="H7555" t="s">
        <v>85</v>
      </c>
      <c r="I7555">
        <v>191</v>
      </c>
      <c r="J7555">
        <v>199</v>
      </c>
      <c r="K7555">
        <v>9.4777393206033497E-2</v>
      </c>
    </row>
    <row r="7556" spans="1:11" x14ac:dyDescent="0.25">
      <c r="A7556" t="s">
        <v>86</v>
      </c>
    </row>
    <row r="7557" spans="1:11" x14ac:dyDescent="0.25">
      <c r="A7557">
        <v>99.201490415257894</v>
      </c>
      <c r="B7557">
        <v>136.06203977356199</v>
      </c>
      <c r="C7557">
        <v>2000</v>
      </c>
    </row>
    <row r="7558" spans="1:11" x14ac:dyDescent="0.25">
      <c r="A7558">
        <v>98.121356136687794</v>
      </c>
      <c r="B7558">
        <v>137.14217405213199</v>
      </c>
      <c r="C7558">
        <v>2000</v>
      </c>
    </row>
    <row r="7559" spans="1:11" x14ac:dyDescent="0.25">
      <c r="A7559">
        <v>98.121356136687695</v>
      </c>
      <c r="B7559">
        <v>136.268142003234</v>
      </c>
      <c r="C7559">
        <v>2001</v>
      </c>
    </row>
    <row r="7560" spans="1:11" x14ac:dyDescent="0.25">
      <c r="A7560">
        <v>99.141253891562897</v>
      </c>
      <c r="B7560">
        <v>135.24824424835899</v>
      </c>
      <c r="C7560">
        <v>2001</v>
      </c>
    </row>
    <row r="7561" spans="1:11" x14ac:dyDescent="0.25">
      <c r="A7561">
        <v>99.946113690751005</v>
      </c>
      <c r="B7561">
        <v>134.44338444917099</v>
      </c>
      <c r="C7561">
        <v>2001</v>
      </c>
    </row>
    <row r="7562" spans="1:11" x14ac:dyDescent="0.25">
      <c r="A7562">
        <v>100.27123821213399</v>
      </c>
      <c r="B7562">
        <v>134.11825992778799</v>
      </c>
      <c r="C7562">
        <v>2001</v>
      </c>
    </row>
    <row r="7563" spans="1:11" x14ac:dyDescent="0.25">
      <c r="A7563">
        <v>100.27123821213399</v>
      </c>
      <c r="B7563">
        <v>134.99229197668501</v>
      </c>
      <c r="C7563">
        <v>2000</v>
      </c>
    </row>
    <row r="7564" spans="1:11" x14ac:dyDescent="0.25">
      <c r="A7564">
        <v>100.05388630924899</v>
      </c>
      <c r="B7564">
        <v>135.20964387957099</v>
      </c>
      <c r="C7564">
        <v>2000</v>
      </c>
    </row>
    <row r="7565" spans="1:11" x14ac:dyDescent="0.25">
      <c r="A7565" t="s">
        <v>87</v>
      </c>
    </row>
    <row r="7566" spans="1:11" x14ac:dyDescent="0.25">
      <c r="A7566">
        <v>1098</v>
      </c>
      <c r="B7566">
        <v>1</v>
      </c>
      <c r="C7566">
        <v>1.3367394414068301</v>
      </c>
      <c r="D7566">
        <v>1.7036529471925499</v>
      </c>
      <c r="E7566">
        <v>6</v>
      </c>
      <c r="F7566">
        <v>1.01722196789785</v>
      </c>
      <c r="G7566" t="s">
        <v>85</v>
      </c>
      <c r="H7566" t="s">
        <v>85</v>
      </c>
      <c r="I7566">
        <v>191</v>
      </c>
      <c r="J7566">
        <v>199</v>
      </c>
      <c r="K7566">
        <v>9.4596959481043894E-2</v>
      </c>
    </row>
    <row r="7567" spans="1:11" x14ac:dyDescent="0.25">
      <c r="A7567" t="s">
        <v>86</v>
      </c>
    </row>
    <row r="7568" spans="1:11" x14ac:dyDescent="0.25">
      <c r="A7568">
        <v>97.121398009882</v>
      </c>
      <c r="B7568">
        <v>134.25178087792901</v>
      </c>
      <c r="C7568">
        <v>2000</v>
      </c>
    </row>
    <row r="7569" spans="1:11" x14ac:dyDescent="0.25">
      <c r="A7569">
        <v>96.176180486183696</v>
      </c>
      <c r="B7569">
        <v>135.19699840162801</v>
      </c>
      <c r="C7569">
        <v>2000</v>
      </c>
    </row>
    <row r="7570" spans="1:11" x14ac:dyDescent="0.25">
      <c r="A7570">
        <v>96.176180486183696</v>
      </c>
      <c r="B7570">
        <v>134.32296635272999</v>
      </c>
      <c r="C7570">
        <v>2001</v>
      </c>
    </row>
    <row r="7571" spans="1:11" x14ac:dyDescent="0.25">
      <c r="A7571">
        <v>97.121398009882</v>
      </c>
      <c r="B7571">
        <v>133.37774882903199</v>
      </c>
      <c r="C7571">
        <v>2001</v>
      </c>
    </row>
    <row r="7572" spans="1:11" x14ac:dyDescent="0.25">
      <c r="A7572">
        <v>98.326062561630295</v>
      </c>
      <c r="B7572">
        <v>132.173084277284</v>
      </c>
      <c r="C7572">
        <v>2001</v>
      </c>
    </row>
    <row r="7573" spans="1:11" x14ac:dyDescent="0.25">
      <c r="A7573">
        <v>98.326062561630295</v>
      </c>
      <c r="B7573">
        <v>133.047116326181</v>
      </c>
      <c r="C7573">
        <v>2000</v>
      </c>
    </row>
    <row r="7574" spans="1:11" x14ac:dyDescent="0.25">
      <c r="A7574" t="s">
        <v>87</v>
      </c>
    </row>
    <row r="7575" spans="1:11" x14ac:dyDescent="0.25">
      <c r="A7575">
        <v>891</v>
      </c>
      <c r="B7575">
        <v>0</v>
      </c>
      <c r="C7575">
        <v>0.81202492431852102</v>
      </c>
      <c r="D7575">
        <v>2.2274568453984198</v>
      </c>
      <c r="E7575">
        <v>6</v>
      </c>
      <c r="F7575">
        <v>1.01722196789785</v>
      </c>
      <c r="G7575" t="s">
        <v>85</v>
      </c>
      <c r="H7575" t="s">
        <v>85</v>
      </c>
      <c r="I7575">
        <v>788</v>
      </c>
      <c r="J7575">
        <v>466</v>
      </c>
      <c r="K7575">
        <v>9.142164214173E-2</v>
      </c>
    </row>
    <row r="7576" spans="1:11" x14ac:dyDescent="0.25">
      <c r="A7576" t="s">
        <v>86</v>
      </c>
    </row>
    <row r="7577" spans="1:11" x14ac:dyDescent="0.25">
      <c r="A7577">
        <v>93.330896828943395</v>
      </c>
      <c r="B7577">
        <v>26.298200320600301</v>
      </c>
      <c r="C7577">
        <v>2000</v>
      </c>
    </row>
    <row r="7578" spans="1:11" x14ac:dyDescent="0.25">
      <c r="A7578">
        <v>92.756708498465201</v>
      </c>
      <c r="B7578">
        <v>25.724011990122101</v>
      </c>
      <c r="C7578">
        <v>2000</v>
      </c>
    </row>
    <row r="7579" spans="1:11" x14ac:dyDescent="0.25">
      <c r="A7579">
        <v>92.756708498465201</v>
      </c>
      <c r="B7579">
        <v>26.598044039019801</v>
      </c>
      <c r="C7579">
        <v>2001</v>
      </c>
    </row>
    <row r="7580" spans="1:11" x14ac:dyDescent="0.25">
      <c r="A7580">
        <v>93.330896828943395</v>
      </c>
      <c r="B7580">
        <v>27.172232369497902</v>
      </c>
      <c r="C7580">
        <v>2001</v>
      </c>
    </row>
    <row r="7581" spans="1:11" x14ac:dyDescent="0.25">
      <c r="A7581">
        <v>94.905946669125001</v>
      </c>
      <c r="B7581">
        <v>28.747282209679501</v>
      </c>
      <c r="C7581">
        <v>2001</v>
      </c>
    </row>
    <row r="7582" spans="1:11" x14ac:dyDescent="0.25">
      <c r="A7582">
        <v>94.905946669125001</v>
      </c>
      <c r="B7582">
        <v>27.8732501607819</v>
      </c>
      <c r="C7582">
        <v>2000</v>
      </c>
    </row>
    <row r="7583" spans="1:11" x14ac:dyDescent="0.25">
      <c r="A7583" t="s">
        <v>87</v>
      </c>
    </row>
    <row r="7584" spans="1:11" x14ac:dyDescent="0.25">
      <c r="A7584">
        <v>1075</v>
      </c>
      <c r="B7584">
        <v>0</v>
      </c>
      <c r="C7584">
        <v>1.2126672523577</v>
      </c>
      <c r="D7584">
        <v>1.8268145173592401</v>
      </c>
      <c r="E7584">
        <v>6</v>
      </c>
      <c r="F7584">
        <v>1.01722196789785</v>
      </c>
      <c r="G7584" t="s">
        <v>85</v>
      </c>
      <c r="H7584" t="s">
        <v>85</v>
      </c>
      <c r="I7584">
        <v>788</v>
      </c>
      <c r="J7584">
        <v>466</v>
      </c>
      <c r="K7584">
        <v>9.4226499478247905E-2</v>
      </c>
    </row>
    <row r="7585" spans="1:11" x14ac:dyDescent="0.25">
      <c r="A7585" t="s">
        <v>86</v>
      </c>
    </row>
    <row r="7586" spans="1:11" x14ac:dyDescent="0.25">
      <c r="A7586">
        <v>92.502576451060193</v>
      </c>
      <c r="B7586">
        <v>27.6931145124571</v>
      </c>
      <c r="C7586">
        <v>2000</v>
      </c>
    </row>
    <row r="7587" spans="1:11" x14ac:dyDescent="0.25">
      <c r="A7587">
        <v>91.645091213595293</v>
      </c>
      <c r="B7587">
        <v>26.835629274992101</v>
      </c>
      <c r="C7587">
        <v>2000</v>
      </c>
    </row>
    <row r="7588" spans="1:11" x14ac:dyDescent="0.25">
      <c r="A7588">
        <v>92.519123262492897</v>
      </c>
      <c r="B7588">
        <v>26.835629274992101</v>
      </c>
      <c r="C7588">
        <v>2001</v>
      </c>
    </row>
    <row r="7589" spans="1:11" x14ac:dyDescent="0.25">
      <c r="A7589">
        <v>93.376608499957896</v>
      </c>
      <c r="B7589">
        <v>27.6931145124571</v>
      </c>
      <c r="C7589">
        <v>2001</v>
      </c>
    </row>
    <row r="7590" spans="1:11" x14ac:dyDescent="0.25">
      <c r="A7590">
        <v>94.668361433152597</v>
      </c>
      <c r="B7590">
        <v>28.984867445651901</v>
      </c>
      <c r="C7590">
        <v>2001</v>
      </c>
    </row>
    <row r="7591" spans="1:11" x14ac:dyDescent="0.25">
      <c r="A7591">
        <v>93.794329384254993</v>
      </c>
      <c r="B7591">
        <v>28.984867445651901</v>
      </c>
      <c r="C7591">
        <v>2000</v>
      </c>
    </row>
    <row r="7592" spans="1:11" x14ac:dyDescent="0.25">
      <c r="A7592" t="s">
        <v>87</v>
      </c>
    </row>
    <row r="7593" spans="1:11" x14ac:dyDescent="0.25">
      <c r="A7593">
        <v>1228</v>
      </c>
      <c r="B7593">
        <v>1</v>
      </c>
      <c r="C7593">
        <v>0.152747818190868</v>
      </c>
      <c r="D7593">
        <v>2.83285518197123</v>
      </c>
      <c r="E7593">
        <v>6</v>
      </c>
      <c r="F7593">
        <v>1.01722196789785</v>
      </c>
      <c r="G7593" t="s">
        <v>85</v>
      </c>
      <c r="H7593" t="s">
        <v>85</v>
      </c>
      <c r="I7593">
        <v>423</v>
      </c>
      <c r="J7593">
        <v>1049</v>
      </c>
      <c r="K7593">
        <v>9.6277099271545E-2</v>
      </c>
    </row>
    <row r="7594" spans="1:11" x14ac:dyDescent="0.25">
      <c r="A7594" t="s">
        <v>86</v>
      </c>
    </row>
    <row r="7595" spans="1:11" x14ac:dyDescent="0.25">
      <c r="A7595">
        <v>87.590457767006498</v>
      </c>
      <c r="B7595">
        <v>39.4910726396459</v>
      </c>
      <c r="C7595">
        <v>2000</v>
      </c>
    </row>
    <row r="7596" spans="1:11" x14ac:dyDescent="0.25">
      <c r="A7596">
        <v>87.460090369675001</v>
      </c>
      <c r="B7596">
        <v>39.621440036977397</v>
      </c>
      <c r="C7596">
        <v>2000</v>
      </c>
    </row>
    <row r="7597" spans="1:11" x14ac:dyDescent="0.25">
      <c r="A7597">
        <v>88.334122418572605</v>
      </c>
      <c r="B7597">
        <v>39.621440036977397</v>
      </c>
      <c r="C7597">
        <v>2001</v>
      </c>
    </row>
    <row r="7598" spans="1:11" x14ac:dyDescent="0.25">
      <c r="A7598">
        <v>88.419773057349602</v>
      </c>
      <c r="B7598">
        <v>39.5357893982005</v>
      </c>
      <c r="C7598">
        <v>2001</v>
      </c>
    </row>
    <row r="7599" spans="1:11" x14ac:dyDescent="0.25">
      <c r="A7599">
        <v>90.008246521469303</v>
      </c>
      <c r="B7599">
        <v>37.947315934080699</v>
      </c>
      <c r="C7599">
        <v>2001</v>
      </c>
    </row>
    <row r="7600" spans="1:11" x14ac:dyDescent="0.25">
      <c r="A7600">
        <v>90.008246521469303</v>
      </c>
      <c r="B7600">
        <v>37.073283885183002</v>
      </c>
      <c r="C7600">
        <v>2000</v>
      </c>
    </row>
    <row r="7601" spans="1:11" x14ac:dyDescent="0.25">
      <c r="A7601" t="s">
        <v>87</v>
      </c>
    </row>
    <row r="7602" spans="1:11" x14ac:dyDescent="0.25">
      <c r="A7602">
        <v>944</v>
      </c>
      <c r="B7602">
        <v>0</v>
      </c>
      <c r="C7602">
        <v>2.0012543800629001</v>
      </c>
      <c r="D7602">
        <v>0.95515611583653004</v>
      </c>
      <c r="E7602">
        <v>6</v>
      </c>
      <c r="F7602">
        <v>1.01722196789785</v>
      </c>
      <c r="G7602" t="s">
        <v>85</v>
      </c>
      <c r="H7602" t="s">
        <v>85</v>
      </c>
      <c r="I7602">
        <v>876</v>
      </c>
      <c r="J7602">
        <v>822</v>
      </c>
      <c r="K7602">
        <v>9.2371134687469506E-2</v>
      </c>
    </row>
    <row r="7603" spans="1:11" x14ac:dyDescent="0.25">
      <c r="A7603" t="s">
        <v>86</v>
      </c>
    </row>
    <row r="7604" spans="1:11" x14ac:dyDescent="0.25">
      <c r="A7604">
        <v>85.999340045265598</v>
      </c>
      <c r="B7604">
        <v>143.41551654944001</v>
      </c>
      <c r="C7604">
        <v>2000</v>
      </c>
    </row>
    <row r="7605" spans="1:11" x14ac:dyDescent="0.25">
      <c r="A7605">
        <v>84.584239502243804</v>
      </c>
      <c r="B7605">
        <v>142.00041600641899</v>
      </c>
      <c r="C7605">
        <v>2000</v>
      </c>
    </row>
    <row r="7606" spans="1:11" x14ac:dyDescent="0.25">
      <c r="A7606">
        <v>84.584239502243804</v>
      </c>
      <c r="B7606">
        <v>141.126383957521</v>
      </c>
      <c r="C7606">
        <v>2001</v>
      </c>
    </row>
    <row r="7607" spans="1:11" x14ac:dyDescent="0.25">
      <c r="A7607">
        <v>85.999340045265598</v>
      </c>
      <c r="B7607">
        <v>142.54148450054299</v>
      </c>
      <c r="C7607">
        <v>2001</v>
      </c>
    </row>
    <row r="7608" spans="1:11" x14ac:dyDescent="0.25">
      <c r="A7608">
        <v>86.674737411865394</v>
      </c>
      <c r="B7608">
        <v>143.21688186714201</v>
      </c>
      <c r="C7608">
        <v>2001</v>
      </c>
    </row>
    <row r="7609" spans="1:11" x14ac:dyDescent="0.25">
      <c r="A7609">
        <v>86.674737411865394</v>
      </c>
      <c r="B7609">
        <v>144.09091391603999</v>
      </c>
      <c r="C7609">
        <v>2000</v>
      </c>
    </row>
    <row r="7610" spans="1:11" x14ac:dyDescent="0.25">
      <c r="A7610" t="s">
        <v>87</v>
      </c>
    </row>
    <row r="7611" spans="1:11" x14ac:dyDescent="0.25">
      <c r="A7611">
        <v>1114</v>
      </c>
      <c r="B7611">
        <v>0</v>
      </c>
      <c r="C7611">
        <v>2.04627351985715</v>
      </c>
      <c r="D7611">
        <v>0.889721289568286</v>
      </c>
      <c r="E7611">
        <v>6</v>
      </c>
      <c r="F7611">
        <v>1.01722196789785</v>
      </c>
      <c r="G7611" t="s">
        <v>85</v>
      </c>
      <c r="H7611" t="s">
        <v>85</v>
      </c>
      <c r="I7611">
        <v>560</v>
      </c>
      <c r="J7611">
        <v>555</v>
      </c>
      <c r="K7611">
        <v>9.4777393206033497E-2</v>
      </c>
    </row>
    <row r="7612" spans="1:11" x14ac:dyDescent="0.25">
      <c r="A7612" t="s">
        <v>86</v>
      </c>
    </row>
    <row r="7613" spans="1:11" x14ac:dyDescent="0.25">
      <c r="A7613">
        <v>136.301937071738</v>
      </c>
      <c r="B7613">
        <v>103.87471576867399</v>
      </c>
      <c r="C7613">
        <v>2000</v>
      </c>
    </row>
    <row r="7614" spans="1:11" x14ac:dyDescent="0.25">
      <c r="A7614">
        <v>134.85500318968499</v>
      </c>
      <c r="B7614">
        <v>102.42778188662</v>
      </c>
      <c r="C7614">
        <v>2000</v>
      </c>
    </row>
    <row r="7615" spans="1:11" x14ac:dyDescent="0.25">
      <c r="A7615">
        <v>133.98097114078701</v>
      </c>
      <c r="B7615">
        <v>102.42778188662</v>
      </c>
      <c r="C7615">
        <v>2001</v>
      </c>
    </row>
    <row r="7616" spans="1:11" x14ac:dyDescent="0.25">
      <c r="A7616">
        <v>135.427905022841</v>
      </c>
      <c r="B7616">
        <v>103.87471576867399</v>
      </c>
      <c r="C7616">
        <v>2001</v>
      </c>
    </row>
    <row r="7617" spans="1:11" x14ac:dyDescent="0.25">
      <c r="A7617">
        <v>136.05703298006</v>
      </c>
      <c r="B7617">
        <v>104.503843725894</v>
      </c>
      <c r="C7617">
        <v>2001</v>
      </c>
    </row>
    <row r="7618" spans="1:11" x14ac:dyDescent="0.25">
      <c r="A7618">
        <v>136.93106502895799</v>
      </c>
      <c r="B7618">
        <v>104.503843725894</v>
      </c>
      <c r="C7618">
        <v>2000</v>
      </c>
    </row>
    <row r="7619" spans="1:11" x14ac:dyDescent="0.25">
      <c r="A7619" t="s">
        <v>87</v>
      </c>
    </row>
    <row r="7620" spans="1:11" x14ac:dyDescent="0.25">
      <c r="A7620">
        <v>1164</v>
      </c>
      <c r="B7620">
        <v>1</v>
      </c>
      <c r="C7620">
        <v>0.28070257163391699</v>
      </c>
      <c r="D7620">
        <v>2.6223730466200501</v>
      </c>
      <c r="E7620">
        <v>6</v>
      </c>
      <c r="F7620">
        <v>1.01722196789785</v>
      </c>
      <c r="G7620" t="s">
        <v>85</v>
      </c>
      <c r="H7620" t="s">
        <v>85</v>
      </c>
      <c r="I7620">
        <v>907</v>
      </c>
      <c r="J7620">
        <v>596</v>
      </c>
      <c r="K7620">
        <v>9.5469883166703101E-2</v>
      </c>
    </row>
    <row r="7621" spans="1:11" x14ac:dyDescent="0.25">
      <c r="A7621" t="s">
        <v>86</v>
      </c>
    </row>
    <row r="7622" spans="1:11" x14ac:dyDescent="0.25">
      <c r="A7622">
        <v>132.024996531472</v>
      </c>
      <c r="B7622">
        <v>73.965610001877707</v>
      </c>
      <c r="C7622">
        <v>2000</v>
      </c>
    </row>
    <row r="7623" spans="1:11" x14ac:dyDescent="0.25">
      <c r="A7623">
        <v>131.78425412940999</v>
      </c>
      <c r="B7623">
        <v>74.206352403940201</v>
      </c>
      <c r="C7623">
        <v>2000</v>
      </c>
    </row>
    <row r="7624" spans="1:11" x14ac:dyDescent="0.25">
      <c r="A7624">
        <v>131.78425412940999</v>
      </c>
      <c r="B7624">
        <v>73.332320355042597</v>
      </c>
      <c r="C7624">
        <v>2001</v>
      </c>
    </row>
    <row r="7625" spans="1:11" x14ac:dyDescent="0.25">
      <c r="A7625">
        <v>131.94048511114499</v>
      </c>
      <c r="B7625">
        <v>73.176089373307406</v>
      </c>
      <c r="C7625">
        <v>2001</v>
      </c>
    </row>
    <row r="7626" spans="1:11" x14ac:dyDescent="0.25">
      <c r="A7626">
        <v>133.400022560926</v>
      </c>
      <c r="B7626">
        <v>71.716551923526694</v>
      </c>
      <c r="C7626">
        <v>2001</v>
      </c>
    </row>
    <row r="7627" spans="1:11" x14ac:dyDescent="0.25">
      <c r="A7627">
        <v>134.274054609823</v>
      </c>
      <c r="B7627">
        <v>71.716551923526694</v>
      </c>
      <c r="C7627">
        <v>2000</v>
      </c>
    </row>
    <row r="7628" spans="1:11" x14ac:dyDescent="0.25">
      <c r="A7628" t="s">
        <v>87</v>
      </c>
    </row>
    <row r="7629" spans="1:11" x14ac:dyDescent="0.25">
      <c r="A7629">
        <v>1158</v>
      </c>
      <c r="B7629">
        <v>1</v>
      </c>
      <c r="C7629">
        <v>0.41895251601120997</v>
      </c>
      <c r="D7629">
        <v>2.4841231022427599</v>
      </c>
      <c r="E7629">
        <v>6</v>
      </c>
      <c r="F7629">
        <v>1.01722196789785</v>
      </c>
      <c r="G7629" t="s">
        <v>85</v>
      </c>
      <c r="H7629" t="s">
        <v>85</v>
      </c>
      <c r="I7629">
        <v>907</v>
      </c>
      <c r="J7629">
        <v>596</v>
      </c>
      <c r="K7629">
        <v>9.5300933138239702E-2</v>
      </c>
    </row>
    <row r="7630" spans="1:11" x14ac:dyDescent="0.25">
      <c r="A7630" t="s">
        <v>86</v>
      </c>
    </row>
    <row r="7631" spans="1:11" x14ac:dyDescent="0.25">
      <c r="A7631">
        <v>133.36803761643199</v>
      </c>
      <c r="B7631">
        <v>75.071513083429593</v>
      </c>
      <c r="C7631">
        <v>2000</v>
      </c>
    </row>
    <row r="7632" spans="1:11" x14ac:dyDescent="0.25">
      <c r="A7632">
        <v>133.00872621266601</v>
      </c>
      <c r="B7632">
        <v>75.430824487196105</v>
      </c>
      <c r="C7632">
        <v>2000</v>
      </c>
    </row>
    <row r="7633" spans="1:11" x14ac:dyDescent="0.25">
      <c r="A7633">
        <v>133.00872621266601</v>
      </c>
      <c r="B7633">
        <v>74.556792438298402</v>
      </c>
      <c r="C7633">
        <v>2001</v>
      </c>
    </row>
    <row r="7634" spans="1:11" x14ac:dyDescent="0.25">
      <c r="A7634">
        <v>133.24190313903301</v>
      </c>
      <c r="B7634">
        <v>74.323615511931607</v>
      </c>
      <c r="C7634">
        <v>2001</v>
      </c>
    </row>
    <row r="7635" spans="1:11" x14ac:dyDescent="0.25">
      <c r="A7635">
        <v>134.62449464418199</v>
      </c>
      <c r="B7635">
        <v>72.941024006782598</v>
      </c>
      <c r="C7635">
        <v>2001</v>
      </c>
    </row>
    <row r="7636" spans="1:11" x14ac:dyDescent="0.25">
      <c r="A7636">
        <v>135.49852669307899</v>
      </c>
      <c r="B7636">
        <v>72.941024006782598</v>
      </c>
      <c r="C7636">
        <v>2000</v>
      </c>
    </row>
    <row r="7637" spans="1:11" x14ac:dyDescent="0.25">
      <c r="A7637" t="s">
        <v>87</v>
      </c>
    </row>
    <row r="7638" spans="1:11" x14ac:dyDescent="0.25">
      <c r="A7638">
        <v>1177</v>
      </c>
      <c r="B7638">
        <v>0</v>
      </c>
      <c r="C7638">
        <v>2.1800790461296802</v>
      </c>
      <c r="D7638">
        <v>0.71335485490564599</v>
      </c>
      <c r="E7638">
        <v>6</v>
      </c>
      <c r="F7638">
        <v>1.01722196789785</v>
      </c>
      <c r="G7638" t="s">
        <v>85</v>
      </c>
      <c r="H7638" t="s">
        <v>85</v>
      </c>
      <c r="I7638">
        <v>78</v>
      </c>
      <c r="J7638">
        <v>772</v>
      </c>
      <c r="K7638">
        <v>9.5636215209858197E-2</v>
      </c>
    </row>
    <row r="7639" spans="1:11" x14ac:dyDescent="0.25">
      <c r="A7639" t="s">
        <v>86</v>
      </c>
    </row>
    <row r="7640" spans="1:11" x14ac:dyDescent="0.25">
      <c r="A7640">
        <v>36.395235758007502</v>
      </c>
      <c r="B7640">
        <v>43.175392991968202</v>
      </c>
      <c r="C7640">
        <v>2000</v>
      </c>
    </row>
    <row r="7641" spans="1:11" x14ac:dyDescent="0.25">
      <c r="A7641">
        <v>35.182960017660498</v>
      </c>
      <c r="B7641">
        <v>41.9631172516211</v>
      </c>
      <c r="C7641">
        <v>2000</v>
      </c>
    </row>
    <row r="7642" spans="1:11" x14ac:dyDescent="0.25">
      <c r="A7642">
        <v>34.308927968762902</v>
      </c>
      <c r="B7642">
        <v>41.9631172516211</v>
      </c>
      <c r="C7642">
        <v>2001</v>
      </c>
    </row>
    <row r="7643" spans="1:11" x14ac:dyDescent="0.25">
      <c r="A7643">
        <v>36.179749582497799</v>
      </c>
      <c r="B7643">
        <v>43.833938865356103</v>
      </c>
      <c r="C7643">
        <v>2001</v>
      </c>
    </row>
    <row r="7644" spans="1:11" x14ac:dyDescent="0.25">
      <c r="A7644">
        <v>36.791910725548803</v>
      </c>
      <c r="B7644">
        <v>44.4461000084071</v>
      </c>
      <c r="C7644">
        <v>2001</v>
      </c>
    </row>
    <row r="7645" spans="1:11" x14ac:dyDescent="0.25">
      <c r="A7645">
        <v>36.791910725548803</v>
      </c>
      <c r="B7645">
        <v>43.572067959509397</v>
      </c>
      <c r="C7645">
        <v>2000</v>
      </c>
    </row>
    <row r="7646" spans="1:11" x14ac:dyDescent="0.25">
      <c r="A7646" t="s">
        <v>87</v>
      </c>
    </row>
    <row r="7647" spans="1:11" x14ac:dyDescent="0.25">
      <c r="A7647">
        <v>1160</v>
      </c>
      <c r="B7647">
        <v>1</v>
      </c>
      <c r="C7647">
        <v>0.53220109801274196</v>
      </c>
      <c r="D7647">
        <v>2.3504076813225399</v>
      </c>
      <c r="E7647">
        <v>6</v>
      </c>
      <c r="F7647">
        <v>1.01722196789785</v>
      </c>
      <c r="G7647" t="s">
        <v>85</v>
      </c>
      <c r="H7647" t="s">
        <v>85</v>
      </c>
      <c r="I7647">
        <v>188</v>
      </c>
      <c r="J7647">
        <v>807</v>
      </c>
      <c r="K7647">
        <v>9.5300933138239702E-2</v>
      </c>
    </row>
    <row r="7648" spans="1:11" x14ac:dyDescent="0.25">
      <c r="A7648" t="s">
        <v>86</v>
      </c>
    </row>
    <row r="7649" spans="1:11" x14ac:dyDescent="0.25">
      <c r="A7649">
        <v>93.3300844029432</v>
      </c>
      <c r="B7649">
        <v>108.735370223552</v>
      </c>
      <c r="C7649">
        <v>2000</v>
      </c>
    </row>
    <row r="7650" spans="1:11" x14ac:dyDescent="0.25">
      <c r="A7650">
        <v>93.034445398037505</v>
      </c>
      <c r="B7650">
        <v>109.031009228458</v>
      </c>
      <c r="C7650">
        <v>2000</v>
      </c>
    </row>
    <row r="7651" spans="1:11" x14ac:dyDescent="0.25">
      <c r="A7651">
        <v>93.034445398037505</v>
      </c>
      <c r="B7651">
        <v>109.905041277355</v>
      </c>
      <c r="C7651">
        <v>2001</v>
      </c>
    </row>
    <row r="7652" spans="1:11" x14ac:dyDescent="0.25">
      <c r="A7652">
        <v>93.491452403851397</v>
      </c>
      <c r="B7652">
        <v>109.448034271542</v>
      </c>
      <c r="C7652">
        <v>2001</v>
      </c>
    </row>
    <row r="7653" spans="1:11" x14ac:dyDescent="0.25">
      <c r="A7653">
        <v>95.509773637862196</v>
      </c>
      <c r="B7653">
        <v>107.429713037531</v>
      </c>
      <c r="C7653">
        <v>2001</v>
      </c>
    </row>
    <row r="7654" spans="1:11" x14ac:dyDescent="0.25">
      <c r="A7654">
        <v>94.635741588964606</v>
      </c>
      <c r="B7654">
        <v>107.429713037531</v>
      </c>
      <c r="C7654">
        <v>2000</v>
      </c>
    </row>
    <row r="7655" spans="1:11" x14ac:dyDescent="0.25">
      <c r="A7655" t="s">
        <v>87</v>
      </c>
    </row>
    <row r="7656" spans="1:11" x14ac:dyDescent="0.25">
      <c r="A7656">
        <v>1144</v>
      </c>
      <c r="B7656">
        <v>0</v>
      </c>
      <c r="C7656">
        <v>0.59670714603378106</v>
      </c>
      <c r="D7656">
        <v>2.28432677350078</v>
      </c>
      <c r="E7656">
        <v>6</v>
      </c>
      <c r="F7656">
        <v>1.01722196789785</v>
      </c>
      <c r="G7656" t="s">
        <v>88</v>
      </c>
      <c r="H7656" t="s">
        <v>85</v>
      </c>
      <c r="I7656">
        <v>0</v>
      </c>
      <c r="J7656">
        <v>80</v>
      </c>
      <c r="K7656">
        <v>9.5129269803373898E-2</v>
      </c>
    </row>
    <row r="7657" spans="1:11" x14ac:dyDescent="0.25">
      <c r="A7657" t="s">
        <v>86</v>
      </c>
    </row>
    <row r="7658" spans="1:11" x14ac:dyDescent="0.25">
      <c r="A7658">
        <v>19.9027204121852</v>
      </c>
      <c r="B7658">
        <v>0.42193566934295701</v>
      </c>
      <c r="C7658">
        <v>2000</v>
      </c>
    </row>
    <row r="7659" spans="1:11" x14ac:dyDescent="0.25">
      <c r="A7659">
        <v>19.4807847428422</v>
      </c>
      <c r="B7659">
        <v>0</v>
      </c>
      <c r="C7659">
        <v>2000</v>
      </c>
    </row>
    <row r="7660" spans="1:11" x14ac:dyDescent="0.25">
      <c r="A7660">
        <v>18.6067526939446</v>
      </c>
      <c r="B7660">
        <v>0</v>
      </c>
      <c r="C7660">
        <v>2001</v>
      </c>
    </row>
    <row r="7661" spans="1:11" x14ac:dyDescent="0.25">
      <c r="A7661">
        <v>19.0286883632875</v>
      </c>
      <c r="B7661">
        <v>0.42193566934295701</v>
      </c>
      <c r="C7661">
        <v>2001</v>
      </c>
    </row>
    <row r="7662" spans="1:11" x14ac:dyDescent="0.25">
      <c r="A7662">
        <v>20.643951315275899</v>
      </c>
      <c r="B7662">
        <v>2.0371986213313402</v>
      </c>
      <c r="C7662">
        <v>2001</v>
      </c>
    </row>
    <row r="7663" spans="1:11" x14ac:dyDescent="0.25">
      <c r="A7663">
        <v>21.517983364173599</v>
      </c>
      <c r="B7663">
        <v>2.0371986213313402</v>
      </c>
      <c r="C7663">
        <v>2000</v>
      </c>
    </row>
    <row r="7664" spans="1:11" x14ac:dyDescent="0.25">
      <c r="A7664" t="s">
        <v>87</v>
      </c>
    </row>
    <row r="7665" spans="1:11" x14ac:dyDescent="0.25">
      <c r="A7665">
        <v>983</v>
      </c>
      <c r="B7665">
        <v>0</v>
      </c>
      <c r="C7665">
        <v>2.61793162489275</v>
      </c>
      <c r="D7665">
        <v>0.25131117046615298</v>
      </c>
      <c r="E7665">
        <v>6</v>
      </c>
      <c r="F7665">
        <v>1.01722196789785</v>
      </c>
      <c r="G7665" t="s">
        <v>85</v>
      </c>
      <c r="H7665" t="s">
        <v>85</v>
      </c>
      <c r="I7665">
        <v>225</v>
      </c>
      <c r="J7665">
        <v>239</v>
      </c>
      <c r="K7665">
        <v>9.3028045338835699E-2</v>
      </c>
    </row>
    <row r="7666" spans="1:11" x14ac:dyDescent="0.25">
      <c r="A7666" t="s">
        <v>86</v>
      </c>
    </row>
    <row r="7667" spans="1:11" x14ac:dyDescent="0.25">
      <c r="A7667">
        <v>69.781890482723398</v>
      </c>
      <c r="B7667">
        <v>142.29239182391501</v>
      </c>
      <c r="C7667">
        <v>2000</v>
      </c>
    </row>
    <row r="7668" spans="1:11" x14ac:dyDescent="0.25">
      <c r="A7668">
        <v>67.531994602899601</v>
      </c>
      <c r="B7668">
        <v>140.042495944091</v>
      </c>
      <c r="C7668">
        <v>2000</v>
      </c>
    </row>
    <row r="7669" spans="1:11" x14ac:dyDescent="0.25">
      <c r="A7669">
        <v>68.406026651797305</v>
      </c>
      <c r="B7669">
        <v>140.042495944091</v>
      </c>
      <c r="C7669">
        <v>2001</v>
      </c>
    </row>
    <row r="7670" spans="1:11" x14ac:dyDescent="0.25">
      <c r="A7670">
        <v>69.858445181262198</v>
      </c>
      <c r="B7670">
        <v>141.49491447355601</v>
      </c>
      <c r="C7670">
        <v>2001</v>
      </c>
    </row>
    <row r="7671" spans="1:11" x14ac:dyDescent="0.25">
      <c r="A7671">
        <v>69.997871664817396</v>
      </c>
      <c r="B7671">
        <v>141.63434095711099</v>
      </c>
      <c r="C7671">
        <v>2001</v>
      </c>
    </row>
    <row r="7672" spans="1:11" x14ac:dyDescent="0.25">
      <c r="A7672">
        <v>69.997871664817396</v>
      </c>
      <c r="B7672">
        <v>142.50837300600901</v>
      </c>
      <c r="C7672">
        <v>2000</v>
      </c>
    </row>
    <row r="7673" spans="1:11" x14ac:dyDescent="0.25">
      <c r="A7673" t="s">
        <v>87</v>
      </c>
    </row>
    <row r="7674" spans="1:11" x14ac:dyDescent="0.25">
      <c r="A7674">
        <v>1055</v>
      </c>
      <c r="B7674">
        <v>0</v>
      </c>
      <c r="C7674">
        <v>0.99450199347359103</v>
      </c>
      <c r="D7674">
        <v>1.86949200459091</v>
      </c>
      <c r="E7674">
        <v>6</v>
      </c>
      <c r="F7674">
        <v>1.01722196789785</v>
      </c>
      <c r="G7674" t="s">
        <v>89</v>
      </c>
      <c r="H7674" t="s">
        <v>85</v>
      </c>
      <c r="I7674">
        <v>243</v>
      </c>
      <c r="J7674">
        <v>974</v>
      </c>
      <c r="K7674">
        <v>9.4036209728977305E-2</v>
      </c>
    </row>
    <row r="7675" spans="1:11" x14ac:dyDescent="0.25">
      <c r="A7675" t="s">
        <v>86</v>
      </c>
    </row>
    <row r="7676" spans="1:11" x14ac:dyDescent="0.25">
      <c r="A7676">
        <v>46.301838654404598</v>
      </c>
      <c r="B7676">
        <v>125.846035660352</v>
      </c>
      <c r="C7676">
        <v>2000</v>
      </c>
    </row>
    <row r="7677" spans="1:11" x14ac:dyDescent="0.25">
      <c r="A7677">
        <v>45.522744163644099</v>
      </c>
      <c r="B7677">
        <v>125.066941169592</v>
      </c>
      <c r="C7677">
        <v>2000</v>
      </c>
    </row>
    <row r="7678" spans="1:11" x14ac:dyDescent="0.25">
      <c r="A7678">
        <v>45.085728139195297</v>
      </c>
      <c r="B7678">
        <v>125.50395719404101</v>
      </c>
      <c r="C7678">
        <v>2001</v>
      </c>
    </row>
    <row r="7679" spans="1:11" x14ac:dyDescent="0.25">
      <c r="A7679">
        <v>45.713071855412203</v>
      </c>
      <c r="B7679">
        <v>126.13130091025801</v>
      </c>
      <c r="C7679">
        <v>2001</v>
      </c>
    </row>
    <row r="7680" spans="1:11" x14ac:dyDescent="0.25">
      <c r="A7680">
        <v>46.892369704279901</v>
      </c>
      <c r="B7680">
        <v>127.310598759125</v>
      </c>
      <c r="C7680">
        <v>2001</v>
      </c>
    </row>
    <row r="7681" spans="1:11" x14ac:dyDescent="0.25">
      <c r="A7681">
        <v>47.766401753177497</v>
      </c>
      <c r="B7681">
        <v>127.310598759125</v>
      </c>
      <c r="C7681">
        <v>2000</v>
      </c>
    </row>
    <row r="7682" spans="1:11" x14ac:dyDescent="0.25">
      <c r="A7682" t="s">
        <v>87</v>
      </c>
    </row>
    <row r="7683" spans="1:11" x14ac:dyDescent="0.25">
      <c r="A7683">
        <v>1107</v>
      </c>
      <c r="B7683">
        <v>0</v>
      </c>
      <c r="C7683">
        <v>1.70275510407353</v>
      </c>
      <c r="D7683">
        <v>1.1166153089556199</v>
      </c>
      <c r="E7683">
        <v>6</v>
      </c>
      <c r="F7683">
        <v>1.01722196789785</v>
      </c>
      <c r="G7683" t="s">
        <v>85</v>
      </c>
      <c r="H7683" t="s">
        <v>85</v>
      </c>
      <c r="I7683">
        <v>1034</v>
      </c>
      <c r="J7683">
        <v>810</v>
      </c>
      <c r="K7683">
        <v>9.4777393206033497E-2</v>
      </c>
    </row>
    <row r="7684" spans="1:11" x14ac:dyDescent="0.25">
      <c r="A7684" t="s">
        <v>86</v>
      </c>
    </row>
    <row r="7685" spans="1:11" x14ac:dyDescent="0.25">
      <c r="A7685">
        <v>13.1918774047829</v>
      </c>
      <c r="B7685">
        <v>31.9688964625586</v>
      </c>
      <c r="C7685">
        <v>2000</v>
      </c>
    </row>
    <row r="7686" spans="1:11" x14ac:dyDescent="0.25">
      <c r="A7686">
        <v>11.9878477239925</v>
      </c>
      <c r="B7686">
        <v>30.764866781768198</v>
      </c>
      <c r="C7686">
        <v>2000</v>
      </c>
    </row>
    <row r="7687" spans="1:11" x14ac:dyDescent="0.25">
      <c r="A7687">
        <v>11.9878477239925</v>
      </c>
      <c r="B7687">
        <v>29.890834732870601</v>
      </c>
      <c r="C7687">
        <v>2001</v>
      </c>
    </row>
    <row r="7688" spans="1:11" x14ac:dyDescent="0.25">
      <c r="A7688">
        <v>13.1918774047829</v>
      </c>
      <c r="B7688">
        <v>31.094864413661</v>
      </c>
      <c r="C7688">
        <v>2001</v>
      </c>
    </row>
    <row r="7689" spans="1:11" x14ac:dyDescent="0.25">
      <c r="A7689">
        <v>13.9814436617221</v>
      </c>
      <c r="B7689">
        <v>31.884430670600199</v>
      </c>
      <c r="C7689">
        <v>2001</v>
      </c>
    </row>
    <row r="7690" spans="1:11" x14ac:dyDescent="0.25">
      <c r="A7690">
        <v>13.9814436617221</v>
      </c>
      <c r="B7690">
        <v>32.758462719497899</v>
      </c>
      <c r="C7690">
        <v>2000</v>
      </c>
    </row>
    <row r="7691" spans="1:11" x14ac:dyDescent="0.25">
      <c r="A7691" t="s">
        <v>87</v>
      </c>
    </row>
    <row r="7692" spans="1:11" x14ac:dyDescent="0.25">
      <c r="A7692">
        <v>1124</v>
      </c>
      <c r="B7692">
        <v>0</v>
      </c>
      <c r="C7692">
        <v>2.4085991436168399</v>
      </c>
      <c r="D7692">
        <v>0.40733211949943599</v>
      </c>
      <c r="E7692">
        <v>6</v>
      </c>
      <c r="F7692">
        <v>1.01722196789785</v>
      </c>
      <c r="G7692" t="s">
        <v>85</v>
      </c>
      <c r="H7692" t="s">
        <v>85</v>
      </c>
      <c r="I7692">
        <v>963</v>
      </c>
      <c r="J7692">
        <v>75</v>
      </c>
      <c r="K7692">
        <v>9.4954792207050207E-2</v>
      </c>
    </row>
    <row r="7693" spans="1:11" x14ac:dyDescent="0.25">
      <c r="A7693" t="s">
        <v>86</v>
      </c>
    </row>
    <row r="7694" spans="1:11" x14ac:dyDescent="0.25">
      <c r="A7694">
        <v>43.154301719773599</v>
      </c>
      <c r="B7694">
        <v>17.294826354939399</v>
      </c>
      <c r="C7694">
        <v>2000</v>
      </c>
    </row>
    <row r="7695" spans="1:11" x14ac:dyDescent="0.25">
      <c r="A7695">
        <v>41.077364464792097</v>
      </c>
      <c r="B7695">
        <v>15.217889099957899</v>
      </c>
      <c r="C7695">
        <v>2000</v>
      </c>
    </row>
    <row r="7696" spans="1:11" x14ac:dyDescent="0.25">
      <c r="A7696">
        <v>41.077364464792097</v>
      </c>
      <c r="B7696">
        <v>16.091921148855601</v>
      </c>
      <c r="C7696">
        <v>2001</v>
      </c>
    </row>
    <row r="7697" spans="1:11" x14ac:dyDescent="0.25">
      <c r="A7697">
        <v>42.406700785033799</v>
      </c>
      <c r="B7697">
        <v>17.421257469097299</v>
      </c>
      <c r="C7697">
        <v>2001</v>
      </c>
    </row>
    <row r="7698" spans="1:11" x14ac:dyDescent="0.25">
      <c r="A7698">
        <v>42.631512531848003</v>
      </c>
      <c r="B7698">
        <v>17.646069215911499</v>
      </c>
      <c r="C7698">
        <v>2001</v>
      </c>
    </row>
    <row r="7699" spans="1:11" x14ac:dyDescent="0.25">
      <c r="A7699">
        <v>43.505544580745699</v>
      </c>
      <c r="B7699">
        <v>17.646069215911499</v>
      </c>
      <c r="C7699">
        <v>2000</v>
      </c>
    </row>
    <row r="7700" spans="1:11" x14ac:dyDescent="0.25">
      <c r="A7700" t="s">
        <v>87</v>
      </c>
    </row>
    <row r="7701" spans="1:11" x14ac:dyDescent="0.25">
      <c r="A7701">
        <v>847</v>
      </c>
      <c r="B7701">
        <v>0</v>
      </c>
      <c r="C7701">
        <v>0.30641667961387498</v>
      </c>
      <c r="D7701">
        <v>2.5064348536013199</v>
      </c>
      <c r="E7701">
        <v>6</v>
      </c>
      <c r="F7701">
        <v>1.01722196789785</v>
      </c>
      <c r="G7701" t="s">
        <v>89</v>
      </c>
      <c r="H7701" t="s">
        <v>85</v>
      </c>
      <c r="I7701">
        <v>341</v>
      </c>
      <c r="J7701">
        <v>796</v>
      </c>
      <c r="K7701">
        <v>9.0645505931922193E-2</v>
      </c>
    </row>
    <row r="7702" spans="1:11" x14ac:dyDescent="0.25">
      <c r="A7702" t="s">
        <v>86</v>
      </c>
    </row>
    <row r="7703" spans="1:11" x14ac:dyDescent="0.25">
      <c r="A7703">
        <v>15.4690106167567</v>
      </c>
      <c r="B7703">
        <v>95.943881647995497</v>
      </c>
      <c r="C7703">
        <v>2000</v>
      </c>
    </row>
    <row r="7704" spans="1:11" x14ac:dyDescent="0.25">
      <c r="A7704">
        <v>15.2285382355756</v>
      </c>
      <c r="B7704">
        <v>95.703409266814305</v>
      </c>
      <c r="C7704">
        <v>2000</v>
      </c>
    </row>
    <row r="7705" spans="1:11" x14ac:dyDescent="0.25">
      <c r="A7705">
        <v>14.7915222111268</v>
      </c>
      <c r="B7705">
        <v>96.140425291263199</v>
      </c>
      <c r="C7705">
        <v>2001</v>
      </c>
    </row>
    <row r="7706" spans="1:11" x14ac:dyDescent="0.25">
      <c r="A7706">
        <v>14.984388453993001</v>
      </c>
      <c r="B7706">
        <v>96.333291534129302</v>
      </c>
      <c r="C7706">
        <v>2001</v>
      </c>
    </row>
    <row r="7707" spans="1:11" x14ac:dyDescent="0.25">
      <c r="A7707">
        <v>16.5620005925099</v>
      </c>
      <c r="B7707">
        <v>97.910903672646199</v>
      </c>
      <c r="C7707">
        <v>2001</v>
      </c>
    </row>
    <row r="7708" spans="1:11" x14ac:dyDescent="0.25">
      <c r="A7708">
        <v>17.4360326414075</v>
      </c>
      <c r="B7708">
        <v>97.910903672646199</v>
      </c>
      <c r="C7708">
        <v>2000</v>
      </c>
    </row>
    <row r="7709" spans="1:11" x14ac:dyDescent="0.25">
      <c r="A7709" t="s">
        <v>87</v>
      </c>
    </row>
    <row r="7710" spans="1:11" x14ac:dyDescent="0.25">
      <c r="A7710">
        <v>1039</v>
      </c>
      <c r="B7710">
        <v>1</v>
      </c>
      <c r="C7710">
        <v>2.6232893948395901</v>
      </c>
      <c r="D7710">
        <v>0.16648897497371701</v>
      </c>
      <c r="E7710">
        <v>6</v>
      </c>
      <c r="F7710">
        <v>1.01722196789785</v>
      </c>
      <c r="G7710" t="s">
        <v>85</v>
      </c>
      <c r="H7710" t="s">
        <v>85</v>
      </c>
      <c r="I7710">
        <v>520</v>
      </c>
      <c r="J7710">
        <v>518</v>
      </c>
      <c r="K7710">
        <v>9.3842356677082794E-2</v>
      </c>
    </row>
    <row r="7711" spans="1:11" x14ac:dyDescent="0.25">
      <c r="A7711" t="s">
        <v>86</v>
      </c>
    </row>
    <row r="7712" spans="1:11" x14ac:dyDescent="0.25">
      <c r="A7712">
        <v>125.77464868117799</v>
      </c>
      <c r="B7712">
        <v>122.753135156228</v>
      </c>
      <c r="C7712">
        <v>2000</v>
      </c>
    </row>
    <row r="7713" spans="1:11" x14ac:dyDescent="0.25">
      <c r="A7713">
        <v>123.91970296107201</v>
      </c>
      <c r="B7713">
        <v>124.608080876334</v>
      </c>
      <c r="C7713">
        <v>2000</v>
      </c>
    </row>
    <row r="7714" spans="1:11" x14ac:dyDescent="0.25">
      <c r="A7714">
        <v>123.91970296107201</v>
      </c>
      <c r="B7714">
        <v>123.734048827436</v>
      </c>
      <c r="C7714">
        <v>2001</v>
      </c>
    </row>
    <row r="7715" spans="1:11" x14ac:dyDescent="0.25">
      <c r="A7715">
        <v>125.77464868117799</v>
      </c>
      <c r="B7715">
        <v>121.87910310733101</v>
      </c>
      <c r="C7715">
        <v>2001</v>
      </c>
    </row>
    <row r="7716" spans="1:11" x14ac:dyDescent="0.25">
      <c r="A7716">
        <v>125.892374164375</v>
      </c>
      <c r="B7716">
        <v>121.761377624134</v>
      </c>
      <c r="C7716">
        <v>2001</v>
      </c>
    </row>
    <row r="7717" spans="1:11" x14ac:dyDescent="0.25">
      <c r="A7717">
        <v>125.892374164375</v>
      </c>
      <c r="B7717">
        <v>122.635409673032</v>
      </c>
      <c r="C7717">
        <v>2000</v>
      </c>
    </row>
    <row r="7718" spans="1:11" x14ac:dyDescent="0.25">
      <c r="A7718" t="s">
        <v>87</v>
      </c>
    </row>
    <row r="7719" spans="1:11" x14ac:dyDescent="0.25">
      <c r="A7719">
        <v>850</v>
      </c>
      <c r="B7719">
        <v>1</v>
      </c>
      <c r="C7719">
        <v>1.5097762914991599</v>
      </c>
      <c r="D7719">
        <v>1.2800020783141399</v>
      </c>
      <c r="E7719">
        <v>6</v>
      </c>
      <c r="F7719">
        <v>1.01722196789785</v>
      </c>
      <c r="G7719" t="s">
        <v>85</v>
      </c>
      <c r="H7719" t="s">
        <v>85</v>
      </c>
      <c r="I7719">
        <v>520</v>
      </c>
      <c r="J7719">
        <v>518</v>
      </c>
      <c r="K7719">
        <v>9.0645505931922193E-2</v>
      </c>
    </row>
    <row r="7720" spans="1:11" x14ac:dyDescent="0.25">
      <c r="A7720" t="s">
        <v>86</v>
      </c>
    </row>
    <row r="7721" spans="1:11" x14ac:dyDescent="0.25">
      <c r="A7721">
        <v>127.089499594229</v>
      </c>
      <c r="B7721">
        <v>125.64273140190301</v>
      </c>
      <c r="C7721">
        <v>2000</v>
      </c>
    </row>
    <row r="7722" spans="1:11" x14ac:dyDescent="0.25">
      <c r="A7722">
        <v>126.021926540435</v>
      </c>
      <c r="B7722">
        <v>126.710304455697</v>
      </c>
      <c r="C7722">
        <v>2000</v>
      </c>
    </row>
    <row r="7723" spans="1:11" x14ac:dyDescent="0.25">
      <c r="A7723">
        <v>126.89595858933301</v>
      </c>
      <c r="B7723">
        <v>126.710304455697</v>
      </c>
      <c r="C7723">
        <v>2001</v>
      </c>
    </row>
    <row r="7724" spans="1:11" x14ac:dyDescent="0.25">
      <c r="A7724">
        <v>127.963531643126</v>
      </c>
      <c r="B7724">
        <v>125.64273140190301</v>
      </c>
      <c r="C7724">
        <v>2001</v>
      </c>
    </row>
    <row r="7725" spans="1:11" x14ac:dyDescent="0.25">
      <c r="A7725">
        <v>128.86862979263501</v>
      </c>
      <c r="B7725">
        <v>124.73763325239401</v>
      </c>
      <c r="C7725">
        <v>2001</v>
      </c>
    </row>
    <row r="7726" spans="1:11" x14ac:dyDescent="0.25">
      <c r="A7726">
        <v>127.994597743737</v>
      </c>
      <c r="B7726">
        <v>124.73763325239401</v>
      </c>
      <c r="C7726">
        <v>2000</v>
      </c>
    </row>
    <row r="7727" spans="1:11" x14ac:dyDescent="0.25">
      <c r="A7727" t="s">
        <v>87</v>
      </c>
    </row>
    <row r="7728" spans="1:11" x14ac:dyDescent="0.25">
      <c r="A7728">
        <v>302</v>
      </c>
      <c r="B7728">
        <v>1</v>
      </c>
      <c r="C7728">
        <v>1.77482968024563</v>
      </c>
      <c r="D7728">
        <v>1.00417215981501</v>
      </c>
      <c r="E7728">
        <v>6</v>
      </c>
      <c r="F7728">
        <v>1.01722196789785</v>
      </c>
      <c r="G7728" t="s">
        <v>89</v>
      </c>
      <c r="H7728" t="s">
        <v>85</v>
      </c>
      <c r="I7728">
        <v>737</v>
      </c>
      <c r="J7728">
        <v>274</v>
      </c>
      <c r="K7728">
        <v>0</v>
      </c>
    </row>
    <row r="7729" spans="1:11" x14ac:dyDescent="0.25">
      <c r="A7729" t="s">
        <v>86</v>
      </c>
    </row>
    <row r="7730" spans="1:11" x14ac:dyDescent="0.25">
      <c r="A7730">
        <v>22.191469249343299</v>
      </c>
      <c r="B7730">
        <v>140.77800016800401</v>
      </c>
      <c r="C7730">
        <v>2000</v>
      </c>
    </row>
    <row r="7731" spans="1:11" x14ac:dyDescent="0.25">
      <c r="A7731">
        <v>21.076026873756899</v>
      </c>
      <c r="B7731">
        <v>141.89344254359</v>
      </c>
      <c r="C7731">
        <v>2000</v>
      </c>
    </row>
    <row r="7732" spans="1:11" x14ac:dyDescent="0.25">
      <c r="A7732">
        <v>21.5130428982057</v>
      </c>
      <c r="B7732">
        <v>142.33045856803901</v>
      </c>
      <c r="C7732">
        <v>2001</v>
      </c>
    </row>
    <row r="7733" spans="1:11" x14ac:dyDescent="0.25">
      <c r="A7733">
        <v>22.907588727324899</v>
      </c>
      <c r="B7733">
        <v>140.93591273892</v>
      </c>
      <c r="C7733">
        <v>2001</v>
      </c>
    </row>
    <row r="7734" spans="1:11" x14ac:dyDescent="0.25">
      <c r="A7734">
        <v>23.6966019564669</v>
      </c>
      <c r="B7734">
        <v>140.146899509778</v>
      </c>
      <c r="C7734">
        <v>2001</v>
      </c>
    </row>
    <row r="7735" spans="1:11" x14ac:dyDescent="0.25">
      <c r="A7735">
        <v>22.8225699075692</v>
      </c>
      <c r="B7735">
        <v>140.146899509778</v>
      </c>
      <c r="C7735">
        <v>2000</v>
      </c>
    </row>
    <row r="7736" spans="1:11" x14ac:dyDescent="0.25">
      <c r="A7736" t="s">
        <v>87</v>
      </c>
    </row>
    <row r="7737" spans="1:11" x14ac:dyDescent="0.25">
      <c r="A7737">
        <v>240</v>
      </c>
      <c r="B7737">
        <v>1</v>
      </c>
      <c r="C7737">
        <v>2.1451148273057798</v>
      </c>
      <c r="D7737">
        <v>0.62326896734789705</v>
      </c>
      <c r="E7737">
        <v>6</v>
      </c>
      <c r="F7737">
        <v>1.01722196789785</v>
      </c>
      <c r="G7737" t="s">
        <v>88</v>
      </c>
      <c r="H7737" t="s">
        <v>89</v>
      </c>
      <c r="I7737">
        <v>0</v>
      </c>
      <c r="J7737">
        <v>226</v>
      </c>
      <c r="K7737">
        <v>0</v>
      </c>
    </row>
    <row r="7738" spans="1:11" x14ac:dyDescent="0.25">
      <c r="A7738" t="s">
        <v>86</v>
      </c>
    </row>
    <row r="7739" spans="1:11" x14ac:dyDescent="0.25">
      <c r="A7739">
        <v>84.3215637663275</v>
      </c>
      <c r="B7739">
        <v>148.31386124932999</v>
      </c>
      <c r="C7739">
        <v>2000</v>
      </c>
    </row>
    <row r="7740" spans="1:11" x14ac:dyDescent="0.25">
      <c r="A7740">
        <v>82.635425015657503</v>
      </c>
      <c r="B7740">
        <v>150</v>
      </c>
      <c r="C7740">
        <v>2000</v>
      </c>
    </row>
    <row r="7741" spans="1:11" x14ac:dyDescent="0.25">
      <c r="A7741">
        <v>83.509457064555207</v>
      </c>
      <c r="B7741">
        <v>150</v>
      </c>
      <c r="C7741">
        <v>2001</v>
      </c>
    </row>
    <row r="7742" spans="1:11" x14ac:dyDescent="0.25">
      <c r="A7742">
        <v>84.856968795508607</v>
      </c>
      <c r="B7742">
        <v>148.65248826904701</v>
      </c>
      <c r="C7742">
        <v>2001</v>
      </c>
    </row>
    <row r="7743" spans="1:11" x14ac:dyDescent="0.25">
      <c r="A7743">
        <v>85.248492006457298</v>
      </c>
      <c r="B7743">
        <v>148.26096505809801</v>
      </c>
      <c r="C7743">
        <v>2001</v>
      </c>
    </row>
    <row r="7744" spans="1:11" x14ac:dyDescent="0.25">
      <c r="A7744">
        <v>84.811475982008503</v>
      </c>
      <c r="B7744">
        <v>147.823949033649</v>
      </c>
      <c r="C7744">
        <v>2000</v>
      </c>
    </row>
    <row r="7745" spans="1:11" x14ac:dyDescent="0.25">
      <c r="A7745" t="s">
        <v>87</v>
      </c>
    </row>
    <row r="7746" spans="1:11" x14ac:dyDescent="0.25">
      <c r="A7746">
        <v>1145</v>
      </c>
      <c r="B7746">
        <v>1</v>
      </c>
      <c r="C7746">
        <v>1.0595453150316401</v>
      </c>
      <c r="D7746">
        <v>1.66783917302572</v>
      </c>
      <c r="E7746">
        <v>6</v>
      </c>
      <c r="F7746">
        <v>1.01722196789785</v>
      </c>
      <c r="G7746" t="s">
        <v>85</v>
      </c>
      <c r="H7746" t="s">
        <v>85</v>
      </c>
      <c r="I7746">
        <v>809</v>
      </c>
      <c r="J7746">
        <v>924</v>
      </c>
      <c r="K7746">
        <v>9.5129269803373898E-2</v>
      </c>
    </row>
    <row r="7747" spans="1:11" x14ac:dyDescent="0.25">
      <c r="A7747" t="s">
        <v>86</v>
      </c>
    </row>
    <row r="7748" spans="1:11" x14ac:dyDescent="0.25">
      <c r="A7748">
        <v>46.684480293972598</v>
      </c>
      <c r="B7748">
        <v>8.1162887504776595</v>
      </c>
      <c r="C7748">
        <v>2000</v>
      </c>
    </row>
    <row r="7749" spans="1:11" x14ac:dyDescent="0.25">
      <c r="A7749">
        <v>45.9352686167393</v>
      </c>
      <c r="B7749">
        <v>8.8655004277109697</v>
      </c>
      <c r="C7749">
        <v>2000</v>
      </c>
    </row>
    <row r="7750" spans="1:11" x14ac:dyDescent="0.25">
      <c r="A7750">
        <v>45.9352686167393</v>
      </c>
      <c r="B7750">
        <v>7.9914683788133303</v>
      </c>
      <c r="C7750">
        <v>2001</v>
      </c>
    </row>
    <row r="7751" spans="1:11" x14ac:dyDescent="0.25">
      <c r="A7751">
        <v>46.684480293972598</v>
      </c>
      <c r="B7751">
        <v>7.2422567015800103</v>
      </c>
      <c r="C7751">
        <v>2001</v>
      </c>
    </row>
    <row r="7752" spans="1:11" x14ac:dyDescent="0.25">
      <c r="A7752">
        <v>47.863820683147701</v>
      </c>
      <c r="B7752">
        <v>6.0629163124049601</v>
      </c>
      <c r="C7752">
        <v>2001</v>
      </c>
    </row>
    <row r="7753" spans="1:11" x14ac:dyDescent="0.25">
      <c r="A7753">
        <v>47.863820683147701</v>
      </c>
      <c r="B7753">
        <v>6.9369483613026102</v>
      </c>
      <c r="C7753">
        <v>2000</v>
      </c>
    </row>
    <row r="7754" spans="1:11" x14ac:dyDescent="0.25">
      <c r="A7754" t="s">
        <v>87</v>
      </c>
    </row>
    <row r="7755" spans="1:11" x14ac:dyDescent="0.25">
      <c r="A7755">
        <v>1153</v>
      </c>
      <c r="B7755">
        <v>1</v>
      </c>
      <c r="C7755">
        <v>2.6221510183389798</v>
      </c>
      <c r="D7755">
        <v>5.9672627675198001E-2</v>
      </c>
      <c r="E7755">
        <v>6</v>
      </c>
      <c r="F7755">
        <v>1.01722196789785</v>
      </c>
      <c r="G7755" t="s">
        <v>85</v>
      </c>
      <c r="H7755" t="s">
        <v>85</v>
      </c>
      <c r="I7755">
        <v>357</v>
      </c>
      <c r="J7755">
        <v>999</v>
      </c>
      <c r="K7755">
        <v>9.5300933138239702E-2</v>
      </c>
    </row>
    <row r="7756" spans="1:11" x14ac:dyDescent="0.25">
      <c r="A7756" t="s">
        <v>86</v>
      </c>
    </row>
    <row r="7757" spans="1:11" x14ac:dyDescent="0.25">
      <c r="A7757">
        <v>19.719784933002899</v>
      </c>
      <c r="B7757">
        <v>77.593929100592604</v>
      </c>
      <c r="C7757">
        <v>2000</v>
      </c>
    </row>
    <row r="7758" spans="1:11" x14ac:dyDescent="0.25">
      <c r="A7758">
        <v>17.865644166640202</v>
      </c>
      <c r="B7758">
        <v>79.448069866955294</v>
      </c>
      <c r="C7758">
        <v>2000</v>
      </c>
    </row>
    <row r="7759" spans="1:11" x14ac:dyDescent="0.25">
      <c r="A7759">
        <v>16.991612117742601</v>
      </c>
      <c r="B7759">
        <v>79.448069866955294</v>
      </c>
      <c r="C7759">
        <v>2001</v>
      </c>
    </row>
    <row r="7760" spans="1:11" x14ac:dyDescent="0.25">
      <c r="A7760">
        <v>18.845752884105298</v>
      </c>
      <c r="B7760">
        <v>77.593929100592604</v>
      </c>
      <c r="C7760">
        <v>2001</v>
      </c>
    </row>
    <row r="7761" spans="1:11" x14ac:dyDescent="0.25">
      <c r="A7761">
        <v>18.8879478037856</v>
      </c>
      <c r="B7761">
        <v>77.551734180912206</v>
      </c>
      <c r="C7761">
        <v>2001</v>
      </c>
    </row>
    <row r="7762" spans="1:11" x14ac:dyDescent="0.25">
      <c r="A7762">
        <v>19.7619798526833</v>
      </c>
      <c r="B7762">
        <v>77.551734180912206</v>
      </c>
      <c r="C7762">
        <v>2000</v>
      </c>
    </row>
    <row r="7763" spans="1:11" x14ac:dyDescent="0.25">
      <c r="A7763" t="s">
        <v>87</v>
      </c>
    </row>
    <row r="7764" spans="1:11" x14ac:dyDescent="0.25">
      <c r="A7764">
        <v>941</v>
      </c>
      <c r="B7764">
        <v>1</v>
      </c>
      <c r="C7764">
        <v>1.10144550571657</v>
      </c>
      <c r="D7764">
        <v>1.56312483394327</v>
      </c>
      <c r="E7764">
        <v>8</v>
      </c>
      <c r="F7764">
        <v>1.01722196789785</v>
      </c>
      <c r="G7764" t="s">
        <v>85</v>
      </c>
      <c r="H7764" t="s">
        <v>85</v>
      </c>
      <c r="I7764">
        <v>429</v>
      </c>
      <c r="J7764">
        <v>422</v>
      </c>
      <c r="K7764">
        <v>9.2371134687469506E-2</v>
      </c>
    </row>
    <row r="7765" spans="1:11" x14ac:dyDescent="0.25">
      <c r="A7765" t="s">
        <v>86</v>
      </c>
    </row>
    <row r="7766" spans="1:11" x14ac:dyDescent="0.25">
      <c r="A7766">
        <v>82.754830747950905</v>
      </c>
      <c r="B7766">
        <v>50.5252936738678</v>
      </c>
      <c r="C7766">
        <v>2000</v>
      </c>
    </row>
    <row r="7767" spans="1:11" x14ac:dyDescent="0.25">
      <c r="A7767">
        <v>82.059732020385795</v>
      </c>
      <c r="B7767">
        <v>51.220392401432797</v>
      </c>
      <c r="C7767">
        <v>2000</v>
      </c>
    </row>
    <row r="7768" spans="1:11" x14ac:dyDescent="0.25">
      <c r="A7768">
        <v>81.185699971488205</v>
      </c>
      <c r="B7768">
        <v>51.220392401432797</v>
      </c>
      <c r="C7768">
        <v>2001</v>
      </c>
    </row>
    <row r="7769" spans="1:11" x14ac:dyDescent="0.25">
      <c r="A7769">
        <v>82.048280416322399</v>
      </c>
      <c r="B7769">
        <v>50.357811956598603</v>
      </c>
      <c r="C7769">
        <v>2001</v>
      </c>
    </row>
    <row r="7770" spans="1:11" x14ac:dyDescent="0.25">
      <c r="A7770">
        <v>82.537309005174805</v>
      </c>
      <c r="B7770">
        <v>49.868783367746097</v>
      </c>
      <c r="C7770">
        <v>2001</v>
      </c>
    </row>
    <row r="7771" spans="1:11" x14ac:dyDescent="0.25">
      <c r="A7771">
        <v>83.069835727610197</v>
      </c>
      <c r="B7771">
        <v>49.336256645310797</v>
      </c>
      <c r="C7771">
        <v>2001</v>
      </c>
    </row>
    <row r="7772" spans="1:11" x14ac:dyDescent="0.25">
      <c r="A7772">
        <v>83.943867776507801</v>
      </c>
      <c r="B7772">
        <v>49.336256645310797</v>
      </c>
      <c r="C7772">
        <v>2000</v>
      </c>
    </row>
    <row r="7773" spans="1:11" x14ac:dyDescent="0.25">
      <c r="A7773">
        <v>83.148907789564802</v>
      </c>
      <c r="B7773">
        <v>50.131216632253903</v>
      </c>
      <c r="C7773">
        <v>2000</v>
      </c>
    </row>
    <row r="7774" spans="1:11" x14ac:dyDescent="0.25">
      <c r="A7774" t="s">
        <v>87</v>
      </c>
    </row>
    <row r="7775" spans="1:11" x14ac:dyDescent="0.25">
      <c r="A7775">
        <v>874</v>
      </c>
      <c r="B7775">
        <v>1</v>
      </c>
      <c r="C7775">
        <v>0.82714885993252096</v>
      </c>
      <c r="D7775">
        <v>1.7752724612831601</v>
      </c>
      <c r="E7775">
        <v>6</v>
      </c>
      <c r="F7775">
        <v>1.01722196789785</v>
      </c>
      <c r="G7775" t="s">
        <v>85</v>
      </c>
      <c r="H7775" t="s">
        <v>85</v>
      </c>
      <c r="I7775">
        <v>437</v>
      </c>
      <c r="J7775">
        <v>436</v>
      </c>
      <c r="K7775">
        <v>9.1169371169763397E-2</v>
      </c>
    </row>
    <row r="7776" spans="1:11" x14ac:dyDescent="0.25">
      <c r="A7776" t="s">
        <v>86</v>
      </c>
    </row>
    <row r="7777" spans="1:11" x14ac:dyDescent="0.25">
      <c r="A7777">
        <v>63.565338281108701</v>
      </c>
      <c r="B7777">
        <v>16.3589808659795</v>
      </c>
      <c r="C7777">
        <v>2000</v>
      </c>
    </row>
    <row r="7778" spans="1:11" x14ac:dyDescent="0.25">
      <c r="A7778">
        <v>63.119356091646601</v>
      </c>
      <c r="B7778">
        <v>16.804963055441601</v>
      </c>
      <c r="C7778">
        <v>2000</v>
      </c>
    </row>
    <row r="7779" spans="1:11" x14ac:dyDescent="0.25">
      <c r="A7779">
        <v>62.245324042748898</v>
      </c>
      <c r="B7779">
        <v>16.804963055441601</v>
      </c>
      <c r="C7779">
        <v>2001</v>
      </c>
    </row>
    <row r="7780" spans="1:11" x14ac:dyDescent="0.25">
      <c r="A7780">
        <v>62.969106989104802</v>
      </c>
      <c r="B7780">
        <v>16.0811801090857</v>
      </c>
      <c r="C7780">
        <v>2001</v>
      </c>
    </row>
    <row r="7781" spans="1:11" x14ac:dyDescent="0.25">
      <c r="A7781">
        <v>64.522529830933806</v>
      </c>
      <c r="B7781">
        <v>14.5277572672567</v>
      </c>
      <c r="C7781">
        <v>2001</v>
      </c>
    </row>
    <row r="7782" spans="1:11" x14ac:dyDescent="0.25">
      <c r="A7782">
        <v>64.522529830933806</v>
      </c>
      <c r="B7782">
        <v>15.4017893161544</v>
      </c>
      <c r="C7782">
        <v>2000</v>
      </c>
    </row>
    <row r="7783" spans="1:11" x14ac:dyDescent="0.25">
      <c r="A7783" t="s">
        <v>87</v>
      </c>
    </row>
    <row r="7784" spans="1:11" x14ac:dyDescent="0.25">
      <c r="A7784">
        <v>303</v>
      </c>
      <c r="B7784">
        <v>1</v>
      </c>
      <c r="C7784">
        <v>1.00329723404488</v>
      </c>
      <c r="D7784">
        <v>1.4520306473734099</v>
      </c>
      <c r="E7784">
        <v>6</v>
      </c>
      <c r="F7784">
        <v>1.01722196789785</v>
      </c>
      <c r="G7784" t="s">
        <v>89</v>
      </c>
      <c r="H7784" t="s">
        <v>85</v>
      </c>
      <c r="I7784">
        <v>287</v>
      </c>
      <c r="J7784">
        <v>274</v>
      </c>
      <c r="K7784">
        <v>0</v>
      </c>
    </row>
    <row r="7785" spans="1:11" x14ac:dyDescent="0.25">
      <c r="A7785" t="s">
        <v>86</v>
      </c>
    </row>
    <row r="7786" spans="1:11" x14ac:dyDescent="0.25">
      <c r="A7786">
        <v>22.6796695712911</v>
      </c>
      <c r="B7786">
        <v>141.799038277058</v>
      </c>
      <c r="C7786">
        <v>2000</v>
      </c>
    </row>
    <row r="7787" spans="1:11" x14ac:dyDescent="0.25">
      <c r="A7787">
        <v>22.059518140307201</v>
      </c>
      <c r="B7787">
        <v>142.41918970804099</v>
      </c>
      <c r="C7787">
        <v>2000</v>
      </c>
    </row>
    <row r="7788" spans="1:11" x14ac:dyDescent="0.25">
      <c r="A7788">
        <v>22.496534164756</v>
      </c>
      <c r="B7788">
        <v>142.85620573249</v>
      </c>
      <c r="C7788">
        <v>2001</v>
      </c>
    </row>
    <row r="7789" spans="1:11" x14ac:dyDescent="0.25">
      <c r="A7789">
        <v>23.295259289249799</v>
      </c>
      <c r="B7789">
        <v>142.05748060799601</v>
      </c>
      <c r="C7789">
        <v>2001</v>
      </c>
    </row>
    <row r="7790" spans="1:11" x14ac:dyDescent="0.25">
      <c r="A7790">
        <v>24.451221171967699</v>
      </c>
      <c r="B7790">
        <v>140.901518725279</v>
      </c>
      <c r="C7790">
        <v>2001</v>
      </c>
    </row>
    <row r="7791" spans="1:11" x14ac:dyDescent="0.25">
      <c r="A7791">
        <v>23.577189123069999</v>
      </c>
      <c r="B7791">
        <v>140.901518725279</v>
      </c>
      <c r="C7791">
        <v>2000</v>
      </c>
    </row>
    <row r="7792" spans="1:11" x14ac:dyDescent="0.25">
      <c r="A7792" t="s">
        <v>87</v>
      </c>
    </row>
    <row r="7793" spans="1:11" x14ac:dyDescent="0.25">
      <c r="A7793">
        <v>966</v>
      </c>
      <c r="B7793">
        <v>1</v>
      </c>
      <c r="C7793">
        <v>1.1474957945019</v>
      </c>
      <c r="D7793">
        <v>1.3064823999466</v>
      </c>
      <c r="E7793">
        <v>8</v>
      </c>
      <c r="F7793">
        <v>1.01722196789785</v>
      </c>
      <c r="G7793" t="s">
        <v>85</v>
      </c>
      <c r="H7793" t="s">
        <v>85</v>
      </c>
      <c r="I7793">
        <v>674</v>
      </c>
      <c r="J7793">
        <v>352</v>
      </c>
      <c r="K7793">
        <v>9.2813824447879903E-2</v>
      </c>
    </row>
    <row r="7794" spans="1:11" x14ac:dyDescent="0.25">
      <c r="A7794" t="s">
        <v>86</v>
      </c>
    </row>
    <row r="7795" spans="1:11" x14ac:dyDescent="0.25">
      <c r="A7795">
        <v>50.782536615238399</v>
      </c>
      <c r="B7795">
        <v>66.448094019678294</v>
      </c>
      <c r="C7795">
        <v>2000</v>
      </c>
    </row>
    <row r="7796" spans="1:11" x14ac:dyDescent="0.25">
      <c r="A7796">
        <v>50.331173985154301</v>
      </c>
      <c r="B7796">
        <v>66.899456649762399</v>
      </c>
      <c r="C7796">
        <v>2000</v>
      </c>
    </row>
    <row r="7797" spans="1:11" x14ac:dyDescent="0.25">
      <c r="A7797">
        <v>50.043984905828196</v>
      </c>
      <c r="B7797">
        <v>67.186645729088497</v>
      </c>
      <c r="C7797">
        <v>2000</v>
      </c>
    </row>
    <row r="7798" spans="1:11" x14ac:dyDescent="0.25">
      <c r="A7798">
        <v>49.1699528569305</v>
      </c>
      <c r="B7798">
        <v>67.186645729088497</v>
      </c>
      <c r="C7798">
        <v>2001</v>
      </c>
    </row>
    <row r="7799" spans="1:11" x14ac:dyDescent="0.25">
      <c r="A7799">
        <v>49.668826014845699</v>
      </c>
      <c r="B7799">
        <v>66.687772571173397</v>
      </c>
      <c r="C7799">
        <v>2001</v>
      </c>
    </row>
    <row r="7800" spans="1:11" x14ac:dyDescent="0.25">
      <c r="A7800">
        <v>50.054205262870902</v>
      </c>
      <c r="B7800">
        <v>66.302393323148095</v>
      </c>
      <c r="C7800">
        <v>2001</v>
      </c>
    </row>
    <row r="7801" spans="1:11" x14ac:dyDescent="0.25">
      <c r="A7801">
        <v>50.905177479109</v>
      </c>
      <c r="B7801">
        <v>65.451421106910104</v>
      </c>
      <c r="C7801">
        <v>2001</v>
      </c>
    </row>
    <row r="7802" spans="1:11" x14ac:dyDescent="0.25">
      <c r="A7802">
        <v>51.779209528006596</v>
      </c>
      <c r="B7802">
        <v>65.451421106910104</v>
      </c>
      <c r="C7802">
        <v>2000</v>
      </c>
    </row>
    <row r="7803" spans="1:11" x14ac:dyDescent="0.25">
      <c r="A7803" t="s">
        <v>87</v>
      </c>
    </row>
    <row r="7804" spans="1:11" x14ac:dyDescent="0.25">
      <c r="A7804">
        <v>1135</v>
      </c>
      <c r="B7804">
        <v>1</v>
      </c>
      <c r="C7804">
        <v>1.28821559359386</v>
      </c>
      <c r="D7804">
        <v>1.15692852262094</v>
      </c>
      <c r="E7804">
        <v>6</v>
      </c>
      <c r="F7804">
        <v>1.01722196789785</v>
      </c>
      <c r="G7804" t="s">
        <v>85</v>
      </c>
      <c r="H7804" t="s">
        <v>85</v>
      </c>
      <c r="I7804">
        <v>515</v>
      </c>
      <c r="J7804">
        <v>501</v>
      </c>
      <c r="K7804">
        <v>9.5129269803373898E-2</v>
      </c>
    </row>
    <row r="7805" spans="1:11" x14ac:dyDescent="0.25">
      <c r="A7805" t="s">
        <v>86</v>
      </c>
    </row>
    <row r="7806" spans="1:11" x14ac:dyDescent="0.25">
      <c r="A7806">
        <v>138.830322276131</v>
      </c>
      <c r="B7806">
        <v>140.869460547882</v>
      </c>
      <c r="C7806">
        <v>2000</v>
      </c>
    </row>
    <row r="7807" spans="1:11" x14ac:dyDescent="0.25">
      <c r="A7807">
        <v>138.149656652543</v>
      </c>
      <c r="B7807">
        <v>141.55012617147</v>
      </c>
      <c r="C7807">
        <v>2000</v>
      </c>
    </row>
    <row r="7808" spans="1:11" x14ac:dyDescent="0.25">
      <c r="A7808">
        <v>138.149656652543</v>
      </c>
      <c r="B7808">
        <v>142.42415822036801</v>
      </c>
      <c r="C7808">
        <v>2001</v>
      </c>
    </row>
    <row r="7809" spans="1:11" x14ac:dyDescent="0.25">
      <c r="A7809">
        <v>139.29080299267599</v>
      </c>
      <c r="B7809">
        <v>141.28301188023499</v>
      </c>
      <c r="C7809">
        <v>2001</v>
      </c>
    </row>
    <row r="7810" spans="1:11" x14ac:dyDescent="0.25">
      <c r="A7810">
        <v>140.31565066254501</v>
      </c>
      <c r="B7810">
        <v>140.25816421036501</v>
      </c>
      <c r="C7810">
        <v>2001</v>
      </c>
    </row>
    <row r="7811" spans="1:11" x14ac:dyDescent="0.25">
      <c r="A7811">
        <v>139.44161861364799</v>
      </c>
      <c r="B7811">
        <v>140.25816421036501</v>
      </c>
      <c r="C7811">
        <v>2000</v>
      </c>
    </row>
    <row r="7812" spans="1:11" x14ac:dyDescent="0.25">
      <c r="A7812" t="s">
        <v>87</v>
      </c>
    </row>
    <row r="7813" spans="1:11" x14ac:dyDescent="0.25">
      <c r="A7813">
        <v>1044</v>
      </c>
      <c r="B7813">
        <v>0</v>
      </c>
      <c r="C7813">
        <v>0.85034949820489203</v>
      </c>
      <c r="D7813">
        <v>1.55816144983869</v>
      </c>
      <c r="E7813">
        <v>6</v>
      </c>
      <c r="F7813">
        <v>1.01722196789785</v>
      </c>
      <c r="G7813" t="s">
        <v>85</v>
      </c>
      <c r="H7813" t="s">
        <v>85</v>
      </c>
      <c r="I7813">
        <v>382</v>
      </c>
      <c r="J7813">
        <v>776</v>
      </c>
      <c r="K7813">
        <v>9.3842356677082794E-2</v>
      </c>
    </row>
    <row r="7814" spans="1:11" x14ac:dyDescent="0.25">
      <c r="A7814" t="s">
        <v>86</v>
      </c>
    </row>
    <row r="7815" spans="1:11" x14ac:dyDescent="0.25">
      <c r="A7815">
        <v>44.311026287418898</v>
      </c>
      <c r="B7815">
        <v>71.400766713265696</v>
      </c>
      <c r="C7815">
        <v>2000</v>
      </c>
    </row>
    <row r="7816" spans="1:11" x14ac:dyDescent="0.25">
      <c r="A7816">
        <v>43.709738390859698</v>
      </c>
      <c r="B7816">
        <v>70.799478816706397</v>
      </c>
      <c r="C7816">
        <v>2000</v>
      </c>
    </row>
    <row r="7817" spans="1:11" x14ac:dyDescent="0.25">
      <c r="A7817">
        <v>44.583770439757302</v>
      </c>
      <c r="B7817">
        <v>70.799478816706397</v>
      </c>
      <c r="C7817">
        <v>2001</v>
      </c>
    </row>
    <row r="7818" spans="1:11" x14ac:dyDescent="0.25">
      <c r="A7818">
        <v>45.185058336316601</v>
      </c>
      <c r="B7818">
        <v>71.400766713265696</v>
      </c>
      <c r="C7818">
        <v>2001</v>
      </c>
    </row>
    <row r="7819" spans="1:11" x14ac:dyDescent="0.25">
      <c r="A7819">
        <v>46.286844863680898</v>
      </c>
      <c r="B7819">
        <v>72.502553240630107</v>
      </c>
      <c r="C7819">
        <v>2001</v>
      </c>
    </row>
    <row r="7820" spans="1:11" x14ac:dyDescent="0.25">
      <c r="A7820">
        <v>45.412812814783301</v>
      </c>
      <c r="B7820">
        <v>72.502553240630107</v>
      </c>
      <c r="C7820">
        <v>2000</v>
      </c>
    </row>
    <row r="7821" spans="1:11" x14ac:dyDescent="0.25">
      <c r="A7821" t="s">
        <v>87</v>
      </c>
    </row>
    <row r="7822" spans="1:11" x14ac:dyDescent="0.25">
      <c r="A7822">
        <v>1095</v>
      </c>
      <c r="B7822">
        <v>0</v>
      </c>
      <c r="C7822">
        <v>0.57759438986943201</v>
      </c>
      <c r="D7822">
        <v>1.77208061129674</v>
      </c>
      <c r="E7822">
        <v>6</v>
      </c>
      <c r="F7822">
        <v>1.01722196789785</v>
      </c>
      <c r="G7822" t="s">
        <v>85</v>
      </c>
      <c r="H7822" t="s">
        <v>85</v>
      </c>
      <c r="I7822">
        <v>895</v>
      </c>
      <c r="J7822">
        <v>742</v>
      </c>
      <c r="K7822">
        <v>9.4596959481043894E-2</v>
      </c>
    </row>
    <row r="7823" spans="1:11" x14ac:dyDescent="0.25">
      <c r="A7823" t="s">
        <v>86</v>
      </c>
    </row>
    <row r="7824" spans="1:11" x14ac:dyDescent="0.25">
      <c r="A7824">
        <v>8.1047144806456295</v>
      </c>
      <c r="B7824">
        <v>66.454929133516899</v>
      </c>
      <c r="C7824">
        <v>2000</v>
      </c>
    </row>
    <row r="7825" spans="1:11" x14ac:dyDescent="0.25">
      <c r="A7825">
        <v>7.8037203442322696</v>
      </c>
      <c r="B7825">
        <v>66.153934997103505</v>
      </c>
      <c r="C7825">
        <v>2000</v>
      </c>
    </row>
    <row r="7826" spans="1:11" x14ac:dyDescent="0.25">
      <c r="A7826">
        <v>7.8037203442322696</v>
      </c>
      <c r="B7826">
        <v>65.279902948205901</v>
      </c>
      <c r="C7826">
        <v>2001</v>
      </c>
    </row>
    <row r="7827" spans="1:11" x14ac:dyDescent="0.25">
      <c r="A7827">
        <v>8.3195680275228803</v>
      </c>
      <c r="B7827">
        <v>65.795750631496503</v>
      </c>
      <c r="C7827">
        <v>2001</v>
      </c>
    </row>
    <row r="7828" spans="1:11" x14ac:dyDescent="0.25">
      <c r="A7828">
        <v>9.9022074955902006</v>
      </c>
      <c r="B7828">
        <v>67.378390099563802</v>
      </c>
      <c r="C7828">
        <v>2001</v>
      </c>
    </row>
    <row r="7829" spans="1:11" x14ac:dyDescent="0.25">
      <c r="A7829">
        <v>9.0281754466925701</v>
      </c>
      <c r="B7829">
        <v>67.378390099563802</v>
      </c>
      <c r="C7829">
        <v>2000</v>
      </c>
    </row>
    <row r="7830" spans="1:11" x14ac:dyDescent="0.25">
      <c r="A7830" t="s">
        <v>87</v>
      </c>
    </row>
    <row r="7831" spans="1:11" x14ac:dyDescent="0.25">
      <c r="A7831">
        <v>865</v>
      </c>
      <c r="B7831">
        <v>0</v>
      </c>
      <c r="C7831">
        <v>0.18525431598263301</v>
      </c>
      <c r="D7831">
        <v>2.15635180274134</v>
      </c>
      <c r="E7831">
        <v>6</v>
      </c>
      <c r="F7831">
        <v>1.01722196789785</v>
      </c>
      <c r="G7831" t="s">
        <v>85</v>
      </c>
      <c r="H7831" t="s">
        <v>88</v>
      </c>
      <c r="I7831">
        <v>240</v>
      </c>
      <c r="J7831">
        <v>0</v>
      </c>
      <c r="K7831">
        <v>9.0910684189608806E-2</v>
      </c>
    </row>
    <row r="7832" spans="1:11" x14ac:dyDescent="0.25">
      <c r="A7832" t="s">
        <v>86</v>
      </c>
    </row>
    <row r="7833" spans="1:11" x14ac:dyDescent="0.25">
      <c r="A7833">
        <v>84.422185164150505</v>
      </c>
      <c r="B7833">
        <v>148.47522901765799</v>
      </c>
      <c r="C7833">
        <v>2000</v>
      </c>
    </row>
    <row r="7834" spans="1:11" x14ac:dyDescent="0.25">
      <c r="A7834">
        <v>84.291190581075099</v>
      </c>
      <c r="B7834">
        <v>148.34423443458201</v>
      </c>
      <c r="C7834">
        <v>2000</v>
      </c>
    </row>
    <row r="7835" spans="1:11" x14ac:dyDescent="0.25">
      <c r="A7835">
        <v>85.165222629972703</v>
      </c>
      <c r="B7835">
        <v>148.34423443458201</v>
      </c>
      <c r="C7835">
        <v>2001</v>
      </c>
    </row>
    <row r="7836" spans="1:11" x14ac:dyDescent="0.25">
      <c r="A7836">
        <v>85.296217213048095</v>
      </c>
      <c r="B7836">
        <v>148.47522901765799</v>
      </c>
      <c r="C7836">
        <v>2001</v>
      </c>
    </row>
    <row r="7837" spans="1:11" x14ac:dyDescent="0.25">
      <c r="A7837">
        <v>86.820988195390299</v>
      </c>
      <c r="B7837">
        <v>150</v>
      </c>
      <c r="C7837">
        <v>2001</v>
      </c>
    </row>
    <row r="7838" spans="1:11" x14ac:dyDescent="0.25">
      <c r="A7838">
        <v>85.946956146492695</v>
      </c>
      <c r="B7838">
        <v>150</v>
      </c>
      <c r="C7838">
        <v>2000</v>
      </c>
    </row>
    <row r="7839" spans="1:11" x14ac:dyDescent="0.25">
      <c r="A7839" t="s">
        <v>87</v>
      </c>
    </row>
    <row r="7840" spans="1:11" x14ac:dyDescent="0.25">
      <c r="A7840">
        <v>1173</v>
      </c>
      <c r="B7840">
        <v>0</v>
      </c>
      <c r="C7840">
        <v>9.6359714178021305E-2</v>
      </c>
      <c r="D7840">
        <v>2.2388777029243001</v>
      </c>
      <c r="E7840">
        <v>6</v>
      </c>
      <c r="F7840">
        <v>1.01722196789785</v>
      </c>
      <c r="G7840" t="s">
        <v>85</v>
      </c>
      <c r="H7840" t="s">
        <v>85</v>
      </c>
      <c r="I7840">
        <v>624</v>
      </c>
      <c r="J7840">
        <v>623</v>
      </c>
      <c r="K7840">
        <v>9.5636215209858197E-2</v>
      </c>
    </row>
    <row r="7841" spans="1:11" x14ac:dyDescent="0.25">
      <c r="A7841" t="s">
        <v>86</v>
      </c>
    </row>
    <row r="7842" spans="1:11" x14ac:dyDescent="0.25">
      <c r="A7842">
        <v>137.92342875243301</v>
      </c>
      <c r="B7842">
        <v>60.685171261748799</v>
      </c>
      <c r="C7842">
        <v>2000</v>
      </c>
    </row>
    <row r="7843" spans="1:11" x14ac:dyDescent="0.25">
      <c r="A7843">
        <v>137.85529214510399</v>
      </c>
      <c r="B7843">
        <v>60.617034654420401</v>
      </c>
      <c r="C7843">
        <v>2000</v>
      </c>
    </row>
    <row r="7844" spans="1:11" x14ac:dyDescent="0.25">
      <c r="A7844">
        <v>138.729324194002</v>
      </c>
      <c r="B7844">
        <v>60.617034654420301</v>
      </c>
      <c r="C7844">
        <v>2001</v>
      </c>
    </row>
    <row r="7845" spans="1:11" x14ac:dyDescent="0.25">
      <c r="A7845">
        <v>138.797460801331</v>
      </c>
      <c r="B7845">
        <v>60.685171261748799</v>
      </c>
      <c r="C7845">
        <v>2001</v>
      </c>
    </row>
    <row r="7846" spans="1:11" x14ac:dyDescent="0.25">
      <c r="A7846">
        <v>140.380586407316</v>
      </c>
      <c r="B7846">
        <v>62.268296867734001</v>
      </c>
      <c r="C7846">
        <v>2001</v>
      </c>
    </row>
    <row r="7847" spans="1:11" x14ac:dyDescent="0.25">
      <c r="A7847">
        <v>139.50655435841799</v>
      </c>
      <c r="B7847">
        <v>62.268296867734001</v>
      </c>
      <c r="C7847">
        <v>2000</v>
      </c>
    </row>
    <row r="7848" spans="1:11" x14ac:dyDescent="0.25">
      <c r="A7848" t="s">
        <v>87</v>
      </c>
    </row>
    <row r="7849" spans="1:11" x14ac:dyDescent="0.25">
      <c r="A7849">
        <v>899</v>
      </c>
      <c r="B7849">
        <v>1</v>
      </c>
      <c r="C7849">
        <v>1.3058720279690601</v>
      </c>
      <c r="D7849">
        <v>1.0200607808484099</v>
      </c>
      <c r="E7849">
        <v>6</v>
      </c>
      <c r="F7849">
        <v>1.01722196789785</v>
      </c>
      <c r="G7849" t="s">
        <v>88</v>
      </c>
      <c r="H7849" t="s">
        <v>89</v>
      </c>
      <c r="I7849">
        <v>0</v>
      </c>
      <c r="J7849">
        <v>369</v>
      </c>
      <c r="K7849">
        <v>9.142164214173E-2</v>
      </c>
    </row>
    <row r="7850" spans="1:11" x14ac:dyDescent="0.25">
      <c r="A7850" t="s">
        <v>86</v>
      </c>
    </row>
    <row r="7851" spans="1:11" x14ac:dyDescent="0.25">
      <c r="A7851">
        <v>0.80071179866491904</v>
      </c>
      <c r="B7851">
        <v>53.901917438175602</v>
      </c>
      <c r="C7851">
        <v>2000</v>
      </c>
    </row>
    <row r="7852" spans="1:11" x14ac:dyDescent="0.25">
      <c r="A7852">
        <v>0</v>
      </c>
      <c r="B7852">
        <v>54.7026292368406</v>
      </c>
      <c r="C7852">
        <v>2000</v>
      </c>
    </row>
    <row r="7853" spans="1:11" x14ac:dyDescent="0.25">
      <c r="A7853">
        <v>0</v>
      </c>
      <c r="B7853">
        <v>55.576661285738197</v>
      </c>
      <c r="C7853">
        <v>2001</v>
      </c>
    </row>
    <row r="7854" spans="1:11" x14ac:dyDescent="0.25">
      <c r="A7854">
        <v>1.04607013401258</v>
      </c>
      <c r="B7854">
        <v>54.530591151725602</v>
      </c>
      <c r="C7854">
        <v>2001</v>
      </c>
    </row>
    <row r="7855" spans="1:11" x14ac:dyDescent="0.25">
      <c r="A7855">
        <v>1.8631908739235099</v>
      </c>
      <c r="B7855">
        <v>53.713470411814697</v>
      </c>
      <c r="C7855">
        <v>2001</v>
      </c>
    </row>
    <row r="7856" spans="1:11" x14ac:dyDescent="0.25">
      <c r="A7856">
        <v>1.42617484947469</v>
      </c>
      <c r="B7856">
        <v>53.276454387365902</v>
      </c>
      <c r="C7856">
        <v>2000</v>
      </c>
    </row>
    <row r="7857" spans="1:11" x14ac:dyDescent="0.25">
      <c r="A7857" t="s">
        <v>87</v>
      </c>
    </row>
    <row r="7858" spans="1:11" x14ac:dyDescent="0.25">
      <c r="A7858">
        <v>934</v>
      </c>
      <c r="B7858">
        <v>1</v>
      </c>
      <c r="C7858">
        <v>0.98080164998669495</v>
      </c>
      <c r="D7858">
        <v>1.3237292690283999</v>
      </c>
      <c r="E7858">
        <v>6</v>
      </c>
      <c r="F7858">
        <v>1.01722196789785</v>
      </c>
      <c r="G7858" t="s">
        <v>85</v>
      </c>
      <c r="H7858" t="s">
        <v>85</v>
      </c>
      <c r="I7858">
        <v>197</v>
      </c>
      <c r="J7858">
        <v>186</v>
      </c>
      <c r="K7858">
        <v>9.2142179589674397E-2</v>
      </c>
    </row>
    <row r="7859" spans="1:11" x14ac:dyDescent="0.25">
      <c r="A7859" t="s">
        <v>86</v>
      </c>
    </row>
    <row r="7860" spans="1:11" x14ac:dyDescent="0.25">
      <c r="A7860">
        <v>64.389995848846198</v>
      </c>
      <c r="B7860">
        <v>138.25717342853599</v>
      </c>
      <c r="C7860">
        <v>2000</v>
      </c>
    </row>
    <row r="7861" spans="1:11" x14ac:dyDescent="0.25">
      <c r="A7861">
        <v>63.882457098868898</v>
      </c>
      <c r="B7861">
        <v>138.76471217851301</v>
      </c>
      <c r="C7861">
        <v>2000</v>
      </c>
    </row>
    <row r="7862" spans="1:11" x14ac:dyDescent="0.25">
      <c r="A7862">
        <v>63.882457098868898</v>
      </c>
      <c r="B7862">
        <v>139.638744227411</v>
      </c>
      <c r="C7862">
        <v>2001</v>
      </c>
    </row>
    <row r="7863" spans="1:11" x14ac:dyDescent="0.25">
      <c r="A7863">
        <v>64.761981344300693</v>
      </c>
      <c r="B7863">
        <v>138.75921998197899</v>
      </c>
      <c r="C7863">
        <v>2001</v>
      </c>
    </row>
    <row r="7864" spans="1:11" x14ac:dyDescent="0.25">
      <c r="A7864">
        <v>65.949022563607301</v>
      </c>
      <c r="B7864">
        <v>137.57217876267299</v>
      </c>
      <c r="C7864">
        <v>2001</v>
      </c>
    </row>
    <row r="7865" spans="1:11" x14ac:dyDescent="0.25">
      <c r="A7865">
        <v>65.074990514709697</v>
      </c>
      <c r="B7865">
        <v>137.57217876267299</v>
      </c>
      <c r="C7865">
        <v>2000</v>
      </c>
    </row>
    <row r="7866" spans="1:11" x14ac:dyDescent="0.25">
      <c r="A7866" t="s">
        <v>87</v>
      </c>
    </row>
    <row r="7867" spans="1:11" x14ac:dyDescent="0.25">
      <c r="A7867">
        <v>881</v>
      </c>
      <c r="B7867">
        <v>1</v>
      </c>
      <c r="C7867">
        <v>1.2583132442058</v>
      </c>
      <c r="D7867">
        <v>1.0222869247042401</v>
      </c>
      <c r="E7867">
        <v>6</v>
      </c>
      <c r="F7867">
        <v>1.01722196789785</v>
      </c>
      <c r="G7867" t="s">
        <v>85</v>
      </c>
      <c r="H7867" t="s">
        <v>85</v>
      </c>
      <c r="I7867">
        <v>819</v>
      </c>
      <c r="J7867">
        <v>28</v>
      </c>
      <c r="K7867">
        <v>9.1169371169763397E-2</v>
      </c>
    </row>
    <row r="7868" spans="1:11" x14ac:dyDescent="0.25">
      <c r="A7868" t="s">
        <v>86</v>
      </c>
    </row>
    <row r="7869" spans="1:11" x14ac:dyDescent="0.25">
      <c r="A7869">
        <v>21.605072933056299</v>
      </c>
      <c r="B7869">
        <v>28.065145098634598</v>
      </c>
      <c r="C7869">
        <v>2000</v>
      </c>
    </row>
    <row r="7870" spans="1:11" x14ac:dyDescent="0.25">
      <c r="A7870">
        <v>20.715311105221598</v>
      </c>
      <c r="B7870">
        <v>28.954906926469398</v>
      </c>
      <c r="C7870">
        <v>2000</v>
      </c>
    </row>
    <row r="7871" spans="1:11" x14ac:dyDescent="0.25">
      <c r="A7871">
        <v>19.841279056323899</v>
      </c>
      <c r="B7871">
        <v>28.954906926469398</v>
      </c>
      <c r="C7871">
        <v>2001</v>
      </c>
    </row>
    <row r="7872" spans="1:11" x14ac:dyDescent="0.25">
      <c r="A7872">
        <v>20.731040884158698</v>
      </c>
      <c r="B7872">
        <v>28.065145098634598</v>
      </c>
      <c r="C7872">
        <v>2001</v>
      </c>
    </row>
    <row r="7873" spans="1:11" x14ac:dyDescent="0.25">
      <c r="A7873">
        <v>21.453906900935401</v>
      </c>
      <c r="B7873">
        <v>27.3422790818579</v>
      </c>
      <c r="C7873">
        <v>2001</v>
      </c>
    </row>
    <row r="7874" spans="1:11" x14ac:dyDescent="0.25">
      <c r="A7874">
        <v>22.327938949833001</v>
      </c>
      <c r="B7874">
        <v>27.3422790818579</v>
      </c>
      <c r="C7874">
        <v>2000</v>
      </c>
    </row>
    <row r="7875" spans="1:11" x14ac:dyDescent="0.25">
      <c r="A7875" t="s">
        <v>87</v>
      </c>
    </row>
    <row r="7876" spans="1:11" x14ac:dyDescent="0.25">
      <c r="A7876">
        <v>1029</v>
      </c>
      <c r="B7876">
        <v>0</v>
      </c>
      <c r="C7876">
        <v>0.82099155109808197</v>
      </c>
      <c r="D7876">
        <v>1.3713689879116899</v>
      </c>
      <c r="E7876">
        <v>6</v>
      </c>
      <c r="F7876">
        <v>1.01722196789785</v>
      </c>
      <c r="G7876" t="s">
        <v>85</v>
      </c>
      <c r="H7876" t="s">
        <v>85</v>
      </c>
      <c r="I7876">
        <v>767</v>
      </c>
      <c r="J7876">
        <v>463</v>
      </c>
      <c r="K7876">
        <v>9.3644784593262795E-2</v>
      </c>
    </row>
    <row r="7877" spans="1:11" x14ac:dyDescent="0.25">
      <c r="A7877" t="s">
        <v>86</v>
      </c>
    </row>
    <row r="7878" spans="1:11" x14ac:dyDescent="0.25">
      <c r="A7878">
        <v>63.411862083436802</v>
      </c>
      <c r="B7878">
        <v>5.3988944224166104</v>
      </c>
      <c r="C7878">
        <v>2000</v>
      </c>
    </row>
    <row r="7879" spans="1:11" x14ac:dyDescent="0.25">
      <c r="A7879">
        <v>62.831333390358502</v>
      </c>
      <c r="B7879">
        <v>4.8183657293382902</v>
      </c>
      <c r="C7879">
        <v>2000</v>
      </c>
    </row>
    <row r="7880" spans="1:11" x14ac:dyDescent="0.25">
      <c r="A7880">
        <v>62.831333390358502</v>
      </c>
      <c r="B7880">
        <v>5.6923977782359403</v>
      </c>
      <c r="C7880">
        <v>2001</v>
      </c>
    </row>
    <row r="7881" spans="1:11" x14ac:dyDescent="0.25">
      <c r="A7881">
        <v>63.411862083436802</v>
      </c>
      <c r="B7881">
        <v>6.2729264713142499</v>
      </c>
      <c r="C7881">
        <v>2001</v>
      </c>
    </row>
    <row r="7882" spans="1:11" x14ac:dyDescent="0.25">
      <c r="A7882">
        <v>64.381566394298105</v>
      </c>
      <c r="B7882">
        <v>7.2426307821755298</v>
      </c>
      <c r="C7882">
        <v>2001</v>
      </c>
    </row>
    <row r="7883" spans="1:11" x14ac:dyDescent="0.25">
      <c r="A7883">
        <v>64.381566394298105</v>
      </c>
      <c r="B7883">
        <v>6.3685987332778904</v>
      </c>
      <c r="C7883">
        <v>2000</v>
      </c>
    </row>
    <row r="7884" spans="1:11" x14ac:dyDescent="0.25">
      <c r="A7884" t="s">
        <v>87</v>
      </c>
    </row>
    <row r="7885" spans="1:11" x14ac:dyDescent="0.25">
      <c r="A7885">
        <v>1054</v>
      </c>
      <c r="B7885">
        <v>1</v>
      </c>
      <c r="C7885">
        <v>0.68258454385554002</v>
      </c>
      <c r="D7885">
        <v>1.4763191847097701</v>
      </c>
      <c r="E7885">
        <v>6</v>
      </c>
      <c r="F7885">
        <v>1.01722196789785</v>
      </c>
      <c r="G7885" t="s">
        <v>85</v>
      </c>
      <c r="H7885" t="s">
        <v>89</v>
      </c>
      <c r="I7885">
        <v>679</v>
      </c>
      <c r="J7885">
        <v>684</v>
      </c>
      <c r="K7885">
        <v>9.4036209728977305E-2</v>
      </c>
    </row>
    <row r="7886" spans="1:11" x14ac:dyDescent="0.25">
      <c r="A7886" t="s">
        <v>86</v>
      </c>
    </row>
    <row r="7887" spans="1:11" x14ac:dyDescent="0.25">
      <c r="A7887">
        <v>75.065679367558005</v>
      </c>
      <c r="B7887">
        <v>72.129206054533796</v>
      </c>
      <c r="C7887">
        <v>2000</v>
      </c>
    </row>
    <row r="7888" spans="1:11" x14ac:dyDescent="0.25">
      <c r="A7888">
        <v>74.652105286080797</v>
      </c>
      <c r="B7888">
        <v>72.542780136011004</v>
      </c>
      <c r="C7888">
        <v>2000</v>
      </c>
    </row>
    <row r="7889" spans="1:11" x14ac:dyDescent="0.25">
      <c r="A7889">
        <v>73.778073237183193</v>
      </c>
      <c r="B7889">
        <v>72.542780136011004</v>
      </c>
      <c r="C7889">
        <v>2001</v>
      </c>
    </row>
    <row r="7890" spans="1:11" x14ac:dyDescent="0.25">
      <c r="A7890">
        <v>74.329819475092805</v>
      </c>
      <c r="B7890">
        <v>71.991033898101406</v>
      </c>
      <c r="C7890">
        <v>2001</v>
      </c>
    </row>
    <row r="7891" spans="1:11" x14ac:dyDescent="0.25">
      <c r="A7891">
        <v>75.523156715805101</v>
      </c>
      <c r="B7891">
        <v>70.797696657389096</v>
      </c>
      <c r="C7891">
        <v>2001</v>
      </c>
    </row>
    <row r="7892" spans="1:11" x14ac:dyDescent="0.25">
      <c r="A7892">
        <v>75.960172740253896</v>
      </c>
      <c r="B7892">
        <v>71.234712681837905</v>
      </c>
      <c r="C7892">
        <v>2000</v>
      </c>
    </row>
    <row r="7893" spans="1:11" x14ac:dyDescent="0.25">
      <c r="A7893" t="s">
        <v>87</v>
      </c>
    </row>
    <row r="7894" spans="1:11" x14ac:dyDescent="0.25">
      <c r="A7894">
        <v>1232</v>
      </c>
      <c r="B7894">
        <v>0</v>
      </c>
      <c r="C7894">
        <v>1.2046645536384899</v>
      </c>
      <c r="D7894">
        <v>0.94338087904722601</v>
      </c>
      <c r="E7894">
        <v>6</v>
      </c>
      <c r="F7894">
        <v>1.01722196789785</v>
      </c>
      <c r="G7894" t="s">
        <v>85</v>
      </c>
      <c r="H7894" t="s">
        <v>85</v>
      </c>
      <c r="I7894">
        <v>790</v>
      </c>
      <c r="J7894">
        <v>1126</v>
      </c>
      <c r="K7894">
        <v>9.6277099271545E-2</v>
      </c>
    </row>
    <row r="7895" spans="1:11" x14ac:dyDescent="0.25">
      <c r="A7895" t="s">
        <v>86</v>
      </c>
    </row>
    <row r="7896" spans="1:11" x14ac:dyDescent="0.25">
      <c r="A7896">
        <v>135.68533880540701</v>
      </c>
      <c r="B7896">
        <v>5.17626448693788</v>
      </c>
      <c r="C7896">
        <v>2000</v>
      </c>
    </row>
    <row r="7897" spans="1:11" x14ac:dyDescent="0.25">
      <c r="A7897">
        <v>135.07859919223901</v>
      </c>
      <c r="B7897">
        <v>4.5695248737699998</v>
      </c>
      <c r="C7897">
        <v>2000</v>
      </c>
    </row>
    <row r="7898" spans="1:11" x14ac:dyDescent="0.25">
      <c r="A7898">
        <v>135.07859919223901</v>
      </c>
      <c r="B7898">
        <v>3.6954928248723502</v>
      </c>
      <c r="C7898">
        <v>2001</v>
      </c>
    </row>
    <row r="7899" spans="1:11" x14ac:dyDescent="0.25">
      <c r="A7899">
        <v>136.17551252893699</v>
      </c>
      <c r="B7899">
        <v>4.7924061615701596</v>
      </c>
      <c r="C7899">
        <v>2001</v>
      </c>
    </row>
    <row r="7900" spans="1:11" x14ac:dyDescent="0.25">
      <c r="A7900">
        <v>137.03451270843601</v>
      </c>
      <c r="B7900">
        <v>5.6514063410700404</v>
      </c>
      <c r="C7900">
        <v>2001</v>
      </c>
    </row>
    <row r="7901" spans="1:11" x14ac:dyDescent="0.25">
      <c r="A7901">
        <v>136.16048065953899</v>
      </c>
      <c r="B7901">
        <v>5.6514063410700404</v>
      </c>
      <c r="C7901">
        <v>2000</v>
      </c>
    </row>
    <row r="7902" spans="1:11" x14ac:dyDescent="0.25">
      <c r="A7902" t="s">
        <v>87</v>
      </c>
    </row>
    <row r="7903" spans="1:11" x14ac:dyDescent="0.25">
      <c r="A7903">
        <v>870</v>
      </c>
      <c r="B7903">
        <v>0</v>
      </c>
      <c r="C7903">
        <v>0.24250974282262</v>
      </c>
      <c r="D7903">
        <v>1.8303094789192</v>
      </c>
      <c r="E7903">
        <v>6</v>
      </c>
      <c r="F7903">
        <v>1.01722196789785</v>
      </c>
      <c r="G7903" t="s">
        <v>89</v>
      </c>
      <c r="H7903" t="s">
        <v>85</v>
      </c>
      <c r="I7903">
        <v>101</v>
      </c>
      <c r="J7903">
        <v>622</v>
      </c>
      <c r="K7903">
        <v>9.0910684189608806E-2</v>
      </c>
    </row>
    <row r="7904" spans="1:11" x14ac:dyDescent="0.25">
      <c r="A7904" t="s">
        <v>86</v>
      </c>
    </row>
    <row r="7905" spans="1:11" x14ac:dyDescent="0.25">
      <c r="A7905">
        <v>122.281477150635</v>
      </c>
      <c r="B7905">
        <v>50.199022538126698</v>
      </c>
      <c r="C7905">
        <v>2000</v>
      </c>
    </row>
    <row r="7906" spans="1:11" x14ac:dyDescent="0.25">
      <c r="A7906">
        <v>122.13556123906601</v>
      </c>
      <c r="B7906">
        <v>50.053106626557899</v>
      </c>
      <c r="C7906">
        <v>2000</v>
      </c>
    </row>
    <row r="7907" spans="1:11" x14ac:dyDescent="0.25">
      <c r="A7907">
        <v>121.698545214617</v>
      </c>
      <c r="B7907">
        <v>50.4901226510067</v>
      </c>
      <c r="C7907">
        <v>2001</v>
      </c>
    </row>
    <row r="7908" spans="1:11" x14ac:dyDescent="0.25">
      <c r="A7908">
        <v>121.89558987035601</v>
      </c>
      <c r="B7908">
        <v>50.687167306745202</v>
      </c>
      <c r="C7908">
        <v>2001</v>
      </c>
    </row>
    <row r="7909" spans="1:11" x14ac:dyDescent="0.25">
      <c r="A7909">
        <v>123.382757754709</v>
      </c>
      <c r="B7909">
        <v>52.174335191098599</v>
      </c>
      <c r="C7909">
        <v>2001</v>
      </c>
    </row>
    <row r="7910" spans="1:11" x14ac:dyDescent="0.25">
      <c r="A7910">
        <v>123.382757754709</v>
      </c>
      <c r="B7910">
        <v>51.300303142200903</v>
      </c>
      <c r="C7910">
        <v>2000</v>
      </c>
    </row>
    <row r="7911" spans="1:11" x14ac:dyDescent="0.25">
      <c r="A7911" t="s">
        <v>87</v>
      </c>
    </row>
    <row r="7912" spans="1:11" x14ac:dyDescent="0.25">
      <c r="A7912">
        <v>21</v>
      </c>
      <c r="B7912">
        <v>0</v>
      </c>
      <c r="C7912">
        <v>1.9760956749404399</v>
      </c>
      <c r="D7912">
        <v>9.0085810038409903E-2</v>
      </c>
      <c r="E7912">
        <v>6</v>
      </c>
      <c r="F7912">
        <v>1.01722196789785</v>
      </c>
      <c r="G7912" t="s">
        <v>85</v>
      </c>
      <c r="H7912" t="s">
        <v>89</v>
      </c>
      <c r="I7912">
        <v>68</v>
      </c>
      <c r="J7912">
        <v>33</v>
      </c>
      <c r="K7912">
        <v>0</v>
      </c>
    </row>
    <row r="7913" spans="1:11" x14ac:dyDescent="0.25">
      <c r="A7913" t="s">
        <v>86</v>
      </c>
    </row>
    <row r="7914" spans="1:11" x14ac:dyDescent="0.25">
      <c r="A7914">
        <v>49.205107838287603</v>
      </c>
      <c r="B7914">
        <v>33.117146455073801</v>
      </c>
      <c r="C7914">
        <v>2000</v>
      </c>
    </row>
    <row r="7915" spans="1:11" x14ac:dyDescent="0.25">
      <c r="A7915">
        <v>47.598816154812503</v>
      </c>
      <c r="B7915">
        <v>31.510854771598598</v>
      </c>
      <c r="C7915">
        <v>2000</v>
      </c>
    </row>
    <row r="7916" spans="1:11" x14ac:dyDescent="0.25">
      <c r="A7916">
        <v>48.4728482037101</v>
      </c>
      <c r="B7916">
        <v>31.510854771598598</v>
      </c>
      <c r="C7916">
        <v>2001</v>
      </c>
    </row>
    <row r="7917" spans="1:11" x14ac:dyDescent="0.25">
      <c r="A7917">
        <v>49.661177824282603</v>
      </c>
      <c r="B7917">
        <v>32.699184392171098</v>
      </c>
      <c r="C7917">
        <v>2001</v>
      </c>
    </row>
    <row r="7918" spans="1:11" x14ac:dyDescent="0.25">
      <c r="A7918">
        <v>49.715351130676297</v>
      </c>
      <c r="B7918">
        <v>32.753357698564898</v>
      </c>
      <c r="C7918">
        <v>2001</v>
      </c>
    </row>
    <row r="7919" spans="1:11" x14ac:dyDescent="0.25">
      <c r="A7919">
        <v>49.278335106227502</v>
      </c>
      <c r="B7919">
        <v>33.1903737230137</v>
      </c>
      <c r="C7919">
        <v>2000</v>
      </c>
    </row>
    <row r="7920" spans="1:11" x14ac:dyDescent="0.25">
      <c r="A7920" t="s">
        <v>87</v>
      </c>
    </row>
    <row r="7921" spans="1:11" x14ac:dyDescent="0.25">
      <c r="A7921">
        <v>1200</v>
      </c>
      <c r="B7921">
        <v>1</v>
      </c>
      <c r="C7921">
        <v>0.89988212095916298</v>
      </c>
      <c r="D7921">
        <v>1.12603990404993</v>
      </c>
      <c r="E7921">
        <v>6</v>
      </c>
      <c r="F7921">
        <v>1.01722196789785</v>
      </c>
      <c r="G7921" t="s">
        <v>85</v>
      </c>
      <c r="H7921" t="s">
        <v>85</v>
      </c>
      <c r="I7921">
        <v>198</v>
      </c>
      <c r="J7921">
        <v>728</v>
      </c>
      <c r="K7921">
        <v>9.5961381564156997E-2</v>
      </c>
    </row>
    <row r="7922" spans="1:11" x14ac:dyDescent="0.25">
      <c r="A7922" t="s">
        <v>86</v>
      </c>
    </row>
    <row r="7923" spans="1:11" x14ac:dyDescent="0.25">
      <c r="A7923">
        <v>58.990401101566299</v>
      </c>
      <c r="B7923">
        <v>110.14260863819</v>
      </c>
      <c r="C7923">
        <v>2000</v>
      </c>
    </row>
    <row r="7924" spans="1:11" x14ac:dyDescent="0.25">
      <c r="A7924">
        <v>58.548203871375001</v>
      </c>
      <c r="B7924">
        <v>110.58480586838201</v>
      </c>
      <c r="C7924">
        <v>2000</v>
      </c>
    </row>
    <row r="7925" spans="1:11" x14ac:dyDescent="0.25">
      <c r="A7925">
        <v>58.548203871375001</v>
      </c>
      <c r="B7925">
        <v>111.458837917279</v>
      </c>
      <c r="C7925">
        <v>2001</v>
      </c>
    </row>
    <row r="7926" spans="1:11" x14ac:dyDescent="0.25">
      <c r="A7926">
        <v>59.378632141181299</v>
      </c>
      <c r="B7926">
        <v>110.62840964747301</v>
      </c>
      <c r="C7926">
        <v>2001</v>
      </c>
    </row>
    <row r="7927" spans="1:11" x14ac:dyDescent="0.25">
      <c r="A7927">
        <v>60.417763097863002</v>
      </c>
      <c r="B7927">
        <v>109.58927869079101</v>
      </c>
      <c r="C7927">
        <v>2001</v>
      </c>
    </row>
    <row r="7928" spans="1:11" x14ac:dyDescent="0.25">
      <c r="A7928">
        <v>59.543731048965299</v>
      </c>
      <c r="B7928">
        <v>109.58927869079101</v>
      </c>
      <c r="C7928">
        <v>2000</v>
      </c>
    </row>
    <row r="7929" spans="1:11" x14ac:dyDescent="0.25">
      <c r="A7929" t="s">
        <v>87</v>
      </c>
    </row>
    <row r="7930" spans="1:11" x14ac:dyDescent="0.25">
      <c r="A7930">
        <v>1087</v>
      </c>
      <c r="B7930">
        <v>0</v>
      </c>
      <c r="C7930">
        <v>1.7235585580175701</v>
      </c>
      <c r="D7930">
        <v>0.27325617838820898</v>
      </c>
      <c r="E7930">
        <v>6</v>
      </c>
      <c r="F7930">
        <v>1.01722196789785</v>
      </c>
      <c r="G7930" t="s">
        <v>85</v>
      </c>
      <c r="H7930" t="s">
        <v>85</v>
      </c>
      <c r="I7930">
        <v>806</v>
      </c>
      <c r="J7930">
        <v>1071</v>
      </c>
      <c r="K7930">
        <v>9.4413370804653396E-2</v>
      </c>
    </row>
    <row r="7931" spans="1:11" x14ac:dyDescent="0.25">
      <c r="A7931" t="s">
        <v>86</v>
      </c>
    </row>
    <row r="7932" spans="1:11" x14ac:dyDescent="0.25">
      <c r="A7932">
        <v>141.64136204539801</v>
      </c>
      <c r="B7932">
        <v>27.714827598535901</v>
      </c>
      <c r="C7932">
        <v>2000</v>
      </c>
    </row>
    <row r="7933" spans="1:11" x14ac:dyDescent="0.25">
      <c r="A7933">
        <v>140.04540998677899</v>
      </c>
      <c r="B7933">
        <v>26.118875539916999</v>
      </c>
      <c r="C7933">
        <v>2000</v>
      </c>
    </row>
    <row r="7934" spans="1:11" x14ac:dyDescent="0.25">
      <c r="A7934">
        <v>140.91944203567701</v>
      </c>
      <c r="B7934">
        <v>26.118875539916999</v>
      </c>
      <c r="C7934">
        <v>2001</v>
      </c>
    </row>
    <row r="7935" spans="1:11" x14ac:dyDescent="0.25">
      <c r="A7935">
        <v>141.760969865351</v>
      </c>
      <c r="B7935">
        <v>26.960403369590701</v>
      </c>
      <c r="C7935">
        <v>2001</v>
      </c>
    </row>
    <row r="7936" spans="1:11" x14ac:dyDescent="0.25">
      <c r="A7936">
        <v>141.894387252114</v>
      </c>
      <c r="B7936">
        <v>27.0938207563539</v>
      </c>
      <c r="C7936">
        <v>2001</v>
      </c>
    </row>
    <row r="7937" spans="1:11" x14ac:dyDescent="0.25">
      <c r="A7937">
        <v>141.894387252114</v>
      </c>
      <c r="B7937">
        <v>27.967852805251599</v>
      </c>
      <c r="C7937">
        <v>2000</v>
      </c>
    </row>
    <row r="7938" spans="1:11" x14ac:dyDescent="0.25">
      <c r="A7938" t="s">
        <v>87</v>
      </c>
    </row>
    <row r="7939" spans="1:11" x14ac:dyDescent="0.25">
      <c r="A7939">
        <v>1167</v>
      </c>
      <c r="B7939">
        <v>0</v>
      </c>
      <c r="C7939">
        <v>0.53285932971239403</v>
      </c>
      <c r="D7939">
        <v>1.41780310936372</v>
      </c>
      <c r="E7939">
        <v>6</v>
      </c>
      <c r="F7939">
        <v>1.01722196789785</v>
      </c>
      <c r="G7939" t="s">
        <v>85</v>
      </c>
      <c r="H7939" t="s">
        <v>85</v>
      </c>
      <c r="I7939">
        <v>153</v>
      </c>
      <c r="J7939">
        <v>1106</v>
      </c>
      <c r="K7939">
        <v>9.5469883166703101E-2</v>
      </c>
    </row>
    <row r="7940" spans="1:11" x14ac:dyDescent="0.25">
      <c r="A7940" t="s">
        <v>86</v>
      </c>
    </row>
    <row r="7941" spans="1:11" x14ac:dyDescent="0.25">
      <c r="A7941">
        <v>122.752152168533</v>
      </c>
      <c r="B7941">
        <v>2.05522598794435</v>
      </c>
      <c r="C7941">
        <v>2000</v>
      </c>
    </row>
    <row r="7942" spans="1:11" x14ac:dyDescent="0.25">
      <c r="A7942">
        <v>122.375363723075</v>
      </c>
      <c r="B7942">
        <v>1.6784375424861999</v>
      </c>
      <c r="C7942">
        <v>2000</v>
      </c>
    </row>
    <row r="7943" spans="1:11" x14ac:dyDescent="0.25">
      <c r="A7943">
        <v>121.501331674177</v>
      </c>
      <c r="B7943">
        <v>1.6784375424861999</v>
      </c>
      <c r="C7943">
        <v>2001</v>
      </c>
    </row>
    <row r="7944" spans="1:11" x14ac:dyDescent="0.25">
      <c r="A7944">
        <v>121.87812011963599</v>
      </c>
      <c r="B7944">
        <v>2.05522598794435</v>
      </c>
      <c r="C7944">
        <v>2001</v>
      </c>
    </row>
    <row r="7945" spans="1:11" x14ac:dyDescent="0.25">
      <c r="A7945">
        <v>122.88065831265401</v>
      </c>
      <c r="B7945">
        <v>3.05776418096282</v>
      </c>
      <c r="C7945">
        <v>2001</v>
      </c>
    </row>
    <row r="7946" spans="1:11" x14ac:dyDescent="0.25">
      <c r="A7946">
        <v>123.75469036155199</v>
      </c>
      <c r="B7946">
        <v>3.05776418096282</v>
      </c>
      <c r="C7946">
        <v>2000</v>
      </c>
    </row>
    <row r="7947" spans="1:11" x14ac:dyDescent="0.25">
      <c r="A7947" t="s">
        <v>87</v>
      </c>
    </row>
    <row r="7948" spans="1:11" x14ac:dyDescent="0.25">
      <c r="A7948">
        <v>737</v>
      </c>
      <c r="B7948">
        <v>1</v>
      </c>
      <c r="C7948">
        <v>0.235489517361614</v>
      </c>
      <c r="D7948">
        <v>1.6893017234146701</v>
      </c>
      <c r="E7948">
        <v>6</v>
      </c>
      <c r="F7948">
        <v>1.01722196789785</v>
      </c>
      <c r="G7948" t="s">
        <v>89</v>
      </c>
      <c r="H7948" t="s">
        <v>89</v>
      </c>
      <c r="I7948">
        <v>316</v>
      </c>
      <c r="J7948">
        <v>302</v>
      </c>
      <c r="K7948">
        <v>8.8948032773117705E-2</v>
      </c>
    </row>
    <row r="7949" spans="1:11" x14ac:dyDescent="0.25">
      <c r="A7949" t="s">
        <v>86</v>
      </c>
    </row>
    <row r="7950" spans="1:11" x14ac:dyDescent="0.25">
      <c r="A7950">
        <v>20.518516261833199</v>
      </c>
      <c r="B7950">
        <v>143.72496533986001</v>
      </c>
      <c r="C7950">
        <v>2000</v>
      </c>
    </row>
    <row r="7951" spans="1:11" x14ac:dyDescent="0.25">
      <c r="A7951">
        <v>20.352000027208501</v>
      </c>
      <c r="B7951">
        <v>143.891481574484</v>
      </c>
      <c r="C7951">
        <v>2000</v>
      </c>
    </row>
    <row r="7952" spans="1:11" x14ac:dyDescent="0.25">
      <c r="A7952">
        <v>19.914984002759599</v>
      </c>
      <c r="B7952">
        <v>143.45446555003599</v>
      </c>
      <c r="C7952">
        <v>2001</v>
      </c>
    </row>
    <row r="7953" spans="1:11" x14ac:dyDescent="0.25">
      <c r="A7953">
        <v>20.0815002373844</v>
      </c>
      <c r="B7953">
        <v>143.287949315411</v>
      </c>
      <c r="C7953">
        <v>2001</v>
      </c>
    </row>
    <row r="7954" spans="1:11" x14ac:dyDescent="0.25">
      <c r="A7954">
        <v>21.276016941481</v>
      </c>
      <c r="B7954">
        <v>142.093432611314</v>
      </c>
      <c r="C7954">
        <v>2001</v>
      </c>
    </row>
    <row r="7955" spans="1:11" x14ac:dyDescent="0.25">
      <c r="A7955">
        <v>21.713032965929798</v>
      </c>
      <c r="B7955">
        <v>142.53044863576301</v>
      </c>
      <c r="C7955">
        <v>2000</v>
      </c>
    </row>
    <row r="7956" spans="1:11" x14ac:dyDescent="0.25">
      <c r="A7956" t="s">
        <v>87</v>
      </c>
    </row>
    <row r="7957" spans="1:11" x14ac:dyDescent="0.25">
      <c r="A7957">
        <v>1203</v>
      </c>
      <c r="B7957">
        <v>0</v>
      </c>
      <c r="C7957">
        <v>0.26040535731701198</v>
      </c>
      <c r="D7957">
        <v>1.5615302507344899</v>
      </c>
      <c r="E7957">
        <v>6</v>
      </c>
      <c r="F7957">
        <v>1.01722196789785</v>
      </c>
      <c r="G7957" t="s">
        <v>85</v>
      </c>
      <c r="H7957" t="s">
        <v>85</v>
      </c>
      <c r="I7957">
        <v>464</v>
      </c>
      <c r="J7957">
        <v>892</v>
      </c>
      <c r="K7957">
        <v>9.5961381564156997E-2</v>
      </c>
    </row>
    <row r="7958" spans="1:11" x14ac:dyDescent="0.25">
      <c r="A7958" t="s">
        <v>86</v>
      </c>
    </row>
    <row r="7959" spans="1:11" x14ac:dyDescent="0.25">
      <c r="A7959">
        <v>86.308650596210995</v>
      </c>
      <c r="B7959">
        <v>20.348327492534899</v>
      </c>
      <c r="C7959">
        <v>2000</v>
      </c>
    </row>
    <row r="7960" spans="1:11" x14ac:dyDescent="0.25">
      <c r="A7960">
        <v>86.124516202194897</v>
      </c>
      <c r="B7960">
        <v>20.164193098518702</v>
      </c>
      <c r="C7960">
        <v>2000</v>
      </c>
    </row>
    <row r="7961" spans="1:11" x14ac:dyDescent="0.25">
      <c r="A7961">
        <v>86.124516202194897</v>
      </c>
      <c r="B7961">
        <v>21.038225147416401</v>
      </c>
      <c r="C7961">
        <v>2001</v>
      </c>
    </row>
    <row r="7962" spans="1:11" x14ac:dyDescent="0.25">
      <c r="A7962">
        <v>86.308650596210995</v>
      </c>
      <c r="B7962">
        <v>21.2223595414325</v>
      </c>
      <c r="C7962">
        <v>2001</v>
      </c>
    </row>
    <row r="7963" spans="1:11" x14ac:dyDescent="0.25">
      <c r="A7963">
        <v>87.412819225533298</v>
      </c>
      <c r="B7963">
        <v>22.326528170754798</v>
      </c>
      <c r="C7963">
        <v>2001</v>
      </c>
    </row>
    <row r="7964" spans="1:11" x14ac:dyDescent="0.25">
      <c r="A7964">
        <v>87.412819225533298</v>
      </c>
      <c r="B7964">
        <v>21.452496121857202</v>
      </c>
      <c r="C7964">
        <v>2000</v>
      </c>
    </row>
    <row r="7965" spans="1:11" x14ac:dyDescent="0.25">
      <c r="A7965" t="s">
        <v>87</v>
      </c>
    </row>
    <row r="7966" spans="1:11" x14ac:dyDescent="0.25">
      <c r="A7966">
        <v>917</v>
      </c>
      <c r="B7966">
        <v>1</v>
      </c>
      <c r="C7966">
        <v>1.11172480926454</v>
      </c>
      <c r="D7966">
        <v>0.69507298434744802</v>
      </c>
      <c r="E7966">
        <v>6</v>
      </c>
      <c r="F7966">
        <v>1.01722196789785</v>
      </c>
      <c r="G7966" t="s">
        <v>88</v>
      </c>
      <c r="H7966" t="s">
        <v>85</v>
      </c>
      <c r="I7966">
        <v>0</v>
      </c>
      <c r="J7966">
        <v>359</v>
      </c>
      <c r="K7966">
        <v>9.1907793175489E-2</v>
      </c>
    </row>
    <row r="7967" spans="1:11" x14ac:dyDescent="0.25">
      <c r="A7967" t="s">
        <v>86</v>
      </c>
    </row>
    <row r="7968" spans="1:11" x14ac:dyDescent="0.25">
      <c r="A7968">
        <v>1.0550046257169401</v>
      </c>
      <c r="B7968">
        <v>76.803991017652805</v>
      </c>
      <c r="C7968">
        <v>2000</v>
      </c>
    </row>
    <row r="7969" spans="1:11" x14ac:dyDescent="0.25">
      <c r="A7969">
        <v>0</v>
      </c>
      <c r="B7969">
        <v>77.858995643369695</v>
      </c>
      <c r="C7969">
        <v>2000</v>
      </c>
    </row>
    <row r="7970" spans="1:11" x14ac:dyDescent="0.25">
      <c r="A7970">
        <v>0</v>
      </c>
      <c r="B7970">
        <v>76.984963594472106</v>
      </c>
      <c r="C7970">
        <v>2001</v>
      </c>
    </row>
    <row r="7971" spans="1:11" x14ac:dyDescent="0.25">
      <c r="A7971">
        <v>0.51721167717159799</v>
      </c>
      <c r="B7971">
        <v>76.467751917300504</v>
      </c>
      <c r="C7971">
        <v>2001</v>
      </c>
    </row>
    <row r="7972" spans="1:11" x14ac:dyDescent="0.25">
      <c r="A7972">
        <v>0.84058294764710095</v>
      </c>
      <c r="B7972">
        <v>76.144380646824999</v>
      </c>
      <c r="C7972">
        <v>2001</v>
      </c>
    </row>
    <row r="7973" spans="1:11" x14ac:dyDescent="0.25">
      <c r="A7973">
        <v>1.7146149965447299</v>
      </c>
      <c r="B7973">
        <v>76.144380646824999</v>
      </c>
      <c r="C7973">
        <v>2000</v>
      </c>
    </row>
    <row r="7974" spans="1:11" x14ac:dyDescent="0.25">
      <c r="A7974" t="s">
        <v>87</v>
      </c>
    </row>
    <row r="7975" spans="1:11" x14ac:dyDescent="0.25">
      <c r="A7975">
        <v>882</v>
      </c>
      <c r="B7975">
        <v>0</v>
      </c>
      <c r="C7975">
        <v>1.12408575553961</v>
      </c>
      <c r="D7975">
        <v>0.622233174025141</v>
      </c>
      <c r="E7975">
        <v>6</v>
      </c>
      <c r="F7975">
        <v>1.01722196789785</v>
      </c>
      <c r="G7975" t="s">
        <v>85</v>
      </c>
      <c r="H7975" t="s">
        <v>89</v>
      </c>
      <c r="I7975">
        <v>396</v>
      </c>
      <c r="J7975">
        <v>278</v>
      </c>
      <c r="K7975">
        <v>9.1169371169763397E-2</v>
      </c>
    </row>
    <row r="7976" spans="1:11" x14ac:dyDescent="0.25">
      <c r="A7976" t="s">
        <v>86</v>
      </c>
    </row>
    <row r="7977" spans="1:11" x14ac:dyDescent="0.25">
      <c r="A7977">
        <v>35.027321421970498</v>
      </c>
      <c r="B7977">
        <v>98.9085995903163</v>
      </c>
      <c r="C7977">
        <v>2000</v>
      </c>
    </row>
    <row r="7978" spans="1:11" x14ac:dyDescent="0.25">
      <c r="A7978">
        <v>34.091821624017797</v>
      </c>
      <c r="B7978">
        <v>97.973099792363598</v>
      </c>
      <c r="C7978">
        <v>2000</v>
      </c>
    </row>
    <row r="7979" spans="1:11" x14ac:dyDescent="0.25">
      <c r="A7979">
        <v>34.965853672915401</v>
      </c>
      <c r="B7979">
        <v>97.973099792363598</v>
      </c>
      <c r="C7979">
        <v>2001</v>
      </c>
    </row>
    <row r="7980" spans="1:11" x14ac:dyDescent="0.25">
      <c r="A7980">
        <v>35.620051195717302</v>
      </c>
      <c r="B7980">
        <v>98.627297315165507</v>
      </c>
      <c r="C7980">
        <v>2001</v>
      </c>
    </row>
    <row r="7981" spans="1:11" x14ac:dyDescent="0.25">
      <c r="A7981">
        <v>35.982179617900698</v>
      </c>
      <c r="B7981">
        <v>98.989425737348895</v>
      </c>
      <c r="C7981">
        <v>2001</v>
      </c>
    </row>
    <row r="7982" spans="1:11" x14ac:dyDescent="0.25">
      <c r="A7982">
        <v>35.545163593451903</v>
      </c>
      <c r="B7982">
        <v>99.426441761797705</v>
      </c>
      <c r="C7982">
        <v>2000</v>
      </c>
    </row>
    <row r="7983" spans="1:11" x14ac:dyDescent="0.25">
      <c r="A7983" t="s">
        <v>87</v>
      </c>
    </row>
    <row r="7984" spans="1:11" x14ac:dyDescent="0.25">
      <c r="A7984">
        <v>1070</v>
      </c>
      <c r="B7984">
        <v>0</v>
      </c>
      <c r="C7984">
        <v>1.3759735640408199</v>
      </c>
      <c r="D7984">
        <v>0.33201792376311801</v>
      </c>
      <c r="E7984">
        <v>6</v>
      </c>
      <c r="F7984">
        <v>1.01722196789785</v>
      </c>
      <c r="G7984" t="s">
        <v>85</v>
      </c>
      <c r="H7984" t="s">
        <v>85</v>
      </c>
      <c r="I7984">
        <v>157</v>
      </c>
      <c r="J7984">
        <v>755</v>
      </c>
      <c r="K7984">
        <v>9.4226499478247905E-2</v>
      </c>
    </row>
    <row r="7985" spans="1:11" x14ac:dyDescent="0.25">
      <c r="A7985" t="s">
        <v>86</v>
      </c>
    </row>
    <row r="7986" spans="1:11" x14ac:dyDescent="0.25">
      <c r="A7986">
        <v>113.310288432185</v>
      </c>
      <c r="B7986">
        <v>50.073654046759899</v>
      </c>
      <c r="C7986">
        <v>2000</v>
      </c>
    </row>
    <row r="7987" spans="1:11" x14ac:dyDescent="0.25">
      <c r="A7987">
        <v>111.985264088029</v>
      </c>
      <c r="B7987">
        <v>48.7486297026038</v>
      </c>
      <c r="C7987">
        <v>2000</v>
      </c>
    </row>
    <row r="7988" spans="1:11" x14ac:dyDescent="0.25">
      <c r="A7988">
        <v>112.859296136927</v>
      </c>
      <c r="B7988">
        <v>48.748629702603701</v>
      </c>
      <c r="C7988">
        <v>2001</v>
      </c>
    </row>
    <row r="7989" spans="1:11" x14ac:dyDescent="0.25">
      <c r="A7989">
        <v>113.480192268504</v>
      </c>
      <c r="B7989">
        <v>49.369525834180898</v>
      </c>
      <c r="C7989">
        <v>2001</v>
      </c>
    </row>
    <row r="7990" spans="1:11" x14ac:dyDescent="0.25">
      <c r="A7990">
        <v>113.630012475713</v>
      </c>
      <c r="B7990">
        <v>49.519346041390001</v>
      </c>
      <c r="C7990">
        <v>2001</v>
      </c>
    </row>
    <row r="7991" spans="1:11" x14ac:dyDescent="0.25">
      <c r="A7991">
        <v>113.630012475713</v>
      </c>
      <c r="B7991">
        <v>50.393378090287598</v>
      </c>
      <c r="C7991">
        <v>2000</v>
      </c>
    </row>
    <row r="7992" spans="1:11" x14ac:dyDescent="0.25">
      <c r="A7992" t="s">
        <v>87</v>
      </c>
    </row>
    <row r="7993" spans="1:11" x14ac:dyDescent="0.25">
      <c r="A7993">
        <v>943</v>
      </c>
      <c r="B7993">
        <v>1</v>
      </c>
      <c r="C7993">
        <v>0.60879845125985799</v>
      </c>
      <c r="D7993">
        <v>1.0556733861315899</v>
      </c>
      <c r="E7993">
        <v>6</v>
      </c>
      <c r="F7993">
        <v>1.01722196789785</v>
      </c>
      <c r="G7993" t="s">
        <v>85</v>
      </c>
      <c r="H7993" t="s">
        <v>85</v>
      </c>
      <c r="I7993">
        <v>584</v>
      </c>
      <c r="J7993">
        <v>586</v>
      </c>
      <c r="K7993">
        <v>9.2371134687469506E-2</v>
      </c>
    </row>
    <row r="7994" spans="1:11" x14ac:dyDescent="0.25">
      <c r="A7994" t="s">
        <v>86</v>
      </c>
    </row>
    <row r="7995" spans="1:11" x14ac:dyDescent="0.25">
      <c r="A7995">
        <v>103.175652339365</v>
      </c>
      <c r="B7995">
        <v>57.459539302687801</v>
      </c>
      <c r="C7995">
        <v>2000</v>
      </c>
    </row>
    <row r="7996" spans="1:11" x14ac:dyDescent="0.25">
      <c r="A7996">
        <v>102.90501013067799</v>
      </c>
      <c r="B7996">
        <v>57.730181511374802</v>
      </c>
      <c r="C7996">
        <v>2000</v>
      </c>
    </row>
    <row r="7997" spans="1:11" x14ac:dyDescent="0.25">
      <c r="A7997">
        <v>102.90501013067799</v>
      </c>
      <c r="B7997">
        <v>58.604213560272498</v>
      </c>
      <c r="C7997">
        <v>2001</v>
      </c>
    </row>
    <row r="7998" spans="1:11" x14ac:dyDescent="0.25">
      <c r="A7998">
        <v>103.495338948514</v>
      </c>
      <c r="B7998">
        <v>58.013884742435998</v>
      </c>
      <c r="C7998">
        <v>2001</v>
      </c>
    </row>
    <row r="7999" spans="1:11" x14ac:dyDescent="0.25">
      <c r="A7999">
        <v>104.51898547844</v>
      </c>
      <c r="B7999">
        <v>56.9902382125101</v>
      </c>
      <c r="C7999">
        <v>2001</v>
      </c>
    </row>
    <row r="8000" spans="1:11" x14ac:dyDescent="0.25">
      <c r="A8000">
        <v>103.64495342954299</v>
      </c>
      <c r="B8000">
        <v>56.9902382125101</v>
      </c>
      <c r="C8000">
        <v>2000</v>
      </c>
    </row>
    <row r="8001" spans="1:11" x14ac:dyDescent="0.25">
      <c r="A8001" t="s">
        <v>87</v>
      </c>
    </row>
    <row r="8002" spans="1:11" x14ac:dyDescent="0.25">
      <c r="A8002">
        <v>1030</v>
      </c>
      <c r="B8002">
        <v>1</v>
      </c>
      <c r="C8002">
        <v>0.89069970560784395</v>
      </c>
      <c r="D8002">
        <v>0.76824676225933797</v>
      </c>
      <c r="E8002">
        <v>6</v>
      </c>
      <c r="F8002">
        <v>1.01722196789785</v>
      </c>
      <c r="G8002" t="s">
        <v>85</v>
      </c>
      <c r="H8002" t="s">
        <v>85</v>
      </c>
      <c r="I8002">
        <v>435</v>
      </c>
      <c r="J8002">
        <v>909</v>
      </c>
      <c r="K8002">
        <v>9.3644784593262795E-2</v>
      </c>
    </row>
    <row r="8003" spans="1:11" x14ac:dyDescent="0.25">
      <c r="A8003" t="s">
        <v>86</v>
      </c>
    </row>
    <row r="8004" spans="1:11" x14ac:dyDescent="0.25">
      <c r="A8004">
        <v>92.105640571616405</v>
      </c>
      <c r="B8004">
        <v>34.356741138906202</v>
      </c>
      <c r="C8004">
        <v>2000</v>
      </c>
    </row>
    <row r="8005" spans="1:11" x14ac:dyDescent="0.25">
      <c r="A8005">
        <v>91.241183877112505</v>
      </c>
      <c r="B8005">
        <v>35.221197833410102</v>
      </c>
      <c r="C8005">
        <v>2000</v>
      </c>
    </row>
    <row r="8006" spans="1:11" x14ac:dyDescent="0.25">
      <c r="A8006">
        <v>92.115215926010194</v>
      </c>
      <c r="B8006">
        <v>35.221197833410102</v>
      </c>
      <c r="C8006">
        <v>2001</v>
      </c>
    </row>
    <row r="8007" spans="1:11" x14ac:dyDescent="0.25">
      <c r="A8007">
        <v>92.510398835178606</v>
      </c>
      <c r="B8007">
        <v>34.826014924241697</v>
      </c>
      <c r="C8007">
        <v>2001</v>
      </c>
    </row>
    <row r="8008" spans="1:11" x14ac:dyDescent="0.25">
      <c r="A8008">
        <v>92.851252198615697</v>
      </c>
      <c r="B8008">
        <v>34.485161560804599</v>
      </c>
      <c r="C8008">
        <v>2001</v>
      </c>
    </row>
    <row r="8009" spans="1:11" x14ac:dyDescent="0.25">
      <c r="A8009">
        <v>92.851252198615697</v>
      </c>
      <c r="B8009">
        <v>33.611129511906903</v>
      </c>
      <c r="C8009">
        <v>2000</v>
      </c>
    </row>
    <row r="8010" spans="1:11" x14ac:dyDescent="0.25">
      <c r="A8010" t="s">
        <v>87</v>
      </c>
    </row>
    <row r="8011" spans="1:11" x14ac:dyDescent="0.25">
      <c r="A8011">
        <v>765</v>
      </c>
      <c r="B8011">
        <v>0</v>
      </c>
      <c r="C8011">
        <v>0.235024313068109</v>
      </c>
      <c r="D8011">
        <v>1.3923679202503101</v>
      </c>
      <c r="E8011">
        <v>6</v>
      </c>
      <c r="F8011">
        <v>1.01722196789785</v>
      </c>
      <c r="G8011" t="s">
        <v>89</v>
      </c>
      <c r="H8011" t="s">
        <v>89</v>
      </c>
      <c r="I8011">
        <v>433</v>
      </c>
      <c r="J8011">
        <v>421</v>
      </c>
      <c r="K8011">
        <v>8.9259099568316694E-2</v>
      </c>
    </row>
    <row r="8012" spans="1:11" x14ac:dyDescent="0.25">
      <c r="A8012" t="s">
        <v>86</v>
      </c>
    </row>
    <row r="8013" spans="1:11" x14ac:dyDescent="0.25">
      <c r="A8013">
        <v>94.580858439016396</v>
      </c>
      <c r="B8013">
        <v>7.7199325155049197</v>
      </c>
      <c r="C8013">
        <v>2000</v>
      </c>
    </row>
    <row r="8014" spans="1:11" x14ac:dyDescent="0.25">
      <c r="A8014">
        <v>94.414671153502198</v>
      </c>
      <c r="B8014">
        <v>7.5537452299907502</v>
      </c>
      <c r="C8014">
        <v>2000</v>
      </c>
    </row>
    <row r="8015" spans="1:11" x14ac:dyDescent="0.25">
      <c r="A8015">
        <v>94.851687177951007</v>
      </c>
      <c r="B8015">
        <v>7.1167292055419296</v>
      </c>
      <c r="C8015">
        <v>2001</v>
      </c>
    </row>
    <row r="8016" spans="1:11" x14ac:dyDescent="0.25">
      <c r="A8016">
        <v>95.017874463465205</v>
      </c>
      <c r="B8016">
        <v>7.2829164910561</v>
      </c>
      <c r="C8016">
        <v>2001</v>
      </c>
    </row>
    <row r="8017" spans="1:11" x14ac:dyDescent="0.25">
      <c r="A8017">
        <v>96.002427261780795</v>
      </c>
      <c r="B8017">
        <v>8.2674692893717108</v>
      </c>
      <c r="C8017">
        <v>2001</v>
      </c>
    </row>
    <row r="8018" spans="1:11" x14ac:dyDescent="0.25">
      <c r="A8018">
        <v>95.565411237332</v>
      </c>
      <c r="B8018">
        <v>8.7044853138205305</v>
      </c>
      <c r="C8018">
        <v>2000</v>
      </c>
    </row>
    <row r="8019" spans="1:11" x14ac:dyDescent="0.25">
      <c r="A8019" t="s">
        <v>87</v>
      </c>
    </row>
    <row r="8020" spans="1:11" x14ac:dyDescent="0.25">
      <c r="A8020">
        <v>775</v>
      </c>
      <c r="B8020">
        <v>0</v>
      </c>
      <c r="C8020">
        <v>0.99943340141371095</v>
      </c>
      <c r="D8020">
        <v>0.58998260646394796</v>
      </c>
      <c r="E8020">
        <v>6</v>
      </c>
      <c r="F8020">
        <v>1.01722196789785</v>
      </c>
      <c r="G8020" t="s">
        <v>89</v>
      </c>
      <c r="H8020" t="s">
        <v>89</v>
      </c>
      <c r="I8020">
        <v>353</v>
      </c>
      <c r="J8020">
        <v>347</v>
      </c>
      <c r="K8020">
        <v>8.9537010595109504E-2</v>
      </c>
    </row>
    <row r="8021" spans="1:11" x14ac:dyDescent="0.25">
      <c r="A8021" t="s">
        <v>86</v>
      </c>
    </row>
    <row r="8022" spans="1:11" x14ac:dyDescent="0.25">
      <c r="A8022">
        <v>37.823838579856499</v>
      </c>
      <c r="B8022">
        <v>88.922693055082604</v>
      </c>
      <c r="C8022">
        <v>2000</v>
      </c>
    </row>
    <row r="8023" spans="1:11" x14ac:dyDescent="0.25">
      <c r="A8023">
        <v>37.117132444372601</v>
      </c>
      <c r="B8023">
        <v>88.215986919598606</v>
      </c>
      <c r="C8023">
        <v>2000</v>
      </c>
    </row>
    <row r="8024" spans="1:11" x14ac:dyDescent="0.25">
      <c r="A8024">
        <v>37.554148468821403</v>
      </c>
      <c r="B8024">
        <v>87.778970895149797</v>
      </c>
      <c r="C8024">
        <v>2001</v>
      </c>
    </row>
    <row r="8025" spans="1:11" x14ac:dyDescent="0.25">
      <c r="A8025">
        <v>38.260854604305401</v>
      </c>
      <c r="B8025">
        <v>88.485677030633795</v>
      </c>
      <c r="C8025">
        <v>2001</v>
      </c>
    </row>
    <row r="8026" spans="1:11" x14ac:dyDescent="0.25">
      <c r="A8026">
        <v>38.678035306118097</v>
      </c>
      <c r="B8026">
        <v>88.902857732446606</v>
      </c>
      <c r="C8026">
        <v>2001</v>
      </c>
    </row>
    <row r="8027" spans="1:11" x14ac:dyDescent="0.25">
      <c r="A8027">
        <v>38.241019281669303</v>
      </c>
      <c r="B8027">
        <v>89.3398737568954</v>
      </c>
      <c r="C8027">
        <v>2000</v>
      </c>
    </row>
    <row r="8028" spans="1:11" x14ac:dyDescent="0.25">
      <c r="A8028" t="s">
        <v>87</v>
      </c>
    </row>
    <row r="8029" spans="1:11" x14ac:dyDescent="0.25">
      <c r="A8029">
        <v>1218</v>
      </c>
      <c r="B8029">
        <v>0</v>
      </c>
      <c r="C8029">
        <v>0.90478860681822204</v>
      </c>
      <c r="D8029">
        <v>0.68451794821385903</v>
      </c>
      <c r="E8029">
        <v>6</v>
      </c>
      <c r="F8029">
        <v>1.01722196789785</v>
      </c>
      <c r="G8029" t="s">
        <v>85</v>
      </c>
      <c r="H8029" t="s">
        <v>85</v>
      </c>
      <c r="I8029">
        <v>71</v>
      </c>
      <c r="J8029">
        <v>73</v>
      </c>
      <c r="K8029">
        <v>9.6120382487224904E-2</v>
      </c>
    </row>
    <row r="8030" spans="1:11" x14ac:dyDescent="0.25">
      <c r="A8030" t="s">
        <v>86</v>
      </c>
    </row>
    <row r="8031" spans="1:11" x14ac:dyDescent="0.25">
      <c r="A8031">
        <v>22.876877266083799</v>
      </c>
      <c r="B8031">
        <v>42.681101267245303</v>
      </c>
      <c r="C8031">
        <v>2000</v>
      </c>
    </row>
    <row r="8032" spans="1:11" x14ac:dyDescent="0.25">
      <c r="A8032">
        <v>22.485887335365</v>
      </c>
      <c r="B8032">
        <v>42.2901113365265</v>
      </c>
      <c r="C8032">
        <v>2000</v>
      </c>
    </row>
    <row r="8033" spans="1:11" x14ac:dyDescent="0.25">
      <c r="A8033">
        <v>21.611855286467399</v>
      </c>
      <c r="B8033">
        <v>42.2901113365265</v>
      </c>
      <c r="C8033">
        <v>2001</v>
      </c>
    </row>
    <row r="8034" spans="1:11" x14ac:dyDescent="0.25">
      <c r="A8034">
        <v>22.500429674591601</v>
      </c>
      <c r="B8034">
        <v>43.178685724650698</v>
      </c>
      <c r="C8034">
        <v>2001</v>
      </c>
    </row>
    <row r="8035" spans="1:11" x14ac:dyDescent="0.25">
      <c r="A8035">
        <v>23.172680753363601</v>
      </c>
      <c r="B8035">
        <v>43.850936803422698</v>
      </c>
      <c r="C8035">
        <v>2001</v>
      </c>
    </row>
    <row r="8036" spans="1:11" x14ac:dyDescent="0.25">
      <c r="A8036">
        <v>23.172680753363601</v>
      </c>
      <c r="B8036">
        <v>42.976904754525101</v>
      </c>
      <c r="C8036">
        <v>2000</v>
      </c>
    </row>
    <row r="8037" spans="1:11" x14ac:dyDescent="0.25">
      <c r="A8037" t="s">
        <v>87</v>
      </c>
    </row>
    <row r="8038" spans="1:11" x14ac:dyDescent="0.25">
      <c r="A8038">
        <v>937</v>
      </c>
      <c r="B8038">
        <v>0</v>
      </c>
      <c r="C8038">
        <v>1.0887872265960401</v>
      </c>
      <c r="D8038">
        <v>0.47389060379856601</v>
      </c>
      <c r="E8038">
        <v>6</v>
      </c>
      <c r="F8038">
        <v>1.01722196789785</v>
      </c>
      <c r="G8038" t="s">
        <v>85</v>
      </c>
      <c r="H8038" t="s">
        <v>85</v>
      </c>
      <c r="I8038">
        <v>159</v>
      </c>
      <c r="J8038">
        <v>155</v>
      </c>
      <c r="K8038">
        <v>9.2142179589674397E-2</v>
      </c>
    </row>
    <row r="8039" spans="1:11" x14ac:dyDescent="0.25">
      <c r="A8039" t="s">
        <v>86</v>
      </c>
    </row>
    <row r="8040" spans="1:11" x14ac:dyDescent="0.25">
      <c r="A8040">
        <v>133.44947997641299</v>
      </c>
      <c r="B8040">
        <v>40.084269971617097</v>
      </c>
      <c r="C8040">
        <v>2000</v>
      </c>
    </row>
    <row r="8041" spans="1:11" x14ac:dyDescent="0.25">
      <c r="A8041">
        <v>132.67959114521699</v>
      </c>
      <c r="B8041">
        <v>39.314381140421702</v>
      </c>
      <c r="C8041">
        <v>2000</v>
      </c>
    </row>
    <row r="8042" spans="1:11" x14ac:dyDescent="0.25">
      <c r="A8042">
        <v>132.67959114521699</v>
      </c>
      <c r="B8042">
        <v>38.440349091523998</v>
      </c>
      <c r="C8042">
        <v>2001</v>
      </c>
    </row>
    <row r="8043" spans="1:11" x14ac:dyDescent="0.25">
      <c r="A8043">
        <v>133.44947997641299</v>
      </c>
      <c r="B8043">
        <v>39.210237922719401</v>
      </c>
      <c r="C8043">
        <v>2001</v>
      </c>
    </row>
    <row r="8044" spans="1:11" x14ac:dyDescent="0.25">
      <c r="A8044">
        <v>133.78457123589899</v>
      </c>
      <c r="B8044">
        <v>39.545329182205997</v>
      </c>
      <c r="C8044">
        <v>2001</v>
      </c>
    </row>
    <row r="8045" spans="1:11" x14ac:dyDescent="0.25">
      <c r="A8045">
        <v>133.78457123589899</v>
      </c>
      <c r="B8045">
        <v>40.419361231103601</v>
      </c>
      <c r="C8045">
        <v>2000</v>
      </c>
    </row>
    <row r="8046" spans="1:11" x14ac:dyDescent="0.25">
      <c r="A8046" t="s">
        <v>87</v>
      </c>
    </row>
    <row r="8047" spans="1:11" x14ac:dyDescent="0.25">
      <c r="A8047">
        <v>1129</v>
      </c>
      <c r="B8047">
        <v>0</v>
      </c>
      <c r="C8047">
        <v>0.80505948259076399</v>
      </c>
      <c r="D8047">
        <v>0.71464278686409</v>
      </c>
      <c r="E8047">
        <v>6</v>
      </c>
      <c r="F8047">
        <v>1.01722196789785</v>
      </c>
      <c r="G8047" t="s">
        <v>85</v>
      </c>
      <c r="H8047" t="s">
        <v>85</v>
      </c>
      <c r="I8047">
        <v>919</v>
      </c>
      <c r="J8047">
        <v>549</v>
      </c>
      <c r="K8047">
        <v>9.4954792207050207E-2</v>
      </c>
    </row>
    <row r="8048" spans="1:11" x14ac:dyDescent="0.25">
      <c r="A8048" t="s">
        <v>86</v>
      </c>
    </row>
    <row r="8049" spans="1:11" x14ac:dyDescent="0.25">
      <c r="A8049">
        <v>104.64565096966599</v>
      </c>
      <c r="B8049">
        <v>107.5618386169</v>
      </c>
      <c r="C8049">
        <v>2000</v>
      </c>
    </row>
    <row r="8050" spans="1:11" x14ac:dyDescent="0.25">
      <c r="A8050">
        <v>104.30789638556899</v>
      </c>
      <c r="B8050">
        <v>107.224084032804</v>
      </c>
      <c r="C8050">
        <v>2000</v>
      </c>
    </row>
    <row r="8051" spans="1:11" x14ac:dyDescent="0.25">
      <c r="A8051">
        <v>103.433864336672</v>
      </c>
      <c r="B8051">
        <v>107.224084032804</v>
      </c>
      <c r="C8051">
        <v>2001</v>
      </c>
    </row>
    <row r="8052" spans="1:11" x14ac:dyDescent="0.25">
      <c r="A8052">
        <v>104.234635791372</v>
      </c>
      <c r="B8052">
        <v>108.024855487504</v>
      </c>
      <c r="C8052">
        <v>2001</v>
      </c>
    </row>
    <row r="8053" spans="1:11" x14ac:dyDescent="0.25">
      <c r="A8053">
        <v>104.945472141237</v>
      </c>
      <c r="B8053">
        <v>108.735691837369</v>
      </c>
      <c r="C8053">
        <v>2001</v>
      </c>
    </row>
    <row r="8054" spans="1:11" x14ac:dyDescent="0.25">
      <c r="A8054">
        <v>104.945472141237</v>
      </c>
      <c r="B8054">
        <v>107.861659788471</v>
      </c>
      <c r="C8054">
        <v>2000</v>
      </c>
    </row>
    <row r="8055" spans="1:11" x14ac:dyDescent="0.25">
      <c r="A8055" t="s">
        <v>87</v>
      </c>
    </row>
    <row r="8056" spans="1:11" x14ac:dyDescent="0.25">
      <c r="A8056">
        <v>1005</v>
      </c>
      <c r="B8056">
        <v>1</v>
      </c>
      <c r="C8056">
        <v>1.34120192009475</v>
      </c>
      <c r="D8056">
        <v>0.17149136137671001</v>
      </c>
      <c r="E8056">
        <v>6</v>
      </c>
      <c r="F8056">
        <v>1.01722196789785</v>
      </c>
      <c r="G8056" t="s">
        <v>85</v>
      </c>
      <c r="H8056" t="s">
        <v>85</v>
      </c>
      <c r="I8056">
        <v>841</v>
      </c>
      <c r="J8056">
        <v>185</v>
      </c>
      <c r="K8056">
        <v>9.3443328339296097E-2</v>
      </c>
    </row>
    <row r="8057" spans="1:11" x14ac:dyDescent="0.25">
      <c r="A8057" t="s">
        <v>86</v>
      </c>
    </row>
    <row r="8058" spans="1:11" x14ac:dyDescent="0.25">
      <c r="A8058">
        <v>86.944393089362705</v>
      </c>
      <c r="B8058">
        <v>116.668500180777</v>
      </c>
      <c r="C8058">
        <v>2000</v>
      </c>
    </row>
    <row r="8059" spans="1:11" x14ac:dyDescent="0.25">
      <c r="A8059">
        <v>86.383492407558606</v>
      </c>
      <c r="B8059">
        <v>117.229400862581</v>
      </c>
      <c r="C8059">
        <v>2000</v>
      </c>
    </row>
    <row r="8060" spans="1:11" x14ac:dyDescent="0.25">
      <c r="A8060">
        <v>85.509460358661002</v>
      </c>
      <c r="B8060">
        <v>117.229400862581</v>
      </c>
      <c r="C8060">
        <v>2001</v>
      </c>
    </row>
    <row r="8061" spans="1:11" x14ac:dyDescent="0.25">
      <c r="A8061">
        <v>86.845305622135697</v>
      </c>
      <c r="B8061">
        <v>115.89355559910599</v>
      </c>
      <c r="C8061">
        <v>2001</v>
      </c>
    </row>
    <row r="8062" spans="1:11" x14ac:dyDescent="0.25">
      <c r="A8062">
        <v>87.016112060293594</v>
      </c>
      <c r="B8062">
        <v>115.722749160948</v>
      </c>
      <c r="C8062">
        <v>2001</v>
      </c>
    </row>
    <row r="8063" spans="1:11" x14ac:dyDescent="0.25">
      <c r="A8063">
        <v>87.016112060293594</v>
      </c>
      <c r="B8063">
        <v>116.596781209846</v>
      </c>
      <c r="C8063">
        <v>2000</v>
      </c>
    </row>
    <row r="8064" spans="1:11" x14ac:dyDescent="0.25">
      <c r="A8064" t="s">
        <v>87</v>
      </c>
    </row>
    <row r="8065" spans="1:11" x14ac:dyDescent="0.25">
      <c r="A8065">
        <v>1162</v>
      </c>
      <c r="B8065">
        <v>1</v>
      </c>
      <c r="C8065">
        <v>0.13391487758808701</v>
      </c>
      <c r="D8065">
        <v>1.26833296597223</v>
      </c>
      <c r="E8065">
        <v>6</v>
      </c>
      <c r="F8065">
        <v>1.01722196789785</v>
      </c>
      <c r="G8065" t="s">
        <v>85</v>
      </c>
      <c r="H8065" t="s">
        <v>85</v>
      </c>
      <c r="I8065">
        <v>422</v>
      </c>
      <c r="J8065">
        <v>428</v>
      </c>
      <c r="K8065">
        <v>9.5300933138239702E-2</v>
      </c>
    </row>
    <row r="8066" spans="1:11" x14ac:dyDescent="0.25">
      <c r="A8066" t="s">
        <v>86</v>
      </c>
    </row>
    <row r="8067" spans="1:11" x14ac:dyDescent="0.25">
      <c r="A8067">
        <v>84.047146125377495</v>
      </c>
      <c r="B8067">
        <v>49.333620948738798</v>
      </c>
      <c r="C8067">
        <v>2000</v>
      </c>
    </row>
    <row r="8068" spans="1:11" x14ac:dyDescent="0.25">
      <c r="A8068">
        <v>83.994189102656705</v>
      </c>
      <c r="B8068">
        <v>49.386577971459602</v>
      </c>
      <c r="C8068">
        <v>2000</v>
      </c>
    </row>
    <row r="8069" spans="1:11" x14ac:dyDescent="0.25">
      <c r="A8069">
        <v>83.120157053759002</v>
      </c>
      <c r="B8069">
        <v>49.386577971459602</v>
      </c>
      <c r="C8069">
        <v>2001</v>
      </c>
    </row>
    <row r="8070" spans="1:11" x14ac:dyDescent="0.25">
      <c r="A8070">
        <v>83.256584267126797</v>
      </c>
      <c r="B8070">
        <v>49.250150758091898</v>
      </c>
      <c r="C8070">
        <v>2001</v>
      </c>
    </row>
    <row r="8071" spans="1:11" x14ac:dyDescent="0.25">
      <c r="A8071">
        <v>84.548712037293598</v>
      </c>
      <c r="B8071">
        <v>47.958022987925098</v>
      </c>
      <c r="C8071">
        <v>2001</v>
      </c>
    </row>
    <row r="8072" spans="1:11" x14ac:dyDescent="0.25">
      <c r="A8072">
        <v>84.548712037293598</v>
      </c>
      <c r="B8072">
        <v>48.832055036822702</v>
      </c>
      <c r="C8072">
        <v>2000</v>
      </c>
    </row>
    <row r="8073" spans="1:11" x14ac:dyDescent="0.25">
      <c r="A8073" t="s">
        <v>87</v>
      </c>
    </row>
    <row r="8074" spans="1:11" x14ac:dyDescent="0.25">
      <c r="A8074">
        <v>926</v>
      </c>
      <c r="B8074">
        <v>1</v>
      </c>
      <c r="C8074">
        <v>0.75055139144012295</v>
      </c>
      <c r="D8074">
        <v>0.62196929203487605</v>
      </c>
      <c r="E8074">
        <v>6</v>
      </c>
      <c r="F8074">
        <v>1.01722196789785</v>
      </c>
      <c r="G8074" t="s">
        <v>85</v>
      </c>
      <c r="H8074" t="s">
        <v>85</v>
      </c>
      <c r="I8074">
        <v>424</v>
      </c>
      <c r="J8074">
        <v>33</v>
      </c>
      <c r="K8074">
        <v>9.2142179589674397E-2</v>
      </c>
    </row>
    <row r="8075" spans="1:11" x14ac:dyDescent="0.25">
      <c r="A8075" t="s">
        <v>86</v>
      </c>
    </row>
    <row r="8076" spans="1:11" x14ac:dyDescent="0.25">
      <c r="A8076">
        <v>49.084919108583101</v>
      </c>
      <c r="B8076">
        <v>34.817248653060801</v>
      </c>
      <c r="C8076">
        <v>2000</v>
      </c>
    </row>
    <row r="8077" spans="1:11" x14ac:dyDescent="0.25">
      <c r="A8077">
        <v>48.554199130066799</v>
      </c>
      <c r="B8077">
        <v>35.347968631577103</v>
      </c>
      <c r="C8077">
        <v>2000</v>
      </c>
    </row>
    <row r="8078" spans="1:11" x14ac:dyDescent="0.25">
      <c r="A8078">
        <v>48.554199130066799</v>
      </c>
      <c r="B8078">
        <v>34.473936582679499</v>
      </c>
      <c r="C8078">
        <v>2001</v>
      </c>
    </row>
    <row r="8079" spans="1:11" x14ac:dyDescent="0.25">
      <c r="A8079">
        <v>49.084919108583101</v>
      </c>
      <c r="B8079">
        <v>33.943216604163098</v>
      </c>
      <c r="C8079">
        <v>2001</v>
      </c>
    </row>
    <row r="8080" spans="1:11" x14ac:dyDescent="0.25">
      <c r="A8080">
        <v>49.524717812670701</v>
      </c>
      <c r="B8080">
        <v>33.503417900075497</v>
      </c>
      <c r="C8080">
        <v>2001</v>
      </c>
    </row>
    <row r="8081" spans="1:11" x14ac:dyDescent="0.25">
      <c r="A8081">
        <v>49.524717812670701</v>
      </c>
      <c r="B8081">
        <v>34.377449948973101</v>
      </c>
      <c r="C8081">
        <v>2000</v>
      </c>
    </row>
    <row r="8082" spans="1:11" x14ac:dyDescent="0.25">
      <c r="A8082" t="s">
        <v>87</v>
      </c>
    </row>
    <row r="8083" spans="1:11" x14ac:dyDescent="0.25">
      <c r="A8083">
        <v>792</v>
      </c>
      <c r="B8083">
        <v>1</v>
      </c>
      <c r="C8083">
        <v>0.33020445682342098</v>
      </c>
      <c r="D8083">
        <v>1.02798399324547</v>
      </c>
      <c r="E8083">
        <v>6</v>
      </c>
      <c r="F8083">
        <v>1.01722196789785</v>
      </c>
      <c r="G8083" t="s">
        <v>88</v>
      </c>
      <c r="H8083" t="s">
        <v>88</v>
      </c>
      <c r="I8083">
        <v>0</v>
      </c>
      <c r="J8083">
        <v>0</v>
      </c>
      <c r="K8083">
        <v>8.9537010595109504E-2</v>
      </c>
    </row>
    <row r="8084" spans="1:11" x14ac:dyDescent="0.25">
      <c r="A8084" t="s">
        <v>86</v>
      </c>
    </row>
    <row r="8085" spans="1:11" x14ac:dyDescent="0.25">
      <c r="A8085">
        <v>149.603873695175</v>
      </c>
      <c r="B8085">
        <v>149.872758066101</v>
      </c>
      <c r="C8085">
        <v>2000</v>
      </c>
    </row>
    <row r="8086" spans="1:11" x14ac:dyDescent="0.25">
      <c r="A8086">
        <v>149.476631761276</v>
      </c>
      <c r="B8086">
        <v>150</v>
      </c>
      <c r="C8086">
        <v>2000</v>
      </c>
    </row>
    <row r="8087" spans="1:11" x14ac:dyDescent="0.25">
      <c r="A8087">
        <v>148.60259971237801</v>
      </c>
      <c r="B8087">
        <v>150</v>
      </c>
      <c r="C8087">
        <v>2001</v>
      </c>
    </row>
    <row r="8088" spans="1:11" x14ac:dyDescent="0.25">
      <c r="A8088">
        <v>148.94233739967501</v>
      </c>
      <c r="B8088">
        <v>149.66026231270399</v>
      </c>
      <c r="C8088">
        <v>2001</v>
      </c>
    </row>
    <row r="8089" spans="1:11" x14ac:dyDescent="0.25">
      <c r="A8089">
        <v>150</v>
      </c>
      <c r="B8089">
        <v>148.60259971237801</v>
      </c>
      <c r="C8089">
        <v>2001</v>
      </c>
    </row>
    <row r="8090" spans="1:11" x14ac:dyDescent="0.25">
      <c r="A8090">
        <v>150</v>
      </c>
      <c r="B8090">
        <v>149.476631761276</v>
      </c>
      <c r="C8090">
        <v>2000</v>
      </c>
    </row>
    <row r="8091" spans="1:11" x14ac:dyDescent="0.25">
      <c r="A8091" t="s">
        <v>87</v>
      </c>
    </row>
    <row r="8092" spans="1:11" x14ac:dyDescent="0.25">
      <c r="A8092">
        <v>918</v>
      </c>
      <c r="B8092">
        <v>0</v>
      </c>
      <c r="C8092">
        <v>0.71064278752078303</v>
      </c>
      <c r="D8092">
        <v>0.64114984535629604</v>
      </c>
      <c r="E8092">
        <v>6</v>
      </c>
      <c r="F8092">
        <v>1.01722196789785</v>
      </c>
      <c r="G8092" t="s">
        <v>85</v>
      </c>
      <c r="H8092" t="s">
        <v>85</v>
      </c>
      <c r="I8092">
        <v>228</v>
      </c>
      <c r="J8092">
        <v>732</v>
      </c>
      <c r="K8092">
        <v>9.1907793175489E-2</v>
      </c>
    </row>
    <row r="8093" spans="1:11" x14ac:dyDescent="0.25">
      <c r="A8093" t="s">
        <v>86</v>
      </c>
    </row>
    <row r="8094" spans="1:11" x14ac:dyDescent="0.25">
      <c r="A8094">
        <v>68.653515455617296</v>
      </c>
      <c r="B8094">
        <v>117.683383194591</v>
      </c>
      <c r="C8094">
        <v>2000</v>
      </c>
    </row>
    <row r="8095" spans="1:11" x14ac:dyDescent="0.25">
      <c r="A8095">
        <v>68.151015121560107</v>
      </c>
      <c r="B8095">
        <v>117.180882860534</v>
      </c>
      <c r="C8095">
        <v>2000</v>
      </c>
    </row>
    <row r="8096" spans="1:11" x14ac:dyDescent="0.25">
      <c r="A8096">
        <v>68.151015121560107</v>
      </c>
      <c r="B8096">
        <v>118.054914909432</v>
      </c>
      <c r="C8096">
        <v>2001</v>
      </c>
    </row>
    <row r="8097" spans="1:11" x14ac:dyDescent="0.25">
      <c r="A8097">
        <v>68.653515455617296</v>
      </c>
      <c r="B8097">
        <v>118.557415243489</v>
      </c>
      <c r="C8097">
        <v>2001</v>
      </c>
    </row>
    <row r="8098" spans="1:11" x14ac:dyDescent="0.25">
      <c r="A8098">
        <v>69.106876859025505</v>
      </c>
      <c r="B8098">
        <v>119.010776646897</v>
      </c>
      <c r="C8098">
        <v>2001</v>
      </c>
    </row>
    <row r="8099" spans="1:11" x14ac:dyDescent="0.25">
      <c r="A8099">
        <v>69.106876859025505</v>
      </c>
      <c r="B8099">
        <v>118.136744597999</v>
      </c>
      <c r="C8099">
        <v>2000</v>
      </c>
    </row>
    <row r="8100" spans="1:11" x14ac:dyDescent="0.25">
      <c r="A8100" t="s">
        <v>87</v>
      </c>
    </row>
    <row r="8101" spans="1:11" x14ac:dyDescent="0.25">
      <c r="A8101">
        <v>1198</v>
      </c>
      <c r="B8101">
        <v>0</v>
      </c>
      <c r="C8101">
        <v>0.62168437275336397</v>
      </c>
      <c r="D8101">
        <v>0.70019140629278798</v>
      </c>
      <c r="E8101">
        <v>6</v>
      </c>
      <c r="F8101">
        <v>1.01722196789785</v>
      </c>
      <c r="G8101" t="s">
        <v>85</v>
      </c>
      <c r="H8101" t="s">
        <v>85</v>
      </c>
      <c r="I8101">
        <v>306</v>
      </c>
      <c r="J8101">
        <v>309</v>
      </c>
      <c r="K8101">
        <v>9.5961381564156997E-2</v>
      </c>
    </row>
    <row r="8102" spans="1:11" x14ac:dyDescent="0.25">
      <c r="A8102" t="s">
        <v>86</v>
      </c>
    </row>
    <row r="8103" spans="1:11" x14ac:dyDescent="0.25">
      <c r="A8103">
        <v>28.930301869202498</v>
      </c>
      <c r="B8103">
        <v>120.649376839174</v>
      </c>
      <c r="C8103">
        <v>2000</v>
      </c>
    </row>
    <row r="8104" spans="1:11" x14ac:dyDescent="0.25">
      <c r="A8104">
        <v>28.285173949461601</v>
      </c>
      <c r="B8104">
        <v>120.004248919433</v>
      </c>
      <c r="C8104">
        <v>2000</v>
      </c>
    </row>
    <row r="8105" spans="1:11" x14ac:dyDescent="0.25">
      <c r="A8105">
        <v>29.159205998359202</v>
      </c>
      <c r="B8105">
        <v>120.004248919433</v>
      </c>
      <c r="C8105">
        <v>2001</v>
      </c>
    </row>
    <row r="8106" spans="1:11" x14ac:dyDescent="0.25">
      <c r="A8106">
        <v>29.393272550081601</v>
      </c>
      <c r="B8106">
        <v>120.238315471155</v>
      </c>
      <c r="C8106">
        <v>2001</v>
      </c>
    </row>
    <row r="8107" spans="1:11" x14ac:dyDescent="0.25">
      <c r="A8107">
        <v>29.6568973011602</v>
      </c>
      <c r="B8107">
        <v>120.501940222234</v>
      </c>
      <c r="C8107">
        <v>2001</v>
      </c>
    </row>
    <row r="8108" spans="1:11" x14ac:dyDescent="0.25">
      <c r="A8108">
        <v>29.6568973011602</v>
      </c>
      <c r="B8108">
        <v>121.375972271132</v>
      </c>
      <c r="C8108">
        <v>2000</v>
      </c>
    </row>
    <row r="8109" spans="1:11" x14ac:dyDescent="0.25">
      <c r="A8109" t="s">
        <v>87</v>
      </c>
    </row>
    <row r="8110" spans="1:11" x14ac:dyDescent="0.25">
      <c r="A8110">
        <v>1038</v>
      </c>
      <c r="B8110">
        <v>1</v>
      </c>
      <c r="C8110">
        <v>0.101818735343087</v>
      </c>
      <c r="D8110">
        <v>1.17186783528204</v>
      </c>
      <c r="E8110">
        <v>6</v>
      </c>
      <c r="F8110">
        <v>1.01722196789785</v>
      </c>
      <c r="G8110" t="s">
        <v>85</v>
      </c>
      <c r="H8110" t="s">
        <v>85</v>
      </c>
      <c r="I8110">
        <v>851</v>
      </c>
      <c r="J8110">
        <v>106</v>
      </c>
      <c r="K8110">
        <v>9.3842356677082794E-2</v>
      </c>
    </row>
    <row r="8111" spans="1:11" x14ac:dyDescent="0.25">
      <c r="A8111" t="s">
        <v>86</v>
      </c>
    </row>
    <row r="8112" spans="1:11" x14ac:dyDescent="0.25">
      <c r="A8112">
        <v>103.269193559397</v>
      </c>
      <c r="B8112">
        <v>15.640510731365501</v>
      </c>
      <c r="C8112">
        <v>2000</v>
      </c>
    </row>
    <row r="8113" spans="1:11" x14ac:dyDescent="0.25">
      <c r="A8113">
        <v>103.23213198139899</v>
      </c>
      <c r="B8113">
        <v>15.677572309364001</v>
      </c>
      <c r="C8113">
        <v>2000</v>
      </c>
    </row>
    <row r="8114" spans="1:11" x14ac:dyDescent="0.25">
      <c r="A8114">
        <v>103.23213198139899</v>
      </c>
      <c r="B8114">
        <v>16.551604358261599</v>
      </c>
      <c r="C8114">
        <v>2001</v>
      </c>
    </row>
    <row r="8115" spans="1:11" x14ac:dyDescent="0.25">
      <c r="A8115">
        <v>103.339063839826</v>
      </c>
      <c r="B8115">
        <v>16.444672499834201</v>
      </c>
      <c r="C8115">
        <v>2001</v>
      </c>
    </row>
    <row r="8116" spans="1:11" x14ac:dyDescent="0.25">
      <c r="A8116">
        <v>104.56978041704301</v>
      </c>
      <c r="B8116">
        <v>15.213955922617499</v>
      </c>
      <c r="C8116">
        <v>2001</v>
      </c>
    </row>
    <row r="8117" spans="1:11" x14ac:dyDescent="0.25">
      <c r="A8117">
        <v>103.695748368145</v>
      </c>
      <c r="B8117">
        <v>15.213955922617499</v>
      </c>
      <c r="C8117">
        <v>2000</v>
      </c>
    </row>
    <row r="8118" spans="1:11" x14ac:dyDescent="0.25">
      <c r="A8118" t="s">
        <v>87</v>
      </c>
    </row>
    <row r="8119" spans="1:11" x14ac:dyDescent="0.25">
      <c r="A8119">
        <v>1151</v>
      </c>
      <c r="B8119">
        <v>1</v>
      </c>
      <c r="C8119">
        <v>0.66947845446937704</v>
      </c>
      <c r="D8119">
        <v>0.60420811615574599</v>
      </c>
      <c r="E8119">
        <v>6</v>
      </c>
      <c r="F8119">
        <v>1.01722196789785</v>
      </c>
      <c r="G8119" t="s">
        <v>85</v>
      </c>
      <c r="H8119" t="s">
        <v>85</v>
      </c>
      <c r="I8119">
        <v>851</v>
      </c>
      <c r="J8119">
        <v>106</v>
      </c>
      <c r="K8119">
        <v>9.5300933138239702E-2</v>
      </c>
    </row>
    <row r="8120" spans="1:11" x14ac:dyDescent="0.25">
      <c r="A8120" t="s">
        <v>86</v>
      </c>
    </row>
    <row r="8121" spans="1:11" x14ac:dyDescent="0.25">
      <c r="A8121">
        <v>107.92476637267799</v>
      </c>
      <c r="B8121">
        <v>19.882832193877999</v>
      </c>
      <c r="C8121">
        <v>2000</v>
      </c>
    </row>
    <row r="8122" spans="1:11" x14ac:dyDescent="0.25">
      <c r="A8122">
        <v>107.68107911929501</v>
      </c>
      <c r="B8122">
        <v>20.126519447260399</v>
      </c>
      <c r="C8122">
        <v>2000</v>
      </c>
    </row>
    <row r="8123" spans="1:11" x14ac:dyDescent="0.25">
      <c r="A8123">
        <v>107.68107911929501</v>
      </c>
      <c r="B8123">
        <v>21.000551496158</v>
      </c>
      <c r="C8123">
        <v>2001</v>
      </c>
    </row>
    <row r="8124" spans="1:11" x14ac:dyDescent="0.25">
      <c r="A8124">
        <v>108.38417737594</v>
      </c>
      <c r="B8124">
        <v>20.297453239513299</v>
      </c>
      <c r="C8124">
        <v>2001</v>
      </c>
    </row>
    <row r="8125" spans="1:11" x14ac:dyDescent="0.25">
      <c r="A8125">
        <v>109.01872755493901</v>
      </c>
      <c r="B8125">
        <v>19.662903060514001</v>
      </c>
      <c r="C8125">
        <v>2001</v>
      </c>
    </row>
    <row r="8126" spans="1:11" x14ac:dyDescent="0.25">
      <c r="A8126">
        <v>108.144695506042</v>
      </c>
      <c r="B8126">
        <v>19.662903060514001</v>
      </c>
      <c r="C8126">
        <v>2000</v>
      </c>
    </row>
    <row r="8127" spans="1:11" x14ac:dyDescent="0.25">
      <c r="A8127" t="s">
        <v>87</v>
      </c>
    </row>
    <row r="8128" spans="1:11" x14ac:dyDescent="0.25">
      <c r="A8128">
        <v>951</v>
      </c>
      <c r="B8128">
        <v>1</v>
      </c>
      <c r="C8128">
        <v>1.1550337254343701</v>
      </c>
      <c r="D8128">
        <v>0.118652845190752</v>
      </c>
      <c r="E8128">
        <v>6</v>
      </c>
      <c r="F8128">
        <v>1.01722196789785</v>
      </c>
      <c r="G8128" t="s">
        <v>85</v>
      </c>
      <c r="H8128" t="s">
        <v>85</v>
      </c>
      <c r="I8128">
        <v>851</v>
      </c>
      <c r="J8128">
        <v>106</v>
      </c>
      <c r="K8128">
        <v>9.2594931978171202E-2</v>
      </c>
    </row>
    <row r="8129" spans="1:11" x14ac:dyDescent="0.25">
      <c r="A8129" t="s">
        <v>86</v>
      </c>
    </row>
    <row r="8130" spans="1:11" x14ac:dyDescent="0.25">
      <c r="A8130">
        <v>104.904957340533</v>
      </c>
      <c r="B8130">
        <v>16.509543136926599</v>
      </c>
      <c r="C8130">
        <v>2000</v>
      </c>
    </row>
    <row r="8131" spans="1:11" x14ac:dyDescent="0.25">
      <c r="A8131">
        <v>104.48453007474799</v>
      </c>
      <c r="B8131">
        <v>16.929970402712499</v>
      </c>
      <c r="C8131">
        <v>2000</v>
      </c>
    </row>
    <row r="8132" spans="1:11" x14ac:dyDescent="0.25">
      <c r="A8132">
        <v>104.48453007474799</v>
      </c>
      <c r="B8132">
        <v>17.804002451610199</v>
      </c>
      <c r="C8132">
        <v>2001</v>
      </c>
    </row>
    <row r="8133" spans="1:11" x14ac:dyDescent="0.25">
      <c r="A8133">
        <v>105.69756716846901</v>
      </c>
      <c r="B8133">
        <v>16.5909653578885</v>
      </c>
      <c r="C8133">
        <v>2001</v>
      </c>
    </row>
    <row r="8134" spans="1:11" x14ac:dyDescent="0.25">
      <c r="A8134">
        <v>105.82217851039201</v>
      </c>
      <c r="B8134">
        <v>16.4663540159661</v>
      </c>
      <c r="C8134">
        <v>2001</v>
      </c>
    </row>
    <row r="8135" spans="1:11" x14ac:dyDescent="0.25">
      <c r="A8135">
        <v>104.94814646149401</v>
      </c>
      <c r="B8135">
        <v>16.4663540159661</v>
      </c>
      <c r="C8135">
        <v>2000</v>
      </c>
    </row>
    <row r="8136" spans="1:11" x14ac:dyDescent="0.25">
      <c r="A8136" t="s">
        <v>87</v>
      </c>
    </row>
    <row r="8137" spans="1:11" x14ac:dyDescent="0.25">
      <c r="A8137">
        <v>1103</v>
      </c>
      <c r="B8137">
        <v>1</v>
      </c>
      <c r="C8137">
        <v>0.89877199601795599</v>
      </c>
      <c r="D8137">
        <v>0.28152239369236998</v>
      </c>
      <c r="E8137">
        <v>6</v>
      </c>
      <c r="F8137">
        <v>1.01722196789785</v>
      </c>
      <c r="G8137" t="s">
        <v>89</v>
      </c>
      <c r="H8137" t="s">
        <v>89</v>
      </c>
      <c r="I8137">
        <v>524</v>
      </c>
      <c r="J8137">
        <v>535</v>
      </c>
      <c r="K8137">
        <v>9.4596959481043894E-2</v>
      </c>
    </row>
    <row r="8138" spans="1:11" x14ac:dyDescent="0.25">
      <c r="A8138" t="s">
        <v>86</v>
      </c>
    </row>
    <row r="8139" spans="1:11" x14ac:dyDescent="0.25">
      <c r="A8139">
        <v>103.68492865036001</v>
      </c>
      <c r="B8139">
        <v>122.053689318273</v>
      </c>
      <c r="C8139">
        <v>2000</v>
      </c>
    </row>
    <row r="8140" spans="1:11" x14ac:dyDescent="0.25">
      <c r="A8140">
        <v>103.049400877235</v>
      </c>
      <c r="B8140">
        <v>122.68921709139801</v>
      </c>
      <c r="C8140">
        <v>2000</v>
      </c>
    </row>
    <row r="8141" spans="1:11" x14ac:dyDescent="0.25">
      <c r="A8141">
        <v>103.486416901684</v>
      </c>
      <c r="B8141">
        <v>123.126233115847</v>
      </c>
      <c r="C8141">
        <v>2001</v>
      </c>
    </row>
    <row r="8142" spans="1:11" x14ac:dyDescent="0.25">
      <c r="A8142">
        <v>104.121944674809</v>
      </c>
      <c r="B8142">
        <v>122.49070534272199</v>
      </c>
      <c r="C8142">
        <v>2001</v>
      </c>
    </row>
    <row r="8143" spans="1:11" x14ac:dyDescent="0.25">
      <c r="A8143">
        <v>104.32101106844399</v>
      </c>
      <c r="B8143">
        <v>122.29163894908601</v>
      </c>
      <c r="C8143">
        <v>2001</v>
      </c>
    </row>
    <row r="8144" spans="1:11" x14ac:dyDescent="0.25">
      <c r="A8144">
        <v>103.88399504399599</v>
      </c>
      <c r="B8144">
        <v>121.854622924637</v>
      </c>
      <c r="C8144">
        <v>2000</v>
      </c>
    </row>
    <row r="8145" spans="1:11" x14ac:dyDescent="0.25">
      <c r="A8145" t="s">
        <v>87</v>
      </c>
    </row>
    <row r="8146" spans="1:11" x14ac:dyDescent="0.25">
      <c r="A8146">
        <v>1003</v>
      </c>
      <c r="B8146">
        <v>1</v>
      </c>
      <c r="C8146">
        <v>0.35357360017172801</v>
      </c>
      <c r="D8146">
        <v>0.79847560155110398</v>
      </c>
      <c r="E8146">
        <v>6</v>
      </c>
      <c r="F8146">
        <v>1.01722196789785</v>
      </c>
      <c r="G8146" t="s">
        <v>85</v>
      </c>
      <c r="H8146" t="s">
        <v>85</v>
      </c>
      <c r="I8146">
        <v>191</v>
      </c>
      <c r="J8146">
        <v>194</v>
      </c>
      <c r="K8146">
        <v>9.3237811683927099E-2</v>
      </c>
    </row>
    <row r="8147" spans="1:11" x14ac:dyDescent="0.25">
      <c r="A8147" t="s">
        <v>86</v>
      </c>
    </row>
    <row r="8148" spans="1:11" x14ac:dyDescent="0.25">
      <c r="A8148">
        <v>69.107826971033504</v>
      </c>
      <c r="B8148">
        <v>107.628616305818</v>
      </c>
      <c r="C8148">
        <v>2000</v>
      </c>
    </row>
    <row r="8149" spans="1:11" x14ac:dyDescent="0.25">
      <c r="A8149">
        <v>68.857812680703503</v>
      </c>
      <c r="B8149">
        <v>107.878630596148</v>
      </c>
      <c r="C8149">
        <v>2000</v>
      </c>
    </row>
    <row r="8150" spans="1:11" x14ac:dyDescent="0.25">
      <c r="A8150">
        <v>68.857812680703503</v>
      </c>
      <c r="B8150">
        <v>107.00459854725</v>
      </c>
      <c r="C8150">
        <v>2001</v>
      </c>
    </row>
    <row r="8151" spans="1:11" x14ac:dyDescent="0.25">
      <c r="A8151">
        <v>69.107826971033504</v>
      </c>
      <c r="B8151">
        <v>106.75458425692</v>
      </c>
      <c r="C8151">
        <v>2001</v>
      </c>
    </row>
    <row r="8152" spans="1:11" x14ac:dyDescent="0.25">
      <c r="A8152">
        <v>69.6724344835023</v>
      </c>
      <c r="B8152">
        <v>106.189976744451</v>
      </c>
      <c r="C8152">
        <v>2001</v>
      </c>
    </row>
    <row r="8153" spans="1:11" x14ac:dyDescent="0.25">
      <c r="A8153">
        <v>69.6724344835023</v>
      </c>
      <c r="B8153">
        <v>107.064008793349</v>
      </c>
      <c r="C8153">
        <v>2000</v>
      </c>
    </row>
    <row r="8154" spans="1:11" x14ac:dyDescent="0.25">
      <c r="A8154" t="s">
        <v>87</v>
      </c>
    </row>
    <row r="8155" spans="1:11" x14ac:dyDescent="0.25">
      <c r="A8155">
        <v>262</v>
      </c>
      <c r="B8155">
        <v>0</v>
      </c>
      <c r="C8155">
        <v>0.194589832943038</v>
      </c>
      <c r="D8155">
        <v>0.92420335098043405</v>
      </c>
      <c r="E8155">
        <v>6</v>
      </c>
      <c r="F8155">
        <v>1.01722196789785</v>
      </c>
      <c r="G8155" t="s">
        <v>89</v>
      </c>
      <c r="H8155" t="s">
        <v>89</v>
      </c>
      <c r="I8155">
        <v>273</v>
      </c>
      <c r="J8155">
        <v>271</v>
      </c>
      <c r="K8155">
        <v>0</v>
      </c>
    </row>
    <row r="8156" spans="1:11" x14ac:dyDescent="0.25">
      <c r="A8156" t="s">
        <v>86</v>
      </c>
    </row>
    <row r="8157" spans="1:11" x14ac:dyDescent="0.25">
      <c r="A8157">
        <v>33.242418430862998</v>
      </c>
      <c r="B8157">
        <v>130.31050339960501</v>
      </c>
      <c r="C8157">
        <v>2000</v>
      </c>
    </row>
    <row r="8158" spans="1:11" x14ac:dyDescent="0.25">
      <c r="A8158">
        <v>33.104822640438996</v>
      </c>
      <c r="B8158">
        <v>130.17290760918101</v>
      </c>
      <c r="C8158">
        <v>2000</v>
      </c>
    </row>
    <row r="8159" spans="1:11" x14ac:dyDescent="0.25">
      <c r="A8159">
        <v>33.541838664887798</v>
      </c>
      <c r="B8159">
        <v>129.735891584733</v>
      </c>
      <c r="C8159">
        <v>2001</v>
      </c>
    </row>
    <row r="8160" spans="1:11" x14ac:dyDescent="0.25">
      <c r="A8160">
        <v>33.679434455311799</v>
      </c>
      <c r="B8160">
        <v>129.873487375157</v>
      </c>
      <c r="C8160">
        <v>2001</v>
      </c>
    </row>
    <row r="8161" spans="1:11" x14ac:dyDescent="0.25">
      <c r="A8161">
        <v>34.3329449119854</v>
      </c>
      <c r="B8161">
        <v>130.52699783182999</v>
      </c>
      <c r="C8161">
        <v>2001</v>
      </c>
    </row>
    <row r="8162" spans="1:11" x14ac:dyDescent="0.25">
      <c r="A8162">
        <v>33.895928887536499</v>
      </c>
      <c r="B8162">
        <v>130.964013856279</v>
      </c>
      <c r="C8162">
        <v>2000</v>
      </c>
    </row>
    <row r="8163" spans="1:11" x14ac:dyDescent="0.25">
      <c r="A8163" t="s">
        <v>87</v>
      </c>
    </row>
    <row r="8164" spans="1:11" x14ac:dyDescent="0.25">
      <c r="A8164">
        <v>1025</v>
      </c>
      <c r="B8164">
        <v>1</v>
      </c>
      <c r="C8164">
        <v>8.8703837924157397E-2</v>
      </c>
      <c r="D8164">
        <v>0.99662663915712801</v>
      </c>
      <c r="E8164">
        <v>6</v>
      </c>
      <c r="F8164">
        <v>1.01722196789785</v>
      </c>
      <c r="G8164" t="s">
        <v>89</v>
      </c>
      <c r="H8164" t="s">
        <v>85</v>
      </c>
      <c r="I8164">
        <v>617</v>
      </c>
      <c r="J8164">
        <v>583</v>
      </c>
      <c r="K8164">
        <v>9.3644784593262795E-2</v>
      </c>
    </row>
    <row r="8165" spans="1:11" x14ac:dyDescent="0.25">
      <c r="A8165" t="s">
        <v>86</v>
      </c>
    </row>
    <row r="8166" spans="1:11" x14ac:dyDescent="0.25">
      <c r="A8166">
        <v>128.403833537092</v>
      </c>
      <c r="B8166">
        <v>76.352302882520505</v>
      </c>
      <c r="C8166">
        <v>2000</v>
      </c>
    </row>
    <row r="8167" spans="1:11" x14ac:dyDescent="0.25">
      <c r="A8167">
        <v>128.35896906692901</v>
      </c>
      <c r="B8167">
        <v>76.397167352683297</v>
      </c>
      <c r="C8167">
        <v>2000</v>
      </c>
    </row>
    <row r="8168" spans="1:11" x14ac:dyDescent="0.25">
      <c r="A8168">
        <v>128.79598509137799</v>
      </c>
      <c r="B8168">
        <v>76.834183377132106</v>
      </c>
      <c r="C8168">
        <v>2001</v>
      </c>
    </row>
    <row r="8169" spans="1:11" x14ac:dyDescent="0.25">
      <c r="A8169">
        <v>128.87656679184201</v>
      </c>
      <c r="B8169">
        <v>76.753601676667998</v>
      </c>
      <c r="C8169">
        <v>2001</v>
      </c>
    </row>
    <row r="8170" spans="1:11" x14ac:dyDescent="0.25">
      <c r="A8170">
        <v>129.781937643775</v>
      </c>
      <c r="B8170">
        <v>75.848230824735097</v>
      </c>
      <c r="C8170">
        <v>2001</v>
      </c>
    </row>
    <row r="8171" spans="1:11" x14ac:dyDescent="0.25">
      <c r="A8171">
        <v>128.90790559487701</v>
      </c>
      <c r="B8171">
        <v>75.848230824735097</v>
      </c>
      <c r="C8171">
        <v>2000</v>
      </c>
    </row>
    <row r="8172" spans="1:11" x14ac:dyDescent="0.25">
      <c r="A8172" t="s">
        <v>87</v>
      </c>
    </row>
    <row r="8173" spans="1:11" x14ac:dyDescent="0.25">
      <c r="A8173">
        <v>1185</v>
      </c>
      <c r="B8173">
        <v>0</v>
      </c>
      <c r="C8173">
        <v>0.35352603679470501</v>
      </c>
      <c r="D8173">
        <v>0.71299201334517204</v>
      </c>
      <c r="E8173">
        <v>6</v>
      </c>
      <c r="F8173">
        <v>1.01722196789785</v>
      </c>
      <c r="G8173" t="s">
        <v>85</v>
      </c>
      <c r="H8173" t="s">
        <v>85</v>
      </c>
      <c r="I8173">
        <v>314</v>
      </c>
      <c r="J8173">
        <v>930</v>
      </c>
      <c r="K8173">
        <v>9.5800019506126696E-2</v>
      </c>
    </row>
    <row r="8174" spans="1:11" x14ac:dyDescent="0.25">
      <c r="A8174" t="s">
        <v>86</v>
      </c>
    </row>
    <row r="8175" spans="1:11" x14ac:dyDescent="0.25">
      <c r="A8175">
        <v>27.484047557927301</v>
      </c>
      <c r="B8175">
        <v>112.12630945356899</v>
      </c>
      <c r="C8175">
        <v>2000</v>
      </c>
    </row>
    <row r="8176" spans="1:11" x14ac:dyDescent="0.25">
      <c r="A8176">
        <v>27.234066899983802</v>
      </c>
      <c r="B8176">
        <v>111.876328795625</v>
      </c>
      <c r="C8176">
        <v>2000</v>
      </c>
    </row>
    <row r="8177" spans="1:11" x14ac:dyDescent="0.25">
      <c r="A8177">
        <v>28.108098948881398</v>
      </c>
      <c r="B8177">
        <v>111.876328795625</v>
      </c>
      <c r="C8177">
        <v>2001</v>
      </c>
    </row>
    <row r="8178" spans="1:11" x14ac:dyDescent="0.25">
      <c r="A8178">
        <v>28.358079606825001</v>
      </c>
      <c r="B8178">
        <v>112.12630945356899</v>
      </c>
      <c r="C8178">
        <v>2001</v>
      </c>
    </row>
    <row r="8179" spans="1:11" x14ac:dyDescent="0.25">
      <c r="A8179">
        <v>28.862241094393202</v>
      </c>
      <c r="B8179">
        <v>112.63047094113701</v>
      </c>
      <c r="C8179">
        <v>2001</v>
      </c>
    </row>
    <row r="8180" spans="1:11" x14ac:dyDescent="0.25">
      <c r="A8180">
        <v>27.988209045495601</v>
      </c>
      <c r="B8180">
        <v>112.63047094113701</v>
      </c>
      <c r="C8180">
        <v>2000</v>
      </c>
    </row>
    <row r="8181" spans="1:11" x14ac:dyDescent="0.25">
      <c r="A8181" t="s">
        <v>87</v>
      </c>
    </row>
    <row r="8182" spans="1:11" x14ac:dyDescent="0.25">
      <c r="A8182">
        <v>995</v>
      </c>
      <c r="B8182">
        <v>1</v>
      </c>
      <c r="C8182">
        <v>0.47099025853870602</v>
      </c>
      <c r="D8182">
        <v>0.59098653452643601</v>
      </c>
      <c r="E8182">
        <v>6</v>
      </c>
      <c r="F8182">
        <v>1.01722196789785</v>
      </c>
      <c r="G8182" t="s">
        <v>85</v>
      </c>
      <c r="H8182" t="s">
        <v>85</v>
      </c>
      <c r="I8182">
        <v>107</v>
      </c>
      <c r="J8182">
        <v>863</v>
      </c>
      <c r="K8182">
        <v>9.3237811683927099E-2</v>
      </c>
    </row>
    <row r="8183" spans="1:11" x14ac:dyDescent="0.25">
      <c r="A8183" t="s">
        <v>86</v>
      </c>
    </row>
    <row r="8184" spans="1:11" x14ac:dyDescent="0.25">
      <c r="A8184">
        <v>148.43512388414501</v>
      </c>
      <c r="B8184">
        <v>43.0338300426465</v>
      </c>
      <c r="C8184">
        <v>2000</v>
      </c>
    </row>
    <row r="8185" spans="1:11" x14ac:dyDescent="0.25">
      <c r="A8185">
        <v>147.908265410414</v>
      </c>
      <c r="B8185">
        <v>43.560688516377198</v>
      </c>
      <c r="C8185">
        <v>2000</v>
      </c>
    </row>
    <row r="8186" spans="1:11" x14ac:dyDescent="0.25">
      <c r="A8186">
        <v>147.908265410414</v>
      </c>
      <c r="B8186">
        <v>42.686656467479601</v>
      </c>
      <c r="C8186">
        <v>2001</v>
      </c>
    </row>
    <row r="8187" spans="1:11" x14ac:dyDescent="0.25">
      <c r="A8187">
        <v>148.04748774805401</v>
      </c>
      <c r="B8187">
        <v>42.547434129839203</v>
      </c>
      <c r="C8187">
        <v>2001</v>
      </c>
    </row>
    <row r="8188" spans="1:11" x14ac:dyDescent="0.25">
      <c r="A8188">
        <v>148.22218037780399</v>
      </c>
      <c r="B8188">
        <v>42.372741500089298</v>
      </c>
      <c r="C8188">
        <v>2001</v>
      </c>
    </row>
    <row r="8189" spans="1:11" x14ac:dyDescent="0.25">
      <c r="A8189">
        <v>149.09621242670201</v>
      </c>
      <c r="B8189">
        <v>42.372741500089298</v>
      </c>
      <c r="C8189">
        <v>2000</v>
      </c>
    </row>
    <row r="8190" spans="1:11" x14ac:dyDescent="0.25">
      <c r="A8190" t="s">
        <v>87</v>
      </c>
    </row>
    <row r="8191" spans="1:11" x14ac:dyDescent="0.25">
      <c r="A8191">
        <v>1147</v>
      </c>
      <c r="B8191">
        <v>1</v>
      </c>
      <c r="C8191">
        <v>0.74588321637503396</v>
      </c>
      <c r="D8191">
        <v>0.28478342377937299</v>
      </c>
      <c r="E8191">
        <v>6</v>
      </c>
      <c r="F8191">
        <v>1.01722196789785</v>
      </c>
      <c r="G8191" t="s">
        <v>85</v>
      </c>
      <c r="H8191" t="s">
        <v>85</v>
      </c>
      <c r="I8191">
        <v>825</v>
      </c>
      <c r="J8191">
        <v>275</v>
      </c>
      <c r="K8191">
        <v>9.5300933138239702E-2</v>
      </c>
    </row>
    <row r="8192" spans="1:11" x14ac:dyDescent="0.25">
      <c r="A8192" t="s">
        <v>86</v>
      </c>
    </row>
    <row r="8193" spans="1:11" x14ac:dyDescent="0.25">
      <c r="A8193">
        <v>39.792651841320399</v>
      </c>
      <c r="B8193">
        <v>139.78029627155601</v>
      </c>
      <c r="C8193">
        <v>2000</v>
      </c>
    </row>
    <row r="8194" spans="1:11" x14ac:dyDescent="0.25">
      <c r="A8194">
        <v>39.265232761048303</v>
      </c>
      <c r="B8194">
        <v>140.30771535182799</v>
      </c>
      <c r="C8194">
        <v>2000</v>
      </c>
    </row>
    <row r="8195" spans="1:11" x14ac:dyDescent="0.25">
      <c r="A8195">
        <v>39.265232761048303</v>
      </c>
      <c r="B8195">
        <v>139.43368330293001</v>
      </c>
      <c r="C8195">
        <v>2001</v>
      </c>
    </row>
    <row r="8196" spans="1:11" x14ac:dyDescent="0.25">
      <c r="A8196">
        <v>39.792651841320399</v>
      </c>
      <c r="B8196">
        <v>138.906264222658</v>
      </c>
      <c r="C8196">
        <v>2001</v>
      </c>
    </row>
    <row r="8197" spans="1:11" x14ac:dyDescent="0.25">
      <c r="A8197">
        <v>39.994024131444299</v>
      </c>
      <c r="B8197">
        <v>138.704891932534</v>
      </c>
      <c r="C8197">
        <v>2001</v>
      </c>
    </row>
    <row r="8198" spans="1:11" x14ac:dyDescent="0.25">
      <c r="A8198">
        <v>39.994024131444299</v>
      </c>
      <c r="B8198">
        <v>139.57892398143201</v>
      </c>
      <c r="C8198">
        <v>2000</v>
      </c>
    </row>
    <row r="8199" spans="1:11" x14ac:dyDescent="0.25">
      <c r="A8199" t="s">
        <v>87</v>
      </c>
    </row>
    <row r="8200" spans="1:11" x14ac:dyDescent="0.25">
      <c r="A8200">
        <v>1184</v>
      </c>
      <c r="B8200">
        <v>1</v>
      </c>
      <c r="C8200">
        <v>0.38735161570006899</v>
      </c>
      <c r="D8200">
        <v>0.63481726490104495</v>
      </c>
      <c r="E8200">
        <v>6</v>
      </c>
      <c r="F8200">
        <v>1.01722196789785</v>
      </c>
      <c r="G8200" t="s">
        <v>85</v>
      </c>
      <c r="H8200" t="s">
        <v>85</v>
      </c>
      <c r="I8200">
        <v>747</v>
      </c>
      <c r="J8200">
        <v>516</v>
      </c>
      <c r="K8200">
        <v>9.5636215209858197E-2</v>
      </c>
    </row>
    <row r="8201" spans="1:11" x14ac:dyDescent="0.25">
      <c r="A8201" t="s">
        <v>86</v>
      </c>
    </row>
    <row r="8202" spans="1:11" x14ac:dyDescent="0.25">
      <c r="A8202">
        <v>102.795309000079</v>
      </c>
      <c r="B8202">
        <v>119.617530898944</v>
      </c>
      <c r="C8202">
        <v>2000</v>
      </c>
    </row>
    <row r="8203" spans="1:11" x14ac:dyDescent="0.25">
      <c r="A8203">
        <v>102.521410045914</v>
      </c>
      <c r="B8203">
        <v>119.891429853109</v>
      </c>
      <c r="C8203">
        <v>2000</v>
      </c>
    </row>
    <row r="8204" spans="1:11" x14ac:dyDescent="0.25">
      <c r="A8204">
        <v>101.64737799701599</v>
      </c>
      <c r="B8204">
        <v>119.891429853109</v>
      </c>
      <c r="C8204">
        <v>2001</v>
      </c>
    </row>
    <row r="8205" spans="1:11" x14ac:dyDescent="0.25">
      <c r="A8205">
        <v>101.921276951181</v>
      </c>
      <c r="B8205">
        <v>119.617530898944</v>
      </c>
      <c r="C8205">
        <v>2001</v>
      </c>
    </row>
    <row r="8206" spans="1:11" x14ac:dyDescent="0.25">
      <c r="A8206">
        <v>102.37016054400701</v>
      </c>
      <c r="B8206">
        <v>119.168647306118</v>
      </c>
      <c r="C8206">
        <v>2001</v>
      </c>
    </row>
    <row r="8207" spans="1:11" x14ac:dyDescent="0.25">
      <c r="A8207">
        <v>103.244192592904</v>
      </c>
      <c r="B8207">
        <v>119.168647306118</v>
      </c>
      <c r="C8207">
        <v>2000</v>
      </c>
    </row>
    <row r="8208" spans="1:11" x14ac:dyDescent="0.25">
      <c r="A8208" t="s">
        <v>87</v>
      </c>
    </row>
    <row r="8209" spans="1:11" x14ac:dyDescent="0.25">
      <c r="A8209">
        <v>1178</v>
      </c>
      <c r="B8209">
        <v>1</v>
      </c>
      <c r="C8209">
        <v>0.58550314721449603</v>
      </c>
      <c r="D8209">
        <v>0.42928084819789802</v>
      </c>
      <c r="E8209">
        <v>6</v>
      </c>
      <c r="F8209">
        <v>1.01722196789785</v>
      </c>
      <c r="G8209" t="s">
        <v>85</v>
      </c>
      <c r="H8209" t="s">
        <v>85</v>
      </c>
      <c r="I8209">
        <v>28</v>
      </c>
      <c r="J8209">
        <v>1008</v>
      </c>
      <c r="K8209">
        <v>9.5636215209858197E-2</v>
      </c>
    </row>
    <row r="8210" spans="1:11" x14ac:dyDescent="0.25">
      <c r="A8210" t="s">
        <v>86</v>
      </c>
    </row>
    <row r="8211" spans="1:11" x14ac:dyDescent="0.25">
      <c r="A8211">
        <v>26.965392724920498</v>
      </c>
      <c r="B8211">
        <v>31.6559994146115</v>
      </c>
      <c r="C8211">
        <v>2000</v>
      </c>
    </row>
    <row r="8212" spans="1:11" x14ac:dyDescent="0.25">
      <c r="A8212">
        <v>26.8035260037535</v>
      </c>
      <c r="B8212">
        <v>31.817866135778399</v>
      </c>
      <c r="C8212">
        <v>2000</v>
      </c>
    </row>
    <row r="8213" spans="1:11" x14ac:dyDescent="0.25">
      <c r="A8213">
        <v>26.8035260037535</v>
      </c>
      <c r="B8213">
        <v>32.691898184675999</v>
      </c>
      <c r="C8213">
        <v>2001</v>
      </c>
    </row>
    <row r="8214" spans="1:11" x14ac:dyDescent="0.25">
      <c r="A8214">
        <v>27.4696857741895</v>
      </c>
      <c r="B8214">
        <v>32.025738414240102</v>
      </c>
      <c r="C8214">
        <v>2001</v>
      </c>
    </row>
    <row r="8215" spans="1:11" x14ac:dyDescent="0.25">
      <c r="A8215">
        <v>27.958102672797999</v>
      </c>
      <c r="B8215">
        <v>31.537321515631501</v>
      </c>
      <c r="C8215">
        <v>2001</v>
      </c>
    </row>
    <row r="8216" spans="1:11" x14ac:dyDescent="0.25">
      <c r="A8216">
        <v>27.084070623900399</v>
      </c>
      <c r="B8216">
        <v>31.537321515631501</v>
      </c>
      <c r="C8216">
        <v>2000</v>
      </c>
    </row>
    <row r="8217" spans="1:11" x14ac:dyDescent="0.25">
      <c r="A8217" t="s">
        <v>87</v>
      </c>
    </row>
    <row r="8218" spans="1:11" x14ac:dyDescent="0.25">
      <c r="A8218">
        <v>901</v>
      </c>
      <c r="B8218">
        <v>1</v>
      </c>
      <c r="C8218">
        <v>0.27397221383199599</v>
      </c>
      <c r="D8218">
        <v>0.68428095450898496</v>
      </c>
      <c r="E8218">
        <v>6</v>
      </c>
      <c r="F8218">
        <v>1.01722196789785</v>
      </c>
      <c r="G8218" t="s">
        <v>85</v>
      </c>
      <c r="H8218" t="s">
        <v>85</v>
      </c>
      <c r="I8218">
        <v>120</v>
      </c>
      <c r="J8218">
        <v>851</v>
      </c>
      <c r="K8218">
        <v>9.1667699418773299E-2</v>
      </c>
    </row>
    <row r="8219" spans="1:11" x14ac:dyDescent="0.25">
      <c r="A8219" t="s">
        <v>86</v>
      </c>
    </row>
    <row r="8220" spans="1:11" x14ac:dyDescent="0.25">
      <c r="A8220">
        <v>117.52996637183701</v>
      </c>
      <c r="B8220">
        <v>30.9431261061426</v>
      </c>
      <c r="C8220">
        <v>2000</v>
      </c>
    </row>
    <row r="8221" spans="1:11" x14ac:dyDescent="0.25">
      <c r="A8221">
        <v>117.33623876158001</v>
      </c>
      <c r="B8221">
        <v>31.136853716399902</v>
      </c>
      <c r="C8221">
        <v>2000</v>
      </c>
    </row>
    <row r="8222" spans="1:11" x14ac:dyDescent="0.25">
      <c r="A8222">
        <v>116.462206712682</v>
      </c>
      <c r="B8222">
        <v>31.136853716399902</v>
      </c>
      <c r="C8222">
        <v>2001</v>
      </c>
    </row>
    <row r="8223" spans="1:11" x14ac:dyDescent="0.25">
      <c r="A8223">
        <v>116.65593432294</v>
      </c>
      <c r="B8223">
        <v>30.9431261061426</v>
      </c>
      <c r="C8223">
        <v>2001</v>
      </c>
    </row>
    <row r="8224" spans="1:11" x14ac:dyDescent="0.25">
      <c r="A8224">
        <v>117.13979402611</v>
      </c>
      <c r="B8224">
        <v>30.459266402972499</v>
      </c>
      <c r="C8224">
        <v>2001</v>
      </c>
    </row>
    <row r="8225" spans="1:11" x14ac:dyDescent="0.25">
      <c r="A8225">
        <v>118.013826075008</v>
      </c>
      <c r="B8225">
        <v>30.459266402972499</v>
      </c>
      <c r="C8225">
        <v>2000</v>
      </c>
    </row>
    <row r="8226" spans="1:11" x14ac:dyDescent="0.25">
      <c r="A8226" t="s">
        <v>87</v>
      </c>
    </row>
    <row r="8227" spans="1:11" x14ac:dyDescent="0.25">
      <c r="A8227">
        <v>1196</v>
      </c>
      <c r="B8227">
        <v>1</v>
      </c>
      <c r="C8227">
        <v>0.46869964317554003</v>
      </c>
      <c r="D8227">
        <v>0.48150239049766702</v>
      </c>
      <c r="E8227">
        <v>6</v>
      </c>
      <c r="F8227">
        <v>1.01722196789785</v>
      </c>
      <c r="G8227" t="s">
        <v>85</v>
      </c>
      <c r="H8227" t="s">
        <v>85</v>
      </c>
      <c r="I8227">
        <v>728</v>
      </c>
      <c r="J8227">
        <v>183</v>
      </c>
      <c r="K8227">
        <v>9.5800019506126696E-2</v>
      </c>
    </row>
    <row r="8228" spans="1:11" x14ac:dyDescent="0.25">
      <c r="A8228" t="s">
        <v>86</v>
      </c>
    </row>
    <row r="8229" spans="1:11" x14ac:dyDescent="0.25">
      <c r="A8229">
        <v>61.391711347865801</v>
      </c>
      <c r="B8229">
        <v>110.343289800676</v>
      </c>
      <c r="C8229">
        <v>2000</v>
      </c>
    </row>
    <row r="8230" spans="1:11" x14ac:dyDescent="0.25">
      <c r="A8230">
        <v>60.844726753357797</v>
      </c>
      <c r="B8230">
        <v>110.89027439518399</v>
      </c>
      <c r="C8230">
        <v>2000</v>
      </c>
    </row>
    <row r="8231" spans="1:11" x14ac:dyDescent="0.25">
      <c r="A8231">
        <v>61.718758802255401</v>
      </c>
      <c r="B8231">
        <v>110.89027439518399</v>
      </c>
      <c r="C8231">
        <v>2001</v>
      </c>
    </row>
    <row r="8232" spans="1:11" x14ac:dyDescent="0.25">
      <c r="A8232">
        <v>61.834615599805701</v>
      </c>
      <c r="B8232">
        <v>110.774417597634</v>
      </c>
      <c r="C8232">
        <v>2001</v>
      </c>
    </row>
    <row r="8233" spans="1:11" x14ac:dyDescent="0.25">
      <c r="A8233">
        <v>61.953637079314099</v>
      </c>
      <c r="B8233">
        <v>110.655396118125</v>
      </c>
      <c r="C8233">
        <v>2001</v>
      </c>
    </row>
    <row r="8234" spans="1:11" x14ac:dyDescent="0.25">
      <c r="A8234">
        <v>61.953637079314099</v>
      </c>
      <c r="B8234">
        <v>109.781364069227</v>
      </c>
      <c r="C8234">
        <v>2000</v>
      </c>
    </row>
    <row r="8235" spans="1:11" x14ac:dyDescent="0.25">
      <c r="A8235" t="s">
        <v>87</v>
      </c>
    </row>
    <row r="8236" spans="1:11" x14ac:dyDescent="0.25">
      <c r="A8236">
        <v>1223</v>
      </c>
      <c r="B8236">
        <v>1</v>
      </c>
      <c r="C8236">
        <v>0.41343149288071102</v>
      </c>
      <c r="D8236">
        <v>0.53677054079249598</v>
      </c>
      <c r="E8236">
        <v>6</v>
      </c>
      <c r="F8236">
        <v>1.01722196789785</v>
      </c>
      <c r="G8236" t="s">
        <v>85</v>
      </c>
      <c r="H8236" t="s">
        <v>85</v>
      </c>
      <c r="I8236">
        <v>728</v>
      </c>
      <c r="J8236">
        <v>183</v>
      </c>
      <c r="K8236">
        <v>9.6277099271545E-2</v>
      </c>
    </row>
    <row r="8237" spans="1:11" x14ac:dyDescent="0.25">
      <c r="A8237" t="s">
        <v>86</v>
      </c>
    </row>
    <row r="8238" spans="1:11" x14ac:dyDescent="0.25">
      <c r="A8238">
        <v>58.533646625305003</v>
      </c>
      <c r="B8238">
        <v>107.614223797096</v>
      </c>
      <c r="C8238">
        <v>2000</v>
      </c>
    </row>
    <row r="8239" spans="1:11" x14ac:dyDescent="0.25">
      <c r="A8239">
        <v>58.051161390287398</v>
      </c>
      <c r="B8239">
        <v>108.096709032113</v>
      </c>
      <c r="C8239">
        <v>2000</v>
      </c>
    </row>
    <row r="8240" spans="1:11" x14ac:dyDescent="0.25">
      <c r="A8240">
        <v>58.051161390287398</v>
      </c>
      <c r="B8240">
        <v>107.222676983216</v>
      </c>
      <c r="C8240">
        <v>2001</v>
      </c>
    </row>
    <row r="8241" spans="1:11" x14ac:dyDescent="0.25">
      <c r="A8241">
        <v>58.153356579613899</v>
      </c>
      <c r="B8241">
        <v>107.120481793889</v>
      </c>
      <c r="C8241">
        <v>2001</v>
      </c>
    </row>
    <row r="8242" spans="1:11" x14ac:dyDescent="0.25">
      <c r="A8242">
        <v>58.286039667346202</v>
      </c>
      <c r="B8242">
        <v>106.98779870615699</v>
      </c>
      <c r="C8242">
        <v>2001</v>
      </c>
    </row>
    <row r="8243" spans="1:11" x14ac:dyDescent="0.25">
      <c r="A8243">
        <v>59.160071716243799</v>
      </c>
      <c r="B8243">
        <v>106.98779870615699</v>
      </c>
      <c r="C8243">
        <v>2000</v>
      </c>
    </row>
    <row r="8244" spans="1:11" x14ac:dyDescent="0.25">
      <c r="A8244" t="s">
        <v>87</v>
      </c>
    </row>
    <row r="8245" spans="1:11" x14ac:dyDescent="0.25">
      <c r="A8245">
        <v>1141</v>
      </c>
      <c r="B8245">
        <v>1</v>
      </c>
      <c r="C8245">
        <v>0.71578203593621503</v>
      </c>
      <c r="D8245">
        <v>3.72220386705919E-2</v>
      </c>
      <c r="E8245">
        <v>6</v>
      </c>
      <c r="F8245">
        <v>1.01722196789785</v>
      </c>
      <c r="G8245" t="s">
        <v>85</v>
      </c>
      <c r="H8245" t="s">
        <v>85</v>
      </c>
      <c r="I8245">
        <v>758</v>
      </c>
      <c r="J8245">
        <v>785</v>
      </c>
      <c r="K8245">
        <v>9.5129269803373898E-2</v>
      </c>
    </row>
    <row r="8246" spans="1:11" x14ac:dyDescent="0.25">
      <c r="A8246" t="s">
        <v>86</v>
      </c>
    </row>
    <row r="8247" spans="1:11" x14ac:dyDescent="0.25">
      <c r="A8247">
        <v>64.0375201382044</v>
      </c>
      <c r="B8247">
        <v>69.644851010496197</v>
      </c>
      <c r="C8247">
        <v>2000</v>
      </c>
    </row>
    <row r="8248" spans="1:11" x14ac:dyDescent="0.25">
      <c r="A8248">
        <v>63.9467995213097</v>
      </c>
      <c r="B8248">
        <v>69.735571627390897</v>
      </c>
      <c r="C8248">
        <v>2000</v>
      </c>
    </row>
    <row r="8249" spans="1:11" x14ac:dyDescent="0.25">
      <c r="A8249">
        <v>63.9467995213097</v>
      </c>
      <c r="B8249">
        <v>70.6096036762886</v>
      </c>
      <c r="C8249">
        <v>2001</v>
      </c>
    </row>
    <row r="8250" spans="1:11" x14ac:dyDescent="0.25">
      <c r="A8250">
        <v>64.868347567339001</v>
      </c>
      <c r="B8250">
        <v>69.688055630259299</v>
      </c>
      <c r="C8250">
        <v>2001</v>
      </c>
    </row>
    <row r="8251" spans="1:11" x14ac:dyDescent="0.25">
      <c r="A8251">
        <v>64.916269833174098</v>
      </c>
      <c r="B8251">
        <v>69.640133364424202</v>
      </c>
      <c r="C8251">
        <v>2001</v>
      </c>
    </row>
    <row r="8252" spans="1:11" x14ac:dyDescent="0.25">
      <c r="A8252">
        <v>64.042237784276494</v>
      </c>
      <c r="B8252">
        <v>69.640133364424202</v>
      </c>
      <c r="C8252">
        <v>2000</v>
      </c>
    </row>
    <row r="8253" spans="1:11" x14ac:dyDescent="0.25">
      <c r="A8253" t="s">
        <v>87</v>
      </c>
    </row>
    <row r="8254" spans="1:11" x14ac:dyDescent="0.25">
      <c r="A8254">
        <v>1085</v>
      </c>
      <c r="B8254">
        <v>1</v>
      </c>
      <c r="C8254">
        <v>0.46385654222547101</v>
      </c>
      <c r="D8254">
        <v>0.22663056865681599</v>
      </c>
      <c r="E8254">
        <v>6</v>
      </c>
      <c r="F8254">
        <v>1.01722196789785</v>
      </c>
      <c r="G8254" t="s">
        <v>85</v>
      </c>
      <c r="H8254" t="s">
        <v>85</v>
      </c>
      <c r="I8254">
        <v>196</v>
      </c>
      <c r="J8254">
        <v>191</v>
      </c>
      <c r="K8254">
        <v>9.4413370804653396E-2</v>
      </c>
    </row>
    <row r="8255" spans="1:11" x14ac:dyDescent="0.25">
      <c r="A8255" t="s">
        <v>86</v>
      </c>
    </row>
    <row r="8256" spans="1:11" x14ac:dyDescent="0.25">
      <c r="A8256">
        <v>56.4945670573481</v>
      </c>
      <c r="B8256">
        <v>95.835888996635006</v>
      </c>
      <c r="C8256">
        <v>2000</v>
      </c>
    </row>
    <row r="8257" spans="1:11" x14ac:dyDescent="0.25">
      <c r="A8257">
        <v>56.166570950842697</v>
      </c>
      <c r="B8257">
        <v>96.163885103140402</v>
      </c>
      <c r="C8257">
        <v>2000</v>
      </c>
    </row>
    <row r="8258" spans="1:11" x14ac:dyDescent="0.25">
      <c r="A8258">
        <v>56.166570950842697</v>
      </c>
      <c r="B8258">
        <v>95.289853054242698</v>
      </c>
      <c r="C8258">
        <v>2001</v>
      </c>
    </row>
    <row r="8259" spans="1:11" x14ac:dyDescent="0.25">
      <c r="A8259">
        <v>56.4945670573481</v>
      </c>
      <c r="B8259">
        <v>94.961856947737303</v>
      </c>
      <c r="C8259">
        <v>2001</v>
      </c>
    </row>
    <row r="8260" spans="1:11" x14ac:dyDescent="0.25">
      <c r="A8260">
        <v>56.6548190692695</v>
      </c>
      <c r="B8260">
        <v>94.801604935815902</v>
      </c>
      <c r="C8260">
        <v>2001</v>
      </c>
    </row>
    <row r="8261" spans="1:11" x14ac:dyDescent="0.25">
      <c r="A8261">
        <v>56.6548190692695</v>
      </c>
      <c r="B8261">
        <v>95.675636984713606</v>
      </c>
      <c r="C8261">
        <v>2000</v>
      </c>
    </row>
    <row r="8262" spans="1:11" x14ac:dyDescent="0.25">
      <c r="A8262" t="s">
        <v>87</v>
      </c>
    </row>
    <row r="8263" spans="1:11" x14ac:dyDescent="0.25">
      <c r="A8263">
        <v>958</v>
      </c>
      <c r="B8263">
        <v>1</v>
      </c>
      <c r="C8263">
        <v>0.18598768761064099</v>
      </c>
      <c r="D8263">
        <v>0.49625953328418099</v>
      </c>
      <c r="E8263">
        <v>6</v>
      </c>
      <c r="F8263">
        <v>1.01722196789785</v>
      </c>
      <c r="G8263" t="s">
        <v>85</v>
      </c>
      <c r="H8263" t="s">
        <v>85</v>
      </c>
      <c r="I8263">
        <v>661</v>
      </c>
      <c r="J8263">
        <v>584</v>
      </c>
      <c r="K8263">
        <v>9.2594931978171202E-2</v>
      </c>
    </row>
    <row r="8264" spans="1:11" x14ac:dyDescent="0.25">
      <c r="A8264" t="s">
        <v>86</v>
      </c>
    </row>
    <row r="8265" spans="1:11" x14ac:dyDescent="0.25">
      <c r="A8265">
        <v>100.340836894487</v>
      </c>
      <c r="B8265">
        <v>56.503587060272302</v>
      </c>
      <c r="C8265">
        <v>2000</v>
      </c>
    </row>
    <row r="8266" spans="1:11" x14ac:dyDescent="0.25">
      <c r="A8266">
        <v>100.090188626242</v>
      </c>
      <c r="B8266">
        <v>56.754235328517403</v>
      </c>
      <c r="C8266">
        <v>2000</v>
      </c>
    </row>
    <row r="8267" spans="1:11" x14ac:dyDescent="0.25">
      <c r="A8267">
        <v>100.090188626242</v>
      </c>
      <c r="B8267">
        <v>55.880203279619799</v>
      </c>
      <c r="C8267">
        <v>2001</v>
      </c>
    </row>
    <row r="8268" spans="1:11" x14ac:dyDescent="0.25">
      <c r="A8268">
        <v>100.10256666825001</v>
      </c>
      <c r="B8268">
        <v>55.867825237611498</v>
      </c>
      <c r="C8268">
        <v>2001</v>
      </c>
    </row>
    <row r="8269" spans="1:11" x14ac:dyDescent="0.25">
      <c r="A8269">
        <v>100.135594238134</v>
      </c>
      <c r="B8269">
        <v>55.834797667728203</v>
      </c>
      <c r="C8269">
        <v>2001</v>
      </c>
    </row>
    <row r="8270" spans="1:11" x14ac:dyDescent="0.25">
      <c r="A8270">
        <v>101.009626287031</v>
      </c>
      <c r="B8270">
        <v>55.834797667728203</v>
      </c>
      <c r="C8270">
        <v>2000</v>
      </c>
    </row>
    <row r="8271" spans="1:11" x14ac:dyDescent="0.25">
      <c r="A8271" t="s">
        <v>87</v>
      </c>
    </row>
    <row r="8272" spans="1:11" x14ac:dyDescent="0.25">
      <c r="A8272">
        <v>1214</v>
      </c>
      <c r="B8272">
        <v>1</v>
      </c>
      <c r="C8272">
        <v>6.8525754308716103E-2</v>
      </c>
      <c r="D8272">
        <v>0.61366071585522497</v>
      </c>
      <c r="E8272">
        <v>6</v>
      </c>
      <c r="F8272">
        <v>1.01722196789785</v>
      </c>
      <c r="G8272" t="s">
        <v>85</v>
      </c>
      <c r="H8272" t="s">
        <v>85</v>
      </c>
      <c r="I8272">
        <v>118</v>
      </c>
      <c r="J8272">
        <v>1213</v>
      </c>
      <c r="K8272">
        <v>9.6120382487224904E-2</v>
      </c>
    </row>
    <row r="8273" spans="1:3" x14ac:dyDescent="0.25">
      <c r="A8273" t="s">
        <v>86</v>
      </c>
    </row>
    <row r="8274" spans="1:3" x14ac:dyDescent="0.25">
      <c r="A8274">
        <v>103.991350726443</v>
      </c>
      <c r="B8274">
        <v>19.122367571399302</v>
      </c>
      <c r="C8274">
        <v>2000</v>
      </c>
    </row>
    <row r="8275" spans="1:3" x14ac:dyDescent="0.25">
      <c r="A8275">
        <v>103.89899736219</v>
      </c>
      <c r="B8275">
        <v>19.214720935651801</v>
      </c>
      <c r="C8275">
        <v>2000</v>
      </c>
    </row>
    <row r="8276" spans="1:3" x14ac:dyDescent="0.25">
      <c r="A8276">
        <v>103.89899736219</v>
      </c>
      <c r="B8276">
        <v>18.340688886754201</v>
      </c>
      <c r="C8276">
        <v>2001</v>
      </c>
    </row>
    <row r="8277" spans="1:3" x14ac:dyDescent="0.25">
      <c r="A8277">
        <v>103.903554049053</v>
      </c>
      <c r="B8277">
        <v>18.336132199891502</v>
      </c>
      <c r="C8277">
        <v>2001</v>
      </c>
    </row>
    <row r="8278" spans="1:3" x14ac:dyDescent="0.25">
      <c r="A8278">
        <v>103.944360016828</v>
      </c>
      <c r="B8278">
        <v>18.295326232116299</v>
      </c>
      <c r="C8278">
        <v>2001</v>
      </c>
    </row>
    <row r="8279" spans="1:3" x14ac:dyDescent="0.25">
      <c r="A8279">
        <v>104.818392065726</v>
      </c>
      <c r="B8279">
        <v>18.295326232116299</v>
      </c>
      <c r="C8279">
        <v>2000</v>
      </c>
    </row>
    <row r="8280" spans="1:3" x14ac:dyDescent="0.25">
      <c r="A8280" t="s">
        <v>87</v>
      </c>
    </row>
  </sheetData>
  <sortState xmlns:xlrd2="http://schemas.microsoft.com/office/spreadsheetml/2017/richdata2" ref="AP2:AV62">
    <sortCondition descending="1" ref="AQ2:AQ6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2022-11-28T18:38:09Z</dcterms:modified>
</cp:coreProperties>
</file>